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1_{16F5F1CF-26B4-4301-B1B7-A1244902E7FC}" xr6:coauthVersionLast="47" xr6:coauthVersionMax="47" xr10:uidLastSave="{00000000-0000-0000-0000-000000000000}"/>
  <bookViews>
    <workbookView xWindow="-120" yWindow="-120" windowWidth="29040" windowHeight="15720" tabRatio="873" firstSheet="3" activeTab="3" xr2:uid="{00000000-000D-0000-FFFF-FFFF00000000}"/>
  </bookViews>
  <sheets>
    <sheet name="Mau CT 2" sheetId="3" state="hidden" r:id="rId1"/>
    <sheet name="Muc tieu_Trực ca" sheetId="8" state="hidden" r:id="rId2"/>
    <sheet name="Muc tieu_Hành chính" sheetId="9" state="hidden" r:id="rId3"/>
    <sheet name="BC" sheetId="43" r:id="rId4"/>
    <sheet name="KHHD" sheetId="6" state="hidden" r:id="rId5"/>
    <sheet name="Sheet1" sheetId="1" state="hidden" r:id="rId6"/>
    <sheet name="Sheet2" sheetId="4" state="hidden" r:id="rId7"/>
  </sheets>
  <definedNames>
    <definedName name="\0">#REF!</definedName>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T">#REF!</definedName>
    <definedName name="\v">#REF!</definedName>
    <definedName name="\z">#REF!</definedName>
    <definedName name="_">#REF!</definedName>
    <definedName name="__">#REF!</definedName>
    <definedName name="___">#REF!</definedName>
    <definedName name="____">#REF!</definedName>
    <definedName name="_____">#REF!</definedName>
    <definedName name="______">#REF!</definedName>
    <definedName name="________CON1">#REF!</definedName>
    <definedName name="________CON2">#REF!</definedName>
    <definedName name="________NET2">#REF!</definedName>
    <definedName name="_______CON1">#REF!</definedName>
    <definedName name="_______CON2">#REF!</definedName>
    <definedName name="_______NET2">#REF!</definedName>
    <definedName name="______CON1">#REF!</definedName>
    <definedName name="______CON2">#REF!</definedName>
    <definedName name="______khi2">#REF!</definedName>
    <definedName name="______muc1">#REF!</definedName>
    <definedName name="______NET2">#REF!</definedName>
    <definedName name="_____a1" localSheetId="3" hidden="1">{"'Sheet1'!$L$16"}</definedName>
    <definedName name="_____a1" hidden="1">{"'Sheet1'!$L$16"}</definedName>
    <definedName name="_____CON1">#REF!</definedName>
    <definedName name="_____CON2">#REF!</definedName>
    <definedName name="_____khi2">#REF!</definedName>
    <definedName name="_____muc1">#REF!</definedName>
    <definedName name="_____NET2">#REF!</definedName>
    <definedName name="_____PR1">#REF!</definedName>
    <definedName name="____a1" localSheetId="3" hidden="1">{"'Sheet1'!$L$16"}</definedName>
    <definedName name="____a1" hidden="1">{"'Sheet1'!$L$16"}</definedName>
    <definedName name="____a129" localSheetId="3"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3"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CON1">#REF!</definedName>
    <definedName name="____CON2">#REF!</definedName>
    <definedName name="____d1500" localSheetId="3" hidden="1">{"'Sheet1'!$L$16"}</definedName>
    <definedName name="____d1500" hidden="1">{"'Sheet1'!$L$16"}</definedName>
    <definedName name="____h1" localSheetId="3" hidden="1">{"'Sheet1'!$L$16"}</definedName>
    <definedName name="____h1" hidden="1">{"'Sheet1'!$L$16"}</definedName>
    <definedName name="____hu1" localSheetId="3" hidden="1">{"'Sheet1'!$L$16"}</definedName>
    <definedName name="____hu1" hidden="1">{"'Sheet1'!$L$16"}</definedName>
    <definedName name="____hu2" localSheetId="3" hidden="1">{"'Sheet1'!$L$16"}</definedName>
    <definedName name="____hu2" hidden="1">{"'Sheet1'!$L$16"}</definedName>
    <definedName name="____hu5" localSheetId="3" hidden="1">{"'Sheet1'!$L$16"}</definedName>
    <definedName name="____hu5" hidden="1">{"'Sheet1'!$L$16"}</definedName>
    <definedName name="____hu6" localSheetId="3" hidden="1">{"'Sheet1'!$L$16"}</definedName>
    <definedName name="____hu6" hidden="1">{"'Sheet1'!$L$16"}</definedName>
    <definedName name="____hu7" localSheetId="3" hidden="1">{"'Sheet1'!$L$16"}</definedName>
    <definedName name="____hu7" hidden="1">{"'Sheet1'!$L$16"}</definedName>
    <definedName name="____k10" localSheetId="3" hidden="1">{"'Sheet1'!$L$16"}</definedName>
    <definedName name="____k10" hidden="1">{"'Sheet1'!$L$16"}</definedName>
    <definedName name="____KS2" localSheetId="3" hidden="1">{"'Sheet1'!$L$16"}</definedName>
    <definedName name="____KS2" hidden="1">{"'Sheet1'!$L$16"}</definedName>
    <definedName name="____khi2">#REF!</definedName>
    <definedName name="____muc1">#REF!</definedName>
    <definedName name="____NET2">#REF!</definedName>
    <definedName name="____PA3" localSheetId="3" hidden="1">{"'Sheet1'!$L$16"}</definedName>
    <definedName name="____PA3" hidden="1">{"'Sheet1'!$L$16"}</definedName>
    <definedName name="____PR1">#REF!</definedName>
    <definedName name="____T10" localSheetId="3" hidden="1">{"'Sheet1'!$L$16"}</definedName>
    <definedName name="____T10" hidden="1">{"'Sheet1'!$L$16"}</definedName>
    <definedName name="____T12" localSheetId="3" hidden="1">{"'Sheet1'!$L$16"}</definedName>
    <definedName name="____T12" hidden="1">{"'Sheet1'!$L$16"}</definedName>
    <definedName name="____tct3">#REF!</definedName>
    <definedName name="___a1" localSheetId="3" hidden="1">{"'Sheet1'!$L$16"}</definedName>
    <definedName name="___a1" hidden="1">{"'Sheet1'!$L$16"}</definedName>
    <definedName name="___a129" localSheetId="3"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3"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bac1">#REF!</definedName>
    <definedName name="___bac2">#REF!</definedName>
    <definedName name="___boi1">#REF!</definedName>
    <definedName name="___boi2">#REF!</definedName>
    <definedName name="___CON1">#REF!</definedName>
    <definedName name="___CON2">#REF!</definedName>
    <definedName name="___d1500" localSheetId="3" hidden="1">{"'Sheet1'!$L$16"}</definedName>
    <definedName name="___d1500" hidden="1">{"'Sheet1'!$L$16"}</definedName>
    <definedName name="___dao1">#REF!</definedName>
    <definedName name="___dao2">#REF!</definedName>
    <definedName name="___dap2">#REF!</definedName>
    <definedName name="___day2">#REF!</definedName>
    <definedName name="___dbu2">#REF!</definedName>
    <definedName name="___h1" localSheetId="3" hidden="1">{"'Sheet1'!$L$16"}</definedName>
    <definedName name="___h1" hidden="1">{"'Sheet1'!$L$16"}</definedName>
    <definedName name="___hu1" localSheetId="3" hidden="1">{"'Sheet1'!$L$16"}</definedName>
    <definedName name="___hu1" hidden="1">{"'Sheet1'!$L$16"}</definedName>
    <definedName name="___hu2" localSheetId="3" hidden="1">{"'Sheet1'!$L$16"}</definedName>
    <definedName name="___hu2" hidden="1">{"'Sheet1'!$L$16"}</definedName>
    <definedName name="___hu5" localSheetId="3" hidden="1">{"'Sheet1'!$L$16"}</definedName>
    <definedName name="___hu5" hidden="1">{"'Sheet1'!$L$16"}</definedName>
    <definedName name="___hu6" localSheetId="3" hidden="1">{"'Sheet1'!$L$16"}</definedName>
    <definedName name="___hu6" hidden="1">{"'Sheet1'!$L$16"}</definedName>
    <definedName name="___hu7" localSheetId="3" hidden="1">{"'Sheet1'!$L$16"}</definedName>
    <definedName name="___hu7" hidden="1">{"'Sheet1'!$L$16"}</definedName>
    <definedName name="___k10" localSheetId="3" hidden="1">{"'Sheet1'!$L$16"}</definedName>
    <definedName name="___k10" hidden="1">{"'Sheet1'!$L$16"}</definedName>
    <definedName name="___KS2" localSheetId="3" hidden="1">{"'Sheet1'!$L$16"}</definedName>
    <definedName name="___KS2" hidden="1">{"'Sheet1'!$L$16"}</definedName>
    <definedName name="___khi2">#REF!</definedName>
    <definedName name="___lap1">#REF!</definedName>
    <definedName name="___lap2">#REF!</definedName>
    <definedName name="___muc1">#REF!</definedName>
    <definedName name="___NET2">#REF!</definedName>
    <definedName name="___NPV11">#REF!</definedName>
    <definedName name="___npv22">#REF!</definedName>
    <definedName name="___oto10">#REF!</definedName>
    <definedName name="___PA3" localSheetId="3" hidden="1">{"'Sheet1'!$L$16"}</definedName>
    <definedName name="___PA3" hidden="1">{"'Sheet1'!$L$16"}</definedName>
    <definedName name="___PR1">#REF!</definedName>
    <definedName name="___T10" localSheetId="3" hidden="1">{"'Sheet1'!$L$16"}</definedName>
    <definedName name="___T10" hidden="1">{"'Sheet1'!$L$16"}</definedName>
    <definedName name="___T12" localSheetId="3" hidden="1">{"'Sheet1'!$L$16"}</definedName>
    <definedName name="___T12" hidden="1">{"'Sheet1'!$L$16"}</definedName>
    <definedName name="___tct3">#REF!</definedName>
    <definedName name="___vc1">#REF!</definedName>
    <definedName name="___vc2">#REF!</definedName>
    <definedName name="___vc3">#REF!</definedName>
    <definedName name="__a1" localSheetId="3" hidden="1">{"'Sheet1'!$L$16"}</definedName>
    <definedName name="__a1" hidden="1">{"'Sheet1'!$L$16"}</definedName>
    <definedName name="__a129" localSheetId="3"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3"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bb91">#REF!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ac1">#REF!</definedName>
    <definedName name="__bac2">#REF!</definedName>
    <definedName name="__BTM250">#REF!</definedName>
    <definedName name="__Cau2">#REF!</definedName>
    <definedName name="__CON1">#REF!</definedName>
    <definedName name="__CON2">#REF!</definedName>
    <definedName name="__Count">9</definedName>
    <definedName name="__cpd1">#REF!</definedName>
    <definedName name="__cpd2">#REF!</definedName>
    <definedName name="__CT250">#REF!</definedName>
    <definedName name="__d1500" localSheetId="3" hidden="1">{"'Sheet1'!$L$16"}</definedName>
    <definedName name="__d1500" hidden="1">{"'Sheet1'!$L$16"}</definedName>
    <definedName name="__day1">#REF!</definedName>
    <definedName name="__dbu1">#REF!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gon4">#REF!</definedName>
    <definedName name="__h1" localSheetId="3" hidden="1">{"'Sheet1'!$L$16"}</definedName>
    <definedName name="__h1" hidden="1">{"'Sheet1'!$L$16"}</definedName>
    <definedName name="__han23">#REF!</definedName>
    <definedName name="__hu1" localSheetId="3" hidden="1">{"'Sheet1'!$L$16"}</definedName>
    <definedName name="__hu1" hidden="1">{"'Sheet1'!$L$16"}</definedName>
    <definedName name="__hu2" localSheetId="3" hidden="1">{"'Sheet1'!$L$16"}</definedName>
    <definedName name="__hu2" hidden="1">{"'Sheet1'!$L$16"}</definedName>
    <definedName name="__hu5" localSheetId="3" hidden="1">{"'Sheet1'!$L$16"}</definedName>
    <definedName name="__hu5" hidden="1">{"'Sheet1'!$L$16"}</definedName>
    <definedName name="__hu6" localSheetId="3" hidden="1">{"'Sheet1'!$L$16"}</definedName>
    <definedName name="__hu6" hidden="1">{"'Sheet1'!$L$16"}</definedName>
    <definedName name="__hu7" localSheetId="3" hidden="1">{"'Sheet1'!$L$16"}</definedName>
    <definedName name="__hu7" hidden="1">{"'Sheet1'!$L$16"}</definedName>
    <definedName name="__IntlFixup" hidden="1">TRUE</definedName>
    <definedName name="__k10" localSheetId="3" hidden="1">{"'Sheet1'!$L$16"}</definedName>
    <definedName name="__k10" hidden="1">{"'Sheet1'!$L$16"}</definedName>
    <definedName name="__KS2" localSheetId="3" hidden="1">{"'Sheet1'!$L$16"}</definedName>
    <definedName name="__KS2" hidden="1">{"'Sheet1'!$L$16"}</definedName>
    <definedName name="__khi2">#REF!</definedName>
    <definedName name="__khu7">#REF!</definedName>
    <definedName name="__MB1">#REF!</definedName>
    <definedName name="__MB2">#REF!</definedName>
    <definedName name="__MN1">#REF!</definedName>
    <definedName name="__MN2">#REF!</definedName>
    <definedName name="__MT1">#REF!</definedName>
    <definedName name="__MT2">#REF!</definedName>
    <definedName name="__muc1">#REF!</definedName>
    <definedName name="__nc151">#REF!</definedName>
    <definedName name="__nc27">#REF!</definedName>
    <definedName name="__NET2">#REF!</definedName>
    <definedName name="__NPV11">#REF!</definedName>
    <definedName name="__npv22">#REF!</definedName>
    <definedName name="__NSO2" localSheetId="3" hidden="1">{"'Sheet1'!$L$16"}</definedName>
    <definedName name="__NSO2" hidden="1">{"'Sheet1'!$L$16"}</definedName>
    <definedName name="__nga3">#REF!</definedName>
    <definedName name="__oto10">#REF!</definedName>
    <definedName name="__PA3" localSheetId="3" hidden="1">{"'Sheet1'!$L$16"}</definedName>
    <definedName name="__PA3" hidden="1">{"'Sheet1'!$L$16"}</definedName>
    <definedName name="__pc30">#REF!</definedName>
    <definedName name="__pc40">#REF!</definedName>
    <definedName name="__PR1">#REF!</definedName>
    <definedName name="__san110">#REF!</definedName>
    <definedName name="__SPL4">#REF!</definedName>
    <definedName name="__STD0898">#REF!</definedName>
    <definedName name="__T10" localSheetId="3" hidden="1">{"'Sheet1'!$L$16"}</definedName>
    <definedName name="__T10" hidden="1">{"'Sheet1'!$L$16"}</definedName>
    <definedName name="__T12" localSheetId="3" hidden="1">{"'Sheet1'!$L$16"}</definedName>
    <definedName name="__T12" hidden="1">{"'Sheet1'!$L$16"}</definedName>
    <definedName name="__tam1">#REF!</definedName>
    <definedName name="__tct3">#REF!</definedName>
    <definedName name="__tct5">#REF!</definedName>
    <definedName name="__tg427">#REF!</definedName>
    <definedName name="__TH20">#REF!</definedName>
    <definedName name="__ui110">#REF!</definedName>
    <definedName name="__UT2">#REF!</definedName>
    <definedName name="__XM30">#REF!</definedName>
    <definedName name="__xx1">#REF!</definedName>
    <definedName name="__xx12">#REF!</definedName>
    <definedName name="__xx2">#REF!</definedName>
    <definedName name="__xx3">#REF!</definedName>
    <definedName name="__xx4">#REF!</definedName>
    <definedName name="__xx5">#REF!</definedName>
    <definedName name="__xx6">#REF!</definedName>
    <definedName name="__xx7">#REF!</definedName>
    <definedName name="__yy1">#REF!</definedName>
    <definedName name="__yy2">#REF!</definedName>
    <definedName name="__zx1">#REF!</definedName>
    <definedName name="_01_01_99">#REF!</definedName>
    <definedName name="_01_02_99">#REF!</definedName>
    <definedName name="_01_03_99">#REF!</definedName>
    <definedName name="_01_04_99">#REF!</definedName>
    <definedName name="_01_05_99">#REF!</definedName>
    <definedName name="_01_06_99">#REF!</definedName>
    <definedName name="_01_07_99">#REF!</definedName>
    <definedName name="_01_08_1999">#REF!</definedName>
    <definedName name="_01_11_2001">#N/A</definedName>
    <definedName name="_073">"DIEU CHINH"</definedName>
    <definedName name="_09_2019">#REF!</definedName>
    <definedName name="_1">#REF!</definedName>
    <definedName name="_1____0DATA_DATA2_L">#REF!</definedName>
    <definedName name="_10__TRÒ_GIAÙ">#REF!</definedName>
    <definedName name="_10_2019">#REF!</definedName>
    <definedName name="_1000A01">#N/A</definedName>
    <definedName name="_102_2019">#REF!</definedName>
    <definedName name="_104_2019">#REF!</definedName>
    <definedName name="_105_2019">#REF!</definedName>
    <definedName name="_106_2019">#REF!</definedName>
    <definedName name="_11__TRÒ_GIAÙ__VAT">#REF!</definedName>
    <definedName name="_12_2019">#REF!</definedName>
    <definedName name="_121_2019">#REF!</definedName>
    <definedName name="_122_2019">#REF!</definedName>
    <definedName name="_13_2019">#REF!</definedName>
    <definedName name="_141_2019">#REF!</definedName>
    <definedName name="_146_2019">#REF!</definedName>
    <definedName name="_15_2019">#REF!</definedName>
    <definedName name="_150_2019">#REF!</definedName>
    <definedName name="_161_2019">#REF!</definedName>
    <definedName name="_17_2019">#REF!</definedName>
    <definedName name="_181_2019">#REF!</definedName>
    <definedName name="_182_2019">#REF!</definedName>
    <definedName name="_183_2019">#REF!</definedName>
    <definedName name="_185_2019">#REF!</definedName>
    <definedName name="_186_2019">#REF!</definedName>
    <definedName name="_192_2019">#REF!</definedName>
    <definedName name="_193_2019">#REF!</definedName>
    <definedName name="_196_2019">#REF!</definedName>
    <definedName name="_198_2019">#REF!</definedName>
    <definedName name="_199_2019">#REF!</definedName>
    <definedName name="_1BA1025">#REF!</definedName>
    <definedName name="_1BA1037">#REF!</definedName>
    <definedName name="_1BA1050">#REF!</definedName>
    <definedName name="_1BA1075">#REF!</definedName>
    <definedName name="_1BA1100">#REF!</definedName>
    <definedName name="_1BA2500">#REF!</definedName>
    <definedName name="_1BA3025">#REF!</definedName>
    <definedName name="_1BA3037">#REF!</definedName>
    <definedName name="_1BA3050">#REF!</definedName>
    <definedName name="_1BA305G">#REF!</definedName>
    <definedName name="_1BA3075">#REF!</definedName>
    <definedName name="_1BA3100">#REF!</definedName>
    <definedName name="_1BA3160">#REF!</definedName>
    <definedName name="_1BA3250">#REF!</definedName>
    <definedName name="_1BA3320">#REF!</definedName>
    <definedName name="_1BA3400">#REF!</definedName>
    <definedName name="_1BA400P">#REF!</definedName>
    <definedName name="_1CAP001">#REF!</definedName>
    <definedName name="_1CAP002">#REF!</definedName>
    <definedName name="_1CAP003">#REF!</definedName>
    <definedName name="_1CAPTU1">#REF!</definedName>
    <definedName name="_1CDHT01">#REF!</definedName>
    <definedName name="_1CDHT02">#REF!</definedName>
    <definedName name="_1CHANG1">#REF!</definedName>
    <definedName name="_1DA0801">#REF!</definedName>
    <definedName name="_1DA0802">#REF!</definedName>
    <definedName name="_1DA1201">#REF!</definedName>
    <definedName name="_1DA2001">#REF!</definedName>
    <definedName name="_1DA2401">#REF!</definedName>
    <definedName name="_1DA2402">#REF!</definedName>
    <definedName name="_1DA3201">#REF!</definedName>
    <definedName name="_1DA3202">#REF!</definedName>
    <definedName name="_1DA3203">#REF!</definedName>
    <definedName name="_1DA3204">#REF!</definedName>
    <definedName name="_1DAU001">#REF!</definedName>
    <definedName name="_1DAU002">#REF!</definedName>
    <definedName name="_1DAU003">#REF!</definedName>
    <definedName name="_1DCTT48">#REF!</definedName>
    <definedName name="_1DDAY03">#REF!</definedName>
    <definedName name="_1DDTT01">#REF!</definedName>
    <definedName name="_1DK1001">#REF!</definedName>
    <definedName name="_1DK3001">#REF!</definedName>
    <definedName name="_1FCO101">#REF!</definedName>
    <definedName name="_1GIA101">#REF!</definedName>
    <definedName name="_1KD22B1">#REF!</definedName>
    <definedName name="_1KDM22T">#REF!</definedName>
    <definedName name="_1KEP001">#REF!</definedName>
    <definedName name="_1LA1001">#REF!</definedName>
    <definedName name="_1LCAP01">#REF!</definedName>
    <definedName name="_1MCCBO2">#REF!</definedName>
    <definedName name="_1NEO001">#REF!</definedName>
    <definedName name="_1PKCAP1">#REF!</definedName>
    <definedName name="_1PKIEN1">#REF!</definedName>
    <definedName name="_1PKTT01">#REF!</definedName>
    <definedName name="_1SDUNG1">#REF!</definedName>
    <definedName name="_1STREO1">#REF!</definedName>
    <definedName name="_1STREO2">#REF!</definedName>
    <definedName name="_1STREO3">#REF!</definedName>
    <definedName name="_1TCD101">#REF!</definedName>
    <definedName name="_1TCD201">#REF!</definedName>
    <definedName name="_1TD1001">#REF!</definedName>
    <definedName name="_1TD1002">#REF!</definedName>
    <definedName name="_1TD2001">#REF!</definedName>
    <definedName name="_1TIHT01">#REF!</definedName>
    <definedName name="_1TIHT02">#REF!</definedName>
    <definedName name="_1TIHT03">#REF!</definedName>
    <definedName name="_1TIHT04">#REF!</definedName>
    <definedName name="_1TIHT05">#REF!</definedName>
    <definedName name="_1TRU121">#REF!</definedName>
    <definedName name="_1UCLEV1">#REF!</definedName>
    <definedName name="_2">#REF!</definedName>
    <definedName name="_2__MAÕ_HAØNG">#REF!</definedName>
    <definedName name="_201_2019">#REF!</definedName>
    <definedName name="_202_2019">#REF!</definedName>
    <definedName name="_204_2019">#REF!</definedName>
    <definedName name="_205_2019">#REF!</definedName>
    <definedName name="_2BLA100">#REF!</definedName>
    <definedName name="_2COTT48">#REF!</definedName>
    <definedName name="_2CHAG01">#REF!</definedName>
    <definedName name="_2CHAG02">#REF!</definedName>
    <definedName name="_2CHDG01">#REF!</definedName>
    <definedName name="_2CHDG02">#REF!</definedName>
    <definedName name="_2CHGI01">#REF!</definedName>
    <definedName name="_2CHSG01">#REF!</definedName>
    <definedName name="_2DA0801">#REF!</definedName>
    <definedName name="_2DA0802">#REF!</definedName>
    <definedName name="_2DA2001">#REF!</definedName>
    <definedName name="_2DA2002">#REF!</definedName>
    <definedName name="_2DA2401">#REF!</definedName>
    <definedName name="_2DA2402">#REF!</definedName>
    <definedName name="_2DA2403">#REF!</definedName>
    <definedName name="_2DA2404">#REF!</definedName>
    <definedName name="_2DA2405">#REF!</definedName>
    <definedName name="_2DA2406">#REF!</definedName>
    <definedName name="_2DA3202">#REF!</definedName>
    <definedName name="_2DAL201">#REF!</definedName>
    <definedName name="_2DCT001">#REF!</definedName>
    <definedName name="_2DDAY01">#REF!</definedName>
    <definedName name="_2DS1P01">#REF!</definedName>
    <definedName name="_2DS3P01">#REF!</definedName>
    <definedName name="_2FCO100">#REF!</definedName>
    <definedName name="_2FCO200">#REF!</definedName>
    <definedName name="_2KD0221">#REF!</definedName>
    <definedName name="_2KD0223">#REF!</definedName>
    <definedName name="_2KD0481">#REF!</definedName>
    <definedName name="_2KD0500">#REF!</definedName>
    <definedName name="_2KD0501">#REF!</definedName>
    <definedName name="_2KD0502">#REF!</definedName>
    <definedName name="_2KD0700">#REF!</definedName>
    <definedName name="_2KD0701">#REF!</definedName>
    <definedName name="_2KD0702">#REF!</definedName>
    <definedName name="_2KD0950">#REF!</definedName>
    <definedName name="_2KD0951">#REF!</definedName>
    <definedName name="_2KD1501">#REF!</definedName>
    <definedName name="_2KD1502">#REF!</definedName>
    <definedName name="_2KD22B1">#REF!</definedName>
    <definedName name="_2KD2401">#REF!</definedName>
    <definedName name="_2KD48B1">#REF!</definedName>
    <definedName name="_2LA1001">#REF!</definedName>
    <definedName name="_2LBCO01">#REF!</definedName>
    <definedName name="_2LBS001">#REF!</definedName>
    <definedName name="_2MONG01">#REF!</definedName>
    <definedName name="_2NEO001">#REF!</definedName>
    <definedName name="_2NHANH1">#REF!</definedName>
    <definedName name="_2OILS01">#REF!</definedName>
    <definedName name="_2PKTT01">#REF!</definedName>
    <definedName name="_2RECLO1">#REF!</definedName>
    <definedName name="_2SDINH1">#REF!</definedName>
    <definedName name="_2SDUNG1">#REF!</definedName>
    <definedName name="_2SDUNG4">#REF!</definedName>
    <definedName name="_2STREO1">#REF!</definedName>
    <definedName name="_2STREO2">#REF!</definedName>
    <definedName name="_2STREO3">#REF!</definedName>
    <definedName name="_2STREO4">#REF!</definedName>
    <definedName name="_2STREO7">#REF!</definedName>
    <definedName name="_2SUDO01">#REF!</definedName>
    <definedName name="_2TDIA01">#REF!</definedName>
    <definedName name="_2TDTD01">#REF!</definedName>
    <definedName name="_2TU3100">#REF!</definedName>
    <definedName name="_2TU6100">#REF!</definedName>
    <definedName name="_2TRU121">#REF!</definedName>
    <definedName name="_2TRU122">#REF!</definedName>
    <definedName name="_2TRU141">#REF!</definedName>
    <definedName name="_2UCLEV1">#REF!</definedName>
    <definedName name="_2UCLEV2">#REF!</definedName>
    <definedName name="_2VTLT01">#REF!</definedName>
    <definedName name="_3">#REF!</definedName>
    <definedName name="_3__MAÕ_SOÁ_THUEÁ">#REF!</definedName>
    <definedName name="_33_2019">#REF!</definedName>
    <definedName name="_35_2019">#REF!</definedName>
    <definedName name="_36_2019">#REF!</definedName>
    <definedName name="_3ABC501">#REF!</definedName>
    <definedName name="_3ABC701">#REF!</definedName>
    <definedName name="_3ABC951">#REF!</definedName>
    <definedName name="_3BLXMD">#REF!</definedName>
    <definedName name="_3BRANCH">#REF!</definedName>
    <definedName name="_3BTHT01">#REF!</definedName>
    <definedName name="_3BTHT02">#REF!</definedName>
    <definedName name="_3BTHT11">#REF!</definedName>
    <definedName name="_3CLHT01">#REF!</definedName>
    <definedName name="_3CLHT02">#REF!</definedName>
    <definedName name="_3CLHT03">#REF!</definedName>
    <definedName name="_3COABC1">#REF!</definedName>
    <definedName name="_3CPHA01">#REF!</definedName>
    <definedName name="_3CHAG01">#REF!</definedName>
    <definedName name="_3CHAG02">#REF!</definedName>
    <definedName name="_3CHAG03">#REF!</definedName>
    <definedName name="_3CHAG04">#REF!</definedName>
    <definedName name="_3CHDG01">#REF!</definedName>
    <definedName name="_3CHDG02">#REF!</definedName>
    <definedName name="_3CHDG03">#REF!</definedName>
    <definedName name="_3CHDG04">#REF!</definedName>
    <definedName name="_3CHSG01">#REF!</definedName>
    <definedName name="_3CHSG02">#REF!</definedName>
    <definedName name="_3DA0001">#REF!</definedName>
    <definedName name="_3DA0002">#REF!</definedName>
    <definedName name="_3DCT001">#REF!</definedName>
    <definedName name="_3DUPLEX">#REF!</definedName>
    <definedName name="_3FERRU1">#REF!</definedName>
    <definedName name="_3FERRU2">#REF!</definedName>
    <definedName name="_3KD3501">#REF!</definedName>
    <definedName name="_3KD3502">#REF!</definedName>
    <definedName name="_3KD3511">#REF!</definedName>
    <definedName name="_3KD3801">#REF!</definedName>
    <definedName name="_3KD4801">#REF!</definedName>
    <definedName name="_3KD5011">#REF!</definedName>
    <definedName name="_3KD7501">#REF!</definedName>
    <definedName name="_3KD9501">#REF!</definedName>
    <definedName name="_3LABC01">#REF!</definedName>
    <definedName name="_3LONG01">#REF!</definedName>
    <definedName name="_3LONG02">#REF!</definedName>
    <definedName name="_3LONG03">#REF!</definedName>
    <definedName name="_3LONG04">#REF!</definedName>
    <definedName name="_3LSON01">#REF!</definedName>
    <definedName name="_3LSON02">#REF!</definedName>
    <definedName name="_3LSON03">#REF!</definedName>
    <definedName name="_3LSON04">#REF!</definedName>
    <definedName name="_3LSON05">#REF!</definedName>
    <definedName name="_3LSON06">#REF!</definedName>
    <definedName name="_3LSON07">#REF!</definedName>
    <definedName name="_3LSON08">#REF!</definedName>
    <definedName name="_3LSON09">#REF!</definedName>
    <definedName name="_3LSON10">#REF!</definedName>
    <definedName name="_3LSON11">#REF!</definedName>
    <definedName name="_3LSON12">#REF!</definedName>
    <definedName name="_3LSON13">#REF!</definedName>
    <definedName name="_3LSON14">#REF!</definedName>
    <definedName name="_3LSON15">#REF!</definedName>
    <definedName name="_3LSON16">#REF!</definedName>
    <definedName name="_3LSON17">#REF!</definedName>
    <definedName name="_3LSON18">#REF!</definedName>
    <definedName name="_3LSON19">#REF!</definedName>
    <definedName name="_3MONG01">#REF!</definedName>
    <definedName name="_3N">#REF!</definedName>
    <definedName name="_3NEO001">#REF!</definedName>
    <definedName name="_3NEO002">#REF!</definedName>
    <definedName name="_3PKABC1">#REF!</definedName>
    <definedName name="_3PKHT01">#REF!</definedName>
    <definedName name="_3QUARTD">#REF!</definedName>
    <definedName name="_3RACK31">#REF!</definedName>
    <definedName name="_3RACK41">#REF!</definedName>
    <definedName name="_3TDIA01">#REF!</definedName>
    <definedName name="_3TDIA02">#REF!</definedName>
    <definedName name="_3TU0601">#REF!</definedName>
    <definedName name="_3TU0602">#REF!</definedName>
    <definedName name="_3TU0603">#REF!</definedName>
    <definedName name="_3TU0609">#REF!</definedName>
    <definedName name="_3TU0901">#REF!</definedName>
    <definedName name="_3TU0902">#REF!</definedName>
    <definedName name="_3TU0903">#REF!</definedName>
    <definedName name="_3TRU091">#REF!</definedName>
    <definedName name="_3TRU101">#REF!</definedName>
    <definedName name="_3TRU102">#REF!</definedName>
    <definedName name="_3TRU121">#REF!</definedName>
    <definedName name="_3TRU731">#REF!</definedName>
    <definedName name="_3TRU841">#REF!</definedName>
    <definedName name="_3TRU842">#REF!</definedName>
    <definedName name="_3TRU843">#REF!</definedName>
    <definedName name="_4">#REF!</definedName>
    <definedName name="_4__ÑÔN_GIAÙ">#REF!</definedName>
    <definedName name="_40x4">5100</definedName>
    <definedName name="_419_2018">#REF!</definedName>
    <definedName name="_421_2018">#REF!</definedName>
    <definedName name="_424_2018">#REF!</definedName>
    <definedName name="_442_2018">#REF!</definedName>
    <definedName name="_47_2019">#REF!</definedName>
    <definedName name="_4CDTT01">#REF!</definedName>
    <definedName name="_4CNT050">#REF!</definedName>
    <definedName name="_4CNT095">#REF!</definedName>
    <definedName name="_4CNT150">#REF!</definedName>
    <definedName name="_4CNT240">#REF!</definedName>
    <definedName name="_4CTL050">#REF!</definedName>
    <definedName name="_4CTL095">#REF!</definedName>
    <definedName name="_4CTL150">#REF!</definedName>
    <definedName name="_4CTL240">#REF!</definedName>
    <definedName name="_4ED2062">#REF!</definedName>
    <definedName name="_4ED2063">#REF!</definedName>
    <definedName name="_4ED2064">#REF!</definedName>
    <definedName name="_4FCO100">#REF!</definedName>
    <definedName name="_4FCO101">#REF!</definedName>
    <definedName name="_4GOIC01">#REF!</definedName>
    <definedName name="_4GIA101">#REF!</definedName>
    <definedName name="_4HDCTT1">#REF!</definedName>
    <definedName name="_4HDCTT2">#REF!</definedName>
    <definedName name="_4HDCTT3">#REF!</definedName>
    <definedName name="_4HDCTT4">#REF!</definedName>
    <definedName name="_4HNCTT1">#REF!</definedName>
    <definedName name="_4HNCTT2">#REF!</definedName>
    <definedName name="_4HNCTT3">#REF!</definedName>
    <definedName name="_4HNCTT4">#REF!</definedName>
    <definedName name="_4KEPC01">#REF!</definedName>
    <definedName name="_4LBCO01">#REF!</definedName>
    <definedName name="_4OSLCTT">#REF!</definedName>
    <definedName name="_5__SOÁ_CTÖØ">#REF!</definedName>
    <definedName name="_5_1_2019">#REF!</definedName>
    <definedName name="_5_2_2019">#REF!</definedName>
    <definedName name="_5_3_2019">#REF!</definedName>
    <definedName name="_51_2019">#REF!</definedName>
    <definedName name="_53_2019">#REF!</definedName>
    <definedName name="_5CNHT95">#REF!</definedName>
    <definedName name="_5GOIC01">#REF!</definedName>
    <definedName name="_5HDCHT1">#REF!</definedName>
    <definedName name="_5KEPC01">#REF!</definedName>
    <definedName name="_5OSLCHT">#REF!</definedName>
    <definedName name="_5TU120">#REF!</definedName>
    <definedName name="_5TU130">#REF!</definedName>
    <definedName name="_6">#REF!</definedName>
    <definedName name="_6__SOÁ_LÖÔÏNG">#REF!</definedName>
    <definedName name="_60_2019">#REF!</definedName>
    <definedName name="_6BNTTTH">#REF!</definedName>
    <definedName name="_6DCTTBO">#REF!</definedName>
    <definedName name="_6DD24TT">#REF!</definedName>
    <definedName name="_6FCOTBU">#REF!</definedName>
    <definedName name="_6LATUBU">#REF!</definedName>
    <definedName name="_6SDTT24">#REF!</definedName>
    <definedName name="_6TBUDTT">#REF!</definedName>
    <definedName name="_6TDDDTT">#REF!</definedName>
    <definedName name="_6TLTTTH">#REF!</definedName>
    <definedName name="_6TUBUTT">#REF!</definedName>
    <definedName name="_6UCLVIS">#REF!</definedName>
    <definedName name="_7">#REF!</definedName>
    <definedName name="_7__TEÂN_HAØNG">#REF!</definedName>
    <definedName name="_77_1_2019">#REF!</definedName>
    <definedName name="_77_2_2019">#REF!</definedName>
    <definedName name="_7DNCABC">#REF!</definedName>
    <definedName name="_7HDCTBU">#REF!</definedName>
    <definedName name="_7PKTUBU">#REF!</definedName>
    <definedName name="_7TBHT20">#REF!</definedName>
    <definedName name="_7TBHT30">#REF!</definedName>
    <definedName name="_7TDCABC">#REF!</definedName>
    <definedName name="_8__TEÂN_KHAÙCH_HAØ">#REF!</definedName>
    <definedName name="_81_2_2019">#REF!</definedName>
    <definedName name="_81_7_2019">#REF!</definedName>
    <definedName name="_82_1_2019">#REF!</definedName>
    <definedName name="_82_3_2019">#REF!</definedName>
    <definedName name="_83_1_2019">#REF!</definedName>
    <definedName name="_84_2_2019">#REF!</definedName>
    <definedName name="_84_3_2019">#REF!</definedName>
    <definedName name="_84_4_2019">#REF!</definedName>
    <definedName name="_85_1_2019">#REF!</definedName>
    <definedName name="_85_2_2019">#REF!</definedName>
    <definedName name="_85_4_2019">#REF!</definedName>
    <definedName name="_87_1_2019">#REF!</definedName>
    <definedName name="_87_2_2019">#REF!</definedName>
    <definedName name="_87_4_2019">#REF!</definedName>
    <definedName name="_87_5_2019">#REF!</definedName>
    <definedName name="_87_6_2019">#REF!</definedName>
    <definedName name="_87_7_2019">#REF!</definedName>
    <definedName name="_87_8_2019">#REF!</definedName>
    <definedName name="_87_9_2019">#REF!</definedName>
    <definedName name="_88_2019">#REF!</definedName>
    <definedName name="_89_2_2019">#REF!</definedName>
    <definedName name="_9__THAØNH_TIEÀN">#REF!</definedName>
    <definedName name="_90_1_2019">#REF!</definedName>
    <definedName name="_92_1_2019">#REF!</definedName>
    <definedName name="_93_2019">#REF!</definedName>
    <definedName name="_95_5_2019">#REF!</definedName>
    <definedName name="_a1" localSheetId="3">{"'Sheet1'!$L$16"}</definedName>
    <definedName name="_a1">{"'Sheet1'!$L$16"}</definedName>
    <definedName name="_a129" localSheetId="3"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3"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6550">#REF!</definedName>
    <definedName name="_a2" localSheetId="3" hidden="1">{"'Sheet1'!$L$16"}</definedName>
    <definedName name="_a2" hidden="1">{"'Sheet1'!$L$16"}</definedName>
    <definedName name="_A65700">#REF!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bb91">#REF!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ac1">#REF!</definedName>
    <definedName name="_bac2">#REF!</definedName>
    <definedName name="_bac3">#REF!</definedName>
    <definedName name="_bac4">#REF!</definedName>
    <definedName name="_BEP1">#REF!</definedName>
    <definedName name="_boi1">#REF!</definedName>
    <definedName name="_boi2">#REF!</definedName>
    <definedName name="_boi3">#REF!</definedName>
    <definedName name="_boi4">#REF!</definedName>
    <definedName name="_btm10">#REF!</definedName>
    <definedName name="_btm100">#REF!</definedName>
    <definedName name="_btm150">#REF!</definedName>
    <definedName name="_btm200">#REF!</definedName>
    <definedName name="_BTM250">#REF!</definedName>
    <definedName name="_btM300">#REF!</definedName>
    <definedName name="_btm50">#REF!</definedName>
    <definedName name="_C_Lphi_4ab">#REF!</definedName>
    <definedName name="_cap2005">#REF!</definedName>
    <definedName name="_cau10">#REF!</definedName>
    <definedName name="_cau16">#REF!</definedName>
    <definedName name="_Cau2">#REF!</definedName>
    <definedName name="_cau25">#REF!</definedName>
    <definedName name="_cau40">#REF!</definedName>
    <definedName name="_cau50">#REF!</definedName>
    <definedName name="_ckn12">#REF!</definedName>
    <definedName name="_CON1">#REF!</definedName>
    <definedName name="_CON2">#REF!</definedName>
    <definedName name="_con3">#REF!</definedName>
    <definedName name="_Cot">#REF!</definedName>
    <definedName name="_Count">4</definedName>
    <definedName name="_cpd1">#REF!</definedName>
    <definedName name="_cpd2">#REF!</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cs805">#REF!</definedName>
    <definedName name="_CT250">#REF!</definedName>
    <definedName name="_d1500" localSheetId="3" hidden="1">{"'Sheet1'!$L$16"}</definedName>
    <definedName name="_d1500" hidden="1">{"'Sheet1'!$L$16"}</definedName>
    <definedName name="_dao1">#REF!</definedName>
    <definedName name="_dao2">#REF!</definedName>
    <definedName name="_dap2">#REF!</definedName>
    <definedName name="_day1">#REF!</definedName>
    <definedName name="_day2">#REF!</definedName>
    <definedName name="_DayNeo">#REF!</definedName>
    <definedName name="_dbu1">#REF!</definedName>
    <definedName name="_dbu2">#REF!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gt1">#REF!</definedName>
    <definedName name="_dgt100">#REF!</definedName>
    <definedName name="_dui15">#REF!</definedName>
    <definedName name="_E99999">#REF!</definedName>
    <definedName name="_f5" localSheetId="3" hidden="1">{"'Sheet1'!$L$16"}</definedName>
    <definedName name="_f5" hidden="1">{"'Sheet1'!$L$16"}</definedName>
    <definedName name="_Fill" hidden="1">#REF!</definedName>
    <definedName name="_xlnm._FilterDatabase" localSheetId="2" hidden="1">'Muc tieu_Hành chính'!$A$9:$I$40</definedName>
    <definedName name="_xlnm._FilterDatabase" localSheetId="1" hidden="1">'Muc tieu_Trực ca'!$A$9:$I$40</definedName>
    <definedName name="_xlnm._FilterDatabase" hidden="1">#REF!</definedName>
    <definedName name="_G1">#REF!</definedName>
    <definedName name="_Goi8" localSheetId="3" hidden="1">{"'Sheet1'!$L$16"}</definedName>
    <definedName name="_Goi8" hidden="1">{"'Sheet1'!$L$16"}</definedName>
    <definedName name="_gon4">#REF!</definedName>
    <definedName name="_gvl1">#REF!</definedName>
    <definedName name="_GID1">#REF!</definedName>
    <definedName name="_h1" localSheetId="3" hidden="1">{"'Sheet1'!$L$16"}</definedName>
    <definedName name="_h1" hidden="1">{"'Sheet1'!$L$16"}</definedName>
    <definedName name="_han23">#REF!</definedName>
    <definedName name="_hh1">#REF!</definedName>
    <definedName name="_hh2">#REF!</definedName>
    <definedName name="_HKy2">#REF!</definedName>
    <definedName name="_hom2">#REF!</definedName>
    <definedName name="_hom4">#REF!</definedName>
    <definedName name="_hsm2">1.1289</definedName>
    <definedName name="_HTD1">#REF!</definedName>
    <definedName name="_HTN1">#REF!</definedName>
    <definedName name="_hu1" localSheetId="3" hidden="1">{"'Sheet1'!$L$16"}</definedName>
    <definedName name="_hu1" hidden="1">{"'Sheet1'!$L$16"}</definedName>
    <definedName name="_hu2" localSheetId="3" hidden="1">{"'Sheet1'!$L$16"}</definedName>
    <definedName name="_hu2" hidden="1">{"'Sheet1'!$L$16"}</definedName>
    <definedName name="_hu5" localSheetId="3" hidden="1">{"'Sheet1'!$L$16"}</definedName>
    <definedName name="_hu5" hidden="1">{"'Sheet1'!$L$16"}</definedName>
    <definedName name="_hu6" localSheetId="3" hidden="1">{"'Sheet1'!$L$16"}</definedName>
    <definedName name="_hu6" hidden="1">{"'Sheet1'!$L$16"}</definedName>
    <definedName name="_hu7" localSheetId="3" hidden="1">{"'Sheet1'!$L$16"}</definedName>
    <definedName name="_hu7" hidden="1">{"'Sheet1'!$L$16"}</definedName>
    <definedName name="_k10" localSheetId="3" hidden="1">{"'Sheet1'!$L$16"}</definedName>
    <definedName name="_k10" hidden="1">{"'Sheet1'!$L$16"}</definedName>
    <definedName name="_Kcdon">#REF!</definedName>
    <definedName name="_Key1" hidden="1">#REF!</definedName>
    <definedName name="_Key2" hidden="1">#REF!</definedName>
    <definedName name="_kl1">#REF!</definedName>
    <definedName name="_KM188">#REF!</definedName>
    <definedName name="_km189">#REF!</definedName>
    <definedName name="_km190">#REF!</definedName>
    <definedName name="_km191">#REF!</definedName>
    <definedName name="_km192">#REF!</definedName>
    <definedName name="_km193">#REF!</definedName>
    <definedName name="_km194">#REF!</definedName>
    <definedName name="_km195">#REF!</definedName>
    <definedName name="_km196">#REF!</definedName>
    <definedName name="_km197">#REF!</definedName>
    <definedName name="_km198">#REF!</definedName>
    <definedName name="_Km36">#REF!</definedName>
    <definedName name="_kn12">#REF!</definedName>
    <definedName name="_Knc1">#REF!</definedName>
    <definedName name="_Knc36">#REF!</definedName>
    <definedName name="_Knc57">#REF!</definedName>
    <definedName name="_KS2" localSheetId="3" hidden="1">{"'Sheet1'!$L$16"}</definedName>
    <definedName name="_KS2" hidden="1">{"'Sheet1'!$L$16"}</definedName>
    <definedName name="_Kvl36">#REF!</definedName>
    <definedName name="_KyHieu">#REF!</definedName>
    <definedName name="_khi2">#REF!</definedName>
    <definedName name="_khu7">#REF!</definedName>
    <definedName name="_L1">#REF!</definedName>
    <definedName name="_L6">#REF!</definedName>
    <definedName name="_Lan1" localSheetId="3" hidden="1">{"'Sheet1'!$L$16"}</definedName>
    <definedName name="_Lan1" hidden="1">{"'Sheet1'!$L$16"}</definedName>
    <definedName name="_LAN3" localSheetId="3" hidden="1">{"'Sheet1'!$L$16"}</definedName>
    <definedName name="_LAN3" hidden="1">{"'Sheet1'!$L$16"}</definedName>
    <definedName name="_lap1">#REF!</definedName>
    <definedName name="_lap2">#REF!</definedName>
    <definedName name="_LCB1">#REF!</definedName>
    <definedName name="_M1">#REF!</definedName>
    <definedName name="_MAC12">#REF!</definedName>
    <definedName name="_MAC46">#REF!</definedName>
    <definedName name="_MB1">#REF!</definedName>
    <definedName name="_MB2">#REF!</definedName>
    <definedName name="_mdc1">#REF!</definedName>
    <definedName name="_mdc2">#REF!</definedName>
    <definedName name="_mgl4">#REF!</definedName>
    <definedName name="_mgl8">#REF!</definedName>
    <definedName name="_mix6">#REF!</definedName>
    <definedName name="_MN1">#REF!</definedName>
    <definedName name="_MN2">#REF!</definedName>
    <definedName name="_Mong">#REF!</definedName>
    <definedName name="_MongCotNeo">#REF!</definedName>
    <definedName name="_MongNeo">#REF!</definedName>
    <definedName name="_MT1">#REF!</definedName>
    <definedName name="_MT2">#REF!</definedName>
    <definedName name="_mtc3">#REF!</definedName>
    <definedName name="_muc1">#REF!</definedName>
    <definedName name="_MVL486">#REF!</definedName>
    <definedName name="_mw2">#REF!</definedName>
    <definedName name="_NC100">#REF!</definedName>
    <definedName name="_NC150">#REF!</definedName>
    <definedName name="_nc151">#REF!</definedName>
    <definedName name="_NC200">#REF!</definedName>
    <definedName name="_nc3">#REF!</definedName>
    <definedName name="_nc35">#REF!</definedName>
    <definedName name="_nc4">#REF!</definedName>
    <definedName name="_Nc50">#REF!</definedName>
    <definedName name="_nc6">#REF!</definedName>
    <definedName name="_nc7">#REF!</definedName>
    <definedName name="_NCL100">#REF!</definedName>
    <definedName name="_NCL200">#REF!</definedName>
    <definedName name="_NCL250">#REF!</definedName>
    <definedName name="_NET2">#REF!</definedName>
    <definedName name="_nin190">#REF!</definedName>
    <definedName name="_NO1">#REF!</definedName>
    <definedName name="_NPV11">#REF!</definedName>
    <definedName name="_npv22">#REF!</definedName>
    <definedName name="_NSO2" localSheetId="3" hidden="1">{"'Sheet1'!$L$16"}</definedName>
    <definedName name="_NSO2" hidden="1">{"'Sheet1'!$L$16"}</definedName>
    <definedName name="_Order1" hidden="1">255</definedName>
    <definedName name="_Order2" hidden="1">255</definedName>
    <definedName name="_oto10">#REF!</definedName>
    <definedName name="_oto12">#REF!</definedName>
    <definedName name="_p01" localSheetId="3" hidden="1">{"'Sheet1'!$L$16"}</definedName>
    <definedName name="_p01" hidden="1">{"'Sheet1'!$L$16"}</definedName>
    <definedName name="_PA3" localSheetId="3" hidden="1">{"'Sheet1'!$L$16"}</definedName>
    <definedName name="_PA3" hidden="1">{"'Sheet1'!$L$16"}</definedName>
    <definedName name="_Parse_Out" hidden="1">#REF!</definedName>
    <definedName name="_pc30">#REF!</definedName>
    <definedName name="_pc40">#REF!</definedName>
    <definedName name="_PR1">#REF!</definedName>
    <definedName name="_Pt1">#REF!</definedName>
    <definedName name="_Pt2">#REF!</definedName>
    <definedName name="_pZ1">#REF!</definedName>
    <definedName name="_pZ2">#REF!</definedName>
    <definedName name="_pZ3">#REF!</definedName>
    <definedName name="_RFZ3">#REF!</definedName>
    <definedName name="_RHH1">#REF!</definedName>
    <definedName name="_RHH10">#REF!</definedName>
    <definedName name="_RHP1">#REF!</definedName>
    <definedName name="_RHP10">#REF!</definedName>
    <definedName name="_RI1">#REF!</definedName>
    <definedName name="_RI10">#REF!</definedName>
    <definedName name="_RII1">#REF!</definedName>
    <definedName name="_RII10">#REF!</definedName>
    <definedName name="_RIP1">#REF!</definedName>
    <definedName name="_RIP10">#REF!</definedName>
    <definedName name="_ro1">#REF!</definedName>
    <definedName name="_SA2">#REF!</definedName>
    <definedName name="_SA3">#REF!</definedName>
    <definedName name="_SA4">#REF!</definedName>
    <definedName name="_san108">#REF!</definedName>
    <definedName name="_sat10">#REF!</definedName>
    <definedName name="_sat12">#REF!</definedName>
    <definedName name="_sat14">#REF!</definedName>
    <definedName name="_sat16">#REF!</definedName>
    <definedName name="_sat20">#REF!</definedName>
    <definedName name="_Sat27">#REF!</definedName>
    <definedName name="_Sat6">#REF!</definedName>
    <definedName name="_sat8">#REF!</definedName>
    <definedName name="_sc1">#REF!</definedName>
    <definedName name="_SC2">#REF!</definedName>
    <definedName name="_sc3">#REF!</definedName>
    <definedName name="_sl2">#REF!</definedName>
    <definedName name="_sm100">#REF!</definedName>
    <definedName name="_SN3">#REF!</definedName>
    <definedName name="_Sort" hidden="1">#REF!</definedName>
    <definedName name="_STD0898">#REF!</definedName>
    <definedName name="_Su">#REF!</definedName>
    <definedName name="_su12">#REF!</definedName>
    <definedName name="_Su70">#REF!</definedName>
    <definedName name="_sua20">#REF!</definedName>
    <definedName name="_sua30">#REF!</definedName>
    <definedName name="_sw70609">#REF!</definedName>
    <definedName name="_T10" localSheetId="3" hidden="1">{"'Sheet1'!$L$16"}</definedName>
    <definedName name="_T10" hidden="1">{"'Sheet1'!$L$16"}</definedName>
    <definedName name="_T12" localSheetId="3" hidden="1">{"'Sheet1'!$L$16"}</definedName>
    <definedName name="_T12" hidden="1">{"'Sheet1'!$L$16"}</definedName>
    <definedName name="_tam1">#REF!</definedName>
    <definedName name="_TB1">#REF!</definedName>
    <definedName name="_tct3">#REF!</definedName>
    <definedName name="_tct5">#REF!</definedName>
    <definedName name="_tg427">#REF!</definedName>
    <definedName name="_TK1">#REF!</definedName>
    <definedName name="_TK155">#REF!</definedName>
    <definedName name="_TK422">#REF!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no1">#REF!</definedName>
    <definedName name="_tt3" localSheetId="3" hidden="1">{"'Sheet1'!$L$16"}</definedName>
    <definedName name="_tt3" hidden="1">{"'Sheet1'!$L$16"}</definedName>
    <definedName name="_TX1">#REF!</definedName>
    <definedName name="_tz593">#REF!</definedName>
    <definedName name="_TH1">#REF!</definedName>
    <definedName name="_th100">#REF!</definedName>
    <definedName name="_TH160">#REF!</definedName>
    <definedName name="_TH2">#REF!</definedName>
    <definedName name="_TH20">#REF!</definedName>
    <definedName name="_TH3">#REF!</definedName>
    <definedName name="_TR250">#REF!</definedName>
    <definedName name="_tr375">#REF!</definedName>
    <definedName name="_tra100">#REF!</definedName>
    <definedName name="_tra102">#REF!</definedName>
    <definedName name="_tra104">#REF!</definedName>
    <definedName name="_tra106">#REF!</definedName>
    <definedName name="_tra108">#REF!</definedName>
    <definedName name="_tra110">#REF!</definedName>
    <definedName name="_tra112">#REF!</definedName>
    <definedName name="_tra114">#REF!</definedName>
    <definedName name="_tra116">#REF!</definedName>
    <definedName name="_tra118">#REF!</definedName>
    <definedName name="_tra120">#REF!</definedName>
    <definedName name="_tra122">#REF!</definedName>
    <definedName name="_tra124">#REF!</definedName>
    <definedName name="_tra126">#REF!</definedName>
    <definedName name="_tra128">#REF!</definedName>
    <definedName name="_tra130">#REF!</definedName>
    <definedName name="_tra132">#REF!</definedName>
    <definedName name="_tra134">#REF!</definedName>
    <definedName name="_tra136">#REF!</definedName>
    <definedName name="_tra138">#REF!</definedName>
    <definedName name="_tra140">#REF!</definedName>
    <definedName name="_tra70">#REF!</definedName>
    <definedName name="_tra72">#REF!</definedName>
    <definedName name="_tra74">#REF!</definedName>
    <definedName name="_tra76">#REF!</definedName>
    <definedName name="_tra78">#REF!</definedName>
    <definedName name="_tra80">#REF!</definedName>
    <definedName name="_tra82">#REF!</definedName>
    <definedName name="_tra84">#REF!</definedName>
    <definedName name="_tra86">#REF!</definedName>
    <definedName name="_tra88">#REF!</definedName>
    <definedName name="_tra90">#REF!</definedName>
    <definedName name="_tra92">#REF!</definedName>
    <definedName name="_tra94">#REF!</definedName>
    <definedName name="_tra96">#REF!</definedName>
    <definedName name="_tra98">#REF!</definedName>
    <definedName name="_ui108">#REF!</definedName>
    <definedName name="_ui180">#REF!</definedName>
    <definedName name="_UT2">#REF!</definedName>
    <definedName name="_v">#REF!</definedName>
    <definedName name="_va1">#REF!</definedName>
    <definedName name="_VAN1">#REF!</definedName>
    <definedName name="_vbt100">#REF!</definedName>
    <definedName name="_vbt150">#REF!</definedName>
    <definedName name="_vbt200">#REF!</definedName>
    <definedName name="_vc1">#REF!</definedName>
    <definedName name="_vc2">#REF!</definedName>
    <definedName name="_vc3">#REF!</definedName>
    <definedName name="_VCD4">#REF!</definedName>
    <definedName name="_VL100">#REF!</definedName>
    <definedName name="_VL150">#REF!</definedName>
    <definedName name="_VL200">#REF!</definedName>
    <definedName name="_VL250">#REF!</definedName>
    <definedName name="_VL50">#REF!</definedName>
    <definedName name="_VT22">#REF!</definedName>
    <definedName name="_Xa">#REF!</definedName>
    <definedName name="_xl1">#REF!</definedName>
    <definedName name="_xm30">#REF!</definedName>
    <definedName name="_xm40">#REF!</definedName>
    <definedName name="_xo1">#REF!</definedName>
    <definedName name="_xx3">#REF!</definedName>
    <definedName name="_xx4">#REF!</definedName>
    <definedName name="_xx5">#REF!</definedName>
    <definedName name="_xx6">#REF!</definedName>
    <definedName name="_xx7">#REF!</definedName>
    <definedName name="a">#REF!</definedName>
    <definedName name="A.">#REF!</definedName>
    <definedName name="a.1">#REF!</definedName>
    <definedName name="a.10">#REF!</definedName>
    <definedName name="a.12">#REF!</definedName>
    <definedName name="a.13">#REF!</definedName>
    <definedName name="a.2">#REF!</definedName>
    <definedName name="a.3">#REF!</definedName>
    <definedName name="a.4">#REF!</definedName>
    <definedName name="a.5">#REF!</definedName>
    <definedName name="a.6">#REF!</definedName>
    <definedName name="a.7">#REF!</definedName>
    <definedName name="a.8">#REF!</definedName>
    <definedName name="a.9">#REF!</definedName>
    <definedName name="a_">#REF!</definedName>
    <definedName name="A_Text">#REF!</definedName>
    <definedName name="A_Tri_So">#REF!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1">#REF!</definedName>
    <definedName name="a1_">#REF!</definedName>
    <definedName name="A120_">#REF!</definedName>
    <definedName name="a1B26">#REF!</definedName>
    <definedName name="a1B58">#REF!</definedName>
    <definedName name="A1Xc7">#REF!</definedName>
    <definedName name="a2_">#REF!</definedName>
    <definedName name="a277Print_Titles">#REF!</definedName>
    <definedName name="a3_">#REF!</definedName>
    <definedName name="A35_">#REF!</definedName>
    <definedName name="a4_">#REF!</definedName>
    <definedName name="a5_">#REF!</definedName>
    <definedName name="A50_">#REF!</definedName>
    <definedName name="a6_">#REF!</definedName>
    <definedName name="A6N2">#REF!</definedName>
    <definedName name="A6N3">#REF!</definedName>
    <definedName name="a7_">#REF!</definedName>
    <definedName name="A70_">#REF!</definedName>
    <definedName name="A95_">#REF!</definedName>
    <definedName name="AA">#REF!</definedName>
    <definedName name="AAA">#REF!</definedName>
    <definedName name="AAG">#REF!</definedName>
    <definedName name="aâ77">#REF!</definedName>
    <definedName name="AB">#REF!</definedName>
    <definedName name="abc">#REF!</definedName>
    <definedName name="ac">#REF!</definedName>
    <definedName name="AC120_">#REF!</definedName>
    <definedName name="AC35_">#REF!</definedName>
    <definedName name="AC50_">#REF!</definedName>
    <definedName name="AC70_">#REF!</definedName>
    <definedName name="AC95_">#REF!</definedName>
    <definedName name="acb">#REF!</definedName>
    <definedName name="AccessDatabase" hidden="1">"C:\My Documents\LeBinh\Xls\VP Cong ty\FORM.mdb"</definedName>
    <definedName name="acscs">#REF!</definedName>
    <definedName name="Actual" localSheetId="3">(PeriodInActual*(#REF!&gt;0))*PeriodInPlan</definedName>
    <definedName name="Actual">(PeriodInActual*(#REF!&gt;0))*PeriodInPlan</definedName>
    <definedName name="ActualBeyond" localSheetId="3">PeriodInActual*(#REF!&gt;0)</definedName>
    <definedName name="ActualBeyond">PeriodInActual*(#REF!&gt;0)</definedName>
    <definedName name="AD" localSheetId="3" hidden="1">{"'Sheet1'!$L$16"}</definedName>
    <definedName name="AD" hidden="1">{"'Sheet1'!$L$16"}</definedName>
    <definedName name="ada">#REF!</definedName>
    <definedName name="ADAY">#REF!</definedName>
    <definedName name="ADEQ">#REF!</definedName>
    <definedName name="æ76">#REF!</definedName>
    <definedName name="afasfsagfas" localSheetId="3" hidden="1">{#N/A,#N/A,FALSE,"Chi tiÆt"}</definedName>
    <definedName name="afasfsagfas" hidden="1">{#N/A,#N/A,FALSE,"Chi tiÆt"}</definedName>
    <definedName name="AG">#REF!</definedName>
    <definedName name="Ag_">#REF!</definedName>
    <definedName name="AG_Temp">#REF!</definedName>
    <definedName name="ag142X42">#REF!</definedName>
    <definedName name="ag15F80">#REF!</definedName>
    <definedName name="ag267N59">#REF!</definedName>
    <definedName name="agagag">#REF!</definedName>
    <definedName name="agd">#REF!</definedName>
    <definedName name="agsd">#REF!</definedName>
    <definedName name="aï">#REF!</definedName>
    <definedName name="AÏ8">#REF!</definedName>
    <definedName name="aî74">#REF!</definedName>
    <definedName name="ak" localSheetId="3" hidden="1">{"'Sheet1'!$L$16"}</definedName>
    <definedName name="ak" hidden="1">{"'Sheet1'!$L$16"}</definedName>
    <definedName name="All_Item">#REF!</definedName>
    <definedName name="ALPIN">#N/A</definedName>
    <definedName name="ALPJYOU">#N/A</definedName>
    <definedName name="ALPTOI">#N/A</definedName>
    <definedName name="alpha">#REF!</definedName>
    <definedName name="amiang">#REF!</definedName>
    <definedName name="AMP">#REF!</definedName>
    <definedName name="an">#REF!</definedName>
    <definedName name="anpha">#REF!</definedName>
    <definedName name="anscount" hidden="1">1</definedName>
    <definedName name="Antoan" localSheetId="3" hidden="1">{"'Sheet1'!$L$16"}</definedName>
    <definedName name="Antoan" hidden="1">{"'Sheet1'!$L$16"}</definedName>
    <definedName name="ao">#REF!</definedName>
    <definedName name="AppRoad">#REF!</definedName>
    <definedName name="Aq">#REF!</definedName>
    <definedName name="Area">#REF!</definedName>
    <definedName name="as">#REF!</definedName>
    <definedName name="As_">#REF!</definedName>
    <definedName name="AS2DocOpenMode" hidden="1">"AS2DocumentEdit"</definedName>
    <definedName name="asdfgh">#REF!</definedName>
    <definedName name="asf" localSheetId="3" hidden="1">{"'Sheet1'!$L$16"}</definedName>
    <definedName name="asf" hidden="1">{"'Sheet1'!$L$16"}</definedName>
    <definedName name="ATGT" localSheetId="3" hidden="1">{"'Sheet1'!$L$16"}</definedName>
    <definedName name="ATGT" hidden="1">{"'Sheet1'!$L$16"}</definedName>
    <definedName name="ATRAM">#REF!</definedName>
    <definedName name="AÙ">#REF!</definedName>
    <definedName name="aù0">#REF!</definedName>
    <definedName name="avcn">#REF!</definedName>
    <definedName name="avkt">#REF!</definedName>
    <definedName name="avkt_ks">#REF!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1_">#REF!</definedName>
    <definedName name="b11_">#REF!</definedName>
    <definedName name="B1cb">#REF!</definedName>
    <definedName name="b2_">#REF!</definedName>
    <definedName name="b2__">#REF!</definedName>
    <definedName name="b3_">#REF!</definedName>
    <definedName name="b3__">#REF!</definedName>
    <definedName name="b4_">#REF!</definedName>
    <definedName name="b5_">#REF!</definedName>
    <definedName name="b6_">#REF!</definedName>
    <definedName name="b60x">#REF!</definedName>
    <definedName name="b7_">#REF!</definedName>
    <definedName name="b8.">#REF!</definedName>
    <definedName name="b80x">#REF!</definedName>
    <definedName name="b9.">#REF!</definedName>
    <definedName name="ba">#REF!</definedName>
    <definedName name="ba.">#REF!</definedName>
    <definedName name="bac2.7">#REF!</definedName>
    <definedName name="bac3.5">#REF!</definedName>
    <definedName name="bac3.7">#REF!</definedName>
    <definedName name="bac4.5">#REF!</definedName>
    <definedName name="BacKan">#REF!</definedName>
    <definedName name="bachang">#REF!</definedName>
    <definedName name="ban">#REF!</definedName>
    <definedName name="BanForBcaothg">#REF!</definedName>
    <definedName name="banQL" localSheetId="3" hidden="1">{"'Sheet1'!$L$16"}</definedName>
    <definedName name="banQL" hidden="1">{"'Sheet1'!$L$16"}</definedName>
    <definedName name="Bang">#REF!</definedName>
    <definedName name="Bang_cly">#REF!</definedName>
    <definedName name="Bang_CVC">#REF!</definedName>
    <definedName name="BANG_CHI_TIET_THI_NGHIEM_CONG_TO">#REF!</definedName>
    <definedName name="BANG_CHI_TIET_THI_NGHIEM_DZ0.4KV">#REF!</definedName>
    <definedName name="BANG_CHI_TIET_THI_NGHIEM_DZ22KV">#REF!</definedName>
    <definedName name="bang_gia">#REF!</definedName>
    <definedName name="BANG_TONG_HOP_CONG_TO">#REF!</definedName>
    <definedName name="BANG_TONG_HOP_DZ_0.4">#REF!</definedName>
    <definedName name="BANG_TONG_HOP_DZ0.4KV">#REF!</definedName>
    <definedName name="BANG_TONG_HOP_DZ22KV">#REF!</definedName>
    <definedName name="BANG_TONG_HOP_KHO_BAI">#REF!</definedName>
    <definedName name="BANG_TONG_HOP_TBA">#REF!</definedName>
    <definedName name="Bang_travl">#REF!</definedName>
    <definedName name="Bang1">#REF!</definedName>
    <definedName name="bang11">#REF!</definedName>
    <definedName name="bang2">#REF!</definedName>
    <definedName name="bang6">#REF!</definedName>
    <definedName name="bang9">#REF!</definedName>
    <definedName name="bangciti">#REF!</definedName>
    <definedName name="BangGia">#REF!</definedName>
    <definedName name="BangGiaVL_Q">#REF!</definedName>
    <definedName name="BangMa">#REF!</definedName>
    <definedName name="BangNhKy">#REF!</definedName>
    <definedName name="bangtinh">#REF!</definedName>
    <definedName name="Bar">#REF!</definedName>
    <definedName name="BarData">#REF!</definedName>
    <definedName name="baro">#REF!</definedName>
    <definedName name="Bay">#REF!</definedName>
    <definedName name="BB">#REF!</definedName>
    <definedName name="bb.">#REF!</definedName>
    <definedName name="bbb">#REF!</definedName>
    <definedName name="bbbbb">#REF!</definedName>
    <definedName name="bc">#REF!</definedName>
    <definedName name="bc_1">#REF!</definedName>
    <definedName name="bc_2">#REF!</definedName>
    <definedName name="bcau">#N/A</definedName>
    <definedName name="bcc">#REF!</definedName>
    <definedName name="BCNS">#REF!</definedName>
    <definedName name="bd">#REF!</definedName>
    <definedName name="bd_">#REF!</definedName>
    <definedName name="BDAY">#REF!</definedName>
    <definedName name="bdf">#REF!</definedName>
    <definedName name="bDF_">#REF!</definedName>
    <definedName name="bdht15nc">#REF!</definedName>
    <definedName name="bdht15vl">#REF!</definedName>
    <definedName name="bdht25nc">#REF!</definedName>
    <definedName name="bdht25vl">#REF!</definedName>
    <definedName name="bdht325nc">#REF!</definedName>
    <definedName name="bdht325vl">#REF!</definedName>
    <definedName name="beepsound">#REF!</definedName>
    <definedName name="beff">#REF!</definedName>
    <definedName name="begin">#REF!</definedName>
    <definedName name="BELANG">#REF!</definedName>
    <definedName name="BELOC">#REF!</definedName>
    <definedName name="bentonite">#REF!</definedName>
    <definedName name="Bep">#REF!</definedName>
    <definedName name="beta">#REF!</definedName>
    <definedName name="betong">#REF!</definedName>
    <definedName name="betong100">#REF!</definedName>
    <definedName name="betong200">#REF!</definedName>
    <definedName name="BetongM150">#REF!,#REF!</definedName>
    <definedName name="BetongM200">#REF!,#REF!</definedName>
    <definedName name="BetongM50">#REF!,#REF!</definedName>
    <definedName name="BETRON">#REF!</definedName>
    <definedName name="BG">#REF!</definedName>
    <definedName name="BGTP">#REF!</definedName>
    <definedName name="Bgiang" localSheetId="3" hidden="1">{"'Sheet1'!$L$16"}</definedName>
    <definedName name="Bgiang" hidden="1">{"'Sheet1'!$L$16"}</definedName>
    <definedName name="bh">#REF!</definedName>
    <definedName name="bhy">#REF!</definedName>
    <definedName name="bia">#REF!</definedName>
    <definedName name="Bia_0.4">#REF!</definedName>
    <definedName name="Bia_22">#REF!</definedName>
    <definedName name="Bia_truoc_cong_to">#REF!</definedName>
    <definedName name="bien" localSheetId="3">BlankMacro1</definedName>
    <definedName name="bien">BlankMacro1</definedName>
    <definedName name="bieu">#REF!</definedName>
    <definedName name="Bitum">#REF!</definedName>
    <definedName name="BK">#REF!</definedName>
    <definedName name="BKTB">#REF!</definedName>
    <definedName name="blang">#REF!</definedName>
    <definedName name="BLDG">#REF!</definedName>
    <definedName name="BLDGREV">#REF!</definedName>
    <definedName name="BLDGIMP">#REF!</definedName>
    <definedName name="blf">#REF!</definedName>
    <definedName name="bLF_">#REF!</definedName>
    <definedName name="blkh">#REF!</definedName>
    <definedName name="blkh1">#REF!</definedName>
    <definedName name="BLOCK1">#REF!</definedName>
    <definedName name="BLOCK2">#REF!</definedName>
    <definedName name="BLOCK3">#REF!</definedName>
    <definedName name="blong">#REF!</definedName>
    <definedName name="blop">#REF!</definedName>
    <definedName name="boa">#REF!</definedName>
    <definedName name="bom">#REF!</definedName>
    <definedName name="bombt50">#REF!</definedName>
    <definedName name="bombt60">#REF!</definedName>
    <definedName name="bomnuoc20kw">#REF!</definedName>
    <definedName name="bomvua1.5">#REF!</definedName>
    <definedName name="Bon">#REF!</definedName>
    <definedName name="Book2">#REF!</definedName>
    <definedName name="BookName">"Bao_cao_cua_NVTK_tai_NPP_bieu_mau_moi_4___Mau_moi.xls"</definedName>
    <definedName name="BOQ">#REF!</definedName>
    <definedName name="Botanical2">#REF!</definedName>
    <definedName name="Botanical2.Jun">#REF!</definedName>
    <definedName name="botda">#REF!</definedName>
    <definedName name="BPCLL">#REF!</definedName>
    <definedName name="BR_373">#REF!</definedName>
    <definedName name="BrName">#REF!</definedName>
    <definedName name="bS">#REF!</definedName>
    <definedName name="bs_">#REF!</definedName>
    <definedName name="bsf">#REF!</definedName>
    <definedName name="bSF_">#REF!</definedName>
    <definedName name="bson">#REF!</definedName>
    <definedName name="BT">#REF!</definedName>
    <definedName name="BT_125">#REF!</definedName>
    <definedName name="BT_A1">#REF!</definedName>
    <definedName name="BT_A2">#REF!</definedName>
    <definedName name="BT_A2.1">#REF!</definedName>
    <definedName name="BT_A2.2">#REF!</definedName>
    <definedName name="BT_B1">#REF!</definedName>
    <definedName name="BT_B2">#REF!</definedName>
    <definedName name="BT_C1">#REF!</definedName>
    <definedName name="BT_loai_A2.1">#REF!</definedName>
    <definedName name="BT_P1">#REF!</definedName>
    <definedName name="BT_P10">#REF!</definedName>
    <definedName name="BT_P11">#REF!</definedName>
    <definedName name="BT_P2">#REF!</definedName>
    <definedName name="BT_P3">#REF!</definedName>
    <definedName name="BT_P4">#REF!</definedName>
    <definedName name="BT_P5">#REF!</definedName>
    <definedName name="BT_P6">#REF!</definedName>
    <definedName name="BT_P7">#REF!</definedName>
    <definedName name="BT_P8">#REF!</definedName>
    <definedName name="BT_P9">#REF!</definedName>
    <definedName name="BT200_50">#REF!</definedName>
    <definedName name="bt250.0">#REF!</definedName>
    <definedName name="bt30_">#REF!</definedName>
    <definedName name="btai">#REF!</definedName>
    <definedName name="BTC">#REF!</definedName>
    <definedName name="btcocM400">#REF!</definedName>
    <definedName name="btct">#REF!</definedName>
    <definedName name="btchiuaxitm300">#REF!</definedName>
    <definedName name="BTchiuaxm200">#REF!</definedName>
    <definedName name="btds">#REF!</definedName>
    <definedName name="btkn">#REF!</definedName>
    <definedName name="btl" localSheetId="3" hidden="1">{"'Sheet1'!$L$16"}</definedName>
    <definedName name="btl" hidden="1">{"'Sheet1'!$L$16"}</definedName>
    <definedName name="BTlotm100">#REF!</definedName>
    <definedName name="btm">#REF!</definedName>
    <definedName name="bton">#REF!</definedName>
    <definedName name="bttc">#REF!</definedName>
    <definedName name="btthuongpham150">#REF!</definedName>
    <definedName name="btthuongpham300">#REF!</definedName>
    <definedName name="btham">#REF!</definedName>
    <definedName name="BTRAM">#REF!</definedName>
    <definedName name="BU_CHENH_LECH_DZ0.4KV">#REF!</definedName>
    <definedName name="BU_CHENH_LECH_DZ22KV">#REF!</definedName>
    <definedName name="BU_CHENH_LECH_TBA">#REF!</definedName>
    <definedName name="Bu_long">#REF!</definedName>
    <definedName name="bua1.2">#REF!</definedName>
    <definedName name="bua1.8">#REF!</definedName>
    <definedName name="buarung170">#REF!</definedName>
    <definedName name="bùc" localSheetId="3">{"Book1","Dt tonghop.xls"}</definedName>
    <definedName name="bùc">{"Book1","Dt tonghop.xls"}</definedName>
    <definedName name="Bulongma">8700</definedName>
    <definedName name="buoc">#REF!</definedName>
    <definedName name="Bust">#REF!</definedName>
    <definedName name="BVCISUMMARY">#REF!</definedName>
    <definedName name="bw_">#REF!</definedName>
    <definedName name="bwf">#REF!</definedName>
    <definedName name="bWF_">#REF!</definedName>
    <definedName name="bWL">#REF!</definedName>
    <definedName name="bwlf">#REF!</definedName>
    <definedName name="bWLF_">#REF!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_1">#REF!</definedName>
    <definedName name="c_2">#REF!</definedName>
    <definedName name="c_n">#REF!</definedName>
    <definedName name="C2.7">#REF!</definedName>
    <definedName name="C3.0">#REF!</definedName>
    <definedName name="C3.5">#REF!</definedName>
    <definedName name="C3.7">#REF!</definedName>
    <definedName name="C4.0">#REF!</definedName>
    <definedName name="ca">#REF!</definedName>
    <definedName name="ca.1111">#REF!</definedName>
    <definedName name="ca.1111.th">#REF!</definedName>
    <definedName name="caa">#REF!</definedName>
    <definedName name="CABLE2">#REF!</definedName>
    <definedName name="CACAU">298161</definedName>
    <definedName name="càda">#REF!</definedName>
    <definedName name="cam">#REF!</definedName>
    <definedName name="CAMAY">#REF!</definedName>
    <definedName name="cancu2">#REF!</definedName>
    <definedName name="cap">#REF!</definedName>
    <definedName name="CAP_DIEN_AP">#REF!</definedName>
    <definedName name="Cap_DUL_doc_B">#REF!</definedName>
    <definedName name="CAP_DUL_ngang_B">#REF!</definedName>
    <definedName name="cap0.7">#REF!</definedName>
    <definedName name="CAPDAT">#REF!</definedName>
    <definedName name="capdul">#REF!</definedName>
    <definedName name="Case_Linkw_AT_211_Fdd">#REF!</definedName>
    <definedName name="Case_Linkw_ATX">#REF!</definedName>
    <definedName name="Case_Linkw_ATX_218_Fdd">#REF!</definedName>
    <definedName name="casing">#REF!</definedName>
    <definedName name="Cat">#REF!</definedName>
    <definedName name="catcap">#REF!</definedName>
    <definedName name="Category_All">#REF!</definedName>
    <definedName name="CATIN">#N/A</definedName>
    <definedName name="CATJYOU">#N/A</definedName>
    <definedName name="catm">#REF!</definedName>
    <definedName name="catn">#REF!</definedName>
    <definedName name="CATSYU">#N/A</definedName>
    <definedName name="catuon">#REF!</definedName>
    <definedName name="catvang">#REF!</definedName>
    <definedName name="CatVang_HamYen">#REF!</definedName>
    <definedName name="CATREC">#N/A</definedName>
    <definedName name="cau">#REF!</definedName>
    <definedName name="Cau_1">#REF!</definedName>
    <definedName name="Cau_tam">#REF!</definedName>
    <definedName name="caunoi30">#REF!</definedName>
    <definedName name="Caùp_ñoàng_traàn_75mm2">#REF!</definedName>
    <definedName name="Cb">#REF!</definedName>
    <definedName name="CBWorkbookPriority" hidden="1">-604668737</definedName>
    <definedName name="cc">#REF!</definedName>
    <definedName name="cc_">#REF!</definedName>
    <definedName name="ccf">#REF!</definedName>
    <definedName name="CCNK">#REF!</definedName>
    <definedName name="CCS">#REF!</definedName>
    <definedName name="cd">#REF!</definedName>
    <definedName name="CDA">#REF!</definedName>
    <definedName name="CDADD">#REF!</definedName>
    <definedName name="CDAI">#REF!</definedName>
    <definedName name="CDAY">#REF!</definedName>
    <definedName name="CDD">#REF!</definedName>
    <definedName name="CDDB">#REF!</definedName>
    <definedName name="CDDD">#REF!</definedName>
    <definedName name="cddd1p">#REF!</definedName>
    <definedName name="CDDD1PHA">#REF!</definedName>
    <definedName name="cddd3p">#REF!</definedName>
    <definedName name="CDDD3PHA">#REF!</definedName>
    <definedName name="CDDR_Acer40X_IDE">#REF!</definedName>
    <definedName name="CDDR_Acer48X_IDE">#REF!</definedName>
    <definedName name="CDDR_Acer50X_IDE">#REF!</definedName>
    <definedName name="CDDT">#REF!</definedName>
    <definedName name="CDMD">#REF!</definedName>
    <definedName name="cdn">#REF!</definedName>
    <definedName name="Cdnum">#REF!</definedName>
    <definedName name="CDTRAMD1">#REF!</definedName>
    <definedName name="Céng">#REF!</definedName>
    <definedName name="cfc">#REF!</definedName>
    <definedName name="cfk">#REF!</definedName>
    <definedName name="cg" localSheetId="3" hidden="1">{"'Sheet1'!$L$16"}</definedName>
    <definedName name="cg" hidden="1">{"'Sheet1'!$L$16"}</definedName>
    <definedName name="cgionc">#REF!</definedName>
    <definedName name="cgiovl">#REF!</definedName>
    <definedName name="citidd">#REF!</definedName>
    <definedName name="CK">#REF!</definedName>
    <definedName name="ckn">#REF!</definedName>
    <definedName name="ckna">#REF!</definedName>
    <definedName name="cknc">#REF!</definedName>
    <definedName name="ckvl">#REF!</definedName>
    <definedName name="CL">#REF!</definedName>
    <definedName name="CLECH_0.4">#REF!</definedName>
    <definedName name="CLech_22">#REF!</definedName>
    <definedName name="Clech_o.4">#REF!</definedName>
    <definedName name="CLIENT">#REF!</definedName>
    <definedName name="CLS">#REF!</definedName>
    <definedName name="CLTMP">#REF!</definedName>
    <definedName name="CLVC">#REF!</definedName>
    <definedName name="clvc1">#REF!</definedName>
    <definedName name="CLVC3">0.1</definedName>
    <definedName name="CLVC35">#REF!</definedName>
    <definedName name="CLVCTB">#REF!</definedName>
    <definedName name="CLVL">#REF!</definedName>
    <definedName name="cly">#REF!</definedName>
    <definedName name="CLyTC">#REF!</definedName>
    <definedName name="CMG">#REF!</definedName>
    <definedName name="cn">#REF!</definedName>
    <definedName name="CN3p">#REF!</definedName>
    <definedName name="CNC">#REF!</definedName>
    <definedName name="CND">#REF!</definedName>
    <definedName name="cne">#REF!</definedName>
    <definedName name="Cñi">#REF!</definedName>
    <definedName name="CNG">#REF!</definedName>
    <definedName name="CO">#REF!</definedName>
    <definedName name="co.">#REF!</definedName>
    <definedName name="co..">#REF!</definedName>
    <definedName name="Coal_increase_ratio">#REF!</definedName>
    <definedName name="coar">#REF!</definedName>
    <definedName name="COAT">#REF!</definedName>
    <definedName name="coc">#REF!</definedName>
    <definedName name="COC_1.2">#REF!</definedName>
    <definedName name="Coc_2m">#REF!</definedName>
    <definedName name="coc20x20">#REF!</definedName>
    <definedName name="cocvt">#REF!</definedName>
    <definedName name="CODE">#REF!</definedName>
    <definedName name="CODE1">#REF!</definedName>
    <definedName name="CODE2">#REF!</definedName>
    <definedName name="CODE3">#REF!</definedName>
    <definedName name="Codedata">#REF!</definedName>
    <definedName name="CODL">#REF!</definedName>
    <definedName name="coi">#REF!</definedName>
    <definedName name="Cöï_ly_vaän_chuyeãn">#REF!</definedName>
    <definedName name="CÖÏ_LY_VAÄN_CHUYEÅN">#REF!</definedName>
    <definedName name="cokhihoachat">#REF!</definedName>
    <definedName name="ColumnTitle1">" "</definedName>
    <definedName name="Comm" localSheetId="3">BlankMacro1</definedName>
    <definedName name="Comm">BlankMacro1</definedName>
    <definedName name="COMMON">#REF!</definedName>
    <definedName name="Comp">#REF!</definedName>
    <definedName name="CON_EQP_COS">#REF!</definedName>
    <definedName name="CON_EQP_COST">#REF!</definedName>
    <definedName name="Concrete">#REF!</definedName>
    <definedName name="conrua">#REF!</definedName>
    <definedName name="CONST_EQ">#REF!</definedName>
    <definedName name="Continue">#REF!</definedName>
    <definedName name="ContractType">#REF!</definedName>
    <definedName name="cong">#REF!</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v">#REF!</definedName>
    <definedName name="cong_ngio">#REF!</definedName>
    <definedName name="Cong_suat">#REF!</definedName>
    <definedName name="Cong_suat_dat">#REF!</definedName>
    <definedName name="cong_t3">#REF!</definedName>
    <definedName name="cong_t4">#REF!</definedName>
    <definedName name="cong_t5">#REF!</definedName>
    <definedName name="cong_t6">#REF!</definedName>
    <definedName name="cong_tc">#REF!</definedName>
    <definedName name="cong_tm">#REF!</definedName>
    <definedName name="Cong_VL_DTCT">#REF!</definedName>
    <definedName name="cong_vs">#REF!</definedName>
    <definedName name="cong_xh">#REF!</definedName>
    <definedName name="cong1x15">#REF!</definedName>
    <definedName name="Congdoc">#REF!</definedName>
    <definedName name="copy">#REF!,#REF!,#REF!,#REF!</definedName>
    <definedName name="copyl">#REF!,#REF!,#REF!,#REF!,#REF!</definedName>
    <definedName name="core_cn">#REF!</definedName>
    <definedName name="core_ks">#REF!</definedName>
    <definedName name="CoreProgram_CN">#REF!</definedName>
    <definedName name="cot">#REF!</definedName>
    <definedName name="Cot_thep">#REF!</definedName>
    <definedName name="cot7.5">#REF!</definedName>
    <definedName name="cot8.5">#REF!</definedName>
    <definedName name="cotpha">#REF!</definedName>
    <definedName name="Cotsatma">9726</definedName>
    <definedName name="Cotthepma">9726</definedName>
    <definedName name="Country">#REF!</definedName>
    <definedName name="counxlkcs">#REF!</definedName>
    <definedName name="couxlkcs">#REF!</definedName>
    <definedName name="couxlkd">#REF!</definedName>
    <definedName name="couxlktnl">#REF!</definedName>
    <definedName name="couxlkttv">#REF!</definedName>
    <definedName name="couxlkh">#REF!</definedName>
    <definedName name="couxlpxsx">#REF!</definedName>
    <definedName name="couxltc">#REF!</definedName>
    <definedName name="COVER">#REF!</definedName>
    <definedName name="CP">#REF!</definedName>
    <definedName name="CPC">#REF!</definedName>
    <definedName name="CPCNT">#REF!</definedName>
    <definedName name="cpd">#REF!</definedName>
    <definedName name="cpdd">#REF!</definedName>
    <definedName name="cpdd1">#REF!</definedName>
    <definedName name="cpdd2">#REF!</definedName>
    <definedName name="CPDD22cm">#REF!</definedName>
    <definedName name="cpdd35cm">#REF!</definedName>
    <definedName name="CPK">#REF!</definedName>
    <definedName name="CPKSAT">#REF!</definedName>
    <definedName name="cplhsmt">#REF!</definedName>
    <definedName name="cpmtc">#REF!</definedName>
    <definedName name="cpnc">#REF!</definedName>
    <definedName name="CPNK">#REF!</definedName>
    <definedName name="CPPM">#REF!</definedName>
    <definedName name="CPTD">#REF!</definedName>
    <definedName name="cptdhsmt">#REF!</definedName>
    <definedName name="cptdtdt">#REF!</definedName>
    <definedName name="cptdtkkt">#REF!</definedName>
    <definedName name="CPTKE">#REF!</definedName>
    <definedName name="cptt">#REF!</definedName>
    <definedName name="CPTVAN">#REF!</definedName>
    <definedName name="CPU_AMD_K6II_550">#REF!</definedName>
    <definedName name="CPU_Intel_P4_1.7_256K_256RIMM">#REF!</definedName>
    <definedName name="CPU_Intel_PIII500E_256Kdie_Copp">#REF!</definedName>
    <definedName name="CPU_Intel_PIII550E_256Kdie_Copp">#REF!</definedName>
    <definedName name="cpvc">#REF!</definedName>
    <definedName name="CPVC100">#REF!</definedName>
    <definedName name="CPVC1KM">#REF!</definedName>
    <definedName name="CPVC35">#REF!</definedName>
    <definedName name="CPVCDN">#REF!</definedName>
    <definedName name="cpvl">#REF!</definedName>
    <definedName name="CPX">#REF!</definedName>
    <definedName name="CPXK">#REF!</definedName>
    <definedName name="CPY">#REF!</definedName>
    <definedName name="CRD">#REF!</definedName>
    <definedName name="Crew">#REF!</definedName>
    <definedName name="CRIT1">#REF!</definedName>
    <definedName name="CRIT10">#REF!</definedName>
    <definedName name="CRIT2">#REF!</definedName>
    <definedName name="CRIT3">#REF!</definedName>
    <definedName name="CRIT4">#REF!</definedName>
    <definedName name="CRIT5">#REF!</definedName>
    <definedName name="CRIT6">#REF!</definedName>
    <definedName name="CRIT7">#REF!</definedName>
    <definedName name="CRIT8">#REF!</definedName>
    <definedName name="CRIT9">#REF!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SX">#REF!</definedName>
    <definedName name="CSY">#REF!</definedName>
    <definedName name="CT">#REF!</definedName>
    <definedName name="CT_03">#REF!</definedName>
    <definedName name="CT_50">#REF!</definedName>
    <definedName name="CT_KSTK">#REF!</definedName>
    <definedName name="CT_MCX">#REF!</definedName>
    <definedName name="ct3_">#REF!</definedName>
    <definedName name="ct5_">#REF!</definedName>
    <definedName name="Ctb">#REF!</definedName>
    <definedName name="CTBT">#REF!</definedName>
    <definedName name="CTBT1">#REF!</definedName>
    <definedName name="CTBT2">#REF!</definedName>
    <definedName name="CTCT1" localSheetId="3" hidden="1">{"'Sheet1'!$L$16"}</definedName>
    <definedName name="CTCT1" hidden="1">{"'Sheet1'!$L$16"}</definedName>
    <definedName name="ctct2" localSheetId="3" hidden="1">{"'Sheet1'!$L$16"}</definedName>
    <definedName name="ctct2" hidden="1">{"'Sheet1'!$L$16"}</definedName>
    <definedName name="ctdg">#REF!</definedName>
    <definedName name="CTDL">#REF!</definedName>
    <definedName name="ctdn9697">#REF!</definedName>
    <definedName name="ctgt">#REF!</definedName>
    <definedName name="ctgt1">#REF!</definedName>
    <definedName name="cti3x15">#REF!</definedName>
    <definedName name="ctiep">#REF!</definedName>
    <definedName name="CTIET">#REF!</definedName>
    <definedName name="ctieu" localSheetId="3" hidden="1">{"'Sheet1'!$L$16"}</definedName>
    <definedName name="ctieu" hidden="1">{"'Sheet1'!$L$16"}</definedName>
    <definedName name="ctinh">#REF!</definedName>
    <definedName name="CTL">#REF!</definedName>
    <definedName name="ctmai">#REF!</definedName>
    <definedName name="cto">#REF!</definedName>
    <definedName name="ctong">#REF!</definedName>
    <definedName name="CTsu" localSheetId="3" hidden="1">{"'Sheet1'!$L$16"}</definedName>
    <definedName name="CTsu" hidden="1">{"'Sheet1'!$L$16"}</definedName>
    <definedName name="ctxd">#REF!</definedName>
    <definedName name="CTH">#REF!</definedName>
    <definedName name="CTHT">#REF!</definedName>
    <definedName name="CTRAM">#REF!</definedName>
    <definedName name="ctre">#REF!</definedName>
    <definedName name="cu">#REF!</definedName>
    <definedName name="CU_LY">#REF!</definedName>
    <definedName name="cu_ly_1">#REF!</definedName>
    <definedName name="CU_LY_VAN_CHUYEN_GIA_QUYEN">#REF!</definedName>
    <definedName name="CU_LY_VAN_CHUYEN_THU_CONG">#REF!</definedName>
    <definedName name="cui">#REF!</definedName>
    <definedName name="CuLy">#REF!</definedName>
    <definedName name="CuLy_Q">#REF!</definedName>
    <definedName name="culy1">#REF!</definedName>
    <definedName name="culy2">#REF!</definedName>
    <definedName name="culy3">#REF!</definedName>
    <definedName name="culy4">#REF!</definedName>
    <definedName name="culy5">#REF!</definedName>
    <definedName name="cung" localSheetId="3" hidden="1">{"'Sheet1'!$L$16"}</definedName>
    <definedName name="cung" hidden="1">{"'Sheet1'!$L$16"}</definedName>
    <definedName name="cuoc">#REF!</definedName>
    <definedName name="cuoc_vc">#REF!</definedName>
    <definedName name="Cuoc_vc_1">#REF!</definedName>
    <definedName name="CuocVC">#REF!</definedName>
    <definedName name="cuond">#REF!</definedName>
    <definedName name="CURRENCY">#REF!</definedName>
    <definedName name="Current">#REF!</definedName>
    <definedName name="cutback">#REF!</definedName>
    <definedName name="cv">#REF!</definedName>
    <definedName name="CVC_Q">#REF!</definedName>
    <definedName name="cx">#REF!</definedName>
    <definedName name="cxhtnc">#REF!</definedName>
    <definedName name="cxhtvl">#REF!</definedName>
    <definedName name="cxnc">#REF!</definedName>
    <definedName name="cxvl">#REF!</definedName>
    <definedName name="cxxnc">#REF!</definedName>
    <definedName name="cxxvl">#REF!</definedName>
    <definedName name="CH">#REF!</definedName>
    <definedName name="Ch_rong">#REF!</definedName>
    <definedName name="Chang">#REF!</definedName>
    <definedName name="CHAR">#REF!</definedName>
    <definedName name="Characteristic">#REF!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Dai">#REF!</definedName>
    <definedName name="chhtnc">#REF!</definedName>
    <definedName name="chhtvl">#REF!</definedName>
    <definedName name="Chi_phi_OM">#REF!</definedName>
    <definedName name="Chi_tieát_phi">#REF!</definedName>
    <definedName name="Chi_tiet_0.4">#REF!</definedName>
    <definedName name="Chi_Tiet_22">#REF!</definedName>
    <definedName name="Chi_tiet_TBA">#REF!</definedName>
    <definedName name="chi_tiÕt_vËt_liÖu___nh_n_c_ng___m_y_thi_c_ng">#REF!</definedName>
    <definedName name="chiemhoa">#REF!</definedName>
    <definedName name="Chiet_khau">#REF!</definedName>
    <definedName name="Chin">#REF!</definedName>
    <definedName name="ChiPhiKhac">#REF!</definedName>
    <definedName name="chitietbgiang2" localSheetId="3" hidden="1">{"'Sheet1'!$L$16"}</definedName>
    <definedName name="chitietbgiang2" hidden="1">{"'Sheet1'!$L$16"}</definedName>
    <definedName name="chitietdao">#REF!</definedName>
    <definedName name="chl" localSheetId="3" hidden="1">{"'Sheet1'!$L$16"}</definedName>
    <definedName name="chl" hidden="1">{"'Sheet1'!$L$16"}</definedName>
    <definedName name="chnc">#REF!</definedName>
    <definedName name="chon">#REF!</definedName>
    <definedName name="chon1">#REF!</definedName>
    <definedName name="chon2">#REF!</definedName>
    <definedName name="chon3">#REF!</definedName>
    <definedName name="Chu">#REF!</definedName>
    <definedName name="Chu_dau_tu">#REF!</definedName>
    <definedName name="chung">66</definedName>
    <definedName name="chuyen" localSheetId="3" hidden="1">{"'Sheet1'!$L$16"}</definedName>
    <definedName name="chuyen" hidden="1">{"'Sheet1'!$L$16"}</definedName>
    <definedName name="chvl">#REF!</definedName>
    <definedName name="d">#REF!</definedName>
    <definedName name="d.d">#REF!</definedName>
    <definedName name="d.d1">#REF!</definedName>
    <definedName name="d.d2">#REF!</definedName>
    <definedName name="d_">#REF!</definedName>
    <definedName name="d_1">#REF!</definedName>
    <definedName name="d_1I">#REF!</definedName>
    <definedName name="d_1II">#REF!</definedName>
    <definedName name="d_1III">#REF!</definedName>
    <definedName name="d_1IV">#REF!</definedName>
    <definedName name="d_2">#REF!</definedName>
    <definedName name="d_2I">#REF!</definedName>
    <definedName name="d_2II">#REF!</definedName>
    <definedName name="d_2III">#REF!</definedName>
    <definedName name="d_2IV">#REF!</definedName>
    <definedName name="d_3">#REF!</definedName>
    <definedName name="d_3I">#REF!</definedName>
    <definedName name="d_3II">#REF!</definedName>
    <definedName name="d_3III">#REF!</definedName>
    <definedName name="d_3IV">#REF!</definedName>
    <definedName name="d_4">#REF!</definedName>
    <definedName name="d_4I">#REF!</definedName>
    <definedName name="d_4II">#REF!</definedName>
    <definedName name="d_4III">#REF!</definedName>
    <definedName name="d_4IV">#REF!</definedName>
    <definedName name="D_7101A_B">#REF!</definedName>
    <definedName name="d_9bI">#REF!</definedName>
    <definedName name="d_9bII">#REF!</definedName>
    <definedName name="d_9bIII">#REF!</definedName>
    <definedName name="d_9bIV">#REF!</definedName>
    <definedName name="d_9I">#REF!</definedName>
    <definedName name="d_9II">#REF!</definedName>
    <definedName name="d_9III">#REF!</definedName>
    <definedName name="d_9IV">#REF!</definedName>
    <definedName name="D_Gia">#REF!</definedName>
    <definedName name="D_giavt">#REF!</definedName>
    <definedName name="D_kien">#REF!</definedName>
    <definedName name="D_L">#REF!</definedName>
    <definedName name="D_n">#REF!</definedName>
    <definedName name="D_y__ay">#REF!</definedName>
    <definedName name="d1_">#REF!</definedName>
    <definedName name="D1x49">#REF!</definedName>
    <definedName name="D1x49x49">#REF!</definedName>
    <definedName name="d1x6">#REF!</definedName>
    <definedName name="d2.7">#REF!</definedName>
    <definedName name="d2_">#REF!</definedName>
    <definedName name="d24nc">#REF!</definedName>
    <definedName name="d24vl">#REF!</definedName>
    <definedName name="d3.0">#REF!</definedName>
    <definedName name="d3.5">#REF!</definedName>
    <definedName name="d3_">#REF!</definedName>
    <definedName name="D4.0">#REF!</definedName>
    <definedName name="d4_">#REF!</definedName>
    <definedName name="d4x6">#REF!</definedName>
    <definedName name="d5_">#REF!</definedName>
    <definedName name="DA">#REF!</definedName>
    <definedName name="da.">#REF!</definedName>
    <definedName name="da_">#REF!</definedName>
    <definedName name="da0.5x1">#REF!</definedName>
    <definedName name="da1x1">#REF!</definedName>
    <definedName name="da1x2">#REF!</definedName>
    <definedName name="da2x4">#REF!</definedName>
    <definedName name="da4x6">#REF!</definedName>
    <definedName name="dadad">#REF!</definedName>
    <definedName name="dadas">#REF!</definedName>
    <definedName name="dáds">#REF!</definedName>
    <definedName name="dah">#REF!</definedName>
    <definedName name="dahoc">#REF!</definedName>
    <definedName name="Dalan">#REF!</definedName>
    <definedName name="DALANPASTE">#REF!</definedName>
    <definedName name="dam">78000</definedName>
    <definedName name="dam_24">#REF!</definedName>
    <definedName name="damban1kw">#REF!</definedName>
    <definedName name="damcoc60">#REF!</definedName>
    <definedName name="damcoc80">#REF!</definedName>
    <definedName name="damdui1.5">#REF!</definedName>
    <definedName name="DamNgang">#REF!</definedName>
    <definedName name="DaName">#REF!</definedName>
    <definedName name="dao">#REF!</definedName>
    <definedName name="DAO_DAT">#REF!</definedName>
    <definedName name="dao0.65">#REF!</definedName>
    <definedName name="dao1.0">#REF!</definedName>
    <definedName name="Daodat">#REF!</definedName>
    <definedName name="daolay">#REF!</definedName>
    <definedName name="daotd">#REF!</definedName>
    <definedName name="dap">#REF!</definedName>
    <definedName name="Dapcat">#REF!</definedName>
    <definedName name="daptd">#REF!</definedName>
    <definedName name="Dat">#REF!</definedName>
    <definedName name="DAT5M">#REF!</definedName>
    <definedName name="Data">#REF!</definedName>
    <definedName name="DATA_DATA2_List">#REF!</definedName>
    <definedName name="Data11">#REF!</definedName>
    <definedName name="Data41">#REF!</definedName>
    <definedName name="_xlnm.Database">#REF!</definedName>
    <definedName name="DataFilter" localSheetId="3">#REF!</definedName>
    <definedName name="DataFilter">#REF!</definedName>
    <definedName name="datak">#REF!</definedName>
    <definedName name="datal">#REF!</definedName>
    <definedName name="DataSort" localSheetId="3">#REF!</definedName>
    <definedName name="DataSort">#REF!</definedName>
    <definedName name="DATATKDT">#REF!</definedName>
    <definedName name="DataYear2001">#REF!</definedName>
    <definedName name="Datdoi">#REF!</definedName>
    <definedName name="Date">#REF!</definedName>
    <definedName name="DATT">#REF!</definedName>
    <definedName name="Dattt">#REF!</definedName>
    <definedName name="Datvv">#REF!</definedName>
    <definedName name="dathnho">#REF!</definedName>
    <definedName name="dathto">#REF!</definedName>
    <definedName name="dauchi">#REF!</definedName>
    <definedName name="daybuoc">#REF!</definedName>
    <definedName name="Daythep">#REF!</definedName>
    <definedName name="db">#REF!</definedName>
    <definedName name="db.">#REF!</definedName>
    <definedName name="DBASE">#REF!</definedName>
    <definedName name="dc">#REF!</definedName>
    <definedName name="dc.">#REF!</definedName>
    <definedName name="dca.">#REF!</definedName>
    <definedName name="Dcap">#REF!</definedName>
    <definedName name="dcb.">#REF!</definedName>
    <definedName name="dcc">#REF!</definedName>
    <definedName name="dcc.">#REF!</definedName>
    <definedName name="dcl">#REF!</definedName>
    <definedName name="DCL_22">12117600</definedName>
    <definedName name="DCL_35">25490000</definedName>
    <definedName name="DÇm_33">#REF!</definedName>
    <definedName name="Dcol">#REF!</definedName>
    <definedName name="Dch">#REF!</definedName>
    <definedName name="dche">#REF!</definedName>
    <definedName name="DD">#REF!</definedName>
    <definedName name="dd0.5x1">#REF!</definedName>
    <definedName name="dd1pnc">#REF!</definedName>
    <definedName name="dd1pvl">#REF!</definedName>
    <definedName name="dd1x2">#REF!</definedName>
    <definedName name="dd2x4">#REF!</definedName>
    <definedName name="dd3pctnc">#REF!</definedName>
    <definedName name="dd3pctvl">#REF!</definedName>
    <definedName name="dd3plmvl">#REF!</definedName>
    <definedName name="dd3pnc">#REF!</definedName>
    <definedName name="dd3pvl">#REF!</definedName>
    <definedName name="dd4x6">#REF!</definedName>
    <definedName name="DD5M">#REF!</definedName>
    <definedName name="ddamco">#REF!</definedName>
    <definedName name="dday">#REF!</definedName>
    <definedName name="ddd" localSheetId="3" hidden="1">{"'Sheet1'!$L$16"}</definedName>
    <definedName name="ddd" hidden="1">{"'Sheet1'!$L$16"}</definedName>
    <definedName name="DDDD">#REF!</definedName>
    <definedName name="ddddđ">#REF!</definedName>
    <definedName name="DDDS">#REF!</definedName>
    <definedName name="dden">#REF!</definedName>
    <definedName name="ddhnho">#REF!</definedName>
    <definedName name="ddhtnc">#REF!</definedName>
    <definedName name="ddhto">#REF!</definedName>
    <definedName name="ddhtvl">#REF!</definedName>
    <definedName name="ddia">#REF!</definedName>
    <definedName name="ddien">#REF!</definedName>
    <definedName name="DDM">#REF!</definedName>
    <definedName name="DDS">#REF!</definedName>
    <definedName name="ddt2nc">#REF!</definedName>
    <definedName name="ddt2vl">#REF!</definedName>
    <definedName name="ddtd3pnc">#REF!</definedName>
    <definedName name="ddtt1pnc">#REF!</definedName>
    <definedName name="ddtt1pvl">#REF!</definedName>
    <definedName name="ddtt3pnc">#REF!</definedName>
    <definedName name="ddtt3pvl">#REF!</definedName>
    <definedName name="de_">#REF!</definedName>
    <definedName name="Default">#REF!</definedName>
    <definedName name="deff">#REF!</definedName>
    <definedName name="DEFINENAME">#REF!</definedName>
    <definedName name="DEMI1">#N/A</definedName>
    <definedName name="DEMI2">#N/A</definedName>
    <definedName name="Den_bu">#REF!</definedName>
    <definedName name="DenBu">#REF!</definedName>
    <definedName name="DenDK" localSheetId="3" hidden="1">{"'Sheet1'!$L$16"}</definedName>
    <definedName name="DenDK" hidden="1">{"'Sheet1'!$L$16"}</definedName>
    <definedName name="det">#REF!</definedName>
    <definedName name="Det32x3">#REF!</definedName>
    <definedName name="Det35x3">#REF!</definedName>
    <definedName name="Det40x4">#REF!</definedName>
    <definedName name="Det50x5">#REF!</definedName>
    <definedName name="Det63x6">#REF!</definedName>
    <definedName name="Det75x6">#REF!</definedName>
    <definedName name="Detour">#REF!</definedName>
    <definedName name="df">#REF!</definedName>
    <definedName name="DF_e">#REF!</definedName>
    <definedName name="DF_i">#REF!</definedName>
    <definedName name="DF_ve">#REF!</definedName>
    <definedName name="DF_vi">#REF!</definedName>
    <definedName name="dfas">#REF!</definedName>
    <definedName name="dfdfd" localSheetId="3" hidden="1">{"'Sheet1'!$L$16"}</definedName>
    <definedName name="dfdfd" hidden="1">{"'Sheet1'!$L$16"}</definedName>
    <definedName name="dffr">#REF!</definedName>
    <definedName name="dfggg" localSheetId="3" hidden="1">{"'Sheet1'!$L$16"}</definedName>
    <definedName name="dfggg" hidden="1">{"'Sheet1'!$L$16"}</definedName>
    <definedName name="dfh" localSheetId="3" hidden="1">{"'Sheet1'!$L$16"}</definedName>
    <definedName name="dfh" hidden="1">{"'Sheet1'!$L$16"}</definedName>
    <definedName name="dfpf">#REF!</definedName>
    <definedName name="dfsfsd" localSheetId="3" hidden="1">{"'Sheet1'!$L$16"}</definedName>
    <definedName name="dfsfsd" hidden="1">{"'Sheet1'!$L$16"}</definedName>
    <definedName name="DFv">#REF!</definedName>
    <definedName name="dg">#REF!</definedName>
    <definedName name="dg_5cau">#REF!</definedName>
    <definedName name="dg_67">#REF!</definedName>
    <definedName name="DG_M_C_X">#REF!</definedName>
    <definedName name="dg67_1">#REF!</definedName>
    <definedName name="dgbdII">#REF!</definedName>
    <definedName name="dgc">#REF!</definedName>
    <definedName name="DGCT_L.SON1">#REF!</definedName>
    <definedName name="DGCT_T.Quy_P.Thuy_Q">#REF!</definedName>
    <definedName name="DGCT_TRAUQUYPHUTHUY_HN">#REF!</definedName>
    <definedName name="DGCTI592">#REF!</definedName>
    <definedName name="dgd">#REF!</definedName>
    <definedName name="dghp">#REF!</definedName>
    <definedName name="DGM">#REF!</definedName>
    <definedName name="DGNC">#REF!</definedName>
    <definedName name="DGNCTT">#REF!</definedName>
    <definedName name="dgqndn">#REF!</definedName>
    <definedName name="DGTN">#REF!</definedName>
    <definedName name="DGTV">#REF!</definedName>
    <definedName name="DGTH">#REF!</definedName>
    <definedName name="DGTH1">#REF!</definedName>
    <definedName name="dgth2">#REF!</definedName>
    <definedName name="dgthss3">#REF!</definedName>
    <definedName name="DGTR">#REF!</definedName>
    <definedName name="dgvc">#REF!</definedName>
    <definedName name="dgvl">#REF!</definedName>
    <definedName name="DGVL1">#REF!</definedName>
    <definedName name="DGVT">#REF!</definedName>
    <definedName name="dgxhiencau">#REF!</definedName>
    <definedName name="dgxhienduong">#REF!</definedName>
    <definedName name="DGia">#REF!</definedName>
    <definedName name="DGIA2">#REF!</definedName>
    <definedName name="DGiaT">#REF!</definedName>
    <definedName name="DGiaTN">#REF!</definedName>
    <definedName name="dh">#REF!</definedName>
    <definedName name="dhom">#REF!</definedName>
    <definedName name="DIABAN">#REF!</definedName>
    <definedName name="DICH11">#REF!</definedName>
    <definedName name="dich22">#REF!</definedName>
    <definedName name="DICHSO" localSheetId="3">#REF!</definedName>
    <definedName name="DICHSO">#REF!</definedName>
    <definedName name="dien">#REF!</definedName>
    <definedName name="Dien_Luong_nam">#REF!</definedName>
    <definedName name="Dien_nang_so_cap">#REF!</definedName>
    <definedName name="Dien_nang_thu_cap">#REF!</definedName>
    <definedName name="DIMM_64MB_ECC_PC133">#REF!</definedName>
    <definedName name="dinh">#REF!</definedName>
    <definedName name="dinh2">#REF!</definedName>
    <definedName name="dinhdia">#REF!</definedName>
    <definedName name="dinhmucamosanxuature">#REF!</definedName>
    <definedName name="dinhmucamosanxuature1">#REF!</definedName>
    <definedName name="DK">#REF!</definedName>
    <definedName name="DKTT">#REF!</definedName>
    <definedName name="DL">#REF!</definedName>
    <definedName name="DL15HT">#REF!</definedName>
    <definedName name="DL16HT">#REF!</definedName>
    <definedName name="DL19HT">#REF!</definedName>
    <definedName name="DL20HT">#REF!</definedName>
    <definedName name="DLC">#REF!</definedName>
    <definedName name="DLCC">#REF!</definedName>
    <definedName name="DLdv">#REF!</definedName>
    <definedName name="DM">#REF!</definedName>
    <definedName name="DM_KH">#REF!</definedName>
    <definedName name="DM_SP">#REF!</definedName>
    <definedName name="DM_TK">#REF!</definedName>
    <definedName name="dm1.">#REF!</definedName>
    <definedName name="dm2.">#REF!</definedName>
    <definedName name="dm56bxd">#REF!</definedName>
    <definedName name="DMAmonia">#REF!</definedName>
    <definedName name="dmat">#REF!</definedName>
    <definedName name="dmdv">#REF!</definedName>
    <definedName name="DMHH">#REF!</definedName>
    <definedName name="dmoi">#REF!</definedName>
    <definedName name="DMTK">#REF!</definedName>
    <definedName name="DMUre">#REF!</definedName>
    <definedName name="dmz">#REF!</definedName>
    <definedName name="DN">#REF!</definedName>
    <definedName name="DnbCx">#REF!</definedName>
    <definedName name="dno">#REF!</definedName>
    <definedName name="DÑt45x4">#REF!</definedName>
    <definedName name="do">#REF!</definedName>
    <definedName name="dobgd">#REF!</definedName>
    <definedName name="dobt">#REF!</definedName>
    <definedName name="Doc_Name">#REF!</definedName>
    <definedName name="doclb">#REF!</definedName>
    <definedName name="Document_array" localSheetId="3">{"Thuxm2.xls","Sheet1"}</definedName>
    <definedName name="Document_array">{"Thuxm2.xls","Sheet1"}</definedName>
    <definedName name="dofinbo6t">#REF!</definedName>
    <definedName name="dofinbonus6t">#REF!</definedName>
    <definedName name="dokcs">#REF!</definedName>
    <definedName name="dokd">#REF!</definedName>
    <definedName name="dokt">#REF!</definedName>
    <definedName name="doktnl">#REF!</definedName>
    <definedName name="dokh">#REF!</definedName>
    <definedName name="dolcb">#REF!</definedName>
    <definedName name="Don_gia">#REF!</definedName>
    <definedName name="DON_GIA_3282">#REF!</definedName>
    <definedName name="DON_GIA_3283">#REF!</definedName>
    <definedName name="DON_GIA_3285">#REF!</definedName>
    <definedName name="DON_GIA_VAN_CHUYEN_36">#REF!</definedName>
    <definedName name="DON_GIA_VAT_TU">#REF!</definedName>
    <definedName name="Don_giahanam">#REF!</definedName>
    <definedName name="Don_giaIII">#REF!</definedName>
    <definedName name="Don_gianhanam">#REF!</definedName>
    <definedName name="Don_giatp">#REF!</definedName>
    <definedName name="Don_giavl">#REF!</definedName>
    <definedName name="doncxlcn2001">#REF!</definedName>
    <definedName name="doncxldn2001">#REF!</definedName>
    <definedName name="DONVI">OFFSET(#REF!,1,0,COUNTA(#REF!)-1,5)</definedName>
    <definedName name="DONVIDG">OFFSET(#REF!,COUNTIF(#REF!,"&lt;&gt;0")-1,0,1)</definedName>
    <definedName name="Dongia">#REF!</definedName>
    <definedName name="Dongia_III">#REF!</definedName>
    <definedName name="dongia1">#REF!</definedName>
    <definedName name="dongiadien">#REF!</definedName>
    <definedName name="dongiakhi">#REF!</definedName>
    <definedName name="dongiakhi1">#REF!</definedName>
    <definedName name="dongiakhibinhquan">#REF!</definedName>
    <definedName name="dongiakhicuulong">#REF!</definedName>
    <definedName name="dongiakhiq1">#REF!</definedName>
    <definedName name="dongiakhiq1cuulong">#REF!</definedName>
    <definedName name="dongianamconson">#REF!</definedName>
    <definedName name="dongianuocsach">#REF!</definedName>
    <definedName name="DongiaPA1">#REF!</definedName>
    <definedName name="DongiaPA2">#REF!</definedName>
    <definedName name="DoorWindow">#REF!</definedName>
    <definedName name="dopxsx">#REF!</definedName>
    <definedName name="dotc">#REF!</definedName>
    <definedName name="dotchc">#REF!</definedName>
    <definedName name="dotdn">#REF!</definedName>
    <definedName name="dottchc">#REF!</definedName>
    <definedName name="doxcd">#REF!</definedName>
    <definedName name="dp">#REF!</definedName>
    <definedName name="drg">#REF!</definedName>
    <definedName name="Dry">#REF!</definedName>
    <definedName name="dry.">#REF!</definedName>
    <definedName name="dry..">#REF!</definedName>
    <definedName name="ds">#REF!</definedName>
    <definedName name="DS_2">#REF!</definedName>
    <definedName name="DS_305">#REF!</definedName>
    <definedName name="DS_381">#REF!</definedName>
    <definedName name="DS1p1vc">#REF!</definedName>
    <definedName name="ds1p2nc">#REF!</definedName>
    <definedName name="ds1p2vc">#REF!</definedName>
    <definedName name="ds1p2vl">#REF!</definedName>
    <definedName name="ds1pnc">#REF!</definedName>
    <definedName name="ds1pvl">#REF!</definedName>
    <definedName name="ds3pctnc">#REF!</definedName>
    <definedName name="ds3pctvc">#REF!</definedName>
    <definedName name="ds3pctvl">#REF!</definedName>
    <definedName name="ds3pmnc">#REF!</definedName>
    <definedName name="ds3pmvc">#REF!</definedName>
    <definedName name="ds3pmvl">#REF!</definedName>
    <definedName name="ds3pnc">#REF!</definedName>
    <definedName name="ds3pvl">#REF!</definedName>
    <definedName name="dsct3pnc">#REF!</definedName>
    <definedName name="dsct3pvl">#REF!</definedName>
    <definedName name="DSD">#REF!</definedName>
    <definedName name="DSDS">#REF!</definedName>
    <definedName name="dset">#REF!</definedName>
    <definedName name="DSKH">#REF!</definedName>
    <definedName name="dskhu">#REF!</definedName>
    <definedName name="dsm">#REF!</definedName>
    <definedName name="Dsoil">#REF!</definedName>
    <definedName name="DSPK1p1nc">#REF!</definedName>
    <definedName name="DSPK1p1vl">#REF!</definedName>
    <definedName name="DSPK1pnc">#REF!</definedName>
    <definedName name="DSPK1pvl">#REF!</definedName>
    <definedName name="DSS">#REF!</definedName>
    <definedName name="DSTD_Clear">#N/A</definedName>
    <definedName name="DSTinh">#REF!</definedName>
    <definedName name="DSUMDATA">#REF!</definedName>
    <definedName name="Dsup">#REF!</definedName>
    <definedName name="dt">#REF!</definedName>
    <definedName name="DT_VKHNN">#REF!</definedName>
    <definedName name="DTBH">#REF!</definedName>
    <definedName name="DTCTANG_BD">#REF!</definedName>
    <definedName name="DTCTANG_HT_BD">#REF!</definedName>
    <definedName name="DTCTANG_HT_KT">#REF!</definedName>
    <definedName name="DTCTANG_KT">#REF!</definedName>
    <definedName name="dtdt">#REF!</definedName>
    <definedName name="DTPM1_Sheet2_List">#REF!</definedName>
    <definedName name="DTXL_Gãi_thÇu_sè_9__Km0_000_Km0_0740">#REF!</definedName>
    <definedName name="Dù__n">#REF!</definedName>
    <definedName name="Du_phong">#REF!</definedName>
    <definedName name="DU_TOAN_CHI_TIET_CONG_TO">#REF!</definedName>
    <definedName name="DU_TOAN_CHI_TIET_DZ0.4KV">#REF!</definedName>
    <definedName name="DU_TOAN_CHI_TIET_DZ22KV">#REF!</definedName>
    <definedName name="DU_TOAN_CHI_TIET_KHO_BAI">#REF!</definedName>
    <definedName name="DU_TOAN_CHI_TIET_TBA">#REF!</definedName>
    <definedName name="ducBTN10">#REF!</definedName>
    <definedName name="DUCKY_CO_CD">#REF!</definedName>
    <definedName name="DUCKY_NO_CD">#REF!</definedName>
    <definedName name="DUDKY_CO_CD">#REF!</definedName>
    <definedName name="DUDKY_NO_CD">#REF!</definedName>
    <definedName name="dui1.5">#REF!</definedName>
    <definedName name="duoi">#REF!</definedName>
    <definedName name="duong">#REF!</definedName>
    <definedName name="Duong_373">#REF!</definedName>
    <definedName name="Duong_tam">#REF!</definedName>
    <definedName name="duong04">#REF!</definedName>
    <definedName name="duong1">#REF!</definedName>
    <definedName name="duong2">#REF!</definedName>
    <definedName name="duong3">#REF!</definedName>
    <definedName name="duong35">#REF!</definedName>
    <definedName name="duong4">#REF!</definedName>
    <definedName name="duong5">#REF!</definedName>
    <definedName name="DurationUOM">#REF!</definedName>
    <definedName name="DUT">#REF!</definedName>
    <definedName name="dutoan">#REF!</definedName>
    <definedName name="DutoanDongmo">#REF!</definedName>
    <definedName name="DV">#REF!</definedName>
    <definedName name="dva.">#REF!</definedName>
    <definedName name="dvb.">#REF!</definedName>
    <definedName name="dvc.">#REF!</definedName>
    <definedName name="dvql">#REF!</definedName>
    <definedName name="dw">#REF!</definedName>
    <definedName name="Dwall">#REF!</definedName>
    <definedName name="DWPRICE" hidden="1">#REF!</definedName>
    <definedName name="DX">#REF!</definedName>
    <definedName name="DX5M">#REF!</definedName>
    <definedName name="dxhnho">#REF!</definedName>
    <definedName name="dxhto">#REF!</definedName>
    <definedName name="DXMT">#REF!</definedName>
    <definedName name="DZ">#REF!</definedName>
    <definedName name="Dz_35">#REF!</definedName>
    <definedName name="DZ6gd1">#REF!</definedName>
    <definedName name="dzgd1">#REF!</definedName>
    <definedName name="dztramtt">#REF!</definedName>
    <definedName name="đtrẻtytyhtytu">#REF!</definedName>
    <definedName name="e">#REF!</definedName>
    <definedName name="ẻ">#REF!</definedName>
    <definedName name="ë">#REF!</definedName>
    <definedName name="e_">#REF!</definedName>
    <definedName name="e__">#REF!</definedName>
    <definedName name="E1.000">#REF!</definedName>
    <definedName name="E1.010">#REF!</definedName>
    <definedName name="E1.020">#REF!</definedName>
    <definedName name="E1.200">#REF!</definedName>
    <definedName name="E1.210">#REF!</definedName>
    <definedName name="E1.220">#REF!</definedName>
    <definedName name="E1.300">#REF!</definedName>
    <definedName name="E1.310">#REF!</definedName>
    <definedName name="E1.320">#REF!</definedName>
    <definedName name="E1.400">#REF!</definedName>
    <definedName name="E1.410">#REF!</definedName>
    <definedName name="E1.420">#REF!</definedName>
    <definedName name="E1.500">#REF!</definedName>
    <definedName name="E1.510">#REF!</definedName>
    <definedName name="E1.520">#REF!</definedName>
    <definedName name="E1.600">#REF!</definedName>
    <definedName name="E1.611">#REF!</definedName>
    <definedName name="E1.631">#REF!</definedName>
    <definedName name="E190.">#REF!</definedName>
    <definedName name="E2.000">#REF!</definedName>
    <definedName name="E2.000A">#REF!</definedName>
    <definedName name="E2.010">#REF!</definedName>
    <definedName name="E2.010A">#REF!</definedName>
    <definedName name="E2.020">#REF!</definedName>
    <definedName name="E2.020A">#REF!</definedName>
    <definedName name="E2.100">#REF!</definedName>
    <definedName name="E2.100A">#REF!</definedName>
    <definedName name="E2.110">#REF!</definedName>
    <definedName name="E2.110A">#REF!</definedName>
    <definedName name="E2.120">#REF!</definedName>
    <definedName name="E2.120A">#REF!</definedName>
    <definedName name="E3.000">#REF!</definedName>
    <definedName name="E3.010">#REF!</definedName>
    <definedName name="E3.020">#REF!</definedName>
    <definedName name="E3.031">#REF!</definedName>
    <definedName name="E3.032">#REF!</definedName>
    <definedName name="E3.033">#REF!</definedName>
    <definedName name="E4.001">#REF!</definedName>
    <definedName name="E4.011">#REF!</definedName>
    <definedName name="E4.021">#REF!</definedName>
    <definedName name="E4.101">#REF!</definedName>
    <definedName name="E4.111">#REF!</definedName>
    <definedName name="E4.121">#REF!</definedName>
    <definedName name="E5.010">#REF!</definedName>
    <definedName name="E5.020">#REF!</definedName>
    <definedName name="E5.030">#REF!</definedName>
    <definedName name="E6.001">#REF!</definedName>
    <definedName name="E6.002">#REF!</definedName>
    <definedName name="E6.011">#REF!</definedName>
    <definedName name="E6.012">#REF!</definedName>
    <definedName name="ë74">#REF!</definedName>
    <definedName name="Ea">#REF!</definedName>
    <definedName name="EARTH">#REF!</definedName>
    <definedName name="Earthwork">#REF!</definedName>
    <definedName name="Eb">#REF!</definedName>
    <definedName name="ec">#REF!</definedName>
    <definedName name="ecb">#REF!</definedName>
    <definedName name="ecx">#REF!</definedName>
    <definedName name="ech">#REF!</definedName>
    <definedName name="EDR">#REF!</definedName>
    <definedName name="ee">#REF!</definedName>
    <definedName name="eeeee">#REF!</definedName>
    <definedName name="EIRR11">#REF!</definedName>
    <definedName name="EIRR22">#REF!</definedName>
    <definedName name="EL2_">#REF!</definedName>
    <definedName name="EL3_">#REF!</definedName>
    <definedName name="EL4_">#REF!</definedName>
    <definedName name="EL5_">#REF!</definedName>
    <definedName name="EL6_">#REF!</definedName>
    <definedName name="ELa">#REF!</definedName>
    <definedName name="ELb">#REF!</definedName>
    <definedName name="ELc">#REF!</definedName>
    <definedName name="elp">#REF!</definedName>
    <definedName name="ELsf">#REF!</definedName>
    <definedName name="ELso">#REF!</definedName>
    <definedName name="emb">#REF!</definedName>
    <definedName name="en">#REF!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tityClassification">#REF!</definedName>
    <definedName name="EntityCriticality">#REF!</definedName>
    <definedName name="EntityLocation">#REF!</definedName>
    <definedName name="EntityStatus">#REF!</definedName>
    <definedName name="EntityType">#REF!</definedName>
    <definedName name="EQI">#REF!</definedName>
    <definedName name="ert">#REF!</definedName>
    <definedName name="Es">#REF!</definedName>
    <definedName name="EVNB">#REF!</definedName>
    <definedName name="EX">#REF!</definedName>
    <definedName name="Ex_L">#REF!</definedName>
    <definedName name="EX_Length_373">#REF!</definedName>
    <definedName name="EXC">#REF!</definedName>
    <definedName name="EXCH">#REF!</definedName>
    <definedName name="_xlnm.Extract">#REF!</definedName>
    <definedName name="ey">#REF!</definedName>
    <definedName name="f">#REF!</definedName>
    <definedName name="f_2">#REF!</definedName>
    <definedName name="f_21">#REF!</definedName>
    <definedName name="f_22">#REF!</definedName>
    <definedName name="f_23">#REF!</definedName>
    <definedName name="f_24">#REF!</definedName>
    <definedName name="f_3">#REF!</definedName>
    <definedName name="f_31">#REF!</definedName>
    <definedName name="f_32">#REF!</definedName>
    <definedName name="F_33">#REF!</definedName>
    <definedName name="f_34">#REF!</definedName>
    <definedName name="f_4">#REF!</definedName>
    <definedName name="f_41">#REF!</definedName>
    <definedName name="f_42">#REF!</definedName>
    <definedName name="f_43">#REF!</definedName>
    <definedName name="f_44">#REF!</definedName>
    <definedName name="f_9a1">#REF!</definedName>
    <definedName name="f_9a2">#REF!</definedName>
    <definedName name="f_9a3">#REF!</definedName>
    <definedName name="f_9a4">#REF!</definedName>
    <definedName name="f_9b1">#REF!</definedName>
    <definedName name="f_9b2">#REF!</definedName>
    <definedName name="f_9b3">#REF!</definedName>
    <definedName name="f_9b4">#REF!</definedName>
    <definedName name="F_CongDon">MAX(#REF!)+#REF!</definedName>
    <definedName name="F_ChonMong" localSheetId="3">IF(LEFT(#REF!,2)="NG",#REF!&amp;[0]!_MongCotNeo&amp;IF(#REF!&gt;12,"a",""),IF(LEFT(#REF!,3)="NCD","2MT-4",VLOOKUP(#REF!,[0]!_Mong,MATCH(#REF!,[0]!KcTieuChuan,0)+1,0)))</definedName>
    <definedName name="F_ChonMong">IF(LEFT(#REF!,2)="NG",#REF!&amp;_MongCotNeo&amp;IF(#REF!&gt;12,"a",""),IF(LEFT(#REF!,3)="NCD","2MT-4",VLOOKUP(#REF!,_Mong,MATCH(#REF!,KcTieuChuan,0)+1,0)))</definedName>
    <definedName name="F0.000">#REF!</definedName>
    <definedName name="F0.010">#REF!</definedName>
    <definedName name="F0.020">#REF!</definedName>
    <definedName name="F0.100">#REF!</definedName>
    <definedName name="F0.110">#REF!</definedName>
    <definedName name="F0.120">#REF!</definedName>
    <definedName name="F0.200">#REF!</definedName>
    <definedName name="F0.210">#REF!</definedName>
    <definedName name="F0.220">#REF!</definedName>
    <definedName name="F0.300">#REF!</definedName>
    <definedName name="F0.310">#REF!</definedName>
    <definedName name="F0.320">#REF!</definedName>
    <definedName name="F1.000">#REF!</definedName>
    <definedName name="F1.010">#REF!</definedName>
    <definedName name="F1.020">#REF!</definedName>
    <definedName name="F1.100">#REF!</definedName>
    <definedName name="F1.110">#REF!</definedName>
    <definedName name="F1.120">#REF!</definedName>
    <definedName name="F1.130">#REF!</definedName>
    <definedName name="F1.140">#REF!</definedName>
    <definedName name="F1.150">#REF!</definedName>
    <definedName name="F2.001">#REF!</definedName>
    <definedName name="F2.011">#REF!</definedName>
    <definedName name="F2.021">#REF!</definedName>
    <definedName name="F2.031">#REF!</definedName>
    <definedName name="F2.041">#REF!</definedName>
    <definedName name="F2.051">#REF!</definedName>
    <definedName name="F2.052">#REF!</definedName>
    <definedName name="F2.061">#REF!</definedName>
    <definedName name="F2.071">#REF!</definedName>
    <definedName name="F2.101">#REF!</definedName>
    <definedName name="F2.111">#REF!</definedName>
    <definedName name="F2.121">#REF!</definedName>
    <definedName name="F2.131">#REF!</definedName>
    <definedName name="F2.141">#REF!</definedName>
    <definedName name="F2.200">#REF!</definedName>
    <definedName name="F2.210">#REF!</definedName>
    <definedName name="F2.220">#REF!</definedName>
    <definedName name="F2.230">#REF!</definedName>
    <definedName name="F2.240">#REF!</definedName>
    <definedName name="F2.250">#REF!</definedName>
    <definedName name="F2.300">#REF!</definedName>
    <definedName name="F2.310">#REF!</definedName>
    <definedName name="F2.320">#REF!</definedName>
    <definedName name="F3.000">#REF!</definedName>
    <definedName name="F3.010">#REF!</definedName>
    <definedName name="F3.020">#REF!</definedName>
    <definedName name="F3.030">#REF!</definedName>
    <definedName name="F3.100">#REF!</definedName>
    <definedName name="F3.110">#REF!</definedName>
    <definedName name="F3.120">#REF!</definedName>
    <definedName name="F3.130">#REF!</definedName>
    <definedName name="F4.000">#REF!</definedName>
    <definedName name="F4.010">#REF!</definedName>
    <definedName name="F4.020">#REF!</definedName>
    <definedName name="F4.030">#REF!</definedName>
    <definedName name="F4.100">#REF!</definedName>
    <definedName name="F4.120">#REF!</definedName>
    <definedName name="F4.140">#REF!</definedName>
    <definedName name="F4.160">#REF!</definedName>
    <definedName name="F4.200">#REF!</definedName>
    <definedName name="F4.220">#REF!</definedName>
    <definedName name="F4.240">#REF!</definedName>
    <definedName name="F4.260">#REF!</definedName>
    <definedName name="F4.300">#REF!</definedName>
    <definedName name="F4.320">#REF!</definedName>
    <definedName name="F4.340">#REF!</definedName>
    <definedName name="F4.400">#REF!</definedName>
    <definedName name="F4.420">#REF!</definedName>
    <definedName name="F4.440">#REF!</definedName>
    <definedName name="F4.500">#REF!</definedName>
    <definedName name="F4.530">#REF!</definedName>
    <definedName name="F4.550">#REF!</definedName>
    <definedName name="F4.570">#REF!</definedName>
    <definedName name="F4.600">#REF!</definedName>
    <definedName name="F4.610">#REF!</definedName>
    <definedName name="F4.620">#REF!</definedName>
    <definedName name="F4.700">#REF!</definedName>
    <definedName name="F4.730">#REF!</definedName>
    <definedName name="F4.740">#REF!</definedName>
    <definedName name="F4.800">#REF!</definedName>
    <definedName name="F4.830">#REF!</definedName>
    <definedName name="F4.840">#REF!</definedName>
    <definedName name="F5.01">#REF!</definedName>
    <definedName name="F5.02">#REF!</definedName>
    <definedName name="F5.03">#REF!</definedName>
    <definedName name="F5.04">#REF!</definedName>
    <definedName name="F5.05">#REF!</definedName>
    <definedName name="F5.11">#REF!</definedName>
    <definedName name="F5.12">#REF!</definedName>
    <definedName name="F5.13">#REF!</definedName>
    <definedName name="F5.14">#REF!</definedName>
    <definedName name="F5.15">#REF!</definedName>
    <definedName name="F6.001">#REF!</definedName>
    <definedName name="F6.002">#REF!</definedName>
    <definedName name="F6.003">#REF!</definedName>
    <definedName name="F6.004">#REF!</definedName>
    <definedName name="f82E46">#REF!</definedName>
    <definedName name="f92F56">#REF!</definedName>
    <definedName name="fa">#REF!</definedName>
    <definedName name="fáaafafaf" localSheetId="3" hidden="1">{"'Sheet1'!$L$16"}</definedName>
    <definedName name="fáaafafaf" hidden="1">{"'Sheet1'!$L$16"}</definedName>
    <definedName name="FACTOR">#REF!</definedName>
    <definedName name="FADKJF" localSheetId="3" hidden="1">{"'Sheet1'!$L$16"}</definedName>
    <definedName name="FADKJF" hidden="1">{"'Sheet1'!$L$16"}</definedName>
    <definedName name="faf">#REF!</definedName>
    <definedName name="fasfaga" localSheetId="3" hidden="1">{"'Sheet1'!$L$16"}</definedName>
    <definedName name="fasfaga" hidden="1">{"'Sheet1'!$L$16"}</definedName>
    <definedName name="Fax">#REF!</definedName>
    <definedName name="Fay">#REF!</definedName>
    <definedName name="fb">#REF!</definedName>
    <definedName name="fbsdggdsf" localSheetId="3">{"DZ-TDTB2.XLS","Dcksat.xls"}</definedName>
    <definedName name="fbsdggdsf">{"DZ-TDTB2.XLS","Dcksat.xls"}</definedName>
    <definedName name="fc">#REF!</definedName>
    <definedName name="fÇ" localSheetId="3" hidden="1">{"'Sheet1'!$L$16"}</definedName>
    <definedName name="fÇ" hidden="1">{"'Sheet1'!$L$16"}</definedName>
    <definedName name="fc.">#REF!</definedName>
    <definedName name="fc_">#REF!</definedName>
    <definedName name="FC_TOTAL">#REF!</definedName>
    <definedName name="FC5_total">#REF!</definedName>
    <definedName name="FC6_total">#REF!</definedName>
    <definedName name="fd">#REF!</definedName>
    <definedName name="Fdaymong">#REF!</definedName>
    <definedName name="fddd">#REF!</definedName>
    <definedName name="FDR">#REF!</definedName>
    <definedName name="fdsfsdfd" localSheetId="3" hidden="1">{"'Sheet1'!$L$16"}</definedName>
    <definedName name="fdsfsdfd" hidden="1">{"'Sheet1'!$L$16"}</definedName>
    <definedName name="FF">#REF!</definedName>
    <definedName name="FFF" localSheetId="3">BlankMacro1</definedName>
    <definedName name="FFF">BlankMacro1</definedName>
    <definedName name="FFFF">#REF!</definedName>
    <definedName name="fffffffffffffff" localSheetId="3" hidden="1">{"'Sheet1'!$L$16"}</definedName>
    <definedName name="fffffffffffffff" hidden="1">{"'Sheet1'!$L$16"}</definedName>
    <definedName name="Fg">#REF!</definedName>
    <definedName name="fghgjhgjhk">#REF!</definedName>
    <definedName name="fhgfjhjhkjh" localSheetId="3" hidden="1">{"'QT tong hop'!$B$7"}</definedName>
    <definedName name="fhgfjhjhkjh" hidden="1">{"'QT tong hop'!$B$7"}</definedName>
    <definedName name="Fi">#REF!</definedName>
    <definedName name="FI_12">4820</definedName>
    <definedName name="finclb">#REF!</definedName>
    <definedName name="fine">#REF!</definedName>
    <definedName name="FinishWork">#REF!</definedName>
    <definedName name="FinTT">#REF!</definedName>
    <definedName name="FinXL">#REF!</definedName>
    <definedName name="FIT" localSheetId="3">BlankMacro1</definedName>
    <definedName name="FIT">BlankMacro1</definedName>
    <definedName name="Fitb">#REF!</definedName>
    <definedName name="FITT2" localSheetId="3">BlankMacro1</definedName>
    <definedName name="FITT2">BlankMacro1</definedName>
    <definedName name="FITTING2" localSheetId="3">BlankMacro1</definedName>
    <definedName name="FITTING2">BlankMacro1</definedName>
    <definedName name="fj">#REF!</definedName>
    <definedName name="fjh">#REF!</definedName>
    <definedName name="fjhghjkjhkj">#REF!</definedName>
    <definedName name="FlexZZ">#REF!</definedName>
    <definedName name="FLG" localSheetId="3">BlankMacro1</definedName>
    <definedName name="FLG">BlankMacro1</definedName>
    <definedName name="FO">#N/A</definedName>
    <definedName name="FORK">#REF!</definedName>
    <definedName name="Foundation">#REF!</definedName>
    <definedName name="FP">#REF!</definedName>
    <definedName name="fpa">#REF!</definedName>
    <definedName name="fpc">#REF!</definedName>
    <definedName name="fpe">#REF!</definedName>
    <definedName name="fpf">#REF!</definedName>
    <definedName name="fpj">#REF!</definedName>
    <definedName name="fps">#REF!</definedName>
    <definedName name="fpu">#REF!</definedName>
    <definedName name="fs">#REF!</definedName>
    <definedName name="fsdfdsf" localSheetId="3" hidden="1">{"'Sheet1'!$L$16"}</definedName>
    <definedName name="fsdfdsf" hidden="1">{"'Sheet1'!$L$16"}</definedName>
    <definedName name="fses">#REF!</definedName>
    <definedName name="fuji">#REF!</definedName>
    <definedName name="Full">#REF!</definedName>
    <definedName name="fy">#REF!</definedName>
    <definedName name="fy.">#REF!</definedName>
    <definedName name="Fy_">#REF!</definedName>
    <definedName name="fys">#REF!</definedName>
    <definedName name="G">#REF!</definedName>
    <definedName name="g_">#REF!</definedName>
    <definedName name="G_C">#REF!</definedName>
    <definedName name="G_ME">#REF!</definedName>
    <definedName name="G0.000">#REF!</definedName>
    <definedName name="G0.010">#REF!</definedName>
    <definedName name="G0.020">#REF!</definedName>
    <definedName name="G0.100">#REF!</definedName>
    <definedName name="G0.110">#REF!</definedName>
    <definedName name="G0.120">#REF!</definedName>
    <definedName name="g1.">#REF!</definedName>
    <definedName name="G1.000">#REF!</definedName>
    <definedName name="G1.011">#REF!</definedName>
    <definedName name="G1.021">#REF!</definedName>
    <definedName name="G1.031">#REF!</definedName>
    <definedName name="G1.041">#REF!</definedName>
    <definedName name="G1.051">#REF!</definedName>
    <definedName name="g2.">#REF!</definedName>
    <definedName name="G2.000">#REF!</definedName>
    <definedName name="G2.010">#REF!</definedName>
    <definedName name="G2.020">#REF!</definedName>
    <definedName name="G2.030">#REF!</definedName>
    <definedName name="G3.000">#REF!</definedName>
    <definedName name="G3.011">#REF!</definedName>
    <definedName name="G3.021">#REF!</definedName>
    <definedName name="G3.031">#REF!</definedName>
    <definedName name="G3.041">#REF!</definedName>
    <definedName name="G3.100">#REF!</definedName>
    <definedName name="G3.111">#REF!</definedName>
    <definedName name="G3.121">#REF!</definedName>
    <definedName name="G3.131">#REF!</definedName>
    <definedName name="G3.141">#REF!</definedName>
    <definedName name="G3.201">#REF!</definedName>
    <definedName name="G3.211">#REF!</definedName>
    <definedName name="G3.221">#REF!</definedName>
    <definedName name="G3.231">#REF!</definedName>
    <definedName name="G3.241">#REF!</definedName>
    <definedName name="G3.301">#REF!</definedName>
    <definedName name="G3.311">#REF!</definedName>
    <definedName name="G3.321">#REF!</definedName>
    <definedName name="G3.331">#REF!</definedName>
    <definedName name="G3.341">#REF!</definedName>
    <definedName name="G4.000">#REF!</definedName>
    <definedName name="G4.010">#REF!</definedName>
    <definedName name="G4.020">#REF!</definedName>
    <definedName name="G4.030">#REF!</definedName>
    <definedName name="G4.040">#REF!</definedName>
    <definedName name="G4.101">#REF!</definedName>
    <definedName name="G4.111">#REF!</definedName>
    <definedName name="G4.121">#REF!</definedName>
    <definedName name="G4.131">#REF!</definedName>
    <definedName name="G4.141">#REF!</definedName>
    <definedName name="G4.151">#REF!</definedName>
    <definedName name="G4.161">#REF!</definedName>
    <definedName name="G4.171">#REF!</definedName>
    <definedName name="G4.200">#REF!</definedName>
    <definedName name="G4.210">#REF!</definedName>
    <definedName name="G4.220">#REF!</definedName>
    <definedName name="g40g40">#REF!</definedName>
    <definedName name="Ga">#REF!</definedName>
    <definedName name="gach">#REF!</definedName>
    <definedName name="gachblock">#REF!</definedName>
    <definedName name="gachlat">#REF!</definedName>
    <definedName name="gachllatnen30x30">#REF!</definedName>
    <definedName name="gachllatnen40x40">#REF!</definedName>
    <definedName name="gachllatnen50x50">#REF!</definedName>
    <definedName name="gachxay">#REF!</definedName>
    <definedName name="GAHT">#REF!</definedName>
    <definedName name="gama">#REF!</definedName>
    <definedName name="gamatc">#REF!</definedName>
    <definedName name="gas">#REF!</definedName>
    <definedName name="Gb">#REF!</definedName>
    <definedName name="gc">#REF!</definedName>
    <definedName name="GC_CT">#REF!</definedName>
    <definedName name="GC_CT1">#REF!</definedName>
    <definedName name="GC_DN">#REF!</definedName>
    <definedName name="GC_HT">#REF!</definedName>
    <definedName name="GC_TD">#REF!</definedName>
    <definedName name="gcHT">#REF!</definedName>
    <definedName name="gcm">#REF!</definedName>
    <definedName name="GCP">#REF!</definedName>
    <definedName name="gcuoc">#REF!</definedName>
    <definedName name="gchi">#REF!</definedName>
    <definedName name="gd">#REF!</definedName>
    <definedName name="GD_1">#REF!</definedName>
    <definedName name="GD_2">#REF!</definedName>
    <definedName name="gdfgdfgdf" localSheetId="3" hidden="1">{"'Sheet1'!$L$16"}</definedName>
    <definedName name="gdfgdfgdf" hidden="1">{"'Sheet1'!$L$16"}</definedName>
    <definedName name="GdoanName">#REF!</definedName>
    <definedName name="geff">#REF!</definedName>
    <definedName name="geo">#REF!</definedName>
    <definedName name="GETVAR">#REF!</definedName>
    <definedName name="gf">#REF!</definedName>
    <definedName name="gg">#REF!</definedName>
    <definedName name="GGG" localSheetId="3" hidden="1">{"'Sheet1'!$L$16"}</definedName>
    <definedName name="GGG" hidden="1">{"'Sheet1'!$L$16"}</definedName>
    <definedName name="ghghh">#REF!</definedName>
    <definedName name="ghip">#REF!</definedName>
    <definedName name="gkGTGT">#REF!</definedName>
    <definedName name="gl3p">#REF!</definedName>
    <definedName name="Glazing">#REF!</definedName>
    <definedName name="glc">#REF!</definedName>
    <definedName name="gld">#REF!</definedName>
    <definedName name="gnc">#REF!</definedName>
    <definedName name="Gnd">#REF!</definedName>
    <definedName name="gnl">#REF!</definedName>
    <definedName name="Go">#REF!</definedName>
    <definedName name="GoBack" localSheetId="3">#REF!</definedName>
    <definedName name="GoBack">#REF!</definedName>
    <definedName name="goc">#REF!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cTieuChuan">#REF!</definedName>
    <definedName name="gochong">#REF!</definedName>
    <definedName name="govan">#REF!</definedName>
    <definedName name="GPT_GROUNDING_PT">#REF!</definedName>
    <definedName name="grC">#REF!</definedName>
    <definedName name="grD">#REF!</definedName>
    <definedName name="GRFICM">#REF!</definedName>
    <definedName name="Groups">#REF!</definedName>
    <definedName name="gs">#REF!</definedName>
    <definedName name="gse">#REF!</definedName>
    <definedName name="gsktxd" localSheetId="3">#REF!</definedName>
    <definedName name="gsktxd">#REF!</definedName>
    <definedName name="GT">#REF!</definedName>
    <definedName name="Gtb">#REF!</definedName>
    <definedName name="gtbt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localSheetId="3" hidden="1">{"'Sheet1'!$L$16"}</definedName>
    <definedName name="GTOTAL" hidden="1">{"'Sheet1'!$L$16"}</definedName>
    <definedName name="gtst">#REF!</definedName>
    <definedName name="GTTS">#REF!</definedName>
    <definedName name="GTXL">#REF!</definedName>
    <definedName name="Gthe">#REF!</definedName>
    <definedName name="GTRI">#REF!</definedName>
    <definedName name="gu">#REF!</definedName>
    <definedName name="gv">#REF!</definedName>
    <definedName name="gvl">#REF!</definedName>
    <definedName name="GVL_LDT">#REF!</definedName>
    <definedName name="gvt">#REF!</definedName>
    <definedName name="Gxl">#REF!</definedName>
    <definedName name="gxltt">#REF!</definedName>
    <definedName name="gxm">#REF!</definedName>
    <definedName name="gia">#REF!</definedName>
    <definedName name="Gia_ban_dien_sc">#REF!</definedName>
    <definedName name="Gia_ban_dien_tc">#REF!</definedName>
    <definedName name="Gia_CT">#REF!</definedName>
    <definedName name="GIA_CU_LY_VAN_CHUYEN">#REF!</definedName>
    <definedName name="GIA_LANGSON">#REF!</definedName>
    <definedName name="gia_tien">#REF!</definedName>
    <definedName name="gia_tien_BTN">#REF!</definedName>
    <definedName name="GIA_THANH_VAN_CHUYEN_1M3_BE_TONG">#REF!</definedName>
    <definedName name="Gia_VT">#REF!</definedName>
    <definedName name="GIA_XEPANGHIENG_Q">#REF!</definedName>
    <definedName name="Giaban">#REF!</definedName>
    <definedName name="GiabanSP">#REF!</definedName>
    <definedName name="giabq">#REF!</definedName>
    <definedName name="giaca">#REF!</definedName>
    <definedName name="giacong">#REF!</definedName>
    <definedName name="giaD10">#REF!</definedName>
    <definedName name="giaD12_22">#REF!</definedName>
    <definedName name="giadauthegioi2010">#REF!</definedName>
    <definedName name="giadauthegioi2011">#REF!</definedName>
    <definedName name="giadauthegioi2012">#REF!</definedName>
    <definedName name="giadien">#REF!</definedName>
    <definedName name="GiaHaNoiT2_2002_Q">#REF!</definedName>
    <definedName name="Giai__o_n">#REF!</definedName>
    <definedName name="Giai_doan">#REF!</definedName>
    <definedName name="gianuoc">#REF!</definedName>
    <definedName name="giatbco">#REF!</definedName>
    <definedName name="giatbdien">#REF!</definedName>
    <definedName name="Giathitruong">#REF!</definedName>
    <definedName name="GIAVL_TRALY">#REF!</definedName>
    <definedName name="GIAVLIEUTN">#REF!</definedName>
    <definedName name="giaxangda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v">#REF!</definedName>
    <definedName name="gica_ngio">#REF!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pa5">#REF!</definedName>
    <definedName name="h" localSheetId="3" hidden="1">{"'Sheet1'!$L$16"}</definedName>
    <definedName name="h" hidden="1">{"'Sheet1'!$L$16"}</definedName>
    <definedName name="H.">#REF!</definedName>
    <definedName name="h.2">#REF!</definedName>
    <definedName name="h_">#REF!</definedName>
    <definedName name="h__">#REF!</definedName>
    <definedName name="h_0">#REF!</definedName>
    <definedName name="H_1">#REF!</definedName>
    <definedName name="H_2">#REF!</definedName>
    <definedName name="H_3">#REF!</definedName>
    <definedName name="H_THUCTT">#REF!</definedName>
    <definedName name="H_THUCHTHH">#REF!</definedName>
    <definedName name="H0.001">#REF!</definedName>
    <definedName name="H0.011">#REF!</definedName>
    <definedName name="H0.021">#REF!</definedName>
    <definedName name="H0.031">#REF!</definedName>
    <definedName name="h1.">#REF!</definedName>
    <definedName name="h1_">#REF!</definedName>
    <definedName name="h18x">#REF!</definedName>
    <definedName name="H1cb">#REF!</definedName>
    <definedName name="h2.">#REF!</definedName>
    <definedName name="h2_">#REF!</definedName>
    <definedName name="H2canh">#REF!</definedName>
    <definedName name="H2cb">#REF!</definedName>
    <definedName name="h3.">#REF!</definedName>
    <definedName name="h3_">#REF!</definedName>
    <definedName name="h30x">#REF!</definedName>
    <definedName name="H3canh">#REF!</definedName>
    <definedName name="h4.">#REF!</definedName>
    <definedName name="h4_">#REF!</definedName>
    <definedName name="h5.">#REF!</definedName>
    <definedName name="h5_">#REF!</definedName>
    <definedName name="h6.">#REF!</definedName>
    <definedName name="h6_">#REF!</definedName>
    <definedName name="h7.5">#REF!</definedName>
    <definedName name="h7_">#REF!</definedName>
    <definedName name="h8.5">#REF!</definedName>
    <definedName name="Ha">#REF!</definedName>
    <definedName name="ha.">#REF!</definedName>
    <definedName name="hai" localSheetId="3" hidden="1">{"'Sheet1'!$L$16"}</definedName>
    <definedName name="hai" hidden="1">{"'Sheet1'!$L$16"}</definedName>
    <definedName name="Hamyen">#REF!</definedName>
    <definedName name="han">#REF!</definedName>
    <definedName name="Hanoi">#REF!</definedName>
    <definedName name="hangmuc">#REF!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#REF!</definedName>
    <definedName name="hb.">#REF!</definedName>
    <definedName name="hba">#REF!</definedName>
    <definedName name="HBC">#REF!</definedName>
    <definedName name="Hbe">#REF!</definedName>
    <definedName name="HBL">#REF!</definedName>
    <definedName name="hbon">#REF!</definedName>
    <definedName name="hc">#REF!</definedName>
    <definedName name="hc.">#REF!</definedName>
    <definedName name="Hcb">#REF!</definedName>
    <definedName name="hcg">#REF!</definedName>
    <definedName name="HCM">#REF!</definedName>
    <definedName name="HCNA" localSheetId="3" hidden="1">{"'Sheet1'!$L$16"}</definedName>
    <definedName name="HCNA" hidden="1">{"'Sheet1'!$L$16"}</definedName>
    <definedName name="HCNT">#REF!</definedName>
    <definedName name="HCPH">#REF!</definedName>
    <definedName name="HCS">#REF!</definedName>
    <definedName name="HCU">#REF!</definedName>
    <definedName name="HCHANH1">#REF!</definedName>
    <definedName name="hd">#REF!</definedName>
    <definedName name="HDC">#REF!</definedName>
    <definedName name="HDCCT">#REF!</definedName>
    <definedName name="HDCD">#REF!</definedName>
    <definedName name="HDGT">#REF!</definedName>
    <definedName name="HDGTN">#REF!</definedName>
    <definedName name="Hdinh">#N/A</definedName>
    <definedName name="hdong">#REF!</definedName>
    <definedName name="Hdt">#REF!</definedName>
    <definedName name="HDU">#REF!</definedName>
    <definedName name="He">#REF!</definedName>
    <definedName name="He_so">#REF!</definedName>
    <definedName name="He_So_Bat_Loi">#REF!</definedName>
    <definedName name="HE_SO_KHO_KHAN_CANG_DAY">#REF!</definedName>
    <definedName name="Heä_soá_laép_xaø_H">1.7</definedName>
    <definedName name="heä_soá_sình_laày">#REF!</definedName>
    <definedName name="HEADDAYA3">#REF!,#REF!,#REF!,#REF!,#REF!,#REF!,#REF!,#REF!,#REF!,#REF!,#REF!,#REF!,#REF!</definedName>
    <definedName name="HEADDAYA4">#REF!,#REF!,#REF!,#REF!,#REF!,#REF!,#REF!,#REF!,#REF!,#REF!,#REF!,#REF!,#REF!,#REF!,#REF!,#REF!,#REF!</definedName>
    <definedName name="HEADWEEKA3">#REF!,#REF!,#REF!,#REF!,#REF!,#REF!,#REF!,#REF!,#REF!,#REF!,#REF!,#REF!</definedName>
    <definedName name="HEADWEEKA4">#REF!,#REF!,#REF!,#REF!,#REF!,#REF!,#REF!,#REF!,#REF!,#REF!,#REF!,#REF!</definedName>
    <definedName name="Hello">#REF!</definedName>
    <definedName name="Heso1">#REF!</definedName>
    <definedName name="hethonglanh">#REF!</definedName>
    <definedName name="hethongthoatnuocngoainha" hidden="1">#REF!</definedName>
    <definedName name="Hg">#REF!</definedName>
    <definedName name="HH">#REF!</definedName>
    <definedName name="HH15HT">#REF!</definedName>
    <definedName name="HH16HT">#REF!</definedName>
    <definedName name="HH19HT">#REF!</definedName>
    <definedName name="HH20HT">#REF!</definedName>
    <definedName name="hhaa">#REF!</definedName>
    <definedName name="hhai">#REF!</definedName>
    <definedName name="HHcat">#REF!</definedName>
    <definedName name="hhcv">#REF!</definedName>
    <definedName name="HHda">#REF!</definedName>
    <definedName name="hhda4x6">#REF!</definedName>
    <definedName name="hhhh">#REF!</definedName>
    <definedName name="hhhhhhhhhhhh">#REF!</definedName>
    <definedName name="HHIC">#REF!</definedName>
    <definedName name="hhsc">#REF!</definedName>
    <definedName name="HHT">#REF!</definedName>
    <definedName name="hhtd">#REF!</definedName>
    <definedName name="HHTT">#REF!</definedName>
    <definedName name="hhxm">#REF!</definedName>
    <definedName name="hien">#REF!</definedName>
    <definedName name="Hinh_thuc">#REF!</definedName>
    <definedName name="hjjkl" localSheetId="3" hidden="1">{"'Sheet1'!$L$16"}</definedName>
    <definedName name="hjjkl" hidden="1">{"'Sheet1'!$L$16"}</definedName>
    <definedName name="hjxghji" localSheetId="3">BlankMacro1</definedName>
    <definedName name="hjxghji">BlankMacro1</definedName>
    <definedName name="HKE">#REF!</definedName>
    <definedName name="HKL">#REF!</definedName>
    <definedName name="HKLHI">#REF!</definedName>
    <definedName name="HKLL">#REF!</definedName>
    <definedName name="HKLLLO">#REF!</definedName>
    <definedName name="hl">#REF!</definedName>
    <definedName name="HLC">#REF!</definedName>
    <definedName name="HLIC">#REF!</definedName>
    <definedName name="hlp.">#REF!</definedName>
    <definedName name="HLU">#REF!</definedName>
    <definedName name="HLW">#REF!</definedName>
    <definedName name="HM">#REF!</definedName>
    <definedName name="Hmong">#N/A</definedName>
    <definedName name="hmot">#REF!</definedName>
    <definedName name="hn">#REF!</definedName>
    <definedName name="hnc">#REF!</definedName>
    <definedName name="Ho">#REF!</definedName>
    <definedName name="HO_SO_DU_THAU_DZ0.4">#REF!</definedName>
    <definedName name="hoc">55000</definedName>
    <definedName name="HOME_MANP">#REF!</definedName>
    <definedName name="HOMEOFFICE_COST">#REF!</definedName>
    <definedName name="Hoten">#REF!</definedName>
    <definedName name="House">#REF!</definedName>
    <definedName name="hp">#REF!</definedName>
    <definedName name="Hpl">#REF!</definedName>
    <definedName name="HR">#REF!</definedName>
    <definedName name="hr_">#REF!</definedName>
    <definedName name="HRC">#REF!</definedName>
    <definedName name="HS">#REF!</definedName>
    <definedName name="HS_may">#REF!</definedName>
    <definedName name="hs_vt">#REF!</definedName>
    <definedName name="HSBDVC">#REF!</definedName>
    <definedName name="hsbn">#REF!</definedName>
    <definedName name="Hsc">#REF!</definedName>
    <definedName name="HSCPC">#REF!</definedName>
    <definedName name="HSCT3">0.1</definedName>
    <definedName name="HSCTMR">#REF!</definedName>
    <definedName name="hsd">#REF!</definedName>
    <definedName name="hsdc">#REF!</definedName>
    <definedName name="hsdc1">#REF!</definedName>
    <definedName name="HSDD">#REF!</definedName>
    <definedName name="HSDN">2.5</definedName>
    <definedName name="hsdt">#REF!</definedName>
    <definedName name="hSF">#REF!</definedName>
    <definedName name="HSGG">#REF!</definedName>
    <definedName name="HSHH">#REF!</definedName>
    <definedName name="HSHHUT">#REF!</definedName>
    <definedName name="hsk">#REF!</definedName>
    <definedName name="HSKD">#REF!</definedName>
    <definedName name="HSKK">#REF!</definedName>
    <definedName name="hskk1">#REF!</definedName>
    <definedName name="HSKK35">#REF!</definedName>
    <definedName name="HSKVXL_MTC">#REF!</definedName>
    <definedName name="HSKVXL_NC">#REF!</definedName>
    <definedName name="hskhac">#REF!</definedName>
    <definedName name="HSlanxe">#REF!</definedName>
    <definedName name="HSLX">#REF!</definedName>
    <definedName name="HSLXH">1.7</definedName>
    <definedName name="HSLXP">#REF!</definedName>
    <definedName name="hsm">#REF!</definedName>
    <definedName name="HSMTC">#REF!</definedName>
    <definedName name="HSNC">#REF!</definedName>
    <definedName name="hsnc_cau2">1.626</definedName>
    <definedName name="hsnc_d">1.6356</definedName>
    <definedName name="hsnc_d2">1.6356</definedName>
    <definedName name="hso">#REF!</definedName>
    <definedName name="HSSL">#REF!</definedName>
    <definedName name="hßm4">#REF!</definedName>
    <definedName name="hstb">#REF!</definedName>
    <definedName name="hstdtk">#REF!</definedName>
    <definedName name="HSTK">#REF!</definedName>
    <definedName name="hsthep">#REF!</definedName>
    <definedName name="HSTHUE">#REF!</definedName>
    <definedName name="HSVAT">#REF!</definedName>
    <definedName name="HSVC1">#REF!</definedName>
    <definedName name="HSVC2">#REF!</definedName>
    <definedName name="HSVC3">#REF!</definedName>
    <definedName name="HsVCVLTH">#REF!</definedName>
    <definedName name="hsvl">#REF!</definedName>
    <definedName name="HT">#REF!</definedName>
    <definedName name="ht25nc">#REF!</definedName>
    <definedName name="ht25vl">#REF!</definedName>
    <definedName name="ht325nc">#REF!</definedName>
    <definedName name="ht325vl">#REF!</definedName>
    <definedName name="ht37k">#REF!</definedName>
    <definedName name="ht37nc">#REF!</definedName>
    <definedName name="ht50nc">#REF!</definedName>
    <definedName name="ht50vl">#REF!</definedName>
    <definedName name="Htai">#REF!</definedName>
    <definedName name="HTBVCap">#REF!</definedName>
    <definedName name="HTD">#REF!</definedName>
    <definedName name="htlm" localSheetId="3" hidden="1">{"'Sheet1'!$L$16"}</definedName>
    <definedName name="htlm" hidden="1">{"'Sheet1'!$L$16"}</definedName>
    <definedName name="HTML_CodePage" hidden="1">1252</definedName>
    <definedName name="HTML_Control" localSheetId="3" hidden="1">{"'QT tong hop'!$B$7"}</definedName>
    <definedName name="HTML_Control" hidden="1">{"'QT tong hop'!$B$7"}</definedName>
    <definedName name="HTML_Description" hidden="1">""</definedName>
    <definedName name="HTML_Email" hidden="1">""</definedName>
    <definedName name="HTML_Header" hidden="1">"QT tong hop"</definedName>
    <definedName name="HTML_LastUpdate" hidden="1">"26/02/02"</definedName>
    <definedName name="HTML_LineAfter" hidden="1">FALSE</definedName>
    <definedName name="HTML_LineBefore" hidden="1">FALSE</definedName>
    <definedName name="HTML_Name" hidden="1">"Xi Nghiep Xay Lap 301"</definedName>
    <definedName name="HTML_OBDlg2" hidden="1">TRUE</definedName>
    <definedName name="HTML_OBDlg4" hidden="1">TRUE</definedName>
    <definedName name="HTML_OS" hidden="1">0</definedName>
    <definedName name="HTML_PathFile" hidden="1">"C:\2002\hung\PCCC.htm"</definedName>
    <definedName name="HTML_Title" hidden="1">"HETHON~1"</definedName>
    <definedName name="HTN">#REF!</definedName>
    <definedName name="HTNC">#REF!</definedName>
    <definedName name="HTS">#REF!</definedName>
    <definedName name="HTU">#REF!</definedName>
    <definedName name="HTVL">#REF!</definedName>
    <definedName name="Hthan">#N/A</definedName>
    <definedName name="HTHH">#REF!</definedName>
    <definedName name="hu" localSheetId="3" hidden="1">{"'Sheet1'!$L$16"}</definedName>
    <definedName name="hu" hidden="1">{"'Sheet1'!$L$16"}</definedName>
    <definedName name="hui" localSheetId="3" hidden="1">{"'Sheet1'!$L$16"}</definedName>
    <definedName name="hui" hidden="1">{"'Sheet1'!$L$16"}</definedName>
    <definedName name="huong">#REF!</definedName>
    <definedName name="huy" localSheetId="3" hidden="1">{"'Sheet1'!$L$16"}</definedName>
    <definedName name="huy" hidden="1">{"'Sheet1'!$L$16"}</definedName>
    <definedName name="huyen" localSheetId="3" hidden="1">{"'Sheet1'!$L$16"}</definedName>
    <definedName name="huyen" hidden="1">{"'Sheet1'!$L$16"}</definedName>
    <definedName name="huynh">#REF!</definedName>
    <definedName name="HV">#REF!</definedName>
    <definedName name="Hvb">#REF!</definedName>
    <definedName name="HVBC">#REF!</definedName>
    <definedName name="HVC">#REF!</definedName>
    <definedName name="HVL">#REF!</definedName>
    <definedName name="HVP">#REF!</definedName>
    <definedName name="hw">#REF!</definedName>
    <definedName name="hy">#REF!</definedName>
    <definedName name="i">#REF!</definedName>
    <definedName name="I_A">#REF!</definedName>
    <definedName name="I_B">#REF!</definedName>
    <definedName name="I_c">#REF!</definedName>
    <definedName name="I2É6">#REF!</definedName>
    <definedName name="I757.">#REF!</definedName>
    <definedName name="iakhinamconson">#REF!</definedName>
    <definedName name="Ic">#REF!</definedName>
    <definedName name="iCount">3</definedName>
    <definedName name="IDLAB_COST">#REF!</definedName>
    <definedName name="Idm">#REF!</definedName>
    <definedName name="igd">#REF!</definedName>
    <definedName name="igs">#REF!</definedName>
    <definedName name="II_A">#REF!</definedName>
    <definedName name="II_B">#REF!</definedName>
    <definedName name="II_c">#REF!</definedName>
    <definedName name="III_a">#REF!</definedName>
    <definedName name="III_B">#REF!</definedName>
    <definedName name="III_c">#REF!</definedName>
    <definedName name="im.">#REF!</definedName>
    <definedName name="Impact">#REF!</definedName>
    <definedName name="IND_LAB">#REF!</definedName>
    <definedName name="index">#REF!</definedName>
    <definedName name="INDMANP">#REF!</definedName>
    <definedName name="INF">#REF!</definedName>
    <definedName name="InfoDialog">"Dialogfeldrahmen 1"</definedName>
    <definedName name="inputCosti">#REF!</definedName>
    <definedName name="inputLf">#REF!</definedName>
    <definedName name="inputWTP">#REF!</definedName>
    <definedName name="INT">#REF!</definedName>
    <definedName name="Interim">#REF!</definedName>
    <definedName name="Interim1">#REF!</definedName>
    <definedName name="InteriorWork">#REF!</definedName>
    <definedName name="IO">#REF!</definedName>
    <definedName name="Ip">#REF!</definedName>
    <definedName name="IPX">#REF!</definedName>
    <definedName name="IPY">#REF!</definedName>
    <definedName name="IWTP">#REF!</definedName>
    <definedName name="IX">#REF!</definedName>
    <definedName name="IY">#REF!</definedName>
    <definedName name="j">#REF!</definedName>
    <definedName name="J.O">#REF!</definedName>
    <definedName name="J.O_GT">#REF!</definedName>
    <definedName name="j356C8">#REF!</definedName>
    <definedName name="JGFK" localSheetId="3" hidden="1">{"'Sheet1'!$L$16"}</definedName>
    <definedName name="JGFK" hidden="1">{"'Sheet1'!$L$16"}</definedName>
    <definedName name="jidi1">#REF!</definedName>
    <definedName name="jj">#REF!</definedName>
    <definedName name="jkjk">#REF!</definedName>
    <definedName name="JPYVND1">#REF!</definedName>
    <definedName name="JPYVND2">#REF!</definedName>
    <definedName name="k">#REF!</definedName>
    <definedName name="K_1" localSheetId="3">#REF!</definedName>
    <definedName name="K_1">#REF!</definedName>
    <definedName name="K_2" localSheetId="3">#REF!</definedName>
    <definedName name="K_2">#REF!</definedName>
    <definedName name="K_L">#REF!</definedName>
    <definedName name="K0.001">#REF!</definedName>
    <definedName name="K0.011">#REF!</definedName>
    <definedName name="K0.101">#REF!</definedName>
    <definedName name="K0.111">#REF!</definedName>
    <definedName name="K0.201">#REF!</definedName>
    <definedName name="K0.211">#REF!</definedName>
    <definedName name="K0.301">#REF!</definedName>
    <definedName name="K0.311">#REF!</definedName>
    <definedName name="K0.400">#REF!</definedName>
    <definedName name="K0.410">#REF!</definedName>
    <definedName name="K0.501">#REF!</definedName>
    <definedName name="K0.511">#REF!</definedName>
    <definedName name="K0.61">#REF!</definedName>
    <definedName name="K0.71">#REF!</definedName>
    <definedName name="K1.001">#REF!</definedName>
    <definedName name="K1.021">#REF!</definedName>
    <definedName name="K1.041">#REF!</definedName>
    <definedName name="K1.121">#REF!</definedName>
    <definedName name="K1.201">#REF!</definedName>
    <definedName name="K1.211">#REF!</definedName>
    <definedName name="K1.221">#REF!</definedName>
    <definedName name="K1.301">#REF!</definedName>
    <definedName name="K1.321">#REF!</definedName>
    <definedName name="K1.331">#REF!</definedName>
    <definedName name="K1.341">#REF!</definedName>
    <definedName name="K1.401">#REF!</definedName>
    <definedName name="K1.411">#REF!</definedName>
    <definedName name="K1.421">#REF!</definedName>
    <definedName name="K1.431">#REF!</definedName>
    <definedName name="K1.441">#REF!</definedName>
    <definedName name="k14s">#REF!</definedName>
    <definedName name="K2.001">#REF!</definedName>
    <definedName name="K2.011">#REF!</definedName>
    <definedName name="K2.021">#REF!</definedName>
    <definedName name="K2.031">#REF!</definedName>
    <definedName name="K2.041">#REF!</definedName>
    <definedName name="K2.101">#REF!</definedName>
    <definedName name="K2.111">#REF!</definedName>
    <definedName name="K2.121">#REF!</definedName>
    <definedName name="K2.131">#REF!</definedName>
    <definedName name="K2.141">#REF!</definedName>
    <definedName name="K2.201">#REF!</definedName>
    <definedName name="K2.211">#REF!</definedName>
    <definedName name="K2.221">#REF!</definedName>
    <definedName name="K2.231">#REF!</definedName>
    <definedName name="K2.241">#REF!</definedName>
    <definedName name="K2.301">#REF!</definedName>
    <definedName name="K2.321">#REF!</definedName>
    <definedName name="K2.341">#REF!</definedName>
    <definedName name="K2.400">#REF!</definedName>
    <definedName name="K2.420">#REF!</definedName>
    <definedName name="K2.440">#REF!</definedName>
    <definedName name="K2.500">#REF!</definedName>
    <definedName name="K2.520">#REF!</definedName>
    <definedName name="K2.540">#REF!</definedName>
    <definedName name="k2b">#REF!</definedName>
    <definedName name="K3.210">#REF!</definedName>
    <definedName name="K3.220">#REF!</definedName>
    <definedName name="K3.230">#REF!</definedName>
    <definedName name="K3.310">#REF!</definedName>
    <definedName name="K3.320">#REF!</definedName>
    <definedName name="K3.330">#REF!</definedName>
    <definedName name="K3.410">#REF!</definedName>
    <definedName name="K3.430">#REF!</definedName>
    <definedName name="K3.450">#REF!</definedName>
    <definedName name="K4.010">#REF!</definedName>
    <definedName name="K4.020">#REF!</definedName>
    <definedName name="K4.110">#REF!</definedName>
    <definedName name="K4.120">#REF!</definedName>
    <definedName name="K4.210">#REF!</definedName>
    <definedName name="K4.220">#REF!</definedName>
    <definedName name="K4.230">#REF!</definedName>
    <definedName name="K4.240">#REF!</definedName>
    <definedName name="Ka">#REF!</definedName>
    <definedName name="KB">#N/A</definedName>
    <definedName name="Kc">#REF!</definedName>
    <definedName name="kcong">#REF!</definedName>
    <definedName name="KcTieuChuan">#REF!</definedName>
    <definedName name="Kd">#REF!</definedName>
    <definedName name="kdien">#REF!</definedName>
    <definedName name="KE_HOACH_VON_PHU_THU">#REF!</definedName>
    <definedName name="Kf">#REF!</definedName>
    <definedName name="Kg_">#REF!</definedName>
    <definedName name="KgBM">#REF!</definedName>
    <definedName name="Kgcot">#REF!</definedName>
    <definedName name="KgCTd4">#REF!</definedName>
    <definedName name="KgCTt4">#REF!</definedName>
    <definedName name="Kgdamd4">#REF!</definedName>
    <definedName name="Kgdamt4">#REF!</definedName>
    <definedName name="Kgmong">#REF!</definedName>
    <definedName name="KgNXOLdk">#REF!</definedName>
    <definedName name="Kgsan">#REF!</definedName>
    <definedName name="kich250">#REF!</definedName>
    <definedName name="kich500">#REF!</definedName>
    <definedName name="kiem">#REF!</definedName>
    <definedName name="Kiem_tra_trung_ten">#REF!</definedName>
    <definedName name="KINH_PHI_DEN_BU">#REF!</definedName>
    <definedName name="KINH_PHI_DZ0.4KV">#REF!</definedName>
    <definedName name="KINH_PHI_DZ22KV">#REF!</definedName>
    <definedName name="KINH_PHI_KHAO_SAT__LAP_BCNCKT__TKKTTC">#REF!</definedName>
    <definedName name="KINH_PHI_KHO_BAI">#REF!</definedName>
    <definedName name="KINH_PHI_TBA">#REF!</definedName>
    <definedName name="kk">#REF!</definedName>
    <definedName name="kkkk">#REF!</definedName>
    <definedName name="KKTHO">#REF!</definedName>
    <definedName name="kl">#REF!</definedName>
    <definedName name="KL_C">#REF!</definedName>
    <definedName name="kl_ME">#REF!</definedName>
    <definedName name="KLAM">#REF!</definedName>
    <definedName name="KLC">#REF!</definedName>
    <definedName name="kldd1p">#REF!</definedName>
    <definedName name="kldd3p">#REF!</definedName>
    <definedName name="KLDV">#REF!</definedName>
    <definedName name="KLGT1">#REF!</definedName>
    <definedName name="KLGT2">#REF!</definedName>
    <definedName name="KLGT3">#REF!</definedName>
    <definedName name="KLTHDN">#REF!</definedName>
    <definedName name="kltho">#REF!</definedName>
    <definedName name="KLVANKHUON">#REF!</definedName>
    <definedName name="KLVLD">#REF!</definedName>
    <definedName name="KLVLD1">#REF!</definedName>
    <definedName name="kmong">#REF!</definedName>
    <definedName name="kn">#REF!</definedName>
    <definedName name="kno">#REF!</definedName>
    <definedName name="kp1ph">#REF!</definedName>
    <definedName name="kplong">#REF!</definedName>
    <definedName name="kq">#REF!</definedName>
    <definedName name="KS">#REF!</definedName>
    <definedName name="KS_1">#REF!</definedName>
    <definedName name="KS_2">#REF!</definedName>
    <definedName name="ksbn" localSheetId="3" hidden="1">{"'Sheet1'!$L$16"}</definedName>
    <definedName name="ksbn" hidden="1">{"'Sheet1'!$L$16"}</definedName>
    <definedName name="KSDA" localSheetId="3" hidden="1">{"'Sheet1'!$L$16"}</definedName>
    <definedName name="KSDA" hidden="1">{"'Sheet1'!$L$16"}</definedName>
    <definedName name="kshn" localSheetId="3" hidden="1">{"'Sheet1'!$L$16"}</definedName>
    <definedName name="kshn" hidden="1">{"'Sheet1'!$L$16"}</definedName>
    <definedName name="ksls" localSheetId="3" hidden="1">{"'Sheet1'!$L$16"}</definedName>
    <definedName name="ksls" hidden="1">{"'Sheet1'!$L$16"}</definedName>
    <definedName name="KSTK">#REF!</definedName>
    <definedName name="Kte">#REF!</definedName>
    <definedName name="KTTRAMD1">#REF!</definedName>
    <definedName name="KTHD">#REF!</definedName>
    <definedName name="KtraXau">#REF!</definedName>
    <definedName name="KVC">#REF!</definedName>
    <definedName name="Ký_nép">#REF!</definedName>
    <definedName name="KH">#REF!</definedName>
    <definedName name="Kh_6t_1">#REF!</definedName>
    <definedName name="Kh_6t_10">#REF!</definedName>
    <definedName name="Kh_6t_11">#REF!</definedName>
    <definedName name="Kh_6t_12">#REF!</definedName>
    <definedName name="Kh_6t_17">#REF!</definedName>
    <definedName name="Kh_6t_19">#REF!</definedName>
    <definedName name="Kh_6t_2">#REF!</definedName>
    <definedName name="Kh_6t_3">#REF!</definedName>
    <definedName name="Kh_6t_4">#REF!</definedName>
    <definedName name="Kh_6t_5">#REF!</definedName>
    <definedName name="Kh_6t_6">#REF!</definedName>
    <definedName name="Kh_6t_7">#REF!</definedName>
    <definedName name="Kh_6t_8">#REF!</definedName>
    <definedName name="Kh_6t_9">#REF!</definedName>
    <definedName name="KH_Chang">#REF!</definedName>
    <definedName name="Kh_q3_1">#REF!</definedName>
    <definedName name="Kh_q3_10">#REF!</definedName>
    <definedName name="Kh_q3_11">#REF!</definedName>
    <definedName name="Kh_q3_12">#REF!</definedName>
    <definedName name="Kh_q3_17">#REF!</definedName>
    <definedName name="Kh_q3_19">#REF!</definedName>
    <definedName name="Kh_q3_2">#REF!</definedName>
    <definedName name="Kh_q3_3">#REF!</definedName>
    <definedName name="Kh_q3_4">#REF!</definedName>
    <definedName name="Kh_q3_5">#REF!</definedName>
    <definedName name="Kh_q3_6">#REF!</definedName>
    <definedName name="Kh_q3_7">#REF!</definedName>
    <definedName name="Kh_q3_8">#REF!</definedName>
    <definedName name="Kh_q3_9">#REF!</definedName>
    <definedName name="kh3.0">#REF!</definedName>
    <definedName name="khac">2</definedName>
    <definedName name="khanang">#REF!</definedName>
    <definedName name="khi">#REF!</definedName>
    <definedName name="khidot">#REF!</definedName>
    <definedName name="khoa">#REF!</definedName>
    <definedName name="khoan">#REF!</definedName>
    <definedName name="khoanloBT">#REF!</definedName>
    <definedName name="khoannhoi">#REF!</definedName>
    <definedName name="Khocau">#REF!</definedName>
    <definedName name="KHOI_LUONG_DAT_DAO_DAP">#REF!</definedName>
    <definedName name="KHOILUONGTL">#REF!</definedName>
    <definedName name="khong">#REF!</definedName>
    <definedName name="khongtruotgia" localSheetId="3" hidden="1">{"'Sheet1'!$L$16"}</definedName>
    <definedName name="khongtruotgia" hidden="1">{"'Sheet1'!$L$16"}</definedName>
    <definedName name="KhuyenmaiUPS">"AutoShape 264"</definedName>
    <definedName name="L">#REF!</definedName>
    <definedName name="L_">#REF!</definedName>
    <definedName name="L_1">#REF!</definedName>
    <definedName name="L_2">#REF!</definedName>
    <definedName name="L_mong">#REF!</definedName>
    <definedName name="L63x6">5800</definedName>
    <definedName name="la">#REF!</definedName>
    <definedName name="laj">#REF!</definedName>
    <definedName name="Lam_phat">#REF!</definedName>
    <definedName name="LAMTUBE">#REF!</definedName>
    <definedName name="Lan" localSheetId="3">{"Thuxm2.xls","Sheet1"}</definedName>
    <definedName name="Lan">{"Thuxm2.xls","Sheet1"}</definedName>
    <definedName name="Land">#REF!</definedName>
    <definedName name="LANDIMP">#REF!</definedName>
    <definedName name="LANDREV">#REF!</definedName>
    <definedName name="langson" localSheetId="3" hidden="1">{"'Sheet1'!$L$16"}</definedName>
    <definedName name="langson" hidden="1">{"'Sheet1'!$L$16"}</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v">#REF!</definedName>
    <definedName name="lanh_ngio">#REF!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P_DAT_TBA">#REF!</definedName>
    <definedName name="Lap_dat_td">#REF!</definedName>
    <definedName name="lapa">#REF!</definedName>
    <definedName name="lapb">#REF!</definedName>
    <definedName name="lapc">#REF!</definedName>
    <definedName name="Lapco">#REF!</definedName>
    <definedName name="Lapdien">#REF!</definedName>
    <definedName name="LapDungDam">#REF!</definedName>
    <definedName name="lapgheptayvin">#REF!</definedName>
    <definedName name="LargerSpan">IF(#REF!&gt;#REF!,#REF!,#REF!)</definedName>
    <definedName name="lasss">#REF!</definedName>
    <definedName name="Lb">#REF!</definedName>
    <definedName name="lb1.">#REF!</definedName>
    <definedName name="lb2.">#REF!</definedName>
    <definedName name="lbcnckt" localSheetId="3">#REF!</definedName>
    <definedName name="lbcnckt">#REF!</definedName>
    <definedName name="Lbe">#REF!</definedName>
    <definedName name="LBS_22">107800000</definedName>
    <definedName name="lc">#REF!</definedName>
    <definedName name="LC_TOTAL">#REF!</definedName>
    <definedName name="LC5_total">#REF!</definedName>
    <definedName name="LC6_total">#REF!</definedName>
    <definedName name="Lcanh">#REF!</definedName>
    <definedName name="LCB">#REF!</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v">#REF!</definedName>
    <definedName name="lcb_ngio">#REF!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cc">#REF!</definedName>
    <definedName name="LCN">#REF!</definedName>
    <definedName name="ld">#REF!</definedName>
    <definedName name="Ldinh">#N/A</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v">#REF!</definedName>
    <definedName name="le_ngio">#REF!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f">#REF!</definedName>
    <definedName name="LFX">#REF!</definedName>
    <definedName name="LFY">#REF!</definedName>
    <definedName name="Lgoi">#REF!</definedName>
    <definedName name="LH">#REF!</definedName>
    <definedName name="LHD">#REF!</definedName>
    <definedName name="LHDS">#REF!</definedName>
    <definedName name="LHS">#REF!</definedName>
    <definedName name="LI">#REF!</definedName>
    <definedName name="LIET_KE_VI_TRI_DZ0.4KV">#REF!</definedName>
    <definedName name="LIET_KE_VI_TRI_DZ22KV">#REF!</definedName>
    <definedName name="Line1">#REF!</definedName>
    <definedName name="Line2">#REF!</definedName>
    <definedName name="Line3">#REF!</definedName>
    <definedName name="list">#REF!</definedName>
    <definedName name="ListCompanyCode">#REF!</definedName>
    <definedName name="ListDivision">#REF!</definedName>
    <definedName name="ListDVT">#REF!</definedName>
    <definedName name="ListMRP">#REF!</definedName>
    <definedName name="ListSalesOrg">#REF!</definedName>
    <definedName name="ListValuationClass">#REF!</definedName>
    <definedName name="lj">#REF!</definedName>
    <definedName name="LK_hathe">#REF!</definedName>
    <definedName name="lkjjjjjj">#REF!</definedName>
    <definedName name="LL">#REF!</definedName>
    <definedName name="LLD">#REF!</definedName>
    <definedName name="LLDS">#REF!</definedName>
    <definedName name="LLS">#REF!</definedName>
    <definedName name="LM">#REF!</definedName>
    <definedName name="Lmk">#REF!</definedName>
    <definedName name="Lmong">#N/A</definedName>
    <definedName name="ln">#REF!</definedName>
    <definedName name="Lnsc">#REF!</definedName>
    <definedName name="lntt">#REF!</definedName>
    <definedName name="lnhuan">#REF!</definedName>
    <definedName name="Lo">#REF!</definedName>
    <definedName name="LOAI_DUONG">#REF!</definedName>
    <definedName name="Loai_TD">#REF!</definedName>
    <definedName name="Loaiday">#REF!</definedName>
    <definedName name="loaiduong">#REF!</definedName>
    <definedName name="loak">#REF!</definedName>
    <definedName name="LOCATION">#REF!</definedName>
    <definedName name="lon">#REF!</definedName>
    <definedName name="lón2">#REF!</definedName>
    <definedName name="lón3">#REF!</definedName>
    <definedName name="lón5">#REF!</definedName>
    <definedName name="lonthoi">#REF!</definedName>
    <definedName name="LOP1.7" localSheetId="3">IF(LEFT(#REF!,2)="NG",#REF!&amp;[0]!_MongCotNeo&amp;IF(#REF!&gt;12,"a",""),IF(LEFT(#REF!,3)="NCD","2MT-4",VLOOKUP(#REF!,[0]!_Mong,MATCH(#REF!,[0]!KcTieuChuan,0)+1,0)))</definedName>
    <definedName name="LOP1.7">IF(LEFT(#REF!,2)="NG",#REF!&amp;_MongCotNeo&amp;IF(#REF!&gt;12,"a",""),IF(LEFT(#REF!,3)="NCD","2MT-4",VLOOKUP(#REF!,_Mong,MATCH(#REF!,KcTieuChuan,0)+1,0)))</definedName>
    <definedName name="LOSS">#REF!</definedName>
    <definedName name="Lp">#REF!</definedName>
    <definedName name="LRAP">#REF!</definedName>
    <definedName name="LRMC">#REF!</definedName>
    <definedName name="ls">#REF!</definedName>
    <definedName name="lsbn">#REF!</definedName>
    <definedName name="lset">#REF!</definedName>
    <definedName name="lsp">#REF!</definedName>
    <definedName name="lsr">#REF!</definedName>
    <definedName name="lss">#REF!</definedName>
    <definedName name="lst">#REF!</definedName>
    <definedName name="lt">#REF!</definedName>
    <definedName name="lt1.">#REF!</definedName>
    <definedName name="lt2.">#REF!</definedName>
    <definedName name="Ltai">#REF!</definedName>
    <definedName name="ltbngoc">#REF!</definedName>
    <definedName name="Ltt">#REF!</definedName>
    <definedName name="Lthan">#N/A</definedName>
    <definedName name="ltre">#REF!</definedName>
    <definedName name="Luanthanh">#REF!</definedName>
    <definedName name="lulop16">#REF!</definedName>
    <definedName name="luoithephan">#REF!</definedName>
    <definedName name="luoncap">#REF!</definedName>
    <definedName name="luong8">#REF!</definedName>
    <definedName name="lurung16">#REF!</definedName>
    <definedName name="luthep10">#REF!</definedName>
    <definedName name="Luyen">#REF!</definedName>
    <definedName name="lv">#REF!</definedName>
    <definedName name="lv.">#REF!</definedName>
    <definedName name="lv..">#REF!</definedName>
    <definedName name="lVC">#REF!</definedName>
    <definedName name="lvr">#REF!</definedName>
    <definedName name="lvr.">#REF!</definedName>
    <definedName name="lvr..">#REF!</definedName>
    <definedName name="lxenang">#REF!</definedName>
    <definedName name="Ly">#REF!</definedName>
    <definedName name="M">#REF!</definedName>
    <definedName name="m_">#REF!</definedName>
    <definedName name="M_1">#REF!</definedName>
    <definedName name="M_2">#REF!</definedName>
    <definedName name="m_3">#REF!</definedName>
    <definedName name="m_4">#REF!</definedName>
    <definedName name="M0.4">#REF!</definedName>
    <definedName name="m1_">#REF!</definedName>
    <definedName name="m100_">#REF!</definedName>
    <definedName name="m102bnnc">#REF!</definedName>
    <definedName name="m102bnvl">#REF!</definedName>
    <definedName name="m10aamtc">#REF!</definedName>
    <definedName name="m10aanc">#REF!</definedName>
    <definedName name="M10aavc">#REF!</definedName>
    <definedName name="m10aavl">#REF!</definedName>
    <definedName name="m10anc">#REF!</definedName>
    <definedName name="m10avl">#REF!</definedName>
    <definedName name="m10banc">#REF!</definedName>
    <definedName name="m10bavl">#REF!</definedName>
    <definedName name="m122bnnc">#REF!</definedName>
    <definedName name="m122bnvl">#REF!</definedName>
    <definedName name="m12aanc">#REF!</definedName>
    <definedName name="m12aavl">#REF!</definedName>
    <definedName name="m12anc">#REF!</definedName>
    <definedName name="m12avl">#REF!</definedName>
    <definedName name="M12ba3p">#REF!</definedName>
    <definedName name="m12banc">#REF!</definedName>
    <definedName name="m12bavl">#REF!</definedName>
    <definedName name="M12bb1p">#REF!</definedName>
    <definedName name="m12bbnc">#REF!</definedName>
    <definedName name="m12bbvl">#REF!</definedName>
    <definedName name="M12bnnc">#REF!</definedName>
    <definedName name="M12bnvl">#REF!</definedName>
    <definedName name="M12cbnc">#REF!</definedName>
    <definedName name="M12cbvl">#REF!</definedName>
    <definedName name="m142bnnc">#REF!</definedName>
    <definedName name="m142bnvl">#REF!</definedName>
    <definedName name="M14bb1p">#REF!</definedName>
    <definedName name="m14bbnc">#REF!</definedName>
    <definedName name="M14bbvc">#REF!</definedName>
    <definedName name="m14bbvl">#REF!</definedName>
    <definedName name="m150_">#REF!</definedName>
    <definedName name="M150M">#REF!</definedName>
    <definedName name="M150T">#REF!</definedName>
    <definedName name="M8a">#REF!</definedName>
    <definedName name="M8aa">#REF!</definedName>
    <definedName name="m8aanc">#REF!</definedName>
    <definedName name="m8aavl">#REF!</definedName>
    <definedName name="m8amtc">#REF!</definedName>
    <definedName name="m8anc">#REF!</definedName>
    <definedName name="m8avl">#REF!</definedName>
    <definedName name="ma">#REF!</definedName>
    <definedName name="MA_CT">#REF!</definedName>
    <definedName name="MA_KH">#REF!</definedName>
    <definedName name="Ma3pnc">#REF!</definedName>
    <definedName name="Ma3pvl">#REF!</definedName>
    <definedName name="Maa3pnc">#REF!</definedName>
    <definedName name="Maa3pvl">#REF!</definedName>
    <definedName name="MACP">#REF!</definedName>
    <definedName name="Macro1">#REF!</definedName>
    <definedName name="Macro2">#REF!</definedName>
    <definedName name="Macro3">#REF!</definedName>
    <definedName name="MACTANG_BD">#REF!</definedName>
    <definedName name="MACTANG_HT_BD">#REF!</definedName>
    <definedName name="MACTANG_HT_KT">#REF!</definedName>
    <definedName name="MACTANG_KT">#REF!</definedName>
    <definedName name="MACTY">#REF!</definedName>
    <definedName name="MADONVI">OFFSET(#REF!,COUNTA(#REF!)-1,0,1)</definedName>
    <definedName name="MADONGIA">#REF!</definedName>
    <definedName name="mahang_tondk">#REF!</definedName>
    <definedName name="MAJ_CON_EQP">#REF!</definedName>
    <definedName name="MaMay_Q">#REF!</definedName>
    <definedName name="Manufacture">#REF!</definedName>
    <definedName name="Masonry">#REF!</definedName>
    <definedName name="MAT">#REF!</definedName>
    <definedName name="Material">#REF!</definedName>
    <definedName name="matit">#REF!</definedName>
    <definedName name="MATK_CD">#REF!</definedName>
    <definedName name="MATK_M">#REF!</definedName>
    <definedName name="MATS">#REF!</definedName>
    <definedName name="MAVANKHUON">#REF!</definedName>
    <definedName name="MAVL">#REF!</definedName>
    <definedName name="MAVLD">#REF!</definedName>
    <definedName name="MAVLD1">#REF!</definedName>
    <definedName name="MAVLTHDN">#REF!</definedName>
    <definedName name="MAY">#REF!</definedName>
    <definedName name="mazut">#REF!</definedName>
    <definedName name="MB_Intel_Server_C440GX_Dual_Sl2_ATX">#REF!</definedName>
    <definedName name="MB_Tomato_810B_Twin">#REF!</definedName>
    <definedName name="Mba1p">#REF!</definedName>
    <definedName name="Mba3p">#REF!</definedName>
    <definedName name="Mbb3p">#REF!</definedName>
    <definedName name="Mbn1p">#REF!</definedName>
    <definedName name="mbnc">#REF!</definedName>
    <definedName name="mbvl">#REF!</definedName>
    <definedName name="mc">#REF!</definedName>
    <definedName name="Mcasea">#REF!</definedName>
    <definedName name="Mcr">#REF!</definedName>
    <definedName name="md">#REF!</definedName>
    <definedName name="MDC">#REF!</definedName>
    <definedName name="mdna">#REF!</definedName>
    <definedName name="me">#REF!</definedName>
    <definedName name="Mè_A1">#REF!</definedName>
    <definedName name="Mè_A2">#REF!</definedName>
    <definedName name="MetalWork">#REF!</definedName>
    <definedName name="MF">#REF!</definedName>
    <definedName name="mg">#REF!</definedName>
    <definedName name="MG_A">#REF!</definedName>
    <definedName name="mg1.">#REF!</definedName>
    <definedName name="mg1h">#REF!</definedName>
    <definedName name="mg1l2">#REF!</definedName>
    <definedName name="mg1x">#REF!</definedName>
    <definedName name="mg2.">#REF!</definedName>
    <definedName name="mg3l8">#REF!</definedName>
    <definedName name="mgh">#REF!</definedName>
    <definedName name="mglai">#REF!</definedName>
    <definedName name="MH">#REF!</definedName>
    <definedName name="mi">#REF!</definedName>
    <definedName name="mis">#REF!</definedName>
    <definedName name="MiscellaneousWork">#REF!</definedName>
    <definedName name="mjhhv">#REF!</definedName>
    <definedName name="mk">#REF!</definedName>
    <definedName name="mktum">#REF!</definedName>
    <definedName name="ML">#REF!</definedName>
    <definedName name="MmExcelLinker_EB2011BA_99DB_4733_8E0D_2B063081EB57">#REF!</definedName>
    <definedName name="mmm">#REF!</definedName>
    <definedName name="MN">#REF!</definedName>
    <definedName name="MNTN">#REF!</definedName>
    <definedName name="MNTT">#REF!</definedName>
    <definedName name="MNTHTH">#REF!</definedName>
    <definedName name="mo">#REF!</definedName>
    <definedName name="Mods">#REF!</definedName>
    <definedName name="Module1.cplhsmt" localSheetId="3">#REF!</definedName>
    <definedName name="Module1.cplhsmt">#REF!</definedName>
    <definedName name="Module1.cptdhsmt" localSheetId="3">#REF!</definedName>
    <definedName name="Module1.cptdhsmt">#REF!</definedName>
    <definedName name="Module1.cptdtdt" localSheetId="3">#REF!</definedName>
    <definedName name="Module1.cptdtdt">#REF!</definedName>
    <definedName name="Module1.cptdtkkt" localSheetId="3">#REF!</definedName>
    <definedName name="Module1.cptdtkkt">#REF!</definedName>
    <definedName name="Module1.gsktxd" localSheetId="3">#REF!</definedName>
    <definedName name="Module1.gsktxd">#REF!</definedName>
    <definedName name="Module1.qlda" localSheetId="3">#REF!</definedName>
    <definedName name="Module1.qlda">#REF!</definedName>
    <definedName name="Module1.tinhqt" localSheetId="3">#REF!</definedName>
    <definedName name="Module1.tinhqt">#REF!</definedName>
    <definedName name="Moduyn_TK">#REF!</definedName>
    <definedName name="moi">#REF!</definedName>
    <definedName name="MOKthuat">#REF!</definedName>
    <definedName name="MoM0">#REF!</definedName>
    <definedName name="month">#REF!</definedName>
    <definedName name="Months">#REF!</definedName>
    <definedName name="MONG">#REF!</definedName>
    <definedName name="mophanchi">#REF!</definedName>
    <definedName name="Morong">#REF!</definedName>
    <definedName name="Morong4054_85">#REF!</definedName>
    <definedName name="Moùng">#REF!</definedName>
    <definedName name="mp1x25">#REF!</definedName>
    <definedName name="mqnam">#REF!</definedName>
    <definedName name="mqngai">#REF!</definedName>
    <definedName name="Mr">#REF!</definedName>
    <definedName name="MRP">#REF!</definedName>
    <definedName name="MRPC">#REF!</definedName>
    <definedName name="MRPG">#REF!</definedName>
    <definedName name="MRPT">#REF!</definedName>
    <definedName name="ms">#REF!</definedName>
    <definedName name="MSCT">#REF!</definedName>
    <definedName name="MSHH">#REF!</definedName>
    <definedName name="mt">#REF!</definedName>
    <definedName name="MT_5">#REF!</definedName>
    <definedName name="MT_7">#REF!</definedName>
    <definedName name="MT_8">#REF!</definedName>
    <definedName name="MT_9">#REF!</definedName>
    <definedName name="MTC">#REF!</definedName>
    <definedName name="MTC1P">#REF!</definedName>
    <definedName name="MTC3P">#REF!</definedName>
    <definedName name="mtcc">#REF!</definedName>
    <definedName name="mtcdg">#REF!</definedName>
    <definedName name="MTCLD">#REF!</definedName>
    <definedName name="MTCMB">#REF!</definedName>
    <definedName name="MTCNT">#REF!</definedName>
    <definedName name="MTCHC">#REF!</definedName>
    <definedName name="MTMAC12">#REF!</definedName>
    <definedName name="MTN">#REF!</definedName>
    <definedName name="mttn">#REF!</definedName>
    <definedName name="mtr">#REF!</definedName>
    <definedName name="mtram">#REF!</definedName>
    <definedName name="Mtran">#REF!</definedName>
    <definedName name="Mu">#REF!</definedName>
    <definedName name="Mu_">#REF!</definedName>
    <definedName name="MV">#REF!</definedName>
    <definedName name="MVC">#REF!</definedName>
    <definedName name="mw1_">#REF!</definedName>
    <definedName name="mx">#REF!</definedName>
    <definedName name="my">#REF!</definedName>
    <definedName name="myle">#REF!</definedName>
    <definedName name="n">#REF!</definedName>
    <definedName name="n.d1">#REF!</definedName>
    <definedName name="n.d2">#REF!</definedName>
    <definedName name="n_vÞ">#REF!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t">#REF!</definedName>
    <definedName name="n1pintnc">#REF!</definedName>
    <definedName name="N1pINTvc">#REF!</definedName>
    <definedName name="n1pintvl">#REF!</definedName>
    <definedName name="n1ping">#REF!</definedName>
    <definedName name="n1pingnc">#REF!</definedName>
    <definedName name="N1pINGvc">#REF!</definedName>
    <definedName name="n1pingvl">#REF!</definedName>
    <definedName name="N1pNLnc">#REF!</definedName>
    <definedName name="N1pNLvc">#REF!</definedName>
    <definedName name="N1pNLvl">#REF!</definedName>
    <definedName name="n24nc">#REF!</definedName>
    <definedName name="n24vl">#REF!</definedName>
    <definedName name="n2mignc">#REF!</definedName>
    <definedName name="n2migvl">#REF!</definedName>
    <definedName name="n2min1nc">#REF!</definedName>
    <definedName name="n2min1vl">#REF!</definedName>
    <definedName name="Nam">#REF!</definedName>
    <definedName name="Nam_khoi_cong">#REF!</definedName>
    <definedName name="Nan_khoi_cong">#REF!</definedName>
    <definedName name="nanghang">#REF!</definedName>
    <definedName name="naovet">#REF!</definedName>
    <definedName name="NC">#REF!</definedName>
    <definedName name="nc_betong200">#REF!</definedName>
    <definedName name="nc_btm10">#REF!</definedName>
    <definedName name="nc_btm100">#REF!</definedName>
    <definedName name="nc_btm150">#REF!</definedName>
    <definedName name="nc_btm200">#REF!</definedName>
    <definedName name="nc_btm50">#REF!</definedName>
    <definedName name="nc_cotpha">#REF!</definedName>
    <definedName name="nc100a">#REF!</definedName>
    <definedName name="nc1nc">#REF!</definedName>
    <definedName name="nc1p">#REF!</definedName>
    <definedName name="nc1vl">#REF!</definedName>
    <definedName name="nc2.1I">#REF!</definedName>
    <definedName name="nc2.1II">#REF!</definedName>
    <definedName name="nc2.1III">#REF!</definedName>
    <definedName name="nc2.1IV">#REF!</definedName>
    <definedName name="nc2.2I">#REF!</definedName>
    <definedName name="nc2.2II">#REF!</definedName>
    <definedName name="nc2.2III">#REF!</definedName>
    <definedName name="nc2.2IV">#REF!</definedName>
    <definedName name="nc2.3I">#REF!</definedName>
    <definedName name="nc2.3II">#REF!</definedName>
    <definedName name="nc2.3III">#REF!</definedName>
    <definedName name="nc2.3IV">#REF!</definedName>
    <definedName name="nc2.4I">#REF!</definedName>
    <definedName name="nc2.4II">#REF!</definedName>
    <definedName name="nc2.4III">#REF!</definedName>
    <definedName name="nc2.4IV">#REF!</definedName>
    <definedName name="nc2.5I">#REF!</definedName>
    <definedName name="nc2.5II">#REF!</definedName>
    <definedName name="nc2.5III">#REF!</definedName>
    <definedName name="nc2.5IV">#REF!</definedName>
    <definedName name="nc2.6I">#REF!</definedName>
    <definedName name="nc2.6II">#REF!</definedName>
    <definedName name="nc2.6III">#REF!</definedName>
    <definedName name="nc2.6IV">#REF!</definedName>
    <definedName name="nc2.7">#REF!</definedName>
    <definedName name="nc2.7I">#REF!</definedName>
    <definedName name="nc2.7II">#REF!</definedName>
    <definedName name="nc2.7III">#REF!</definedName>
    <definedName name="nc2.7IV">#REF!</definedName>
    <definedName name="nc2.8I">#REF!</definedName>
    <definedName name="nc2.8II">#REF!</definedName>
    <definedName name="nc2.8III">#REF!</definedName>
    <definedName name="nc2.8IV">#REF!</definedName>
    <definedName name="nc2.9I">#REF!</definedName>
    <definedName name="nc2.9II">#REF!</definedName>
    <definedName name="nc2.9III">#REF!</definedName>
    <definedName name="nc2.9IV">#REF!</definedName>
    <definedName name="nc24nc">#REF!</definedName>
    <definedName name="nc24vl">#REF!</definedName>
    <definedName name="nc2I">#REF!</definedName>
    <definedName name="nc2II">#REF!</definedName>
    <definedName name="nc2III">#REF!</definedName>
    <definedName name="nc2IV">#REF!</definedName>
    <definedName name="nc3.1I">#REF!</definedName>
    <definedName name="nc3.1II">#REF!</definedName>
    <definedName name="nc3.1III">#REF!</definedName>
    <definedName name="nc3.1IV">#REF!</definedName>
    <definedName name="nc3.2I">#REF!</definedName>
    <definedName name="nc3.2II">#REF!</definedName>
    <definedName name="nc3.2III">#REF!</definedName>
    <definedName name="nc3.2IV">#REF!</definedName>
    <definedName name="nc3.3I">#REF!</definedName>
    <definedName name="nc3.3II">#REF!</definedName>
    <definedName name="nc3.3III">#REF!</definedName>
    <definedName name="nc3.3IV">#REF!</definedName>
    <definedName name="nc3.4I">#REF!</definedName>
    <definedName name="nc3.4II">#REF!</definedName>
    <definedName name="nc3.4III">#REF!</definedName>
    <definedName name="nc3.4IV">#REF!</definedName>
    <definedName name="nc3.5">#REF!</definedName>
    <definedName name="nc3.5I">#REF!</definedName>
    <definedName name="nc3.5II">#REF!</definedName>
    <definedName name="nc3.5III">#REF!</definedName>
    <definedName name="nc3.5IV">#REF!</definedName>
    <definedName name="nc3.6I">#REF!</definedName>
    <definedName name="nc3.6II">#REF!</definedName>
    <definedName name="nc3.6III">#REF!</definedName>
    <definedName name="nc3.6IV">#REF!</definedName>
    <definedName name="nc3.7">#REF!</definedName>
    <definedName name="nc3.7I">#REF!</definedName>
    <definedName name="nc3.7II">#REF!</definedName>
    <definedName name="nc3.7III">#REF!</definedName>
    <definedName name="nc3.7IV">#REF!</definedName>
    <definedName name="nc3.8I">#REF!</definedName>
    <definedName name="nc3.8II">#REF!</definedName>
    <definedName name="nc3.8III">#REF!</definedName>
    <definedName name="nc3.8IV">#REF!</definedName>
    <definedName name="nc3.9I">#REF!</definedName>
    <definedName name="nc3.9II">#REF!</definedName>
    <definedName name="nc3.9III">#REF!</definedName>
    <definedName name="nc3.9IV">#REF!</definedName>
    <definedName name="nc3_5">#REF!</definedName>
    <definedName name="nc3I">#REF!</definedName>
    <definedName name="nc3II">#REF!</definedName>
    <definedName name="nc3III">#REF!</definedName>
    <definedName name="nc3IV">#REF!</definedName>
    <definedName name="nc3p">#REF!</definedName>
    <definedName name="nc4.1I">#REF!</definedName>
    <definedName name="nc4.1II">#REF!</definedName>
    <definedName name="nc4.1III">#REF!</definedName>
    <definedName name="nc4.1IV">#REF!</definedName>
    <definedName name="nc4.2I">#REF!</definedName>
    <definedName name="nc4.2II">#REF!</definedName>
    <definedName name="nc4.2III">#REF!</definedName>
    <definedName name="nc4.2IV">#REF!</definedName>
    <definedName name="nc4.3I">#REF!</definedName>
    <definedName name="nc4.3II">#REF!</definedName>
    <definedName name="nc4.3III">#REF!</definedName>
    <definedName name="nc4.3IV">#REF!</definedName>
    <definedName name="nc4.4I">#REF!</definedName>
    <definedName name="nc4.4II">#REF!</definedName>
    <definedName name="nc4.4III">#REF!</definedName>
    <definedName name="nc4.4IV">#REF!</definedName>
    <definedName name="nc4.5">#REF!</definedName>
    <definedName name="nc4.5I">#REF!</definedName>
    <definedName name="nc4.5II">#REF!</definedName>
    <definedName name="nc4.5III">#REF!</definedName>
    <definedName name="nc4.5IV">#REF!</definedName>
    <definedName name="nc4.6I">#REF!</definedName>
    <definedName name="nc4.6II">#REF!</definedName>
    <definedName name="nc4.6III">#REF!</definedName>
    <definedName name="nc4.6IV">#REF!</definedName>
    <definedName name="nc4.7I">#REF!</definedName>
    <definedName name="nc4.7II">#REF!</definedName>
    <definedName name="nc4.7III">#REF!</definedName>
    <definedName name="nc4.7IV">#REF!</definedName>
    <definedName name="nc4.8I">#REF!</definedName>
    <definedName name="nc4.8II">#REF!</definedName>
    <definedName name="nc4.8III">#REF!</definedName>
    <definedName name="nc4.8IV">#REF!</definedName>
    <definedName name="nc4.9I">#REF!</definedName>
    <definedName name="nc4.9II">#REF!</definedName>
    <definedName name="nc4.9III">#REF!</definedName>
    <definedName name="nc4.9IV">#REF!</definedName>
    <definedName name="nc4I">#REF!</definedName>
    <definedName name="nc4II">#REF!</definedName>
    <definedName name="nc4III">#REF!</definedName>
    <definedName name="nc4IV">#REF!</definedName>
    <definedName name="nc5I">#REF!</definedName>
    <definedName name="nc5II">#REF!</definedName>
    <definedName name="nc5III">#REF!</definedName>
    <definedName name="nc5IV">#REF!</definedName>
    <definedName name="NCBD">#REF!</definedName>
    <definedName name="NCBD100">#REF!</definedName>
    <definedName name="NCBD200">#REF!</definedName>
    <definedName name="NCBD250">#REF!</definedName>
    <definedName name="ncc">#REF!</definedName>
    <definedName name="ncc3.5">#REF!</definedName>
    <definedName name="ncc3.7">#REF!</definedName>
    <definedName name="NCcap0.7">#REF!</definedName>
    <definedName name="NCcap1">#REF!</definedName>
    <definedName name="nccc2">#REF!</definedName>
    <definedName name="nccs">#REF!</definedName>
    <definedName name="NCCT3p">#REF!</definedName>
    <definedName name="ncd">#REF!</definedName>
    <definedName name="ncdd">#REF!</definedName>
    <definedName name="NCDD2">#REF!</definedName>
    <definedName name="ncdg">#REF!</definedName>
    <definedName name="NCGF">#REF!</definedName>
    <definedName name="ncgff">#REF!</definedName>
    <definedName name="NCKday">#REF!</definedName>
    <definedName name="NCKT">#REF!</definedName>
    <definedName name="NCLD">#REF!</definedName>
    <definedName name="ncmt2">#REF!</definedName>
    <definedName name="NCMTC">#REF!</definedName>
    <definedName name="NCNCS">#REF!</definedName>
    <definedName name="Ncol">#REF!</definedName>
    <definedName name="ncong">#REF!</definedName>
    <definedName name="NCPP">#REF!</definedName>
    <definedName name="NCSBV">#REF!</definedName>
    <definedName name="nctn">#REF!</definedName>
    <definedName name="nctr">#REF!</definedName>
    <definedName name="nctram">#REF!</definedName>
    <definedName name="NCVC">#REF!</definedName>
    <definedName name="NCVC_BD">#REF!</definedName>
    <definedName name="NCVC100">#REF!</definedName>
    <definedName name="NCVC200">#REF!</definedName>
    <definedName name="NCVC250">#REF!</definedName>
    <definedName name="NCVC3P">#REF!</definedName>
    <definedName name="NCXL">#REF!</definedName>
    <definedName name="ncxlkcs">#REF!</definedName>
    <definedName name="ncxlkd">#REF!</definedName>
    <definedName name="ncxlkt">#REF!</definedName>
    <definedName name="ncxlktda">#REF!</definedName>
    <definedName name="ncxlktnl">#REF!</definedName>
    <definedName name="ncxlkh">#REF!</definedName>
    <definedName name="ncxlpxsx">#REF!</definedName>
    <definedName name="ncxltc">#REF!</definedName>
    <definedName name="NCHC">#REF!</definedName>
    <definedName name="nd">#REF!</definedName>
    <definedName name="nd_8">#REF!</definedName>
    <definedName name="nd_9">#REF!</definedName>
    <definedName name="Ne" localSheetId="3" hidden="1">{"'Sheet1'!$L$16"}</definedName>
    <definedName name="Ne" hidden="1">{"'Sheet1'!$L$16"}</definedName>
    <definedName name="neff">#REF!</definedName>
    <definedName name="nenkhi10m3">#REF!</definedName>
    <definedName name="nenkhi1200">#REF!</definedName>
    <definedName name="neo32mm">#REF!</definedName>
    <definedName name="neo4T">#REF!</definedName>
    <definedName name="NET">#REF!</definedName>
    <definedName name="NET_1">#REF!</definedName>
    <definedName name="NET_ANA">#REF!</definedName>
    <definedName name="NET_ANA_1">#REF!</definedName>
    <definedName name="NET_ANA_2">#REF!</definedName>
    <definedName name="new">#REF!</definedName>
    <definedName name="New_L">#REF!</definedName>
    <definedName name="NewPOS">#REF!</definedName>
    <definedName name="nig">#REF!</definedName>
    <definedName name="NIG13p">#REF!</definedName>
    <definedName name="nig1p">#REF!</definedName>
    <definedName name="nig3p">#REF!</definedName>
    <definedName name="night">#REF!</definedName>
    <definedName name="night.">#REF!</definedName>
    <definedName name="nightnc">#REF!</definedName>
    <definedName name="nightvl">#REF!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#REF!</definedName>
    <definedName name="nin190nc3p">#REF!</definedName>
    <definedName name="nin190vl">#REF!</definedName>
    <definedName name="nin190vl3p">#REF!</definedName>
    <definedName name="nin1pnc">#REF!</definedName>
    <definedName name="nin1pvl">#REF!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ing1p">#REF!</definedName>
    <definedName name="ningnc1p">#REF!</definedName>
    <definedName name="ningvl1p">#REF!</definedName>
    <definedName name="nl">#REF!</definedName>
    <definedName name="NL12nc">#REF!</definedName>
    <definedName name="NL12vl">#REF!</definedName>
    <definedName name="nl1p">#REF!</definedName>
    <definedName name="nl3p">#REF!</definedName>
    <definedName name="NlapName">#REF!</definedName>
    <definedName name="nlht">#REF!</definedName>
    <definedName name="nlmtc">#REF!</definedName>
    <definedName name="nlnc">#REF!</definedName>
    <definedName name="nlnc3p">#REF!</definedName>
    <definedName name="nlnc3pha">#REF!</definedName>
    <definedName name="NLTK1p">#REF!</definedName>
    <definedName name="nlvl">#REF!</definedName>
    <definedName name="nlvl1">#REF!</definedName>
    <definedName name="nlvl3p">#REF!</definedName>
    <definedName name="Nms">#REF!</definedName>
    <definedName name="nn">#REF!</definedName>
    <definedName name="nn1p">#REF!</definedName>
    <definedName name="nn3p">#REF!</definedName>
    <definedName name="nnn" localSheetId="3" hidden="1">{"'Sheet1'!$L$16"}</definedName>
    <definedName name="nnn" hidden="1">{"'Sheet1'!$L$16"}</definedName>
    <definedName name="nnnc">#REF!</definedName>
    <definedName name="nnnc3p">#REF!</definedName>
    <definedName name="nnvl">#REF!</definedName>
    <definedName name="nnvl3p">#REF!</definedName>
    <definedName name="NO">#REF!</definedName>
    <definedName name="NODL">#REF!</definedName>
    <definedName name="NOIDUNG">OFFSET(#REF!,COUNTA(#REF!)-1,0,1)</definedName>
    <definedName name="none">#REF!</definedName>
    <definedName name="Notes">#REF!</definedName>
    <definedName name="Np">#REF!</definedName>
    <definedName name="NPK_SAP_1204_1299">#REF!</definedName>
    <definedName name="Nps">#REF!</definedName>
    <definedName name="Nq">#REF!</definedName>
    <definedName name="NR">#REF!</definedName>
    <definedName name="ns">#REF!</definedName>
    <definedName name="ns.">#REF!</definedName>
    <definedName name="ns..">#REF!</definedName>
    <definedName name="nsc">#REF!</definedName>
    <definedName name="nsk">#REF!</definedName>
    <definedName name="NsoatName">#REF!</definedName>
    <definedName name="Ntcd">#REF!</definedName>
    <definedName name="NToS" localSheetId="3">#REF!</definedName>
    <definedName name="NToS">#REF!</definedName>
    <definedName name="Ntt">#REF!</definedName>
    <definedName name="nuoc">#REF!</definedName>
    <definedName name="nv">#REF!</definedName>
    <definedName name="NVH">#REF!</definedName>
    <definedName name="NVLCT">#REF!</definedName>
    <definedName name="nx">#REF!</definedName>
    <definedName name="nxmtc">#REF!</definedName>
    <definedName name="ng">#REF!</definedName>
    <definedName name="ng1.">#REF!</definedName>
    <definedName name="ng2.">#REF!</definedName>
    <definedName name="ngan" localSheetId="3">{"Thuxm2.xls","Sheet1"}</definedName>
    <definedName name="ngan">{"Thuxm2.xls","Sheet1"}</definedName>
    <definedName name="NGANHANG">OFFSET(#REF!,COUNTIF(#REF!,"&lt;&gt;0")-1,0,1)</definedName>
    <definedName name="NGAØY">#REF!</definedName>
    <definedName name="ngau">#REF!</definedName>
    <definedName name="NGAY">OFFSET(#REF!,COUNTA(#REF!)-1,0,1)</definedName>
    <definedName name="NGH">#REF!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v">#REF!</definedName>
    <definedName name="nghi_ngio">#REF!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ht">#REF!</definedName>
    <definedName name="ngu" localSheetId="3" hidden="1">{"'Sheet1'!$L$16"}</definedName>
    <definedName name="ngu" hidden="1">{"'Sheet1'!$L$16"}</definedName>
    <definedName name="NH">#REF!</definedName>
    <definedName name="Nha">#REF!</definedName>
    <definedName name="NHAÂN_COÂNG">#N/A</definedName>
    <definedName name="Nhan_xet_cua_dai">"Picture 1"</definedName>
    <definedName name="NHChat">#REF!</definedName>
    <definedName name="NHChinh">#REF!</definedName>
    <definedName name="nhfffd" localSheetId="3">{"DZ-TDTB2.XLS","Dcksat.xls"}</definedName>
    <definedName name="nhfffd">{"DZ-TDTB2.XLS","Dcksat.xls"}</definedName>
    <definedName name="nhiettri">#REF!</definedName>
    <definedName name="nhiettrikhi">#REF!</definedName>
    <definedName name="nhn">#REF!</definedName>
    <definedName name="nhnnc">#REF!</definedName>
    <definedName name="nhnvl">#REF!</definedName>
    <definedName name="nhom">#REF!</definedName>
    <definedName name="NHot">#REF!</definedName>
    <definedName name="nhu">#REF!</definedName>
    <definedName name="nhua">#REF!</definedName>
    <definedName name="nhuad">#REF!</definedName>
    <definedName name="Nhuadan">#REF!</definedName>
    <definedName name="nhuaduong">#REF!</definedName>
    <definedName name="o">#REF!</definedName>
    <definedName name="O_M">#REF!</definedName>
    <definedName name="o_n_phÝ_1__thu_nhËp_th_ng">#REF!</definedName>
    <definedName name="O_TO">#REF!</definedName>
    <definedName name="oc">#REF!</definedName>
    <definedName name="òc76">#REF!</definedName>
    <definedName name="OD">#REF!</definedName>
    <definedName name="ODC">#REF!</definedName>
    <definedName name="ODDT">#REF!</definedName>
    <definedName name="ODS">#REF!</definedName>
    <definedName name="ODU">#REF!</definedName>
    <definedName name="OE">#REF!</definedName>
    <definedName name="OHG">#REF!</definedName>
    <definedName name="oi">#REF!</definedName>
    <definedName name="Oil_increase_ratio">#REF!</definedName>
    <definedName name="OM">#REF!</definedName>
    <definedName name="OMC">#REF!</definedName>
    <definedName name="OME">#REF!</definedName>
    <definedName name="OMW">#REF!</definedName>
    <definedName name="OÑT">#REF!</definedName>
    <definedName name="ong">#REF!</definedName>
    <definedName name="ongPVC">#REF!</definedName>
    <definedName name="ongsattrangkem">#REF!</definedName>
    <definedName name="OOM">#REF!</definedName>
    <definedName name="ophom">#REF!</definedName>
    <definedName name="ORD">#REF!</definedName>
    <definedName name="ORF">#REF!</definedName>
    <definedName name="osc">#REF!</definedName>
    <definedName name="oto">#REF!</definedName>
    <definedName name="Other">#REF!</definedName>
    <definedName name="OTHER_PANEL">#REF!</definedName>
    <definedName name="OtherWork">#REF!</definedName>
    <definedName name="oü0">#REF!</definedName>
    <definedName name="Óu75">#REF!</definedName>
    <definedName name="oxy">#REF!</definedName>
    <definedName name="oy">#REF!</definedName>
    <definedName name="P">#REF!</definedName>
    <definedName name="p.m">#REF!</definedName>
    <definedName name="P_M">#REF!</definedName>
    <definedName name="p1.">#REF!</definedName>
    <definedName name="p2.">#REF!</definedName>
    <definedName name="PA">#REF!</definedName>
    <definedName name="pa.">#REF!</definedName>
    <definedName name="PA.2314">#REF!</definedName>
    <definedName name="PA.3114">#REF!</definedName>
    <definedName name="PA1_1">#REF!</definedName>
    <definedName name="PA2CAU39M" localSheetId="3" hidden="1">{"'Sheet1'!$L$16"}</definedName>
    <definedName name="PA2CAU39M" hidden="1">{"'Sheet1'!$L$16"}</definedName>
    <definedName name="PAIII_" localSheetId="3" hidden="1">{"'Sheet1'!$L$16"}</definedName>
    <definedName name="PAIII_" hidden="1">{"'Sheet1'!$L$16"}</definedName>
    <definedName name="Painting">#REF!</definedName>
    <definedName name="Parem">#REF!</definedName>
    <definedName name="paremÞ">#REF!</definedName>
    <definedName name="PChe">#REF!</definedName>
    <definedName name="Pd">#REF!</definedName>
    <definedName name="PdoanName">#REF!</definedName>
    <definedName name="PEJM">#REF!</definedName>
    <definedName name="PercentComplete" localSheetId="3">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F">#REF!</definedName>
    <definedName name="PG">#REF!</definedName>
    <definedName name="pgia">#REF!</definedName>
    <definedName name="pile">#REF!</definedName>
    <definedName name="PileSize">#REF!</definedName>
    <definedName name="PileType">#REF!</definedName>
    <definedName name="PIP" localSheetId="3">BlankMacro1</definedName>
    <definedName name="PIP">BlankMacro1</definedName>
    <definedName name="PIPE2" localSheetId="3">BlankMacro1</definedName>
    <definedName name="PIPE2">BlankMacro1</definedName>
    <definedName name="PK">#REF!</definedName>
    <definedName name="PL" localSheetId="3" hidden="1">{"'Sheet1'!$L$16"}</definedName>
    <definedName name="PL" hidden="1">{"'Sheet1'!$L$16"}</definedName>
    <definedName name="PL_???___P.B.___REST_P.B._????">#REF!</definedName>
    <definedName name="PL_指示燈___P.B.___REST_P.B._壓扣開關">#REF!</definedName>
    <definedName name="PL4.3" localSheetId="3">{"Thuxm2.xls","Sheet1"}</definedName>
    <definedName name="PL4.3">{"Thuxm2.xls","Sheet1"}</definedName>
    <definedName name="Plan" localSheetId="3">PeriodInPlan*(#REF!&gt;0)</definedName>
    <definedName name="Plan">PeriodInPlan*(#REF!&gt;0)</definedName>
    <definedName name="Planner">#REF!</definedName>
    <definedName name="Plaster">#REF!</definedName>
    <definedName name="PlucBcaoTD" localSheetId="3" hidden="1">{"'Sheet1'!$L$16"}</definedName>
    <definedName name="PlucBcaoTD" hidden="1">{"'Sheet1'!$L$16"}</definedName>
    <definedName name="PM">#REF!</definedName>
    <definedName name="pm..">#REF!</definedName>
    <definedName name="PMS" localSheetId="3" hidden="1">{"'Sheet1'!$L$16"}</definedName>
    <definedName name="PMS" hidden="1">{"'Sheet1'!$L$16"}</definedName>
    <definedName name="Poisson">#REF!</definedName>
    <definedName name="Position">#REF!</definedName>
    <definedName name="POType">#REF!</definedName>
    <definedName name="PowerCord">#REF!</definedName>
    <definedName name="PPP" localSheetId="3">BlankMacro1</definedName>
    <definedName name="PPP">BlankMacro1</definedName>
    <definedName name="PR">#REF!</definedName>
    <definedName name="PRC">#REF!</definedName>
    <definedName name="PRICE">#REF!</definedName>
    <definedName name="PRICE1">#REF!</definedName>
    <definedName name="Prin1">#REF!</definedName>
    <definedName name="Prin10">#REF!</definedName>
    <definedName name="Prin11">#REF!</definedName>
    <definedName name="Prin12">#REF!</definedName>
    <definedName name="Prin13">#REF!</definedName>
    <definedName name="Prin14">#REF!</definedName>
    <definedName name="Prin15">#REF!</definedName>
    <definedName name="Prin16">#REF!</definedName>
    <definedName name="Prin17">#REF!</definedName>
    <definedName name="Prin18">#REF!</definedName>
    <definedName name="Prin19">#REF!</definedName>
    <definedName name="Prin2">#REF!</definedName>
    <definedName name="Prin20">#REF!</definedName>
    <definedName name="Prin21">#REF!</definedName>
    <definedName name="Prin3">#REF!</definedName>
    <definedName name="Prin4">#REF!</definedName>
    <definedName name="Prin5">#REF!</definedName>
    <definedName name="Prin6">#REF!</definedName>
    <definedName name="Prin7">#REF!</definedName>
    <definedName name="Prin8">#REF!</definedName>
    <definedName name="Prin9">#REF!</definedName>
    <definedName name="_xlnm.Print_Area" localSheetId="3">BC!$A$1:$AA$39</definedName>
    <definedName name="_xlnm.Print_Area" localSheetId="2">'Muc tieu_Hành chính'!$A$1:$I$49</definedName>
    <definedName name="_xlnm.Print_Area" localSheetId="1">'Muc tieu_Trực ca'!$A$1:$I$49</definedName>
    <definedName name="_xlnm.Print_Area">#REF!</definedName>
    <definedName name="Print_Area_MI">#REF!</definedName>
    <definedName name="print_title">#REF!</definedName>
    <definedName name="_xlnm.Print_Titles">#N/A</definedName>
    <definedName name="PRINT_TITLES_MI">#REF!</definedName>
    <definedName name="PRINTA">#REF!</definedName>
    <definedName name="PRINTB">#REF!</definedName>
    <definedName name="PRINTC">#REF!</definedName>
    <definedName name="priority">#REF!</definedName>
    <definedName name="prjName">#REF!</definedName>
    <definedName name="prjNo">#REF!</definedName>
    <definedName name="Probability">#REF!</definedName>
    <definedName name="PROJ">#REF!</definedName>
    <definedName name="ProjectList">#REF!</definedName>
    <definedName name="ProjectStart">#REF!</definedName>
    <definedName name="PROPOSAL">#REF!</definedName>
    <definedName name="Protex">#REF!</definedName>
    <definedName name="Province">#REF!</definedName>
    <definedName name="PST">#REF!</definedName>
    <definedName name="pt">#REF!</definedName>
    <definedName name="PT_A1">#REF!</definedName>
    <definedName name="PT_A2">#REF!</definedName>
    <definedName name="PT_Duong">#REF!</definedName>
    <definedName name="PT_P1">#REF!</definedName>
    <definedName name="PT_P10">#REF!</definedName>
    <definedName name="PT_P11">#REF!</definedName>
    <definedName name="PT_P2">#REF!</definedName>
    <definedName name="PT_P3">#REF!</definedName>
    <definedName name="PT_P4">#REF!</definedName>
    <definedName name="PT_P5">#REF!</definedName>
    <definedName name="PT_P6">#REF!</definedName>
    <definedName name="PT_P7">#REF!</definedName>
    <definedName name="PT_P8">#REF!</definedName>
    <definedName name="PT_P9">#REF!</definedName>
    <definedName name="ptdg">#REF!</definedName>
    <definedName name="PTDG_cau">#REF!</definedName>
    <definedName name="ptdg_cong">#REF!</definedName>
    <definedName name="PTDG_DCV">#REF!</definedName>
    <definedName name="ptdg_duong">#REF!</definedName>
    <definedName name="ptien">#REF!</definedName>
    <definedName name="PTL">#REF!</definedName>
    <definedName name="PTNC">#REF!</definedName>
    <definedName name="PTST">#REF!</definedName>
    <definedName name="ptvt">#REF!</definedName>
    <definedName name="PTH">#REF!</definedName>
    <definedName name="ptran">#REF!</definedName>
    <definedName name="Pu">#REF!</definedName>
    <definedName name="pvd">#REF!</definedName>
    <definedName name="pw">#REF!</definedName>
    <definedName name="PH">#REF!</definedName>
    <definedName name="Ph_n__oan__Km______Km">#REF!</definedName>
    <definedName name="PHAN_DIEN_DZ0.4KV">#REF!</definedName>
    <definedName name="PHAN_DIEN_DZ22KV">#REF!</definedName>
    <definedName name="PHAN_DIEN_TBA">#REF!</definedName>
    <definedName name="PHAN_MUA_SAM_DZ0.4KV">#REF!</definedName>
    <definedName name="PHAN_MUA_SAM_DZ22KV">#REF!</definedName>
    <definedName name="Phan1">#REF!</definedName>
    <definedName name="Phat_quang_tuyen">#REF!</definedName>
    <definedName name="PHC">#REF!</definedName>
    <definedName name="phi_inertial">#REF!</definedName>
    <definedName name="phu_luc_vua">#REF!</definedName>
    <definedName name="phugia">#REF!</definedName>
    <definedName name="q">#REF!</definedName>
    <definedName name="Q_sudung">#REF!</definedName>
    <definedName name="qc">#REF!</definedName>
    <definedName name="qe">#REF!</definedName>
    <definedName name="Qfd">#REF!</definedName>
    <definedName name="qh">#REF!</definedName>
    <definedName name="qhCu">#REF!</definedName>
    <definedName name="qlda" localSheetId="3">#REF!</definedName>
    <definedName name="qlda">#REF!</definedName>
    <definedName name="qq">#REF!</definedName>
    <definedName name="qqq">#REF!</definedName>
    <definedName name="qSF">#REF!</definedName>
    <definedName name="Qsong">#REF!</definedName>
    <definedName name="qt">#REF!</definedName>
    <definedName name="qtdm">#REF!</definedName>
    <definedName name="qth">#REF!</definedName>
    <definedName name="qW">#REF!</definedName>
    <definedName name="qx">#REF!</definedName>
    <definedName name="Qxenang">#REF!</definedName>
    <definedName name="qu">#REF!</definedName>
    <definedName name="Quantities">#REF!</definedName>
    <definedName name="quehan">#REF!</definedName>
    <definedName name="QUYLUONG">#REF!</definedName>
    <definedName name="R_">#REF!</definedName>
    <definedName name="R_mong">#REF!</definedName>
    <definedName name="R0_1">#REF!</definedName>
    <definedName name="R0_2">#REF!</definedName>
    <definedName name="R00">#REF!</definedName>
    <definedName name="R00t">#REF!</definedName>
    <definedName name="ra.">#REF!</definedName>
    <definedName name="Ra_">#REF!</definedName>
    <definedName name="ra11p">#REF!</definedName>
    <definedName name="ra13p">#REF!</definedName>
    <definedName name="rack1">#REF!</definedName>
    <definedName name="rack2">#REF!</definedName>
    <definedName name="rack3">#REF!</definedName>
    <definedName name="rack4">#REF!</definedName>
    <definedName name="raiasphalt100">#REF!</definedName>
    <definedName name="raiasphalt65">#REF!</definedName>
    <definedName name="Rain">#REF!</definedName>
    <definedName name="rain.">#REF!</definedName>
    <definedName name="rain..">#REF!</definedName>
    <definedName name="RANGE">#REF!</definedName>
    <definedName name="RANGE2">#REF!</definedName>
    <definedName name="Ranhxay" localSheetId="3" hidden="1">{"'Sheet1'!$L$16"}</definedName>
    <definedName name="Ranhxay" hidden="1">{"'Sheet1'!$L$16"}</definedName>
    <definedName name="RATE">#REF!</definedName>
    <definedName name="Raûi_pheân_tre">#REF!</definedName>
    <definedName name="raypb43">#REF!</definedName>
    <definedName name="rb.">#REF!</definedName>
    <definedName name="rc.">#REF!</definedName>
    <definedName name="Rc_">#REF!</definedName>
    <definedName name="RCF">#REF!</definedName>
    <definedName name="RCKM">#REF!</definedName>
    <definedName name="Rctpt">#REF!</definedName>
    <definedName name="RDEC">#REF!</definedName>
    <definedName name="RDEFF">#REF!</definedName>
    <definedName name="RDFC">#REF!</definedName>
    <definedName name="RDFU">#REF!</definedName>
    <definedName name="RDLIF">#REF!</definedName>
    <definedName name="RDOM">#REF!</definedName>
    <definedName name="RDPC">#REF!</definedName>
    <definedName name="rdpcf">#REF!</definedName>
    <definedName name="RDRC">#REF!</definedName>
    <definedName name="RDRF">#REF!</definedName>
    <definedName name="Rdtc">#REF!</definedName>
    <definedName name="_xlnm.Recorder">#REF!</definedName>
    <definedName name="RECOUT">#N/A</definedName>
    <definedName name="REG">#REF!</definedName>
    <definedName name="Region">#REF!</definedName>
    <definedName name="reytukjljlkj" localSheetId="3">{"'Sheet1'!$L$16"}</definedName>
    <definedName name="reytukjljlkj">{"'Sheet1'!$L$16"}</definedName>
    <definedName name="rểưytyytuuiyuiyiuu">#REF!</definedName>
    <definedName name="RFNZ3">#REF!</definedName>
    <definedName name="RFP003A">#REF!</definedName>
    <definedName name="RFP003B">#REF!</definedName>
    <definedName name="RFP003C">#REF!</definedName>
    <definedName name="RFP003D">#REF!</definedName>
    <definedName name="RFP003E">#REF!</definedName>
    <definedName name="RFP003F">#REF!</definedName>
    <definedName name="rgfgdfhg">#REF!</definedName>
    <definedName name="RGLIF">#REF!</definedName>
    <definedName name="Rh">#REF!</definedName>
    <definedName name="RHEC">#REF!</definedName>
    <definedName name="RHEFF">#REF!</definedName>
    <definedName name="RHHC">#REF!</definedName>
    <definedName name="RHLIF">#REF!</definedName>
    <definedName name="RHOM">#REF!</definedName>
    <definedName name="ri">#REF!</definedName>
    <definedName name="RIR">#REF!</definedName>
    <definedName name="RiskFactor">#REF!</definedName>
    <definedName name="RiskType">#REF!</definedName>
    <definedName name="River">#REF!</definedName>
    <definedName name="River_Code">#REF!</definedName>
    <definedName name="Rk">#REF!</definedName>
    <definedName name="RL">#REF!</definedName>
    <definedName name="RLd">#REF!</definedName>
    <definedName name="RLF">#REF!</definedName>
    <definedName name="RLKM">#REF!</definedName>
    <definedName name="RLL">#REF!</definedName>
    <definedName name="RLOM">#REF!</definedName>
    <definedName name="Rnp">#REF!</definedName>
    <definedName name="ro0">#REF!</definedName>
    <definedName name="Road_Code">#REF!</definedName>
    <definedName name="Road_Name">#REF!</definedName>
    <definedName name="RoadNo_373">#REF!</definedName>
    <definedName name="RoofingWork">#REF!</definedName>
    <definedName name="Round">#REF!</definedName>
    <definedName name="RoundUps">#REF!</definedName>
    <definedName name="RPLA" localSheetId="3" hidden="1">{"'Sheet1'!$L$16"}</definedName>
    <definedName name="RPLA" hidden="1">{"'Sheet1'!$L$16"}</definedName>
    <definedName name="RPHEC">#REF!</definedName>
    <definedName name="RPHLIF">#REF!</definedName>
    <definedName name="RPHOM">#REF!</definedName>
    <definedName name="RPHPC">#REF!</definedName>
    <definedName name="rr5we6twryt">#REF!</definedName>
    <definedName name="Rrpo">#REF!</definedName>
    <definedName name="RSBC">#REF!</definedName>
    <definedName name="RSBLIF">#REF!</definedName>
    <definedName name="RSIC">#REF!</definedName>
    <definedName name="RSIN">#REF!</definedName>
    <definedName name="RSLIF">#REF!</definedName>
    <definedName name="RSOM">#REF!</definedName>
    <definedName name="RSPI">#REF!</definedName>
    <definedName name="RSSC">#REF!</definedName>
    <definedName name="RT">#REF!</definedName>
    <definedName name="Rtd">#REF!</definedName>
    <definedName name="Ru">#REF!</definedName>
    <definedName name="rung25">#REF!</definedName>
    <definedName name="RWTPlo">#REF!</definedName>
    <definedName name="RWTPhi">#REF!</definedName>
    <definedName name="s">#REF!</definedName>
    <definedName name="s.">#REF!</definedName>
    <definedName name="s_0">#REF!</definedName>
    <definedName name="s_0cd">#REF!</definedName>
    <definedName name="S_1">#REF!</definedName>
    <definedName name="S_2">#REF!</definedName>
    <definedName name="s_58">#REF!</definedName>
    <definedName name="s_58g">#REF!</definedName>
    <definedName name="s_59">#REF!</definedName>
    <definedName name="s_59g">#REF!</definedName>
    <definedName name="s_Icd">#REF!</definedName>
    <definedName name="s75F29">#REF!</definedName>
    <definedName name="sa.">#REF!</definedName>
    <definedName name="sae" localSheetId="3">BlankMacro1</definedName>
    <definedName name="sae">BlankMacro1</definedName>
    <definedName name="salan200">#REF!</definedName>
    <definedName name="salan400">#REF!</definedName>
    <definedName name="San_truoc">#REF!</definedName>
    <definedName name="sand">#REF!</definedName>
    <definedName name="sanluongamo">#REF!</definedName>
    <definedName name="sanluongamo1">#REF!</definedName>
    <definedName name="sanluongbao">#REF!</definedName>
    <definedName name="sanluongbao1">#REF!</definedName>
    <definedName name="sanluongco2">#REF!</definedName>
    <definedName name="sanluongdien">#REF!</definedName>
    <definedName name="sanluongdien1">#REF!</definedName>
    <definedName name="sanluongure">#REF!</definedName>
    <definedName name="sanluongure1">#REF!</definedName>
    <definedName name="sat">#REF!</definedName>
    <definedName name="satCT10">#REF!</definedName>
    <definedName name="SatCTlon10">#REF!</definedName>
    <definedName name="SatCThon10">#REF!</definedName>
    <definedName name="satf10">#REF!</definedName>
    <definedName name="satf27">#REF!</definedName>
    <definedName name="satf6">#REF!</definedName>
    <definedName name="satf8">#REF!</definedName>
    <definedName name="satt">#REF!</definedName>
    <definedName name="sattron">#REF!</definedName>
    <definedName name="satu">#REF!</definedName>
    <definedName name="Sau">#REF!</definedName>
    <definedName name="Sau_cong_to">#REF!</definedName>
    <definedName name="SB">#REF!</definedName>
    <definedName name="sb_8">#REF!</definedName>
    <definedName name="sb_8g">#REF!</definedName>
    <definedName name="sb_9">#REF!</definedName>
    <definedName name="sb_9g">#REF!</definedName>
    <definedName name="sbd">#REF!</definedName>
    <definedName name="sbet">#REF!</definedName>
    <definedName name="sbsd">#REF!</definedName>
    <definedName name="sc">#REF!</definedName>
    <definedName name="SC_date">#REF!</definedName>
    <definedName name="SC_name">#REF!</definedName>
    <definedName name="scan">#REF!</definedName>
    <definedName name="scm">#REF!</definedName>
    <definedName name="scr">#REF!</definedName>
    <definedName name="SCT">#REF!</definedName>
    <definedName name="scv">#REF!</definedName>
    <definedName name="SCH">#REF!</definedName>
    <definedName name="sd1p">#REF!</definedName>
    <definedName name="sd3p">#REF!</definedName>
    <definedName name="sda">#REF!</definedName>
    <definedName name="sdaasf">#REF!</definedName>
    <definedName name="sdad">#REF!</definedName>
    <definedName name="sdd">#REF!</definedName>
    <definedName name="SDDL">#REF!</definedName>
    <definedName name="SDF" localSheetId="3" hidden="1">{"'Sheet1'!$L$16"}</definedName>
    <definedName name="SDF" hidden="1">{"'Sheet1'!$L$16"}</definedName>
    <definedName name="sdfgfhjgjhjkhk" localSheetId="3">{"Thuxm2.xls","Sheet1"}</definedName>
    <definedName name="sdfgfhjgjhjkhk">{"Thuxm2.xls","Sheet1"}</definedName>
    <definedName name="sdfs">#REF!</definedName>
    <definedName name="sdfsa" localSheetId="3">BlankMacro1</definedName>
    <definedName name="sdfsa">BlankMacro1</definedName>
    <definedName name="sdfsdfsd" localSheetId="3" hidden="1">{"'Sheet1'!$L$16"}</definedName>
    <definedName name="sdfsdfsd" hidden="1">{"'Sheet1'!$L$16"}</definedName>
    <definedName name="SDMONG">#REF!</definedName>
    <definedName name="sdo">#REF!</definedName>
    <definedName name="sdx">#REF!</definedName>
    <definedName name="Sen_CPA">#REF!</definedName>
    <definedName name="SEN_DAP">#REF!</definedName>
    <definedName name="Sen_luongCPA">#REF!</definedName>
    <definedName name="SEN_Margin">#REF!</definedName>
    <definedName name="Sen_NaturalGas">#REF!</definedName>
    <definedName name="Sen_NL_NPK">#REF!</definedName>
    <definedName name="Sen_Nguyenlieu">#REF!</definedName>
    <definedName name="Sen_NH3">#REF!</definedName>
    <definedName name="Sen_PriceOfK">#REF!</definedName>
    <definedName name="Sen_PriceOfN">#REF!</definedName>
    <definedName name="Sen_PriceOfP">#REF!</definedName>
    <definedName name="Sen_PriceOfS">#REF!</definedName>
    <definedName name="Sen_PriceOfUrea">#REF!</definedName>
    <definedName name="Sen_sanpham">#REF!</definedName>
    <definedName name="Sen_SP_NPK">#REF!</definedName>
    <definedName name="Sen_TMDT_Both">#REF!</definedName>
    <definedName name="Sen_TMDT_NPK">#REF!</definedName>
    <definedName name="SEN_TyLeVanHanh">#REF!</definedName>
    <definedName name="sencount" hidden="1">2</definedName>
    <definedName name="Sensation">#REF!</definedName>
    <definedName name="SETVAR">#REF!</definedName>
    <definedName name="sfsd" localSheetId="3" hidden="1">{"'Sheet1'!$L$16"}</definedName>
    <definedName name="sfsd" hidden="1">{"'Sheet1'!$L$16"}</definedName>
    <definedName name="SFX">#REF!</definedName>
    <definedName name="SFY">#REF!</definedName>
    <definedName name="sg">#REF!</definedName>
    <definedName name="sg1.">#REF!</definedName>
    <definedName name="sg2.">#REF!</definedName>
    <definedName name="sgnc">#REF!</definedName>
    <definedName name="sgvl">#REF!</definedName>
    <definedName name="Sharing_factor">#REF!</definedName>
    <definedName name="SHCUOC">#REF!</definedName>
    <definedName name="Sheet1">#REF!</definedName>
    <definedName name="SheetName">"[Bao_cao_cua_NVTK_tai_NPP_bieu_mau_moi_4___Mau_moi.xls]~         "</definedName>
    <definedName name="sho">#REF!</definedName>
    <definedName name="sht">#REF!</definedName>
    <definedName name="sht1p">#REF!</definedName>
    <definedName name="sht3p">#REF!</definedName>
    <definedName name="sieucao">#REF!</definedName>
    <definedName name="SIZE">#REF!</definedName>
    <definedName name="sj">#REF!</definedName>
    <definedName name="skd">#REF!</definedName>
    <definedName name="SKUcoverage">#REF!</definedName>
    <definedName name="SL">#REF!</definedName>
    <definedName name="SL_5">(#REF!,#REF!,#REF!,#REF!,#REF!,#REF!,#REF!)</definedName>
    <definedName name="SL_7">(#REF!,#REF!,#REF!,#REF!,#REF!,#REF!,#REF!)</definedName>
    <definedName name="SL_8">(#REF!,#REF!,#REF!,#REF!,#REF!,#REF!,#REF!)</definedName>
    <definedName name="SL_9">(#REF!,#REF!,#REF!,#REF!,#REF!,#REF!,#REF!)</definedName>
    <definedName name="SL_CRD">#REF!</definedName>
    <definedName name="SL_CRS">#REF!</definedName>
    <definedName name="SL_CS">#REF!</definedName>
    <definedName name="SL_DD">#REF!</definedName>
    <definedName name="slk">#REF!</definedName>
    <definedName name="sll">#REF!</definedName>
    <definedName name="SLQI">#REF!</definedName>
    <definedName name="SLQII">#REF!</definedName>
    <definedName name="SLQIII">#REF!</definedName>
    <definedName name="SLQIV">#REF!</definedName>
    <definedName name="SLTS">#REF!</definedName>
    <definedName name="smax">#REF!</definedName>
    <definedName name="smax1">#REF!</definedName>
    <definedName name="smin">#REF!</definedName>
    <definedName name="sn">#REF!</definedName>
    <definedName name="SNV12Q2">#REF!</definedName>
    <definedName name="SO">OFFSET(#REF!,COUNTA(#REF!)-1,0,1)</definedName>
    <definedName name="soc3p">#REF!</definedName>
    <definedName name="SoChungTu">#REF!</definedName>
    <definedName name="Sogoi">#REF!</definedName>
    <definedName name="Sohd">#REF!</definedName>
    <definedName name="sohieuthua">#REF!</definedName>
    <definedName name="soho">#REF!</definedName>
    <definedName name="Soi">#REF!</definedName>
    <definedName name="Soi_HamYen">#REF!</definedName>
    <definedName name="soichon12">#REF!</definedName>
    <definedName name="soichon1x2">#REF!</definedName>
    <definedName name="soichon24">#REF!</definedName>
    <definedName name="soichon46">#REF!</definedName>
    <definedName name="soichon4x6">#REF!</definedName>
    <definedName name="soigai">#REF!</definedName>
    <definedName name="SoilType">#REF!</definedName>
    <definedName name="Solan">#REF!</definedName>
    <definedName name="solieu">#REF!</definedName>
    <definedName name="SOLUONG">#REF!</definedName>
    <definedName name="Son">#REF!</definedName>
    <definedName name="sonduong">#REF!</definedName>
    <definedName name="Sonth">#REF!</definedName>
    <definedName name="SORT">#REF!</definedName>
    <definedName name="SORT_AREA">#REF!</definedName>
    <definedName name="SOTIEN">OFFSET(#REF!,COUNTA(#REF!)-1,0,1)</definedName>
    <definedName name="SOTIEN_CO_NK">#REF!</definedName>
    <definedName name="SOTIEN_NO_NK">#REF!</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v">#REF!</definedName>
    <definedName name="sp_ngio">#REF!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N">#REF!</definedName>
    <definedName name="SPAN_No">#REF!</definedName>
    <definedName name="SPEC">#REF!</definedName>
    <definedName name="SPECSUMMARY">#REF!</definedName>
    <definedName name="spk1p">#REF!</definedName>
    <definedName name="spk3p">#REF!</definedName>
    <definedName name="SQ">#REF!</definedName>
    <definedName name="srbn" localSheetId="3">{"Thuxm2.xls","Sheet1"}</definedName>
    <definedName name="srbn">{"Thuxm2.xls","Sheet1"}</definedName>
    <definedName name="srtg">#REF!</definedName>
    <definedName name="ss" localSheetId="3">BlankMacro1</definedName>
    <definedName name="ss">BlankMacro1</definedName>
    <definedName name="sss">#REF!</definedName>
    <definedName name="ssss">#REF!</definedName>
    <definedName name="ST">#REF!</definedName>
    <definedName name="st1p">#REF!</definedName>
    <definedName name="st3p">#REF!</definedName>
    <definedName name="star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_year">#REF!</definedName>
    <definedName name="Statement_Date">#REF!</definedName>
    <definedName name="Statistic">#REF!</definedName>
    <definedName name="Stc">#REF!</definedName>
    <definedName name="STD">#REF!</definedName>
    <definedName name="STDL">#REF!</definedName>
    <definedName name="stsd">#REF!</definedName>
    <definedName name="str">#REF!</definedName>
    <definedName name="SU">#REF!</definedName>
    <definedName name="sub">#REF!</definedName>
    <definedName name="SUL">#REF!</definedName>
    <definedName name="sum">#REF!,#REF!</definedName>
    <definedName name="SUMITOMO">#REF!</definedName>
    <definedName name="SUMITOMO_GT">#REF!</definedName>
    <definedName name="SUMMARY">#REF!</definedName>
    <definedName name="SumXL">#REF!</definedName>
    <definedName name="Supervisor">#REF!</definedName>
    <definedName name="sur">#REF!</definedName>
    <definedName name="sv">#REF!</definedName>
    <definedName name="svn">#REF!</definedName>
    <definedName name="t">#REF!</definedName>
    <definedName name="t.">#REF!</definedName>
    <definedName name="t..">#REF!</definedName>
    <definedName name="T.3" localSheetId="3" hidden="1">{"'Sheet1'!$L$16"}</definedName>
    <definedName name="T.3" hidden="1">{"'Sheet1'!$L$16"}</definedName>
    <definedName name="T.nhËp">#REF!</definedName>
    <definedName name="t_1">#REF!</definedName>
    <definedName name="T_CH_00001_AC">#REF!</definedName>
    <definedName name="T_CH_AC">#REF!</definedName>
    <definedName name="T_dat">#REF!</definedName>
    <definedName name="t101p">#REF!</definedName>
    <definedName name="t103p">#REF!</definedName>
    <definedName name="t105mnc">#REF!</definedName>
    <definedName name="t10m">#REF!</definedName>
    <definedName name="t10nc">#REF!</definedName>
    <definedName name="t10nc1p">#REF!</definedName>
    <definedName name="t10ncm">#REF!</definedName>
    <definedName name="T10vc">#REF!</definedName>
    <definedName name="t10vl">#REF!</definedName>
    <definedName name="t10vl1p">#REF!</definedName>
    <definedName name="t121p">#REF!</definedName>
    <definedName name="t123p">#REF!</definedName>
    <definedName name="t12m">#REF!</definedName>
    <definedName name="t12mnc">#REF!</definedName>
    <definedName name="t12nc">#REF!</definedName>
    <definedName name="t12nc3p">#REF!</definedName>
    <definedName name="t12ncm">#REF!</definedName>
    <definedName name="T12vc">#REF!</definedName>
    <definedName name="t12vl">#REF!</definedName>
    <definedName name="t12vl3p">#REF!</definedName>
    <definedName name="t141p">#REF!</definedName>
    <definedName name="t143p">#REF!</definedName>
    <definedName name="t14m">#REF!</definedName>
    <definedName name="t14mnc">#REF!</definedName>
    <definedName name="t14nc">#REF!</definedName>
    <definedName name="t14nc3p">#REF!</definedName>
    <definedName name="t14ncm">#REF!</definedName>
    <definedName name="T14vc">#REF!</definedName>
    <definedName name="t14vl">#REF!</definedName>
    <definedName name="t14vl3p">#REF!</definedName>
    <definedName name="T203P">#REF!</definedName>
    <definedName name="t20m">#REF!</definedName>
    <definedName name="t20ncm">#REF!</definedName>
    <definedName name="t7m">#REF!</definedName>
    <definedName name="t7nc">#REF!</definedName>
    <definedName name="t7vl">#REF!</definedName>
    <definedName name="t84mnc">#REF!</definedName>
    <definedName name="t8m">#REF!</definedName>
    <definedName name="t8nc">#REF!</definedName>
    <definedName name="t8vl">#REF!</definedName>
    <definedName name="Table1">#REF!</definedName>
    <definedName name="Table3">#REF!</definedName>
    <definedName name="table4">#REF!</definedName>
    <definedName name="table5">#REF!</definedName>
    <definedName name="table6">#REF!</definedName>
    <definedName name="table6b">#REF!</definedName>
    <definedName name="table7">#REF!</definedName>
    <definedName name="Tach_NghinTy">#REF!</definedName>
    <definedName name="tadao">#REF!</definedName>
    <definedName name="Tai_trong">#REF!</definedName>
    <definedName name="Tai_Trong_Tinh_Toan">#REF!</definedName>
    <definedName name="Taikhoan">#REF!</definedName>
    <definedName name="Tam">#REF!</definedName>
    <definedName name="tamlop">#REF!</definedName>
    <definedName name="TAMT">#REF!</definedName>
    <definedName name="TAMTINH">#REF!</definedName>
    <definedName name="Tan" localSheetId="3" hidden="1">{"'Sheet1'!$L$16"}</definedName>
    <definedName name="Tan" hidden="1">{"'Sheet1'!$L$16"}</definedName>
    <definedName name="Tan_suat">#REF!</definedName>
    <definedName name="taukeo150">#REF!</definedName>
    <definedName name="taun">#REF!</definedName>
    <definedName name="Tax">#REF!</definedName>
    <definedName name="TaxTV">10%</definedName>
    <definedName name="TaxXL">5%</definedName>
    <definedName name="TayRiSon">#REF!</definedName>
    <definedName name="TayRyHan">#REF!</definedName>
    <definedName name="tb">#REF!</definedName>
    <definedName name="TB_CTO">#REF!</definedName>
    <definedName name="TBA">#REF!</definedName>
    <definedName name="tbagd1">#REF!</definedName>
    <definedName name="tbdd1p">#REF!</definedName>
    <definedName name="tbdd3p">#REF!</definedName>
    <definedName name="tbddsdl">#REF!</definedName>
    <definedName name="TBI">#REF!</definedName>
    <definedName name="TBNS">#REF!</definedName>
    <definedName name="TBRL">#REF!</definedName>
    <definedName name="tbtr">#REF!</definedName>
    <definedName name="tbtram">#REF!</definedName>
    <definedName name="TBXD">#REF!</definedName>
    <definedName name="TC">#REF!</definedName>
    <definedName name="tc_1">#REF!</definedName>
    <definedName name="tc_2">#REF!</definedName>
    <definedName name="TC_NHANH1">#REF!</definedName>
    <definedName name="TCVa">#REF!</definedName>
    <definedName name="TCXe">#REF!</definedName>
    <definedName name="tcxxnc">#REF!</definedName>
    <definedName name="Tchuan">#REF!</definedName>
    <definedName name="td">#REF!</definedName>
    <definedName name="td10vl">#REF!</definedName>
    <definedName name="td12nc">#REF!</definedName>
    <definedName name="TD12vl">#REF!</definedName>
    <definedName name="td1cnc">#REF!</definedName>
    <definedName name="td1cvl">#REF!</definedName>
    <definedName name="td1p">#REF!</definedName>
    <definedName name="TD1p1nc">#REF!</definedName>
    <definedName name="td1p1vc">#REF!</definedName>
    <definedName name="TD1p1vl">#REF!</definedName>
    <definedName name="TD1p2nc">#REF!</definedName>
    <definedName name="TD1p2vc">#REF!</definedName>
    <definedName name="TD1p2vl">#REF!</definedName>
    <definedName name="TD1pnc">#REF!</definedName>
    <definedName name="TD1pvl">#REF!</definedName>
    <definedName name="td3p">#REF!</definedName>
    <definedName name="tdbcnckt" localSheetId="3">#REF!</definedName>
    <definedName name="tdbcnckt">#REF!</definedName>
    <definedName name="tdc84nc">#REF!</definedName>
    <definedName name="tdcnc">#REF!</definedName>
    <definedName name="TDctnc">#REF!</definedName>
    <definedName name="TDctvc">#REF!</definedName>
    <definedName name="TDctvl">#REF!</definedName>
    <definedName name="tdgnc">#REF!</definedName>
    <definedName name="tdgvl">#REF!</definedName>
    <definedName name="tdhtnc">#REF!</definedName>
    <definedName name="tdhtvl">#REF!</definedName>
    <definedName name="tdia">#REF!</definedName>
    <definedName name="TDKB">#REF!</definedName>
    <definedName name="TDmnc">#REF!</definedName>
    <definedName name="TDmvc">#REF!</definedName>
    <definedName name="TDmvl">#REF!</definedName>
    <definedName name="tdnc">#REF!</definedName>
    <definedName name="tdnc1p">#REF!</definedName>
    <definedName name="tdnc3p">#REF!</definedName>
    <definedName name="tdo">#REF!</definedName>
    <definedName name="tdt">#REF!</definedName>
    <definedName name="tdt1pnc">#REF!</definedName>
    <definedName name="tdt1pvl">#REF!</definedName>
    <definedName name="tdt2cnc">#REF!</definedName>
    <definedName name="tdt2cvl">#REF!</definedName>
    <definedName name="tdtr2cnc">#REF!</definedName>
    <definedName name="tdtr2cvl">#REF!</definedName>
    <definedName name="tdtrnc">#REF!</definedName>
    <definedName name="tdtrvl">#REF!</definedName>
    <definedName name="TDV">#REF!</definedName>
    <definedName name="tdvl">#REF!</definedName>
    <definedName name="tdvl1p">#REF!</definedName>
    <definedName name="tdvl3p">#REF!</definedName>
    <definedName name="tecnuoc5">#REF!</definedName>
    <definedName name="tem" localSheetId="3" hidden="1">{"'Sheet1'!$L$16"}</definedName>
    <definedName name="tem" hidden="1">{"'Sheet1'!$L$16"}</definedName>
    <definedName name="temp">#REF!</definedName>
    <definedName name="Temp_Br">#REF!</definedName>
    <definedName name="TEMPBR">#REF!</definedName>
    <definedName name="TemporaryWork">#REF!</definedName>
    <definedName name="ten">#REF!</definedName>
    <definedName name="Ten_du_an">#REF!</definedName>
    <definedName name="tenvung">#REF!</definedName>
    <definedName name="TENH">#REF!</definedName>
    <definedName name="test">#REF!</definedName>
    <definedName name="Test5">#N/A</definedName>
    <definedName name="text">#REF!,#REF!,#REF!,#REF!,#REF!</definedName>
    <definedName name="tên1">#REF!</definedName>
    <definedName name="tfdd">#REF!</definedName>
    <definedName name="TG">#REF!</definedName>
    <definedName name="TI">#REF!</definedName>
    <definedName name="Ti_le_FC">#REF!</definedName>
    <definedName name="Tien">#REF!</definedName>
    <definedName name="Tien_do">#REF!</definedName>
    <definedName name="tiendau">#REF!</definedName>
    <definedName name="TIENLUONG">#REF!</definedName>
    <definedName name="tientu">#REF!</definedName>
    <definedName name="TienUSD">#REF!</definedName>
    <definedName name="tiengao">#REF!</definedName>
    <definedName name="Tiep_dia">#REF!</definedName>
    <definedName name="Tiepdia">#REF!</definedName>
    <definedName name="Tiepdiama">9500</definedName>
    <definedName name="TIEU_HAO_VAT_TU_DZ0.4KV">#REF!</definedName>
    <definedName name="TIEU_HAO_VAT_TU_DZ22KV">#REF!</definedName>
    <definedName name="TIEU_HAO_VAT_TU_TBA">#REF!</definedName>
    <definedName name="TileStone">#REF!</definedName>
    <definedName name="Tim_cong">#REF!</definedName>
    <definedName name="Tim_lan_xuat_hien">#REF!</definedName>
    <definedName name="tim_xuat_hien">#REF!</definedName>
    <definedName name="TimeFrame">#REF!</definedName>
    <definedName name="tinhqt" localSheetId="3">#REF!</definedName>
    <definedName name="tinhqt">#REF!</definedName>
    <definedName name="TINHTP">OFFSET(#REF!,COUNTIF(#REF!,"&lt;&gt;0")-1,0,1)</definedName>
    <definedName name="TITAN">#REF!</definedName>
    <definedName name="TitleRegion..BO60">#REF!</definedName>
    <definedName name="TK">#REF!</definedName>
    <definedName name="TK_LS_SC">#REF!</definedName>
    <definedName name="TKCO_NK">#REF!</definedName>
    <definedName name="TkCto">#REF!</definedName>
    <definedName name="TKNO_NK">#REF!</definedName>
    <definedName name="TKP">#REF!</definedName>
    <definedName name="tkpdt" localSheetId="3">#REF!</definedName>
    <definedName name="tkpdt">#REF!</definedName>
    <definedName name="TKYB">"TKYB"</definedName>
    <definedName name="TL">#REF!</definedName>
    <definedName name="TLAC120">#REF!</definedName>
    <definedName name="TLAC35">#REF!</definedName>
    <definedName name="TLAC50">#REF!</definedName>
    <definedName name="TLAC70">#REF!</definedName>
    <definedName name="TLAC95">#REF!</definedName>
    <definedName name="TLDa">#REF!</definedName>
    <definedName name="TLdat">#REF!</definedName>
    <definedName name="TLDM">#REF!</definedName>
    <definedName name="Tle">#REF!</definedName>
    <definedName name="TLPD">#REF!</definedName>
    <definedName name="tlrieng">#REF!</definedName>
    <definedName name="tluong">#REF!</definedName>
    <definedName name="TM">#REF!</definedName>
    <definedName name="tmbxd">#REF!</definedName>
    <definedName name="TMDT1">#REF!</definedName>
    <definedName name="TMDT2">#REF!</definedName>
    <definedName name="TMDTmoi">#REF!</definedName>
    <definedName name="TMProtection">#REF!</definedName>
    <definedName name="TN">#REF!</definedName>
    <definedName name="TN_0.4">#REF!</definedName>
    <definedName name="TN_22">#REF!</definedName>
    <definedName name="TN_b_qu_n">#REF!</definedName>
    <definedName name="TN_CTO">#REF!</definedName>
    <definedName name="tn1pinnc">#REF!</definedName>
    <definedName name="tn2mhnnc">#REF!</definedName>
    <definedName name="TNCM">#REF!</definedName>
    <definedName name="tnignc">#REF!</definedName>
    <definedName name="tnin190nc">#REF!</definedName>
    <definedName name="tnlnc">#REF!</definedName>
    <definedName name="tnnnc">#REF!</definedName>
    <definedName name="TNNT">#REF!</definedName>
    <definedName name="tno">#REF!</definedName>
    <definedName name="TNTNM">#REF!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v">#REF!</definedName>
    <definedName name="tnh_ngio">#REF!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hnnc">#REF!</definedName>
    <definedName name="to">#REF!</definedName>
    <definedName name="Toanbo">#REF!</definedName>
    <definedName name="toeic">#REF!</definedName>
    <definedName name="toi5t">#REF!</definedName>
    <definedName name="ton">#REF!</definedName>
    <definedName name="Tonmai">#REF!</definedName>
    <definedName name="TonQuyT4">#REF!</definedName>
    <definedName name="Tong">#REF!</definedName>
    <definedName name="Tong_co">#REF!</definedName>
    <definedName name="TONG_GIA_TRI_CONG_TRINH">#REF!</definedName>
    <definedName name="TONG_HOP_THI_NGHIEM_DZ0.4KV">#REF!</definedName>
    <definedName name="TONG_HOP_THI_NGHIEM_DZ22KV">#REF!</definedName>
    <definedName name="TONG_KE_DZ0.4KV">#REF!</definedName>
    <definedName name="TONG_KE_TBA">#REF!</definedName>
    <definedName name="Tong_no">#REF!</definedName>
    <definedName name="tongdt">#REF!</definedName>
    <definedName name="TONGDUTOAN">#REF!</definedName>
    <definedName name="TonghopHtxH">#REF!</definedName>
    <definedName name="TonghopHtxT">#REF!</definedName>
    <definedName name="TONGKHOILUONG">#REF!</definedName>
    <definedName name="TONGVATTU">#REF!</definedName>
    <definedName name="TOP">#REF!</definedName>
    <definedName name="TOTAL">#REF!</definedName>
    <definedName name="totb">#REF!</definedName>
    <definedName name="totb1">#REF!</definedName>
    <definedName name="totb2">#REF!</definedName>
    <definedName name="totb3">#REF!</definedName>
    <definedName name="totb4">#REF!</definedName>
    <definedName name="totb5">#REF!</definedName>
    <definedName name="totb6">#REF!</definedName>
    <definedName name="TP">#REF!</definedName>
    <definedName name="TPLRP">#REF!</definedName>
    <definedName name="TPT">#REF!</definedName>
    <definedName name="ts">#REF!</definedName>
    <definedName name="tsI">#REF!</definedName>
    <definedName name="TT">#REF!</definedName>
    <definedName name="TT_1P">#REF!</definedName>
    <definedName name="TT_3p">#REF!</definedName>
    <definedName name="TT_cot">#REF!</definedName>
    <definedName name="tt1pnc">#REF!</definedName>
    <definedName name="tt1pvl">#REF!</definedName>
    <definedName name="tt3pnc">#REF!</definedName>
    <definedName name="tt3pvl">#REF!</definedName>
    <definedName name="ttam">#REF!</definedName>
    <definedName name="ttao">#REF!</definedName>
    <definedName name="ttbt">#REF!</definedName>
    <definedName name="TTDD">#REF!+#REF!+#REF!</definedName>
    <definedName name="TTDD1P">#REF!</definedName>
    <definedName name="TTDD3P">#REF!</definedName>
    <definedName name="ttdd3pct">#REF!</definedName>
    <definedName name="TTDDCT3p">#REF!</definedName>
    <definedName name="TTDKKH">#REF!</definedName>
    <definedName name="ttinh">#REF!</definedName>
    <definedName name="TTK3p">#REF!</definedName>
    <definedName name="TTLo62">#REF!</definedName>
    <definedName name="ttt">#REF!</definedName>
    <definedName name="tttb">#REF!</definedName>
    <definedName name="tttt">#REF!</definedName>
    <definedName name="TTTR">#REF!</definedName>
    <definedName name="TTVAn5">#REF!</definedName>
    <definedName name="tth">#REF!</definedName>
    <definedName name="tthi">#REF!</definedName>
    <definedName name="ttronmk">#REF!</definedName>
    <definedName name="Tu_dung_ton_that">#REF!</definedName>
    <definedName name="Tuong_dau_HD">#REF!</definedName>
    <definedName name="TuVan">#REF!</definedName>
    <definedName name="tuyennhanh" localSheetId="3" hidden="1">{"'Sheet1'!$L$16"}</definedName>
    <definedName name="tuyennhanh" hidden="1">{"'Sheet1'!$L$16"}</definedName>
    <definedName name="tuyequang">#REF!</definedName>
    <definedName name="TV">#REF!</definedName>
    <definedName name="tv75nc">#REF!</definedName>
    <definedName name="tv75vl">#REF!</definedName>
    <definedName name="twdd">#REF!</definedName>
    <definedName name="Twister">#REF!</definedName>
    <definedName name="TX">#REF!</definedName>
    <definedName name="tx1pignc">#REF!</definedName>
    <definedName name="tx1pindnc">#REF!</definedName>
    <definedName name="tx1pintnc">#REF!</definedName>
    <definedName name="tx1pingnc">#REF!</definedName>
    <definedName name="tx1pitnc">#REF!</definedName>
    <definedName name="tx2mhnnc">#REF!</definedName>
    <definedName name="tx2mitnc">#REF!</definedName>
    <definedName name="txhnnc">#REF!</definedName>
    <definedName name="txig1nc">#REF!</definedName>
    <definedName name="txin190nc">#REF!</definedName>
    <definedName name="txinnc">#REF!</definedName>
    <definedName name="txit1nc">#REF!</definedName>
    <definedName name="TY">#REF!</definedName>
    <definedName name="Ty_gia">#REF!</definedName>
    <definedName name="Ty_gia_yen">#REF!</definedName>
    <definedName name="ty_le">#REF!</definedName>
    <definedName name="Ty_Le_1">#REF!</definedName>
    <definedName name="ty_le_BTN">#REF!</definedName>
    <definedName name="Ty_le1">#REF!</definedName>
    <definedName name="tygia">#REF!</definedName>
    <definedName name="tygia1">#REF!</definedName>
    <definedName name="Type_1">#REF!</definedName>
    <definedName name="Type_2">#REF!</definedName>
    <definedName name="TYT" localSheetId="3">BlankMacro1</definedName>
    <definedName name="TYT">BlankMacro1</definedName>
    <definedName name="Tytrong">#REF!</definedName>
    <definedName name="TH">#REF!</definedName>
    <definedName name="TH.tinh">#REF!</definedName>
    <definedName name="TH_0.4">#REF!</definedName>
    <definedName name="TH_22">#REF!</definedName>
    <definedName name="Th_6_th_ng_1">#REF!</definedName>
    <definedName name="Th_6_th_ng_2">#REF!</definedName>
    <definedName name="Th_6_th_ng_3">#REF!</definedName>
    <definedName name="Th_6_th_ng_4">#REF!</definedName>
    <definedName name="Th_6_th_ng_5">#REF!</definedName>
    <definedName name="Th_6_th_ng_6">#REF!</definedName>
    <definedName name="Th_6_th_ng_7">#REF!</definedName>
    <definedName name="Th_6th_ng_10">#REF!</definedName>
    <definedName name="Th_6th_ng_11">#REF!</definedName>
    <definedName name="Th_6th_ng_12">#REF!</definedName>
    <definedName name="Th_6th_ng_17">#REF!</definedName>
    <definedName name="Th_6th_ng_19">#REF!</definedName>
    <definedName name="Th_6th_ng_8">#REF!</definedName>
    <definedName name="Th_6th_ng_9">#REF!</definedName>
    <definedName name="Th_CT">#REF!</definedName>
    <definedName name="TH_VKHNN">#REF!</definedName>
    <definedName name="th3x15">#REF!</definedName>
    <definedName name="tha" localSheetId="3" hidden="1">{"'Sheet1'!$L$16"}</definedName>
    <definedName name="tha" hidden="1">{"'Sheet1'!$L$16"}</definedName>
    <definedName name="Thang" localSheetId="3" hidden="1">{"'Sheet1'!$L$16"}</definedName>
    <definedName name="Thang" hidden="1">{"'Sheet1'!$L$16"}</definedName>
    <definedName name="Thang_Long">#REF!</definedName>
    <definedName name="Thang_Long_GT">#REF!</definedName>
    <definedName name="Thang1" localSheetId="3" hidden="1">{"'Sheet1'!$L$16"}</definedName>
    <definedName name="Thang1" hidden="1">{"'Sheet1'!$L$16"}</definedName>
    <definedName name="thang10" localSheetId="3" hidden="1">{"'Sheet1'!$L$16"}</definedName>
    <definedName name="thang10" hidden="1">{"'Sheet1'!$L$16"}</definedName>
    <definedName name="thang101112">#REF!</definedName>
    <definedName name="thang6789">#REF!</definedName>
    <definedName name="thanh" localSheetId="3" hidden="1">{"'Sheet1'!$L$16"}</definedName>
    <definedName name="thanh" hidden="1">{"'Sheet1'!$L$16"}</definedName>
    <definedName name="Thanh_CT">#REF!</definedName>
    <definedName name="thanhdul">#REF!</definedName>
    <definedName name="ThanhXuan110">#REF!</definedName>
    <definedName name="ThaoCauCu">#REF!</definedName>
    <definedName name="Thautinh">#REF!</definedName>
    <definedName name="ÞBM">#REF!</definedName>
    <definedName name="Þcot">#REF!</definedName>
    <definedName name="ÞCTd4">#REF!</definedName>
    <definedName name="ÞCTt4">#REF!</definedName>
    <definedName name="THchon">#REF!</definedName>
    <definedName name="Þdamd4">#REF!</definedName>
    <definedName name="Þdamt4">#REF!</definedName>
    <definedName name="thdggt">#REF!</definedName>
    <definedName name="thdgxd">#REF!</definedName>
    <definedName name="thdien" localSheetId="3" hidden="1">{"'Sheet1'!$L$16"}</definedName>
    <definedName name="thdien" hidden="1">{"'Sheet1'!$L$16"}</definedName>
    <definedName name="THDS">#REF!</definedName>
    <definedName name="thdt">#REF!</definedName>
    <definedName name="THDT_CT_XOM_NOI">#REF!</definedName>
    <definedName name="THDT_HT_DAO_THUONG">#REF!</definedName>
    <definedName name="THDT_HT_XOM_NOI">#REF!</definedName>
    <definedName name="THDT_NPP_XOM_NOI">#REF!</definedName>
    <definedName name="THDT_TBA_XOM_NOI">#REF!</definedName>
    <definedName name="THEP_D32">#REF!</definedName>
    <definedName name="thepbuoc">#REF!</definedName>
    <definedName name="ThepCT3">#REF!</definedName>
    <definedName name="thepCT5">#REF!</definedName>
    <definedName name="ThepDet32x3">#REF!</definedName>
    <definedName name="ThepDet35x3">#REF!</definedName>
    <definedName name="ThepDet40x4">#REF!</definedName>
    <definedName name="ThepDet45x4">#REF!</definedName>
    <definedName name="ThepDet50x5">#REF!</definedName>
    <definedName name="ThepDet63x6">#REF!</definedName>
    <definedName name="ThepDet75x6">#REF!</definedName>
    <definedName name="thepDet75x7">#REF!</definedName>
    <definedName name="thepgoc25_60">#REF!</definedName>
    <definedName name="ThepGoc32x32x3">#REF!</definedName>
    <definedName name="ThepGoc35x35x3">#REF!</definedName>
    <definedName name="ThepGoc40x40x4">#REF!</definedName>
    <definedName name="ThepGoc45x45x4">#REF!</definedName>
    <definedName name="ThepGoc50x50x5">#REF!</definedName>
    <definedName name="thepgoc63_75">#REF!</definedName>
    <definedName name="ThepGoc63x63x6">#REF!</definedName>
    <definedName name="ThepGoc75x6">#REF!</definedName>
    <definedName name="ThepGoc75x75x6">#REF!</definedName>
    <definedName name="thepgoc80_100">#REF!</definedName>
    <definedName name="thepma">10500</definedName>
    <definedName name="theptam">#REF!</definedName>
    <definedName name="theptb">#REF!</definedName>
    <definedName name="theptron">#REF!</definedName>
    <definedName name="theptron12">#REF!</definedName>
    <definedName name="theptron14_22">#REF!</definedName>
    <definedName name="theptron6_8">#REF!</definedName>
    <definedName name="ThepTronD10D18">#REF!</definedName>
    <definedName name="ThepTronD6D8">#REF!</definedName>
    <definedName name="thepU">#REF!</definedName>
    <definedName name="thepxa">#REF!</definedName>
    <definedName name="thephinh">#REF!</definedName>
    <definedName name="THGO1pnc">#REF!</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v">#REF!</definedName>
    <definedName name="thgian_ngio">#REF!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v">#REF!</definedName>
    <definedName name="thgio_ngio">#REF!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ht">#REF!</definedName>
    <definedName name="THI">#REF!</definedName>
    <definedName name="thietbidien">#REF!</definedName>
    <definedName name="thietbivesinh">#REF!</definedName>
    <definedName name="thinh">#REF!</definedName>
    <definedName name="THK">#REF!</definedName>
    <definedName name="THKP160">#REF!</definedName>
    <definedName name="thkp3">#REF!</definedName>
    <definedName name="thkh">#REF!</definedName>
    <definedName name="thm">#REF!</definedName>
    <definedName name="Þmong">#REF!</definedName>
    <definedName name="ÞNXoldk">#REF!</definedName>
    <definedName name="thong" localSheetId="3" hidden="1">{"'Sheet1'!$L$16"}</definedName>
    <definedName name="thong" hidden="1">{"'Sheet1'!$L$16"}</definedName>
    <definedName name="Thong_ke_dung_may">#REF!</definedName>
    <definedName name="thongso">#REF!</definedName>
    <definedName name="Thop">#REF!</definedName>
    <definedName name="THop2">#REF!</definedName>
    <definedName name="THp">#REF!</definedName>
    <definedName name="Þsan">#REF!</definedName>
    <definedName name="THT">#REF!</definedName>
    <definedName name="THToanBo">#REF!</definedName>
    <definedName name="THtoanbo2">#REF!</definedName>
    <definedName name="thtt">#REF!</definedName>
    <definedName name="thtu">#REF!</definedName>
    <definedName name="thth">#REF!</definedName>
    <definedName name="THTHEP">#REF!</definedName>
    <definedName name="thtr15">#REF!</definedName>
    <definedName name="thu" localSheetId="3" hidden="1">{"'Sheet1'!$L$16"}</definedName>
    <definedName name="thu" hidden="1">{"'Sheet1'!$L$16"}</definedName>
    <definedName name="thucthanh">#REF!</definedName>
    <definedName name="thue">6</definedName>
    <definedName name="thuevat">#REF!</definedName>
    <definedName name="thuy" localSheetId="3" hidden="1">{"'Sheet1'!$L$16"}</definedName>
    <definedName name="thuy" hidden="1">{"'Sheet1'!$L$16"}</definedName>
    <definedName name="THUYETMINH">#REF!</definedName>
    <definedName name="thxay">#REF!</definedName>
    <definedName name="THXD">#REF!</definedName>
    <definedName name="tr_">#REF!</definedName>
    <definedName name="TR15HT">#REF!</definedName>
    <definedName name="TR16HT">#REF!</definedName>
    <definedName name="TR19HT">#REF!</definedName>
    <definedName name="tr1x15">#REF!</definedName>
    <definedName name="TR20HT">#REF!</definedName>
    <definedName name="tr3x100">#REF!</definedName>
    <definedName name="Tra_Cot">#REF!</definedName>
    <definedName name="Tra_DM_su_dung">#REF!</definedName>
    <definedName name="Tra_DM_su_dung_cau">#REF!</definedName>
    <definedName name="Tra_don_gia_KS">#REF!</definedName>
    <definedName name="Tra_DTCT">#REF!</definedName>
    <definedName name="Tra_gtxl_cong">#REF!</definedName>
    <definedName name="Tra_GTXLST">#REF!</definedName>
    <definedName name="Tra_gia_VLKS">#REF!</definedName>
    <definedName name="Tra_phan_tram">#REF!</definedName>
    <definedName name="Tra_ten_cong">#REF!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A103">#REF!</definedName>
    <definedName name="Tracuu">#REF!</definedName>
    <definedName name="Trade">#REF!</definedName>
    <definedName name="TRADE2">#REF!</definedName>
    <definedName name="tragiacuoc">#REF!</definedName>
    <definedName name="TRAM">#REF!</definedName>
    <definedName name="tram100">#REF!</definedName>
    <definedName name="tram1x25">#REF!</definedName>
    <definedName name="tramatcong1">#REF!</definedName>
    <definedName name="tramatcong2">#REF!</definedName>
    <definedName name="trambt60">#REF!</definedName>
    <definedName name="tran">#REF!</definedName>
    <definedName name="TRANSFORMER">#REF!</definedName>
    <definedName name="tranhietdo">#REF!</definedName>
    <definedName name="TraTH">#REF!</definedName>
    <definedName name="Trave">#REF!</definedName>
    <definedName name="TRAvH">#REF!</definedName>
    <definedName name="TRAVL">#REF!</definedName>
    <definedName name="TRIGIA">#REF!</definedName>
    <definedName name="TRISO">#REF!</definedName>
    <definedName name="tronbt250">#REF!</definedName>
    <definedName name="TronD10D18">#REF!</definedName>
    <definedName name="TronD6D8">#REF!</definedName>
    <definedName name="tronvua250">#REF!</definedName>
    <definedName name="Trô_P1">#REF!</definedName>
    <definedName name="Trô_P10">#REF!</definedName>
    <definedName name="Trô_P11">#REF!</definedName>
    <definedName name="Trô_P2">#REF!</definedName>
    <definedName name="Trô_P3">#REF!</definedName>
    <definedName name="Trô_P4">#REF!</definedName>
    <definedName name="Trô_P5">#REF!</definedName>
    <definedName name="Trô_P6">#REF!</definedName>
    <definedName name="Trô_P7">#REF!</definedName>
    <definedName name="Trô_P8">#REF!</definedName>
    <definedName name="Trô_P9">#REF!</definedName>
    <definedName name="trt">#REF!</definedName>
    <definedName name="trtỷyytutuyiyi">#REF!</definedName>
    <definedName name="tru10mtc">#REF!</definedName>
    <definedName name="tru8mtc">#REF!</definedName>
    <definedName name="trung" localSheetId="3">{"Thuxm2.xls","Sheet1"}</definedName>
    <definedName name="trung">{"Thuxm2.xls","Sheet1"}</definedName>
    <definedName name="Trung_chuyen_chung">#REF!</definedName>
    <definedName name="truotgia">#REF!</definedName>
    <definedName name="Truotgia2013">#REF!</definedName>
    <definedName name="truotgiadau">#REF!</definedName>
    <definedName name="truotgiaxang">#REF!</definedName>
    <definedName name="u">#REF!</definedName>
    <definedName name="U_tien">#REF!</definedName>
    <definedName name="Udm">#REF!</definedName>
    <definedName name="ugh">#REF!</definedName>
    <definedName name="ui">#REF!</definedName>
    <definedName name="unitt" localSheetId="3">BlankMacro1</definedName>
    <definedName name="unitt">BlankMacro1</definedName>
    <definedName name="UNL">#REF!</definedName>
    <definedName name="UOM">#REF!</definedName>
    <definedName name="UP">#REF!,#REF!,#REF!,#REF!,#REF!,#REF!,#REF!,#REF!,#REF!,#REF!,#REF!</definedName>
    <definedName name="upnoc">#REF!</definedName>
    <definedName name="usd">15000</definedName>
    <definedName name="ut">#REF!</definedName>
    <definedName name="UT_1">#REF!</definedName>
    <definedName name="UT1_373">#REF!</definedName>
    <definedName name="v">#REF!</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_1">#REF!</definedName>
    <definedName name="V_2">#REF!</definedName>
    <definedName name="V_3">#REF!</definedName>
    <definedName name="V_4">#REF!</definedName>
    <definedName name="V_i_ni_l_ng">#REF!</definedName>
    <definedName name="v100v">#REF!</definedName>
    <definedName name="v75d">#REF!</definedName>
    <definedName name="VA">#REF!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#REF!</definedName>
    <definedName name="VAN_CHUYEN_DUONG_DAI_DZ0.4KV">#REF!</definedName>
    <definedName name="VAN_CHUYEN_DUONG_DAI_DZ22KV">#REF!</definedName>
    <definedName name="VAN_CHUYEN_DUONG_DAI_TBA">#REF!</definedName>
    <definedName name="VAN_CHUYEN_VAT_TU_CHUNG">#REF!</definedName>
    <definedName name="VAN_TRUNG_CHUYEN_VAT_TU_CHUNG">#REF!</definedName>
    <definedName name="vanchuyencoc">#REF!</definedName>
    <definedName name="VanChuyenDam">#REF!</definedName>
    <definedName name="vankhuon">#REF!</definedName>
    <definedName name="VARIINST">#REF!</definedName>
    <definedName name="VARIPURC">#REF!</definedName>
    <definedName name="VAT">#REF!</definedName>
    <definedName name="VAT_LIEU_DEN_CHAN_CONG_TRINH">#REF!</definedName>
    <definedName name="Vat_tu">#REF!</definedName>
    <definedName name="vbtchongnuocm300">#REF!</definedName>
    <definedName name="vbtm150">#REF!</definedName>
    <definedName name="vbtm300">#REF!</definedName>
    <definedName name="vbtm400">#REF!</definedName>
    <definedName name="vc">#REF!</definedName>
    <definedName name="VC_0.4">#REF!</definedName>
    <definedName name="VC_22">#REF!</definedName>
    <definedName name="VC_chung1">#REF!</definedName>
    <definedName name="VC_TBA">#REF!</definedName>
    <definedName name="vc3.">#REF!</definedName>
    <definedName name="vca">#REF!</definedName>
    <definedName name="vcc">#REF!</definedName>
    <definedName name="vccot">#REF!</definedName>
    <definedName name="vccot.">#REF!</definedName>
    <definedName name="vcd">#REF!</definedName>
    <definedName name="vcdbt">#REF!</definedName>
    <definedName name="vcdc">#REF!</definedName>
    <definedName name="vcdc.">#REF!</definedName>
    <definedName name="vcdd">#REF!</definedName>
    <definedName name="vcdd_tba">#REF!</definedName>
    <definedName name="VCDD1P">#REF!</definedName>
    <definedName name="VCDD3p">#REF!</definedName>
    <definedName name="VCDDCT3p">#REF!</definedName>
    <definedName name="VCDDMBA">#REF!</definedName>
    <definedName name="vcdt">#REF!</definedName>
    <definedName name="vcdtb">#REF!</definedName>
    <definedName name="Vci">#REF!</definedName>
    <definedName name="vcn">#REF!</definedName>
    <definedName name="vcoto" localSheetId="3" hidden="1">{"'Sheet1'!$L$16"}</definedName>
    <definedName name="vcoto" hidden="1">{"'Sheet1'!$L$16"}</definedName>
    <definedName name="VCPK4">#REF!</definedName>
    <definedName name="vcsat">#REF!</definedName>
    <definedName name="vct">#REF!</definedName>
    <definedName name="vctb">#REF!</definedName>
    <definedName name="vctt">#REF!</definedName>
    <definedName name="VCVBT1">#REF!</definedName>
    <definedName name="VCVBT2">#REF!</definedName>
    <definedName name="Vcw">#REF!</definedName>
    <definedName name="vcxa">#REF!</definedName>
    <definedName name="vcxi">#REF!</definedName>
    <definedName name="VCHT">#REF!</definedName>
    <definedName name="VD">#REF!</definedName>
    <definedName name="vd3p">#REF!</definedName>
    <definedName name="VDCLY">#REF!</definedName>
    <definedName name="vdkt">#REF!</definedName>
    <definedName name="VDL">#REF!</definedName>
    <definedName name="Vendata">#REF!</definedName>
    <definedName name="Vf">#REF!</definedName>
    <definedName name="VHbom">#REF!</definedName>
    <definedName name="Vi">#REF!</definedName>
    <definedName name="viet">#REF!</definedName>
    <definedName name="Vietri">#REF!</definedName>
    <definedName name="vk">#REF!</definedName>
    <definedName name="vkcauthang">#REF!</definedName>
    <definedName name="vkds">#REF!</definedName>
    <definedName name="vksan">#REF!</definedName>
    <definedName name="vktc">#REF!</definedName>
    <definedName name="vkh">#REF!</definedName>
    <definedName name="vl">#REF!</definedName>
    <definedName name="VL_hien_truong_XL_chung">#REF!</definedName>
    <definedName name="vl100a">#REF!</definedName>
    <definedName name="vl1p">#REF!</definedName>
    <definedName name="vl3p">#REF!</definedName>
    <definedName name="VLBS">#N/A</definedName>
    <definedName name="vlc">#REF!</definedName>
    <definedName name="Vlcap0.7">#REF!</definedName>
    <definedName name="VLcap1">#REF!</definedName>
    <definedName name="vlct" localSheetId="3" hidden="1">{"'Sheet1'!$L$16"}</definedName>
    <definedName name="vlct" hidden="1">{"'Sheet1'!$L$16"}</definedName>
    <definedName name="VLCT3p">#REF!</definedName>
    <definedName name="vld">#REF!</definedName>
    <definedName name="vldd">#REF!</definedName>
    <definedName name="vldg">#REF!</definedName>
    <definedName name="vldn400">#REF!</definedName>
    <definedName name="vldn600">#REF!</definedName>
    <definedName name="VLHC">#REF!</definedName>
    <definedName name="VLIEU">#REF!</definedName>
    <definedName name="vlk">#REF!</definedName>
    <definedName name="VLKday">#REF!</definedName>
    <definedName name="vll">#REF!</definedName>
    <definedName name="VLM">#REF!</definedName>
    <definedName name="vlp">#REF!</definedName>
    <definedName name="vltco">#REF!</definedName>
    <definedName name="vltr">#REF!</definedName>
    <definedName name="vltram">#REF!</definedName>
    <definedName name="vm">#REF!</definedName>
    <definedName name="vm1.">#REF!</definedName>
    <definedName name="vm2.">#REF!</definedName>
    <definedName name="vn1.">#REF!</definedName>
    <definedName name="vn2.">#REF!</definedName>
    <definedName name="voi">#REF!</definedName>
    <definedName name="Von.KL">#REF!</definedName>
    <definedName name="Von_dau_tu_thuan">#REF!</definedName>
    <definedName name="Vp">#REF!</definedName>
    <definedName name="Vr">#REF!</definedName>
    <definedName name="vr3p">#REF!</definedName>
    <definedName name="Vs">#REF!</definedName>
    <definedName name="VT">#REF!</definedName>
    <definedName name="VT_0.4">#REF!</definedName>
    <definedName name="VT_1">#REF!</definedName>
    <definedName name="VT_22">#REF!</definedName>
    <definedName name="VT_TBA">#REF!</definedName>
    <definedName name="vt1pbs">#REF!</definedName>
    <definedName name="vtbs">#REF!</definedName>
    <definedName name="vtu">#REF!</definedName>
    <definedName name="Vu">#REF!</definedName>
    <definedName name="Vu_">#REF!</definedName>
    <definedName name="vua_75">#REF!</definedName>
    <definedName name="VuaBT200">#REF!</definedName>
    <definedName name="vuaepoxy">#REF!</definedName>
    <definedName name="vung">#REF!</definedName>
    <definedName name="vungdcd">#REF!</definedName>
    <definedName name="vungdcl">#REF!</definedName>
    <definedName name="vungnhapk">#REF!</definedName>
    <definedName name="vungnhapl">#REF!</definedName>
    <definedName name="vungxuatk">#REF!</definedName>
    <definedName name="vungxuatl">#REF!</definedName>
    <definedName name="VX">#REF!</definedName>
    <definedName name="VxlTBA">#REF!</definedName>
    <definedName name="vxuan">#REF!</definedName>
    <definedName name="W">#REF!</definedName>
    <definedName name="WATER_SUPPLY">#REF!</definedName>
    <definedName name="watertruck">#REF!</definedName>
    <definedName name="Wdaymong">#REF!</definedName>
    <definedName name="Wgct">#REF!</definedName>
    <definedName name="Wgkt">#REF!</definedName>
    <definedName name="WIRE1">5</definedName>
    <definedName name="wl">#REF!</definedName>
    <definedName name="WLX">#REF!</definedName>
    <definedName name="WLY">#REF!</definedName>
    <definedName name="WorkType">#REF!</definedName>
    <definedName name="WOT">#REF!</definedName>
    <definedName name="WPX">#REF!</definedName>
    <definedName name="WPY">#REF!</definedName>
    <definedName name="wrn.aaa." localSheetId="3" hidden="1">{#N/A,#N/A,FALSE,"Sheet1";#N/A,#N/A,FALSE,"Sheet1";#N/A,#N/A,FALSE,"Sheet1"}</definedName>
    <definedName name="wrn.aaa." hidden="1">{#N/A,#N/A,FALSE,"Sheet1";#N/A,#N/A,FALSE,"Sheet1";#N/A,#N/A,FALSE,"Sheet1"}</definedName>
    <definedName name="wrn.cong." localSheetId="3" hidden="1">{#N/A,#N/A,FALSE,"Sheet1"}</definedName>
    <definedName name="wrn.cong." hidden="1">{#N/A,#N/A,FALSE,"Sheet1"}</definedName>
    <definedName name="wrn.chi._.tiÆt." localSheetId="3" hidden="1">{#N/A,#N/A,FALSE,"Chi tiÆt"}</definedName>
    <definedName name="wrn.chi._.tiÆt." hidden="1">{#N/A,#N/A,FALSE,"Chi tiÆt"}</definedName>
    <definedName name="wrn.Monthly._.Statement." localSheetId="3" hidden="1">{#N/A,#N/A,FALSE,"Tabelle2";#N/A,#N/A,FALSE,"Tabelle1"}</definedName>
    <definedName name="wrn.Monthly._.Statement." hidden="1">{#N/A,#N/A,FALSE,"Tabelle2";#N/A,#N/A,FALSE,"Tabelle1"}</definedName>
    <definedName name="wrn.Report." localSheetId="3"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f.report" localSheetId="3"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s">#REF!</definedName>
    <definedName name="WSD">#REF!</definedName>
    <definedName name="WSDS">#REF!</definedName>
    <definedName name="Wss">#REF!</definedName>
    <definedName name="Wst">#REF!</definedName>
    <definedName name="wt">#REF!</definedName>
    <definedName name="ww" localSheetId="3">{"Thuxm2.xls","Sheet1"}</definedName>
    <definedName name="ww">{"Thuxm2.xls","Sheet1"}</definedName>
    <definedName name="WX">#REF!</definedName>
    <definedName name="WY">#REF!</definedName>
    <definedName name="X">#REF!</definedName>
    <definedName name="x_1">#REF!</definedName>
    <definedName name="x_2">#REF!</definedName>
    <definedName name="x_3">#REF!</definedName>
    <definedName name="x_4">#REF!</definedName>
    <definedName name="x_8I">#REF!</definedName>
    <definedName name="x_8IV">#REF!</definedName>
    <definedName name="x_9I">#REF!</definedName>
    <definedName name="x_9IV">#REF!</definedName>
    <definedName name="X_ng">#REF!</definedName>
    <definedName name="X0GFCFw">#REF!</definedName>
    <definedName name="x1_">#REF!</definedName>
    <definedName name="x17dnc">#REF!</definedName>
    <definedName name="x17dvl">#REF!</definedName>
    <definedName name="x17knc">#REF!</definedName>
    <definedName name="x17kvl">#REF!</definedName>
    <definedName name="X1GFCFw">#REF!</definedName>
    <definedName name="X1pFCOnc">#REF!</definedName>
    <definedName name="X1pFCOvc">#REF!</definedName>
    <definedName name="X1pFCOvl">#REF!</definedName>
    <definedName name="x1pignc">#REF!</definedName>
    <definedName name="X1pIGvc">#REF!</definedName>
    <definedName name="x1pigvl">#REF!</definedName>
    <definedName name="x1pind">#REF!</definedName>
    <definedName name="x1pindnc">#REF!</definedName>
    <definedName name="X1pINDvc">#REF!</definedName>
    <definedName name="x1pindvl">#REF!</definedName>
    <definedName name="x1pint">#REF!</definedName>
    <definedName name="x1pintnc">#REF!</definedName>
    <definedName name="X1pINTvc">#REF!</definedName>
    <definedName name="x1pintvl">#REF!</definedName>
    <definedName name="x1ping">#REF!</definedName>
    <definedName name="x1pingnc">#REF!</definedName>
    <definedName name="X1pINGvc">#REF!</definedName>
    <definedName name="x1pingvl">#REF!</definedName>
    <definedName name="x1pitnc">#REF!</definedName>
    <definedName name="X1pITvc">#REF!</definedName>
    <definedName name="x1pitvl">#REF!</definedName>
    <definedName name="x2_">#REF!</definedName>
    <definedName name="x20knc">#REF!</definedName>
    <definedName name="x20kvl">#REF!</definedName>
    <definedName name="x22knc">#REF!</definedName>
    <definedName name="x22kvl">#REF!</definedName>
    <definedName name="x2mig1nc">#REF!</definedName>
    <definedName name="x2mig1vl">#REF!</definedName>
    <definedName name="x2min1nc">#REF!</definedName>
    <definedName name="x2min1vl">#REF!</definedName>
    <definedName name="x2mit1vl">#REF!</definedName>
    <definedName name="x2mitnc">#REF!</definedName>
    <definedName name="x4.1.1">#REF!</definedName>
    <definedName name="x4.3.21">#REF!</definedName>
    <definedName name="x4.3.22">#REF!</definedName>
    <definedName name="xa">#REF!</definedName>
    <definedName name="xama">#REF!</definedName>
    <definedName name="xaydung">#REF!</definedName>
    <definedName name="XCCT">0.5</definedName>
    <definedName name="xd" localSheetId="3" hidden="1">{"'Sheet1'!$L$16"}</definedName>
    <definedName name="xd" hidden="1">{"'Sheet1'!$L$16"}</definedName>
    <definedName name="xd0.6">#REF!</definedName>
    <definedName name="xd1.3">#REF!</definedName>
    <definedName name="xd1.5">#REF!</definedName>
    <definedName name="XDNT">#REF!</definedName>
    <definedName name="XDNHC">#REF!</definedName>
    <definedName name="xdra">#REF!</definedName>
    <definedName name="xdsnc">#REF!</definedName>
    <definedName name="xdsvl">#REF!</definedName>
    <definedName name="xelaodam">#REF!</definedName>
    <definedName name="xethung10t">#REF!</definedName>
    <definedName name="xetreo">#REF!</definedName>
    <definedName name="xfco">#REF!</definedName>
    <definedName name="xfco3p">#REF!</definedName>
    <definedName name="xfconc">#REF!</definedName>
    <definedName name="xfconc3p">#REF!</definedName>
    <definedName name="xfcotnc">#REF!</definedName>
    <definedName name="xfcotvl">#REF!</definedName>
    <definedName name="XFCOvc">#REF!</definedName>
    <definedName name="xfcovl">#REF!</definedName>
    <definedName name="xfcovl3p">#REF!</definedName>
    <definedName name="xfnc">#REF!</definedName>
    <definedName name="xfvl">#REF!</definedName>
    <definedName name="xgc100">#REF!</definedName>
    <definedName name="xgc150">#REF!</definedName>
    <definedName name="xgc200">#REF!</definedName>
    <definedName name="xh">#REF!</definedName>
    <definedName name="xh_bq">#REF!</definedName>
    <definedName name="xh_bv">#REF!</definedName>
    <definedName name="xh_ck">#REF!</definedName>
    <definedName name="xh_d1">#REF!</definedName>
    <definedName name="xh_d2">#REF!</definedName>
    <definedName name="xh_d3">#REF!</definedName>
    <definedName name="xh_dl">#REF!</definedName>
    <definedName name="xh_kcs">#REF!</definedName>
    <definedName name="xh_nb">#REF!</definedName>
    <definedName name="xh_nv">#REF!</definedName>
    <definedName name="xh_ngio">#REF!</definedName>
    <definedName name="xh_t3">#REF!</definedName>
    <definedName name="xh_t4">#REF!</definedName>
    <definedName name="xh_t5">#REF!</definedName>
    <definedName name="xh_t6">#REF!</definedName>
    <definedName name="xh_tc">#REF!</definedName>
    <definedName name="xh_tm">#REF!</definedName>
    <definedName name="xh_vs">#REF!</definedName>
    <definedName name="xh_xh">#REF!</definedName>
    <definedName name="xhn">#REF!</definedName>
    <definedName name="xhnnc">#REF!</definedName>
    <definedName name="xhnvl">#REF!</definedName>
    <definedName name="xi">#REF!</definedName>
    <definedName name="Xi_m_ng_PC30">#REF!</definedName>
    <definedName name="xig">#REF!</definedName>
    <definedName name="xig1">#REF!</definedName>
    <definedName name="xig1nc">#REF!</definedName>
    <definedName name="xig1p">#REF!</definedName>
    <definedName name="xig1pnc">#REF!</definedName>
    <definedName name="xig1pvl">#REF!</definedName>
    <definedName name="xig1vl">#REF!</definedName>
    <definedName name="xig2nc">#REF!</definedName>
    <definedName name="xig2vl">#REF!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#REF!</definedName>
    <definedName name="XiMangPCB30">#REF!</definedName>
    <definedName name="xin">#REF!</definedName>
    <definedName name="xin190">#REF!</definedName>
    <definedName name="xin1903p">#REF!</definedName>
    <definedName name="xin190nc">#REF!</definedName>
    <definedName name="xin190nc3p">#REF!</definedName>
    <definedName name="XIN190vc">#REF!</definedName>
    <definedName name="xin190vl">#REF!</definedName>
    <definedName name="xin190vl3p">#REF!</definedName>
    <definedName name="xin2903p">#REF!</definedName>
    <definedName name="xin290nc3p">#REF!</definedName>
    <definedName name="xin290vl3p">#REF!</definedName>
    <definedName name="xin3p">#REF!</definedName>
    <definedName name="xin901nc">#REF!</definedName>
    <definedName name="xin901vl">#REF!</definedName>
    <definedName name="xind">#REF!</definedName>
    <definedName name="xind1p">#REF!</definedName>
    <definedName name="xind1pnc">#REF!</definedName>
    <definedName name="xind1pvl">#REF!</definedName>
    <definedName name="xind3p">#REF!</definedName>
    <definedName name="xindnc">#REF!</definedName>
    <definedName name="xindnc1p">#REF!</definedName>
    <definedName name="xindnc3p">#REF!</definedName>
    <definedName name="XINDvc">#REF!</definedName>
    <definedName name="xindvl">#REF!</definedName>
    <definedName name="xindvl1p">#REF!</definedName>
    <definedName name="xindvl3p">#REF!</definedName>
    <definedName name="xinnc">#REF!</definedName>
    <definedName name="xinnc3p">#REF!</definedName>
    <definedName name="xint1p">#REF!</definedName>
    <definedName name="XINvc">#REF!</definedName>
    <definedName name="xinvl">#REF!</definedName>
    <definedName name="xinvl3p">#REF!</definedName>
    <definedName name="xing1p">#REF!</definedName>
    <definedName name="xing1pnc">#REF!</definedName>
    <definedName name="xing1pvl">#REF!</definedName>
    <definedName name="xingnc1p">#REF!</definedName>
    <definedName name="xingvl1p">#REF!</definedName>
    <definedName name="xit">#REF!</definedName>
    <definedName name="xit1">#REF!</definedName>
    <definedName name="xit1nc">#REF!</definedName>
    <definedName name="xit1p">#REF!</definedName>
    <definedName name="xit1pnc">#REF!</definedName>
    <definedName name="xit1pvl">#REF!</definedName>
    <definedName name="xit1vl">#REF!</definedName>
    <definedName name="xit2nc">#REF!</definedName>
    <definedName name="xit2nc3p">#REF!</definedName>
    <definedName name="xit2vl">#REF!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#REF!</definedName>
    <definedName name="xlc">#REF!</definedName>
    <definedName name="xld1.4">#REF!</definedName>
    <definedName name="xlk">#REF!</definedName>
    <definedName name="xlk1.4">#REF!</definedName>
    <definedName name="XLP">#REF!</definedName>
    <definedName name="xlttbninh" localSheetId="3" hidden="1">{"'Sheet1'!$L$16"}</definedName>
    <definedName name="xlttbninh" hidden="1">{"'Sheet1'!$L$16"}</definedName>
    <definedName name="XLxa">#REF!</definedName>
    <definedName name="xm">#REF!</definedName>
    <definedName name="xmcax">#REF!</definedName>
    <definedName name="XMG">#REF!</definedName>
    <definedName name="xmp40">#REF!</definedName>
    <definedName name="xn">#REF!</definedName>
    <definedName name="xo">#REF!</definedName>
    <definedName name="xo0">#REF!</definedName>
    <definedName name="XOANHAP">#REF!,#REF!</definedName>
    <definedName name="xoanhapk">#REF!,#REF!</definedName>
    <definedName name="xoanhapl">#REF!,#REF!</definedName>
    <definedName name="xoaxuatk">#REF!</definedName>
    <definedName name="xoaxuatl">#REF!</definedName>
    <definedName name="xr1nc">#REF!</definedName>
    <definedName name="xr1vl">#REF!</definedName>
    <definedName name="XTN">#REF!</definedName>
    <definedName name="xtr3pnc">#REF!</definedName>
    <definedName name="xtr3pvl">#REF!</definedName>
    <definedName name="xuat_hien">#REF!</definedName>
    <definedName name="Xuat_hien1">#REF!</definedName>
    <definedName name="xuclat1">#REF!</definedName>
    <definedName name="xvxcvxc" localSheetId="3" hidden="1">{"'Sheet1'!$L$16"}</definedName>
    <definedName name="xvxcvxc" hidden="1">{"'Sheet1'!$L$16"}</definedName>
    <definedName name="xx">#REF!</definedName>
    <definedName name="XXX1">#REF!</definedName>
    <definedName name="xy2.5.1">#REF!</definedName>
    <definedName name="xy5.3.1">#REF!</definedName>
    <definedName name="xz2.5.1">#REF!</definedName>
    <definedName name="xz5.3.1">#REF!</definedName>
    <definedName name="xzfa" localSheetId="3" hidden="1">{"'Sheet1'!$L$16"}</definedName>
    <definedName name="xzfa" hidden="1">{"'Sheet1'!$L$16"}</definedName>
    <definedName name="y">#REF!</definedName>
    <definedName name="y_1I">#REF!</definedName>
    <definedName name="y_1II">#REF!</definedName>
    <definedName name="y_1III">#REF!</definedName>
    <definedName name="y_1IV">#REF!</definedName>
    <definedName name="y_2I">#REF!</definedName>
    <definedName name="y_2II">#REF!</definedName>
    <definedName name="y_2III">#REF!</definedName>
    <definedName name="y_2IV">#REF!</definedName>
    <definedName name="y_3I">#REF!</definedName>
    <definedName name="y_3II">#REF!</definedName>
    <definedName name="y_3III">#REF!</definedName>
    <definedName name="y_3IV">#REF!</definedName>
    <definedName name="y_4I">#REF!</definedName>
    <definedName name="y_4II">#REF!</definedName>
    <definedName name="y_4III">#REF!</definedName>
    <definedName name="y_4IV">#REF!</definedName>
    <definedName name="y_9bI">#REF!</definedName>
    <definedName name="y_9bII">#REF!</definedName>
    <definedName name="y_9bIII">#REF!</definedName>
    <definedName name="y_9bIV">#REF!</definedName>
    <definedName name="y_9I">#REF!</definedName>
    <definedName name="y_9II">#REF!</definedName>
    <definedName name="y_9III">#REF!</definedName>
    <definedName name="y_9IV">#REF!</definedName>
    <definedName name="ybc">#REF!</definedName>
    <definedName name="yc">#REF!</definedName>
    <definedName name="year">#REF!</definedName>
    <definedName name="Years">#REF!</definedName>
    <definedName name="Yellow2000">#REF!</definedName>
    <definedName name="yf">#REF!</definedName>
    <definedName name="yg">#REF!</definedName>
    <definedName name="yi">#REF!</definedName>
    <definedName name="YR0">#REF!</definedName>
    <definedName name="YRP">#REF!</definedName>
    <definedName name="yt">#REF!</definedName>
    <definedName name="yt_bq">#REF!</definedName>
    <definedName name="yt_bv">#REF!</definedName>
    <definedName name="yt_ck">#REF!</definedName>
    <definedName name="yt_d1">#REF!</definedName>
    <definedName name="yt_d2">#REF!</definedName>
    <definedName name="yt_d3">#REF!</definedName>
    <definedName name="yt_dl">#REF!</definedName>
    <definedName name="yt_kcs">#REF!</definedName>
    <definedName name="yt_nb">#REF!</definedName>
    <definedName name="yt_nv">#REF!</definedName>
    <definedName name="yt_ngio">#REF!</definedName>
    <definedName name="yt_t3">#REF!</definedName>
    <definedName name="yt_t4">#REF!</definedName>
    <definedName name="yt_t5">#REF!</definedName>
    <definedName name="yt_t6">#REF!</definedName>
    <definedName name="yt_tc">#REF!</definedName>
    <definedName name="yt_tm">#REF!</definedName>
    <definedName name="yt_vs">#REF!</definedName>
    <definedName name="yt_xh">#REF!</definedName>
    <definedName name="ytc">#REF!</definedName>
    <definedName name="ytd">#REF!</definedName>
    <definedName name="ytuygluicilu" localSheetId="3">{"Thuxm2.xls","Sheet1"}</definedName>
    <definedName name="ytuygluicilu">{"Thuxm2.xls","Sheet1"}</definedName>
    <definedName name="ỷtuytuytu">#REF!</definedName>
    <definedName name="yy">#REF!</definedName>
    <definedName name="z">#REF!</definedName>
    <definedName name="Z_">#REF!</definedName>
    <definedName name="Z_B6D82DE0_6701_11DA_9820_00304F1E4471_.wvu.Cols" hidden="1">#REF!</definedName>
    <definedName name="z112.4.3">#REF!</definedName>
    <definedName name="ZD">#REF!</definedName>
    <definedName name="zl">#REF!</definedName>
    <definedName name="Zloadmin">#REF!</definedName>
    <definedName name="ZloadminS">#REF!</definedName>
    <definedName name="ZS1A">#REF!</definedName>
    <definedName name="ZS1C">#REF!</definedName>
    <definedName name="Ztl">#REF!</definedName>
    <definedName name="Zw">#REF!</definedName>
    <definedName name="ZXD">#REF!</definedName>
    <definedName name="ZXzX" localSheetId="3" hidden="1">{"'Sheet1'!$L$16"}</definedName>
    <definedName name="ZXzX" hidden="1">{"'Sheet1'!$L$16"}</definedName>
    <definedName name="ZYX">#REF!</definedName>
    <definedName name="ZZZ">#REF!</definedName>
    <definedName name="전">#REF!</definedName>
    <definedName name="주택사업본부">#REF!</definedName>
    <definedName name="철구사업본부">#REF!</definedName>
    <definedName name="템플리트모듈1" localSheetId="3">BlankMacro1</definedName>
    <definedName name="템플리트모듈1">BlankMacro1</definedName>
    <definedName name="템플리트모듈2" localSheetId="3">BlankMacro1</definedName>
    <definedName name="템플리트모듈2">BlankMacro1</definedName>
    <definedName name="템플리트모듈3" localSheetId="3">BlankMacro1</definedName>
    <definedName name="템플리트모듈3">BlankMacro1</definedName>
    <definedName name="템플리트모듈4" localSheetId="3">BlankMacro1</definedName>
    <definedName name="템플리트모듈4">BlankMacro1</definedName>
    <definedName name="템플리트모듈5" localSheetId="3">BlankMacro1</definedName>
    <definedName name="템플리트모듈5">BlankMacro1</definedName>
    <definedName name="템플리트모듈6" localSheetId="3">BlankMacro1</definedName>
    <definedName name="템플리트모듈6">BlankMacro1</definedName>
    <definedName name="피팅" localSheetId="3">BlankMacro1</definedName>
    <definedName name="피팅">BlankMacro1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2" i="6" l="1"/>
  <c r="F103" i="6"/>
  <c r="F104" i="6"/>
  <c r="F105" i="6"/>
  <c r="F106" i="6"/>
  <c r="F107" i="6"/>
  <c r="F108" i="6"/>
  <c r="F109" i="6"/>
  <c r="F110" i="6"/>
  <c r="F111" i="6"/>
  <c r="F112" i="6"/>
  <c r="F113" i="6"/>
  <c r="F114" i="6"/>
  <c r="F115" i="6"/>
  <c r="F116" i="6"/>
  <c r="H34" i="6"/>
  <c r="I34" i="6"/>
  <c r="J34" i="6"/>
  <c r="K34" i="6"/>
  <c r="L34" i="6"/>
  <c r="M34" i="6"/>
  <c r="N34" i="6"/>
  <c r="O34" i="6"/>
  <c r="P34" i="6"/>
  <c r="Q34" i="6"/>
  <c r="R34" i="6"/>
  <c r="G34" i="6"/>
  <c r="H79" i="6"/>
  <c r="I79" i="6"/>
  <c r="J79" i="6"/>
  <c r="K79" i="6"/>
  <c r="L79" i="6"/>
  <c r="M79" i="6"/>
  <c r="N79" i="6"/>
  <c r="O79" i="6"/>
  <c r="P79" i="6"/>
  <c r="Q79" i="6"/>
  <c r="R79" i="6"/>
  <c r="G79" i="6"/>
  <c r="C84" i="6"/>
  <c r="C79" i="6"/>
  <c r="H85" i="6"/>
  <c r="H84" i="6"/>
  <c r="J85" i="6"/>
  <c r="J84" i="6"/>
  <c r="K85" i="6"/>
  <c r="K84" i="6" s="1"/>
  <c r="M85" i="6"/>
  <c r="M84" i="6"/>
  <c r="N85" i="6"/>
  <c r="N84" i="6"/>
  <c r="P85" i="6"/>
  <c r="P84" i="6" s="1"/>
  <c r="Q85" i="6"/>
  <c r="Q84" i="6" s="1"/>
  <c r="G85" i="6"/>
  <c r="G84" i="6"/>
  <c r="H73" i="6"/>
  <c r="I73" i="6"/>
  <c r="J73" i="6"/>
  <c r="J10" i="6" s="1"/>
  <c r="K73" i="6"/>
  <c r="L73" i="6"/>
  <c r="M73" i="6"/>
  <c r="N73" i="6"/>
  <c r="N10" i="6" s="1"/>
  <c r="O73" i="6"/>
  <c r="P73" i="6"/>
  <c r="Q73" i="6"/>
  <c r="R73" i="6"/>
  <c r="G73" i="6"/>
  <c r="H58" i="6"/>
  <c r="I58" i="6"/>
  <c r="J58" i="6"/>
  <c r="K58" i="6"/>
  <c r="L58" i="6"/>
  <c r="M58" i="6"/>
  <c r="N58" i="6"/>
  <c r="O58" i="6"/>
  <c r="O10" i="6" s="1"/>
  <c r="P58" i="6"/>
  <c r="Q58" i="6"/>
  <c r="R58" i="6"/>
  <c r="G58" i="6"/>
  <c r="H11" i="6"/>
  <c r="H10" i="6" s="1"/>
  <c r="I11" i="6"/>
  <c r="J11" i="6"/>
  <c r="K11" i="6"/>
  <c r="L11" i="6"/>
  <c r="M11" i="6"/>
  <c r="N11" i="6"/>
  <c r="O11" i="6"/>
  <c r="P11" i="6"/>
  <c r="Q11" i="6"/>
  <c r="R11" i="6"/>
  <c r="R10" i="6" s="1"/>
  <c r="G11" i="6"/>
  <c r="R100" i="6"/>
  <c r="O100" i="6"/>
  <c r="L100" i="6"/>
  <c r="I100" i="6"/>
  <c r="R101" i="6"/>
  <c r="O101" i="6"/>
  <c r="L101" i="6"/>
  <c r="I101" i="6"/>
  <c r="R91" i="6"/>
  <c r="O91" i="6"/>
  <c r="L91" i="6"/>
  <c r="L85" i="6" s="1"/>
  <c r="L84" i="6" s="1"/>
  <c r="I91" i="6"/>
  <c r="C72" i="6"/>
  <c r="C66" i="6"/>
  <c r="C59" i="6"/>
  <c r="C54" i="6"/>
  <c r="C50" i="6"/>
  <c r="C43" i="6"/>
  <c r="C35" i="6"/>
  <c r="C27" i="6"/>
  <c r="C21" i="6"/>
  <c r="C17" i="6"/>
  <c r="C12" i="6"/>
  <c r="C10" i="6"/>
  <c r="F29" i="6"/>
  <c r="F30" i="6"/>
  <c r="F31" i="6"/>
  <c r="F32" i="6"/>
  <c r="F33" i="6"/>
  <c r="F35" i="6"/>
  <c r="F36" i="6"/>
  <c r="F37" i="6"/>
  <c r="F38" i="6"/>
  <c r="F39" i="6"/>
  <c r="F40" i="6"/>
  <c r="F41" i="6"/>
  <c r="F42" i="6"/>
  <c r="F43" i="6"/>
  <c r="F44" i="6"/>
  <c r="F45" i="6"/>
  <c r="F46" i="6"/>
  <c r="F47" i="6"/>
  <c r="F48" i="6"/>
  <c r="F49" i="6"/>
  <c r="F50" i="6"/>
  <c r="F51" i="6"/>
  <c r="F52" i="6"/>
  <c r="F53" i="6"/>
  <c r="F54" i="6"/>
  <c r="F55" i="6"/>
  <c r="F56" i="6"/>
  <c r="F57" i="6"/>
  <c r="F59" i="6"/>
  <c r="F60" i="6"/>
  <c r="F61" i="6"/>
  <c r="F62" i="6"/>
  <c r="F63" i="6"/>
  <c r="F64" i="6"/>
  <c r="F65" i="6"/>
  <c r="F66" i="6"/>
  <c r="F67" i="6"/>
  <c r="F68" i="6"/>
  <c r="F69" i="6"/>
  <c r="F70" i="6"/>
  <c r="F71" i="6"/>
  <c r="F72" i="6"/>
  <c r="F74" i="6"/>
  <c r="F75" i="6"/>
  <c r="F76" i="6"/>
  <c r="F77" i="6"/>
  <c r="F78" i="6"/>
  <c r="F80" i="6"/>
  <c r="F81" i="6"/>
  <c r="F82" i="6"/>
  <c r="F83" i="6"/>
  <c r="F86" i="6"/>
  <c r="F87" i="6"/>
  <c r="F88" i="6"/>
  <c r="F89" i="6"/>
  <c r="F90" i="6"/>
  <c r="F92" i="6"/>
  <c r="F93" i="6"/>
  <c r="F94" i="6"/>
  <c r="F95" i="6"/>
  <c r="F96" i="6"/>
  <c r="F97" i="6"/>
  <c r="F98" i="6"/>
  <c r="F99" i="6"/>
  <c r="F28" i="6"/>
  <c r="L10" i="6"/>
  <c r="F12" i="6"/>
  <c r="F17" i="6"/>
  <c r="F79" i="6" l="1"/>
  <c r="Q10" i="6"/>
  <c r="M10" i="6"/>
  <c r="F73" i="6"/>
  <c r="F58" i="6"/>
  <c r="F34" i="6"/>
  <c r="P10" i="6"/>
  <c r="I85" i="6"/>
  <c r="I84" i="6" s="1"/>
  <c r="F84" i="6" s="1"/>
  <c r="F91" i="6"/>
  <c r="R85" i="6"/>
  <c r="R84" i="6" s="1"/>
  <c r="K10" i="6"/>
  <c r="O85" i="6"/>
  <c r="O84" i="6" s="1"/>
  <c r="F11" i="6"/>
  <c r="F101" i="6"/>
  <c r="F100" i="6"/>
  <c r="G10" i="6"/>
  <c r="I10" i="6"/>
  <c r="F85" i="6" l="1"/>
  <c r="F10"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B16" authorId="0" shapeId="0" xr:uid="{00000000-0006-0000-0000-000001000000}">
      <text>
        <r>
          <rPr>
            <b/>
            <sz val="9"/>
            <color indexed="81"/>
            <rFont val="Tahoma"/>
            <family val="2"/>
          </rPr>
          <t>admin:</t>
        </r>
        <r>
          <rPr>
            <sz val="9"/>
            <color indexed="81"/>
            <rFont val="Tahoma"/>
            <family val="2"/>
          </rPr>
          <t xml:space="preserve">
Công tác quản lý bảo dưỡng</t>
        </r>
      </text>
    </comment>
  </commentList>
</comments>
</file>

<file path=xl/sharedStrings.xml><?xml version="1.0" encoding="utf-8"?>
<sst xmlns="http://schemas.openxmlformats.org/spreadsheetml/2006/main" count="1213" uniqueCount="543">
  <si>
    <t xml:space="preserve">CÔNG TY CỔ PHẦN PHÂN BÓN DẦU KHÍ CÀ MAU
</t>
  </si>
  <si>
    <t>Mẫu số: BM01/HD-KHĐT-001</t>
  </si>
  <si>
    <t>Ngày ban hành:     /08/2016</t>
  </si>
  <si>
    <t>Lần sửa đổi: 00</t>
  </si>
  <si>
    <t>Phụ lục 1.1: MỤC TIÊU ƯU TIÊN CỦA NHÀ MÁY ĐẠM CÀ MAU</t>
  </si>
  <si>
    <t>Kỳ: Năm 2022</t>
  </si>
  <si>
    <t>(Ban hành kèm theo Quyết định số              /QĐ-PVCFC ngày       tháng      năm       của Tổng Giám đốc Công ty Cổ phần Phân bón Dầu khí Cà Mau)</t>
  </si>
  <si>
    <t>STT</t>
  </si>
  <si>
    <t>Tên mục tiêu/
Kết quả mong muốn</t>
  </si>
  <si>
    <t>Đo lường</t>
  </si>
  <si>
    <t>Mục đích</t>
  </si>
  <si>
    <t>Tần suất
đo lường</t>
  </si>
  <si>
    <t>Trọng số</t>
  </si>
  <si>
    <t>Kế hoạch hành động</t>
  </si>
  <si>
    <t>Ngân sách
thực hiện
(tỷ đồng)</t>
  </si>
  <si>
    <t>Cá nhân/
Đơn vị
đánh giá</t>
  </si>
  <si>
    <t>Nguồn</t>
  </si>
  <si>
    <t>(1)</t>
  </si>
  <si>
    <t>(2)</t>
  </si>
  <si>
    <t>(3)</t>
  </si>
  <si>
    <t>(4)</t>
  </si>
  <si>
    <t>(5)</t>
  </si>
  <si>
    <t>(6)</t>
  </si>
  <si>
    <t>(7)</t>
  </si>
  <si>
    <t>(8)</t>
  </si>
  <si>
    <t>(9)</t>
  </si>
  <si>
    <t>Mục tiêu 1: Tối ưu hoạt động sản xuất Urê và các sản phẩm gốc Urê đạt KH công ty trong 335 ngày</t>
  </si>
  <si>
    <t>Quản lý chất lượng- kiểm soát rủi ro</t>
  </si>
  <si>
    <t>Quý/6 tháng/năm</t>
  </si>
  <si>
    <t>Tiết kiệm năng lượng từ khí và điện so với định mức áp dụng năm 2021 đạt 1%</t>
  </si>
  <si>
    <t>Tiêu hao năng lượng so với định mức 2021</t>
  </si>
  <si>
    <t>≥ 1%</t>
  </si>
  <si>
    <t>Quý/năm</t>
  </si>
  <si>
    <t>Xác định các điểm nghẽn (bottle neck) của xưởng Urea tại 115%, và Xưởng Amo tại 113% -115%</t>
  </si>
  <si>
    <t>Xác định và đề ra giải pháp khắc phục điểm nghẽn</t>
  </si>
  <si>
    <t>Báo cáo giải pháp</t>
  </si>
  <si>
    <t>Tối ưu công tác vận chuyển sản phẩm Ure và gốc ure</t>
  </si>
  <si>
    <t xml:space="preserve">Hệ số tối ưu? </t>
  </si>
  <si>
    <t xml:space="preserve">Quản lý công tác bảo dưỡng </t>
  </si>
  <si>
    <t xml:space="preserve"> -BD thường xuyên 
- BD đột xuất
</t>
  </si>
  <si>
    <t>- BD TT</t>
  </si>
  <si>
    <t xml:space="preserve">100% các hạng mục cần bd được đưa vào KH BDTT
&gt;95% trên tổng số hạng mục hoàn thành
&lt;7% chi phí phê duyệt
&gt;90% theo HS QC
Vượt 1 ngày </t>
  </si>
  <si>
    <t>Mục tiêu 2: Đảm bảo hoạt động sản xuất NPK ổn định</t>
  </si>
  <si>
    <t>Đưa công suất NPK lên …% công suất thiết kế</t>
  </si>
  <si>
    <t xml:space="preserve">Tối ưu thứ tự sản xuất các công thức để xuất hàng </t>
  </si>
  <si>
    <t>Công tác bảo dưỡng NPK</t>
  </si>
  <si>
    <t>- Vật tư dự phòng đầy đủ
- Định mức?</t>
  </si>
  <si>
    <t xml:space="preserve">Tối ưu tiêu hao NVL </t>
  </si>
  <si>
    <t>Hệ số tối ưu?</t>
  </si>
  <si>
    <t>Tồn kho NVL</t>
  </si>
  <si>
    <t>Lượng bao bì, NVL,...đầy đủ/ sẵn sàng</t>
  </si>
  <si>
    <t>Đảm bảo nhà máy hoạt động an toàn</t>
  </si>
  <si>
    <t>Phòng ATMT đưa các KRs (Đặt các KR cụ thể theo chuẩn TPM, hạn chế việc đưa các KR chung chung)</t>
  </si>
  <si>
    <t>Tai nạn LĐ</t>
  </si>
  <si>
    <t>Ảnh hưởng môi trường</t>
  </si>
  <si>
    <t>Sức khỏe bệnh nghề nghiệp</t>
  </si>
  <si>
    <t>Nâng cao nhận thức, hành vi</t>
  </si>
  <si>
    <t>Đa dạng hóa sản phẩm, dịch vụ và nguồn nguyên liệu thay thế</t>
  </si>
  <si>
    <t>Tìm kiếm được tối thiểu 02 nhà đầu tư quan tâm cấp hơi Biomass???</t>
  </si>
  <si>
    <t>Nhà đầu tư</t>
  </si>
  <si>
    <t>≥ 2</t>
  </si>
  <si>
    <t>Hoàn thành báo cáo sơ bộ về Syn gas theo hướng hợp tác đầu tư mua khí Syngas</t>
  </si>
  <si>
    <t>Hoàn thành báo cáo</t>
  </si>
  <si>
    <t>Xác định được 01 loại sản phẩm hóa chất / hóa dầu tiềm năng nhất (có khả thi nhất về kinh tế)</t>
  </si>
  <si>
    <t>Sản phẩm hóa chất/ hóa dầu tiềm năng</t>
  </si>
  <si>
    <t>≥ 1</t>
  </si>
  <si>
    <t>Thực hiện các dịch vụ bảo dưỡng với doanh thu ≥ 2 tỷ đồng</t>
  </si>
  <si>
    <t>Doanh thu</t>
  </si>
  <si>
    <t>≥ 2 tỷ đồng</t>
  </si>
  <si>
    <t>Nâng cao năng lực cạnh tranh</t>
  </si>
  <si>
    <t>Hoàn thành 80% việc xây dựng cơ sở dữ liệu vận hành sản xuất - BDSC - Quản trị tập trung (số hóa)</t>
  </si>
  <si>
    <t>Số lượng chuyên gia của Nhà máy được công nhận trong năm 2022 là... -&gt; Phòng HCTH bổ sung</t>
  </si>
  <si>
    <t>Nâng cao chất lượng đội ngũ</t>
  </si>
  <si>
    <t>Xây dựng nhân sự dự nguồn cho vị trí chủ chốt.... -&gt; Phòng HCTH bổ sung</t>
  </si>
  <si>
    <t>Đào tạo đảm bảo các công việc luôn có nhân sự back-up (luân chuyển/hỗ trợ)</t>
  </si>
  <si>
    <t>Chuẩn hóa AM các xưởng vận hành (và áp dụng mô hình TPM chuẩn cho xưởng NPK, SP)</t>
  </si>
  <si>
    <t>- Thuê tư vấn và chuẩn hóa AM các xưởng vận hành
- Áp dụng cho xưởng NPK, SP</t>
  </si>
  <si>
    <t>Đảo bảo đáp ứng ...% các điều kiện cho tất cả hoạt động của Nhà máy -&gt; phòng HCTH bổ sung KRs về các công tác của phòng (đảm bảo các công tác ngoài Đào tạo và nhân sự như mua sắm, hậu cần,… hoàn thành nhiệm vụ được ban GĐNM giao)</t>
  </si>
  <si>
    <t xml:space="preserve">Nâng cao văn hóa danh nghiệp </t>
  </si>
  <si>
    <t>CÔNG TY CỔ PHẦN</t>
  </si>
  <si>
    <t>PHÂN BÓN DẦU KHÍ CÀ MAU</t>
  </si>
  <si>
    <t>Phụ lục 1.1: MỤC TIÊU CỦA NHÀ MÁY ĐẠM CÀ MAU</t>
  </si>
  <si>
    <t>Mục tiêu 1: Đảm bảo tính ổn định, độ tin cậy của máy móc thiết bị</t>
  </si>
  <si>
    <t>Bảo dưỡng tổng thể</t>
  </si>
  <si>
    <t>% số hạng mục hoàn thành/tổng số hạng mục theo  kế hoạch</t>
  </si>
  <si>
    <t>Năm</t>
  </si>
  <si>
    <t>- Thành lập sơ đồ tổ chức và phân công chức năng/nhiệm vụ trong tổ thiết bị đo lường và điều khiển
- Triển khai và kiểm soát công tác chuẩn bị BDTT để đảm bảo đủ nguồn nhân lực, phương án, hướng dẫn, các nguồn lực hỗ trợ phục vụ cho công tác triển khai BDTT
- Triển khai công tác BDTT theo kế hoạch được ban hành từ P. KTBD và tiến độ chi tiết được lập trong công tác chuẩn bị BDTT</t>
  </si>
  <si>
    <t>Số lượng hạng mục đạt chất lượng theo Hồ sơ QC</t>
  </si>
  <si>
    <t xml:space="preserve">&gt; 95% </t>
  </si>
  <si>
    <t>Vượt tiến độ</t>
  </si>
  <si>
    <t xml:space="preserve">≥ 1 ngày </t>
  </si>
  <si>
    <t>Sửa chữa đột xuất</t>
  </si>
  <si>
    <t>% số hạng mục hoàn thành đảm bảo chất lượng/tổng số hạng mục sửa chữa đột xuất phát sinh</t>
  </si>
  <si>
    <t xml:space="preserve">≥ 98% 
</t>
  </si>
  <si>
    <t>Quý</t>
  </si>
  <si>
    <t xml:space="preserve">- Tổ chức nguồn nhân sự trực ca điều khiển đảm bảo đủ về số lượng, đạt yêu cầu về chuyên môn để thực hiện công tác trực xử lý các hư hỏng phát sinh trong quá trình sản xuất
- Sắp xếp nguồn lực dự phòng phù hợp đảm bảo hỗ trợ  xử lý kịp thời các tình huống sự cố Nhà máy
- Thường xuyên kiểm tra chất lượng công tác sửa chữa đột xuất, đảm bảo các hạng mục đã sửa chữa không lặp lại hư hỏng với cùng nội dung hư hỏng trong tháng
- Thực hiện các cải tiến/cải tạo đối với các hạng mục hư hỏng thường xuyên do thiết kế hoạch do chất lượng thiết bị
</t>
  </si>
  <si>
    <t>Số lượng hạng mục hư hỏng lặp lại với cùng một nguyên nhân, trong cùng một tháng</t>
  </si>
  <si>
    <t xml:space="preserve">0
</t>
  </si>
  <si>
    <t>Thời gian dừng máy do lỗi thiết bị  (bao gồm thời gian dừng máy, khắc phục sự cố và khởi dộng Nhà máy), ngoại trừ yếu tố khách quan như sự cố giàn, mất điện,…</t>
  </si>
  <si>
    <t>≤ 03 ngày</t>
  </si>
  <si>
    <t>Bảo dưỡng thường xuyên</t>
  </si>
  <si>
    <t>% số hạng mục hoàn thành đảm bảo chất lượng/tổng số hạng mục kế hoạch</t>
  </si>
  <si>
    <t xml:space="preserve">&gt; 98% </t>
  </si>
  <si>
    <t>- Tổ chức nguồn lực đảm bảo hoàn thành thực hiện các hạng mục bảo dưỡng định kỳ được ban hành trong tháng
- Rà soát thường xuyên các hướng dẫn bảo dưỡng để đảm bảo phù hợp với nội dung bảo dưỡng được ban hành
- Thường xuyên kiểm tra công tác bảo dưỡng bằng phương pháp trực tiếp hoặc gián tiếp để đảm bảo các hạng mục được bảo dưỡng đạt được chất lượng</t>
  </si>
  <si>
    <t>Công tác chống ăn mòn</t>
  </si>
  <si>
    <t>%số hạng mục CAM hoàn thành đảm bảo chất lượng/tổng số hạng mục theo kế hoạch được duyệt</t>
  </si>
  <si>
    <t>- Khảo sát các điểm ăn mòn nặng hoặc các điểm có nguy cơ ăn mòn cao để lập kế hoạch thực hiện CAM cho các thiết bị/cụm thiết bị
- Lập và triển khai mua sắm các vật tư, CCDC phục vụ cho công tác CAM
- Triển khai công tác CAM theo kế hoạch được duyệt
- Báo cáo đánh giá kế hoạch và đề xuất kế hoạch cũng như giải pháp cho các năm tiếp theo</t>
  </si>
  <si>
    <t>Mục tiêu 2: Đảm bảo an toàn lao động, sức khỏe, môi trường tại Nhà máy</t>
  </si>
  <si>
    <t>Ngăn ngừa, giảm thiểu tai nạn lao động</t>
  </si>
  <si>
    <t>Số vụ  tai nạn lao động phải nhập viện điều trị &gt; 02 ngày</t>
  </si>
  <si>
    <t>≤ 1</t>
  </si>
  <si>
    <t xml:space="preserve">- Thực hiện kiểm tra an toàn cấp 1, 2 đầy đủ, nghiêm túc
- Phối hợp thực hiện kiểm tra an toàn cấp 3 theo lịch, đảm bảo 100% các điểm không phù hợp được khắc phục đúng thời hạn
- Thực hiện cấp phát, đảm bảo cấp đúng, đủ, kịp thời trang bị bảo hộ lao động cho CBCNV.
- Đảm bảo trang bị đầy đủ PPE, các thiết bị, công cụ, dụng cụ, phục vụ cho công tác an toàn.
- Tổ chức ĐGRR về an toàn và phổ biến bảng ĐGRR đến toàn bộ cá nhân tham gia thực hiện các công việc có mối nguy về an toàn
</t>
  </si>
  <si>
    <t>Ngăn ngừa, giảm thiểu bệnh nghề nghiệp</t>
  </si>
  <si>
    <t>Số trường hợp mắc bệnh nghề nghiệp</t>
  </si>
  <si>
    <t>- Thực hiện khám sức khỏe, khám bệnh nghề nghiệp định kỳ
- Đảm bảo trang bị đầy đủ PPE, các thiết bị, công cụ, dụng cụ, phục vụ cho công tác an toàn.
- Tuyên truyền cho CBCNV trong công tác ATVSLĐ/Nâng cao ý thức CBCNV trong công tác ATVSLĐ</t>
  </si>
  <si>
    <t>Đảm bảo Công tác bảo vệ môi trường</t>
  </si>
  <si>
    <t>Không bị xử phạt bởi cơ quan chức năng</t>
  </si>
  <si>
    <t>- Phân loại chất thải đúng quy định
- Phổ biến thường xuyên nhằm nâng cao ý thức của CBCNV trong việc phân loại rác thải
- Kiểm tra định kỳ 01 tháng/01 lần việc phân loại rác thải của đơn vị</t>
  </si>
  <si>
    <t>Mục tiêu 3: Nâng cao năng lực quản trị</t>
  </si>
  <si>
    <t>Thực hiện và chuẩn hóa TPM theo hướng đạt TPM's Award năm 2023</t>
  </si>
  <si>
    <t>-</t>
  </si>
  <si>
    <t>Trụ cột HSE theo tiêu chuẩn TPM</t>
  </si>
  <si>
    <t>Thay đổi nhận thức/hành vi an toàn</t>
  </si>
  <si>
    <t xml:space="preserve">100% CNCBV </t>
  </si>
  <si>
    <t>- Triển khai chương trình STOP cấp độ 1 theo chương trình Stop trong Nhà máy
- Triển khai chương trình Giám sát và điều chỉnh khoa học hành vi</t>
  </si>
  <si>
    <t>Công tác chuẩn hóa PM</t>
  </si>
  <si>
    <t>% Số thiết bị được chuẩn hóa PM  nội dung và BOM</t>
  </si>
  <si>
    <t xml:space="preserve">100% 
</t>
  </si>
  <si>
    <t>- Phối hợp đơn vị đầu mối góp ý trong công tác chuẩn hóa PM 
- Rà soát và soạn thảo các hướng dẫn bảo dưỡng đảm bảo các hướng dẫn bám sát với nội dung PM được chuẩn hóa</t>
  </si>
  <si>
    <t>% Số thiết bị có trong kế hoạch bảo dưỡng đều có hướng dẫn thực hiện bảo dưỡng</t>
  </si>
  <si>
    <t>Trụ cột FM theo tiêu chuẩn TPM</t>
  </si>
  <si>
    <t>Số lượng sáng kiến/cải tiến kỹ thuật được đăng ký hoặc áp dụng trong Nhà máy</t>
  </si>
  <si>
    <t>25 SK/GPKT</t>
  </si>
  <si>
    <t>- Tổ chức hội thảo về hoạt động sáng tạo, sáng kiến.
- Lập mục tiêu sáng kiến/ cải tiến kỹ thuật về từng đội.
- Khuyến khích CBCNV thực hiện các cải tiến nhỏ để tăng hiệu quả trong công tác BD/SC và Vận hành</t>
  </si>
  <si>
    <t>3.2</t>
  </si>
  <si>
    <t>Đào tạo và phát triển nguồn lực</t>
  </si>
  <si>
    <t>Đào tạo nội bộ</t>
  </si>
  <si>
    <t>% thực hiện theo kế hoạch đào tạo và thanh toán đúng hạn</t>
  </si>
  <si>
    <t>Coaching</t>
  </si>
  <si>
    <t>% Số  nhân viên mới được coaching</t>
  </si>
  <si>
    <t xml:space="preserve">100%
</t>
  </si>
  <si>
    <t>- Lập kế hoạch triển khai coaching trong đơn vị
- Tổ chức thực hiện coaching theo kế hoạch đã được phê duyệt
- Ghi nhận phản hồi và phân tích đánh giá hiệu quả của các buổi coaching</t>
  </si>
  <si>
    <t xml:space="preserve"> - Số giờ  nhân viên mới được coaching</t>
  </si>
  <si>
    <t>% Số  cán bộ quy hoạch được coaching</t>
  </si>
  <si>
    <t>- Số giờ được coaching nội bộ và coaching bên ngoài</t>
  </si>
  <si>
    <t>Mục tiêu 4: Mục tiêu chung</t>
  </si>
  <si>
    <t>Văn hóa doanh nghiệp</t>
  </si>
  <si>
    <t>% Số CBCNV tham gia và các chương trình đào tạo, hoạt động văn hóa do Công ty/Nhà máy tổ chức</t>
  </si>
  <si>
    <t>- Tổ chức và sắp xếp công việc phù hợp đảm bảo nhân sự có đủ điều khiển để tham gia các chương trình đào tạo, hoạt động văn hóa do Công ty/Nhà máy tổ chức</t>
  </si>
  <si>
    <t xml:space="preserve">Triển khai chương trình trao đổi "Sốngvà làm việc với giá trị cốt lõi của Công ty " định kỳ hàng quý </t>
  </si>
  <si>
    <t>Tối thiểu 01 lần/01 quý</t>
  </si>
  <si>
    <t>- Tổ chức triển khai chương trình "Sốngvà làm việc với giá trị cốt lõi của Công ty"
- Lập kế hoạch nội bộ trong năm để đưa ra các chủ đề trao đổi/hội thảo
- Thực hiện triển khai và đánh giá kết quả trong các buổi trao đổi</t>
  </si>
  <si>
    <t>Tham gia vào các hoạt động đoàn thể</t>
  </si>
  <si>
    <t>% tham gia các chương trình do Đoàn thanh niên và Công đoàn Công ty/Nhà máy phát động</t>
  </si>
  <si>
    <t>TỔNG CỘNG</t>
  </si>
  <si>
    <t xml:space="preserve">       XƯỞNG ĐIỀU KHIỂN                                                                     PHÒNG KHĐĐ                                                                                                          P.GĐNM PHỤ TRÁCH</t>
  </si>
  <si>
    <t>Phụ lục 1.2: KẾ HOẠCH HÀNH ĐỘNG - KH NGÂN SÁCH CHI TIẾT CỦA NHA MÁY ĐẠM CÀ MAU</t>
  </si>
  <si>
    <t>(Ban hành kèm theo Quyết định số              /QĐ-PVCFC ngày       tháng      năm        của Tổng Giám đốc Công ty Cổ phần Phân bón Dầu khí Cà Mau)</t>
  </si>
  <si>
    <t>ĐVT: tỷ đồng</t>
  </si>
  <si>
    <t>Nội dung công việc/hoạt động</t>
  </si>
  <si>
    <t>Số ngày</t>
  </si>
  <si>
    <t>Thời gian
bắt đầu</t>
  </si>
  <si>
    <t>Thời gian
kết thúc</t>
  </si>
  <si>
    <t xml:space="preserve">Tổng
ngân sách </t>
  </si>
  <si>
    <t>Tháng 1</t>
  </si>
  <si>
    <t>Tháng 2</t>
  </si>
  <si>
    <t>Tháng 3</t>
  </si>
  <si>
    <t>Tháng 4</t>
  </si>
  <si>
    <t>Tháng 5</t>
  </si>
  <si>
    <t>Tháng 6</t>
  </si>
  <si>
    <t>Tháng 7</t>
  </si>
  <si>
    <t>Tháng 8</t>
  </si>
  <si>
    <t>Tháng 9</t>
  </si>
  <si>
    <t>Tháng 10</t>
  </si>
  <si>
    <t>Tháng 11</t>
  </si>
  <si>
    <t>Tháng 12</t>
  </si>
  <si>
    <t>Đảm bảo hoạt động sản xuất ổn định, hiệu quả đạt sản lượng theo kế hoạch được giao (bao gồm chất lượng) tất cả các loại sản phẩm do Nhà máy sản xuất</t>
  </si>
  <si>
    <t>1.1</t>
  </si>
  <si>
    <t>Đảm bảo công tác vận hành và chất lượng sản phẩm</t>
  </si>
  <si>
    <t>98% Các chỉ tiêu công nghệ chính và các mẫu chất lượng sản phẩm được phân tích kịp thời &amp; đảm bảo giá trị sử dụng kết quả thử nghiệm.</t>
  </si>
  <si>
    <t>+</t>
  </si>
  <si>
    <t>Số lượng các chỉ tiêu phân tích đạt 98% theo kế hoạch phê duyệt</t>
  </si>
  <si>
    <t>90% mẫu có thời gian trả kết quả kịp thời theo qui định hoặc theo yêu cầu khách hàng.</t>
  </si>
  <si>
    <t>&lt; 5 Phàn nàn khách hàng có ý nghĩa (phàn nàn đúng về tính chính xác, kịp thời).</t>
  </si>
  <si>
    <t>Duy trì phòng thử nghiệm đạt tiêu chuẩn ISO 17025:2017.</t>
  </si>
  <si>
    <t>Trang bị và quản lý phòng thử nghiệm vi sinh phù hợp theo qui định 17025.</t>
  </si>
  <si>
    <t>Trang bị đầy đủ vật tư hóa chất, thiết bị đáp ứng yêu cầu phân tích mẫu vi sinh theo kế hoạch sản xuất.</t>
  </si>
  <si>
    <t>Xây dựng hồ sơ, tài liệu thử nghiệm vi sinh theo qui định ISO/IEC 17025:2017</t>
  </si>
  <si>
    <t>99% kết quả phân tích vi sinh đạt độ chính xác, kịp thời.</t>
  </si>
  <si>
    <t>Sản phẩm sản xuất tại NM ĐCM và NVL nhập vào NM được kiểm soát và đảm bảo chất lượng</t>
  </si>
  <si>
    <t>100 % nguyên vật liệu trong danh mục cần kiểm tra chất lượng đầu vào được kiểm tra, đánh giá chất lượng trước khi tiến hành nhập kho tại Nhà máy Đạm Cà Mau</t>
  </si>
  <si>
    <t>100% NVL trong danh mục kiểm tra chất lượng, sản phẩm sản xuất tại NM được thống kê dữ liệu chất lượng và có báo cáo đánh giá hàng tháng</t>
  </si>
  <si>
    <t>100 % các lô NVL trong danh mục cần kiểm tra chất lượng đầu vào, sản phẩm sản xuất tại NM được hậu kiểm theo quy định</t>
  </si>
  <si>
    <t>100% các lô sản phẩm NPK, sản phẩm Ure và gốc Ure do nhà máy sản xuất được được kiểm soát và cấp chứng thư chất lượng đầy đủ, kịp thời. Đảm bảo tỷ lệ số lượng sản phẩm Ure và gốc Ure bị đổi trả do không đạt chất lượng theo TCKS &lt; 1% và tỷ lệ đổi trả sản phẩm NPK các loại là &lt; 2% trên tổng sản lượng bán ra thị trường</t>
  </si>
  <si>
    <t>Duy trì và cải tiến hệ thống Giám định đạt ISO/IEC 17020</t>
  </si>
  <si>
    <t>Đảm bảo hệ thống công nghệ được vận hành an toàn, không gây dừng máy mất sản lượng do lỗi chủ quan, hoặc đáp ứng yêu cầu kinh doanh (đối với các sản phẩm sản xuất theo đơn hàng)</t>
  </si>
  <si>
    <t>Hoàn thành cải tạo và thay thế hệ thống phân phối giải hấp cụm 300</t>
  </si>
  <si>
    <t>Hoàn thành cải tạo và nâng cao hiệu quả tách &amp; lọc hệ thống khí nguyên liệu đầu vào Nhà máy</t>
  </si>
  <si>
    <t>Hoàn thành nghiên cứu đánh giá và đề xuất triển khai các giải pháp xử lý ảnh hưởng bụi từ NPK (bao gồm tại X.NPK và các xưởng khác)</t>
  </si>
  <si>
    <t>Hoàn thành lắp đặt hệ thống nạp liệu để đa dạng hóa các nguồn nguyên liệu phục vụ sản xuất X.NPK</t>
  </si>
  <si>
    <t>Hoàn thành lắp đặt hệ thống lọc dịch MDEA bằng than hoạt tính (Carbon Fillter)</t>
  </si>
  <si>
    <t>Đánh giá và đề xuất cải tạo hệ thống tách lỏng máy nén K04421</t>
  </si>
  <si>
    <t>1.2</t>
  </si>
  <si>
    <t>Đảm bảo tính ổn định, độ tin cậy của máy móc thiết bị</t>
  </si>
  <si>
    <t>BDTT: Đảm bảo khối lượng - chất lượng - chi phí - tiến độ</t>
  </si>
  <si>
    <t>100% các hạng mục bảo dưỡng sửa chữa chỉ thực hiện được khi dừng máy đều được lập kế hoạch (bao gồm cả nội dung thực hiện và vật tư).</t>
  </si>
  <si>
    <t>100% các YCMS hàng hóa/dịch vụ cho BDTT 2022 được ban hành trước 31/03/2021 (không bao gồm các đơn hàng phát sinh) và đảm bảo 100% chất lượng hàng hóa khi nghiệm thu.</t>
  </si>
  <si>
    <t>Trình phê duyệt hạng mục, tiến độ, dự toán BDTT 2022 trước 30/07/2022.</t>
  </si>
  <si>
    <t>Lập tiến độ thực hiện chi tiết và tiếp nhận nguồn lực, tổ chức triển khai thực hiện BDTT.</t>
  </si>
  <si>
    <t>Chủ động mua sắm các vật liệu tương đương có giá trị thấp nhưng vẫn đảm bảo hoạt động an toàn Nhà máy.</t>
  </si>
  <si>
    <t>Nghiên cứu, tìm hiểu và đo đạc xây dựng các bản vẽ đối với các vật tư có thể gia công nhằm tiết giảm chi phí BDSC.</t>
  </si>
  <si>
    <t>Giám sát, kiểm soát chất lượng, tiến độ hạng mục BDSC</t>
  </si>
  <si>
    <t xml:space="preserve">SCĐX: có chi phí dưới 15% chi phí Bảo dưỡng và tổng thời gian dừng máy do lỗi thiết bị, ngoại trừ yếu tố khách quan như sự cố giàn, mất điện… ≤ 05 ngày (bao gồm thời gian dừng máy, khắc phục sự cố và khởi dộng Nhà máy) </t>
  </si>
  <si>
    <t>Ban hành các hạng  mục bảo dưỡng định kỳ theo đúng kế hoạch, đúng tần suất (đầy đủ về vật tư)</t>
  </si>
  <si>
    <t>Theo dõi, đánh giá tình trạng hoạt động, khả năng hỏng hóc của các máy nén, bơm, quạt, motor điện theo đúng tần suất được quy định trong chiến lược bảo dưỡng</t>
  </si>
  <si>
    <t>Cập nhật/ điều chỉnh dữ liệu Master data theo kết quả đánh giá tình trạng thiết bị, các hành động khắc phục phòng ngừa, các ý kiến cải tiến từ kết quả BDSC.</t>
  </si>
  <si>
    <t>Ban hành các YCMS/DV và đảm bảo chất lượng nghiệm thu vật tư/HH.</t>
  </si>
  <si>
    <t>Phân công thực hiện sửa chữa đạt tiến độ, chất lượng, khối lượng</t>
  </si>
  <si>
    <t>Giám sát, kiểm soát chất lượng công tác BDSC, đảm bảo các kết quả BDSC đều được ghi nhận trên hệ thống SAP.</t>
  </si>
  <si>
    <t>BDTX: &gt; 95% trên tổng số hạng mục hoàn thành đảm bảo chất lượng</t>
  </si>
  <si>
    <t>Các hạng mục bảo dưỡng sửa chữa được lập kế hoạch và 100% vật tư sẵn sàng khi ban hành WO (không bao gồm các hỏng hóc phát sinh trong quá trình BDSC)</t>
  </si>
  <si>
    <t>Thực hiện công tác BDSC theo đúng kế hoạch.</t>
  </si>
  <si>
    <t>Kiểm soát chất lượng BDSC, đảm bảo quá trình thực hiện BDSC các hạng mục theo đúng kế hoạch được phê duyệt và ghi nhận lên hệ thống SAP</t>
  </si>
  <si>
    <t>Tối ưu tồn kho: ±7% so với định mức</t>
  </si>
  <si>
    <t>Cập nhật và giám sát định mức vật tư dự phòng an toàn của nhà máy.</t>
  </si>
  <si>
    <t>Chủ động mua sắm trực tiếp các vật tư phổ biến trên thị trường</t>
  </si>
  <si>
    <t>Kiểm soát chặt chẽ vật tư tồn kho trước khi đề xuất mua sắm.</t>
  </si>
  <si>
    <t>1.3</t>
  </si>
  <si>
    <t>Tiết giảm tiêu hao năng lượng</t>
  </si>
  <si>
    <t>Đánh giá, nghiên cứu và triển khai áp dụng các giải pháp cải tiến hệ thống sản xuất Urê</t>
  </si>
  <si>
    <t>Hoàn thành nâng nhiệt dòng Fuel gas vào primary reforming (sau khi đưa dự án thu hồi CO2 vào hoạt động)</t>
  </si>
  <si>
    <t>Đánh giá, đề xuất và triển khai các giải pháp cao hiệu suất giải nhiệt của Cooling tower</t>
  </si>
  <si>
    <t>Nghiên cứu đánh giá khả năng tối ưu hóa công suất cụm Primary thông qua giải pháp bổ sung Pre-Reformer.</t>
  </si>
  <si>
    <t>Hoàn thành lắp đặt và đưa hệ thống ORC vào hoạt động</t>
  </si>
  <si>
    <t>Đánh giá và đề xuất lắp đặt hệ thống thu hồi dòng khí Treated gas từ cụm thu hồi CO2 thô</t>
  </si>
  <si>
    <t>Đánh giá và đề xuất triển khai hệ thống thu hồi NH3 trong dòng MP vent gas</t>
  </si>
  <si>
    <t>Đánh giá, nghiên cứu và triển khai áp dụng các giải pháp cải tiến hệ thống sản xuất NPK</t>
  </si>
  <si>
    <t>Hoàn thành lắp đặt và đưa vào vận hành cụm nạp liệu/ phối liệu mới vào hoạt động</t>
  </si>
  <si>
    <t>Đánh giá và đề xuất lắp đặt hệ thống sấy/gia nhiệt làm khô băng tải vận chuyển liệu</t>
  </si>
  <si>
    <t>Đánh giá và đề xuất lắp đặt hệ thống hút bụi tại một số khu vực X.NPK</t>
  </si>
  <si>
    <t>Hoàn thành lắp đặt và đưa hệ thống bổ sung TE vào hoạt động</t>
  </si>
  <si>
    <t>Lắp đặt thêm hệ thống đóng bao phục vụ sản xuất SPM (ARS)</t>
  </si>
  <si>
    <t>Tối ưu công tác vận hành: đăng ký và thực hiện các cải tiến, giải pháp kỹ thuật.</t>
  </si>
  <si>
    <t>1.4</t>
  </si>
  <si>
    <t xml:space="preserve"> Hoàn thành nâng công suất Xưởng Urea lên 115% so với thiết kế và xác định các điểm nghẽn của xưởng Amo tại 113% -115%</t>
  </si>
  <si>
    <t>Lập phương án và thực hiện test nâng công suất Xưởng Urea lên 115% sau khi đưa dự án thu hồi CO2 thô vào hoạt động</t>
  </si>
  <si>
    <t>Đề xuất triển khai thay thế 11 đĩa SuperCup Tray cho tháp tổng hợp R06101</t>
  </si>
  <si>
    <t>Lập báo cáo đánh giá khả năng tăng tải máy nén CO2 thông qua giải pháp giảm nhiệt độ dòng CO2</t>
  </si>
  <si>
    <t>Đánh giá các điểm nghẽn và lập phương án thử nghiệm nâng công suất Xưởng Amo lên 113% ÷ 115%</t>
  </si>
  <si>
    <t>Đánh giá khả năng bổ sung plant air, và giảm nhiệt độ Process Air phục vụ nâng công suất K04421</t>
  </si>
  <si>
    <t>Đảm bảo an toàn lao động, sức khỏe, môi trường tại Nhà máy</t>
  </si>
  <si>
    <t>2.1</t>
  </si>
  <si>
    <t>Đảm bảo an ninh, trật  tự trong Nhà máy</t>
  </si>
  <si>
    <t>2.2</t>
  </si>
  <si>
    <t>2.3</t>
  </si>
  <si>
    <t>2.4</t>
  </si>
  <si>
    <t>Nâng cao năng lực quản trị</t>
  </si>
  <si>
    <t>3.1</t>
  </si>
  <si>
    <t>Tuân thủ HSE theo chuẩn TPM</t>
  </si>
  <si>
    <t>Triển khai chương trình STOP cấp độ 1</t>
  </si>
  <si>
    <t>Triển khai chương trình Giám sát và điều chỉnh khoa học hành vi</t>
  </si>
  <si>
    <t>Chuẩn hóa AM các xưởng vận hành theo chuẩn TPM</t>
  </si>
  <si>
    <t>Phê duyệt tiêu chuẩn đánh giá AM thiết bị</t>
  </si>
  <si>
    <t xml:space="preserve">100% bảng trực quan được lắp ngoài hiện trường </t>
  </si>
  <si>
    <t xml:space="preserve">Lập danh mục AM cho tất cả các thiết bị </t>
  </si>
  <si>
    <t>Hướng dẫn thực hiện AM cho các thiết bị</t>
  </si>
  <si>
    <t>Áp dụng cho tất cả xưởng vận hành</t>
  </si>
  <si>
    <t>Hoàn thành công tác tối ưu PM</t>
  </si>
  <si>
    <t>Xây dựng hướng dẫn và khung đánh giá tình trạng thiết bị</t>
  </si>
  <si>
    <t>Thực thi các nhiệm vụ xuyên suốt</t>
  </si>
  <si>
    <t xml:space="preserve">Thuê tư vấn đánh giá hiện trạng </t>
  </si>
  <si>
    <t xml:space="preserve">Audit các hoạt động của các trụ cột và đưa ra các khuyến nghị </t>
  </si>
  <si>
    <t>Đào tạo nhận thức TPM cho toàn nhà máy</t>
  </si>
  <si>
    <t xml:space="preserve">Triển khai công tác đào tạo nội bộ theo kế hoạch. </t>
  </si>
  <si>
    <t xml:space="preserve">Thực hiện biên soạn tài liệu, video, thẻ đào tạo </t>
  </si>
  <si>
    <t>Áp dụng, triển khai  đào tạo nội bộ trên hệ thống E-Learning.</t>
  </si>
  <si>
    <t>Tổ chức Hội thi vận hành giỏi.</t>
  </si>
  <si>
    <t>Tham quan, học hỏi các đơn vị liên quan.</t>
  </si>
  <si>
    <t xml:space="preserve">Coaching </t>
  </si>
  <si>
    <t xml:space="preserve">Lập kế hoạch triển khai coaching </t>
  </si>
  <si>
    <t>Lập yêu cầu/phạm vi và chọn NCC thuê dịch vụ bên ngoài thực hiện coaching</t>
  </si>
  <si>
    <t>Lập danh sách nhân sự cần được coaching</t>
  </si>
  <si>
    <t>Triển khai coaching nội bộ</t>
  </si>
  <si>
    <t>Triển khai coaching bên ngoài</t>
  </si>
  <si>
    <t>Ghi nhận phản hồi và phân tích đánh giá hiệu quả của các buổi coaching đợt 1</t>
  </si>
  <si>
    <t>Ghi nhận phản hồi và phân tích đánh giá hiệu quả của các buổi coaching đợt 2</t>
  </si>
  <si>
    <t>Chiến lược 5 năm. Mục tiêu của năm 2022</t>
  </si>
  <si>
    <t>Đảm bảo hoạt động sản xuất Urê và các sản phẩm gốc Urê ổn định, hiệu quả</t>
  </si>
  <si>
    <t>100% các sản phẩm urê và gốc urê (không tính NPK) đạt chất lượng trước khi ra khỏi Nhà máy</t>
  </si>
  <si>
    <t>Công tác bảo dưỡng?</t>
  </si>
  <si>
    <t>Đảm bảo hoạt động sản xuất NPK ổn định, hiệu quả</t>
  </si>
  <si>
    <t>Công suất xưởng NPK trung bình ...</t>
  </si>
  <si>
    <t>100% các sản phẩm NPK đạt chất lượng trước khi ra khỏi Nhà máy</t>
  </si>
  <si>
    <t>Phòng ATMT đưa ra KRs</t>
  </si>
  <si>
    <t>Tìm kiếm được tối thiểu 02 nhà đầu tư quan tâm cấp hơi Biomass</t>
  </si>
  <si>
    <t>Thực hiện các dịch vụ bảo dưỡng  trên cơ sở cung cấp nhân sự trong ngành với doanh thu ≥ 2 tỷ đồng</t>
  </si>
  <si>
    <t>Hoàn thành 80% việc xây dựng cơ sở dữ liệu vận hành sản xuất - BDSC - Quản trị tập trung</t>
  </si>
  <si>
    <t>Số lượng chuyên gia của Nhà máy được công nhận trong năm 2022 là...</t>
  </si>
  <si>
    <t xml:space="preserve">Xây dựng nhân sự dự nguồn cho vị trí chủ chốt.... </t>
  </si>
  <si>
    <t>TPM?</t>
  </si>
  <si>
    <t xml:space="preserve">Đảo bảo đáp ứng ...% các điều kiện cho tất cả hoạt động của Nhà máy </t>
  </si>
  <si>
    <t>Phòng/xưởng</t>
  </si>
  <si>
    <t xml:space="preserve">Lưu ý </t>
  </si>
  <si>
    <t>Phòng ATMT</t>
  </si>
  <si>
    <t>Phần OKR yêu cầu phải lập theo các hoạt động TPM</t>
  </si>
  <si>
    <t>Phòng CN</t>
  </si>
  <si>
    <t>Yêu cầu áp dụng theo biểu mẫu chung</t>
  </si>
  <si>
    <t>Tháng</t>
  </si>
  <si>
    <t>- 24h/nhân viên mới</t>
  </si>
  <si>
    <t>- Lập và trình kế hoạch đào tạo nội bộ năm 2022 của đơn vị
- Tổ chức triển khai đào tạo nội bộ theo kế hoạch đã được phê duyệt
- Đánh giá thường xuyên/đột xuất việc triển khai đào tạo nội bộ trong đơn vị
- Hoàn thiện hồ sơ đào tạo nội bộ để báo cáo định kỳ và thực hiện thanh toán theo qui chế</t>
  </si>
  <si>
    <t>- 4h coaching bên ngoài/ cán bộ
- 12h coaching nội bộ/ cán bộ</t>
  </si>
  <si>
    <t>Quy trình BDSC…</t>
  </si>
  <si>
    <t>- Tổ chức nguồn nhân sự trực ca điều khiển đảm bảo đủ về số lượng, đạt yêu cầu về chuyên môn để thực hiện công tác trực xử lý các hư hỏng phát sinh trong quá trình sản xuất
- Sắp xếp nguồn lực dự phòng phù hợp đảm bảo hỗ trợ  xử lý kịp thời các tình huống sự cố Nhà máy
- Thường xuyên kiểm tra chất lượng công tác sửa chữa đột xuất, đảm bảo các hạng mục đã sửa chữa không lặp lại hư hỏng với cùng nội dung hư hỏng trong tháng
- Thực hiện các cải tiến/cải tạo đối với các hạng mục hư hỏng thường xuyên do thiết kế hoạch do chất lượng thiết bị</t>
  </si>
  <si>
    <t>Ghi chú</t>
  </si>
  <si>
    <t xml:space="preserve"> Tháng</t>
  </si>
  <si>
    <t>Không có tai nạn và sự cố liên quan đến an toàn sức khỏe môi trường bị xử lý bởi cơ quan chức năng</t>
  </si>
  <si>
    <t>Tháng BDTT</t>
  </si>
  <si>
    <t xml:space="preserve">Theo kế hoạch </t>
  </si>
  <si>
    <t>% số hạng mục hoàn thành đảm bảo đảm bảo chất lượng và đúng tiến độ</t>
  </si>
  <si>
    <t>% thực hiện hoàn thành công tác BDTT theo kế hoạch, đảm bảo chất lượng và vượt tiến độ so với kế hoạch 4h</t>
  </si>
  <si>
    <t>Tham gia chương trình STOP</t>
  </si>
  <si>
    <t>% hoàn thành triển khai đào tạo nội bộ theo kế hoạch được phê duyệt</t>
  </si>
  <si>
    <t>Khuyến khích tham gia chương trình chạy bộ giao lưu 01 lần/02 tuần</t>
  </si>
  <si>
    <t>Tham gia</t>
  </si>
  <si>
    <t>&gt; 99% và vượt tiến độ 4h</t>
  </si>
  <si>
    <t>% hoàn thành hội thảo chuyên môn theo kế hoạch được phê duyệt</t>
  </si>
  <si>
    <t>% tài liệu hoàn thành chuẩn hóa theo kế hoạch được phê duyệt</t>
  </si>
  <si>
    <t>Có nhân sự đội tham gia chương trình</t>
  </si>
  <si>
    <t>Thường xuyên khuyến khích, vận động CBCNV tham gia (Trừ cá nhân đang có bệnh hiểm nghèo)</t>
  </si>
  <si>
    <t>% hoàn thành công việc được giao</t>
  </si>
  <si>
    <t>Tổ chức và sắp xếp công việc phù hợp đảm bảo tất cả CBCNV tham gia các khóa đào tạo an toàn</t>
  </si>
  <si>
    <t>Khuyến khích tham gia chương trình thể thao giao lưu 01 lần/01 quý</t>
  </si>
  <si>
    <t>Ngày bắt đầu thực hiện</t>
  </si>
  <si>
    <t>Ngày hoàn thành dự kiến</t>
  </si>
  <si>
    <t>Nhóm BDTT</t>
  </si>
  <si>
    <t>Tần suất đo lường</t>
  </si>
  <si>
    <t>Đảm bảo tính ổn định của thiết bị</t>
  </si>
  <si>
    <t>Rà soát cập nhật lại kế hoạch bảo dưỡng theo phương thức bảo dưỡng để tăng hiệu quả trong công tác bảo dưỡng (áp dụng đối với Phân xưởng/hệ thống do X. ĐK phụ trách công tác lập kế hoạch)</t>
  </si>
  <si>
    <t>Triển khai hành động KPPN (Căn cứ theo KL điều tra sự cố)</t>
  </si>
  <si>
    <t>&gt;= 90%</t>
  </si>
  <si>
    <t>Số vụ</t>
  </si>
  <si>
    <t>Tham gia các khóa đào tạo an toàn theo yêu cầu từ đầu mối</t>
  </si>
  <si>
    <t>Triển khai các hạng mục cải hoán thuộc chuyên môn phụ trách</t>
  </si>
  <si>
    <t xml:space="preserve">% HM hoàn thành theo sự phân công </t>
  </si>
  <si>
    <t>Số thẻ ghi được trong tháng</t>
  </si>
  <si>
    <t>Tổ chức và sắp xếp công việc phù hợp đảm bảo hoàn thành chỉ tiêu ghi thẻ</t>
  </si>
  <si>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Báo cáo kết quả triển khai công tác BD định kỳ đầy đủ theo kế hoạch</t>
  </si>
  <si>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đa được ban hành
- Triển khai thực hiện các hạng mục theo kế hoạch đã ban hành
- Giám sát chất lượng công tác triển khai kiểm tra trực tiếp/report các hạng mục theo ngày
- Báo cáo kết quả các hạng mục BDTT</t>
  </si>
  <si>
    <t xml:space="preserve">Tổ chức kiểm tra an toàn cấp 2 đầy đủ, nghiêm túc </t>
  </si>
  <si>
    <t>% Hoàn thành</t>
  </si>
  <si>
    <t>Trụ cột ET: Xây dựng khung năng lực</t>
  </si>
  <si>
    <t>Trụ cột ET: Đánh giá năng lực cho CBCNV</t>
  </si>
  <si>
    <t>Phối hợp thực hiện theo yêu cầu của đầu mối</t>
  </si>
  <si>
    <t>Tham gia đánh giá năng lực CBCNV khi có yêu cầu</t>
  </si>
  <si>
    <t>% hoàn thành các thiết bị/hệ thống phòng cháy</t>
  </si>
  <si>
    <t>Số lượng ý tưởng/CTKT được cấp Xưởng công nhận</t>
  </si>
  <si>
    <t>- Đăng ký ý tưởng/CTKT hàng tháng
- Triển khai thực hiện sau khi xưởng phê duyệt
- Báo cáo kết quả thực hiện</t>
  </si>
  <si>
    <t>Số lượng sáng kiến được cấp Tiểu Ban công nhận</t>
  </si>
  <si>
    <t>- Đăng ký sáng kiến hàng tháng nếu có
- Triển khai thực hiện và đăng ký trên EO sau khi xưởng phê duyệt
- Bảo vệ và hoàn thiện hồ sơ theo yêu cầu</t>
  </si>
  <si>
    <t>Hoàn thành phối hợp công tác kiểm tra an toàn cấp 1, 2, 3 đầy đủ, nghiêm túc</t>
  </si>
  <si>
    <t xml:space="preserve">% CBCNV tham gia </t>
  </si>
  <si>
    <t xml:space="preserve">- Tiếp nhận phiếu KPPN thuộc chuyên môn của đội
- Triển khai thực hiện phiếu KPPN 
- Báo cáo kết quả thực hiện </t>
  </si>
  <si>
    <t>% Hoàn thành phiếu KPPN được giao</t>
  </si>
  <si>
    <t>5 thẻ</t>
  </si>
  <si>
    <t>1 ý tưởng/ CTKT</t>
  </si>
  <si>
    <t xml:space="preserve">- Tổ TBHTPC thực hiện rà soát cập nhật hàng tháng các thiết bị thệ thống phòng cháy gửi lại cho đội trưởng
- Đội trưởng sẽ tổng hợp vào file theo dõi.
- Gửi đầu mối SAP cập nhật dữ liệu master nếu có điều chỉnh </t>
  </si>
  <si>
    <t>Tình hình thực hiện</t>
  </si>
  <si>
    <t>30/10/2026</t>
  </si>
  <si>
    <t>Đảm bảo không có Sự cố gây dừng máy hay mất sản lượng do lỗi chủ quan của con người</t>
  </si>
  <si>
    <t>Quản trị rủi ro thiết bị</t>
  </si>
  <si>
    <t>Kiaq</t>
  </si>
  <si>
    <t>Quyenpt</t>
  </si>
  <si>
    <t>Tham gia đầy đủ các cuộc họp và thực hiện hoàn thành các kết luận được giao</t>
  </si>
  <si>
    <t>- Tổ chức và sắp xếp công việc phù hợp đảm bảo có nhân sự tham gia 
- Lên kế hoạch triển khai thực hiện các kết luận được giao
- Triển khai thực hiện
- Báo cáo kết quả thực hiện hàng tháng</t>
  </si>
  <si>
    <t xml:space="preserve">Hướng dẫn bảo dưỡng </t>
  </si>
  <si>
    <t>Trangnv</t>
  </si>
  <si>
    <t>Người thực hiện/Đầu mối</t>
  </si>
  <si>
    <t>Kiểm tra đánh giá</t>
  </si>
  <si>
    <t>Các hạng mục BD có kế hoạch cần có đầy đủ hướng dẫn</t>
  </si>
  <si>
    <t>Có thực hiện ĐGRR cho hạng mục có mối nguy</t>
  </si>
  <si>
    <t>Công tác lắp đặt cải tiến cải tạo cần có nhận diện mối nguy và ĐGRR đối với hạng mục có mối nguy</t>
  </si>
  <si>
    <t>Số ngày dừng máy do lỗi thiết bị (không tính thời gian dừng và khởi động Nhà máy)</t>
  </si>
  <si>
    <t>≤ 4,19 ngày hoặc 
100,5 giờ</t>
  </si>
  <si>
    <t>Số sự cố</t>
  </si>
  <si>
    <t>%Hoàn thành theo kế hoạch</t>
  </si>
  <si>
    <t xml:space="preserve">- Tổ chức nguồn lực đảm bảo hoàn thành thực hiện các hạng mục bảo dưỡng theo kế hoạch
- Lập kế hoạch triển khai chi tiết cho tất cả hạng mục theo kế hoạch đa được ban hành
- Triển khai thực hiện các hạng mục theo kế hoạch đã ban hành
- Giám sát chất lượng công tác triển khai kiểm tra trực tiếp/report các hạng mục theo ngày
- Báo cáo kết quả </t>
  </si>
  <si>
    <t>- Phối hợp thực hiện kiểm tra an toàn cấp 2 đầy đủ, nghiêm túc theo kế hoạch
- Phối hợp thực hiện kiểm tra an toàn cấp 3 theo lịch, đảm bảo 100% các điểm không phù hợp được khắc phục đúng thời hạn;</t>
  </si>
  <si>
    <t>Linhln</t>
  </si>
  <si>
    <t>Triển khai công tác cải hoán thuộc chuyên môn phụ trách khi có yêu cầu từ đầu mối</t>
  </si>
  <si>
    <t>- Sắp xếp nguồn lực để triển khai công việc
- Xây dựng phương án thi công 
- Tổ chức triển khai thi công/chạy thử theo phương án
- Báo cáo kết quả thực hiện</t>
  </si>
  <si>
    <t>Minhvq</t>
  </si>
  <si>
    <t xml:space="preserve">- Lập danh mục vật tư cần mua sắm
- Gửi đầu mối triển khai mua sắm và theo dõi mua sắm
- Đưa hạng mục vào KH DBTT 2026
- Triển khai thực hiện: lắp bar tiếp địa trên tường, đấu cáp tiếp địa lên bar, thay cáp tiếp địa nối giữa các tủ điều khiển trong rack room CCR
- Báo cáo kết quả </t>
  </si>
  <si>
    <t>Trụ cột ET: Triển khai đào tạo nội bộ theo kế hoạch được phê duyệt</t>
  </si>
  <si>
    <t>Trụ cột ET:  Tổ chức hội thảo chuyên môn (KSC 2 HT, Kỹ sư 1 HT và khuyến khích đối với chức danh KTV)</t>
  </si>
  <si>
    <t>Trụ cột ET: Triển khai đào tạo bên ngoài theo kế hoạch được phê duyệt</t>
  </si>
  <si>
    <t>Trụ cột ET: Triển khai chuẩn hóa giáo trình đào tạo theo kế hoạch được phê duyệt</t>
  </si>
  <si>
    <t>Minhnc</t>
  </si>
  <si>
    <t>% hoàn thành triển khai đào tạo đào tạo bên ngoài theo kế hoạch được phê duyệt</t>
  </si>
  <si>
    <t>% hoàn thành theo kế hoạch</t>
  </si>
  <si>
    <t>- Tổ chức triển khai thực hiện công việc được phân công 
- Báo cáo kết quả thực hiện</t>
  </si>
  <si>
    <t>%Hoàn thành theo kế hoạch của TPM center</t>
  </si>
  <si>
    <t>% hoàn thành theo kế hoạch của TPM center</t>
  </si>
  <si>
    <t>Trụ cột AM: Xử lý các thẻ TPM tag</t>
  </si>
  <si>
    <t>- Tổ chức triển khai thực hiện công việc thuộc chuyên môn phụ trách 
- Báo cáo kết quả thực hiện</t>
  </si>
  <si>
    <t>31/12/2026</t>
  </si>
  <si>
    <t>Trụ cột SHE: Thực hiện theo yêu cầu TPM center</t>
  </si>
  <si>
    <t>Chia sẽ văn hoá /Quy trình/Chuyên môn chung (Chiều thứ 6, tuần cuối cùng của tháng)</t>
  </si>
  <si>
    <t xml:space="preserve">% hoàn thành theo kế hoạch </t>
  </si>
  <si>
    <t>Triển khai hạng mục nâng cao độ tin cậy:
- Chuyển đổi positioner FF-4.20mmA
- Chuyển Redundant Solenoid</t>
  </si>
  <si>
    <t>Mở rộng  hệ thống Fire and Gas theo kết quả Gas mapping report</t>
  </si>
  <si>
    <t>Trụ cột FI: Có Sáng kiến được công nhận cấp tiểu ban Điều khiển (Mỗi Đội/tổ 2 cái)</t>
  </si>
  <si>
    <t>Trụ cột FI: Mỗi Đội/Tổ có ý tưởng/CTKT được công nhận Cấp Xưởng</t>
  </si>
  <si>
    <t>Trụ cột OI: Thực hiện theo yêu cầu TPM center</t>
  </si>
  <si>
    <t>Tên mục tiêu / Kết quả then chốt (Các kết quả then chốt (KR) phải đo lường được)</t>
  </si>
  <si>
    <t>Mục 
đích</t>
  </si>
  <si>
    <t>Tỷ trọng mục tiêu</t>
  </si>
  <si>
    <t>- Thực hiện đúng phương án cách ly cô lập
- Nâng cao nâng lực nhận diện mối nguy
- Thường xuyên cập nhật các MOC, yêu cầu đơn vị chuyên môn chuẩn hóa, bổ sung tài liệu kỹ thuật</t>
  </si>
  <si>
    <t>- Nâng cao nâng lực nhận diện mối nguy
- Thực hiện ĐRGG nếu có mối nguy
- Tăng cường giám sát và dừng việc nếu nhận diện có mối nguy mới</t>
  </si>
  <si>
    <t xml:space="preserve">Triển khai các trụ cột TPM thuộc chuyên môn phụ trách </t>
  </si>
  <si>
    <t xml:space="preserve">- Tiếp nhận và phổ biến yêu cầu
- Triển khai thực hiện
- Giám sát và đánh giá
- Tổng hợp, báo cáo kết quả </t>
  </si>
  <si>
    <t>Mã mục tiêu/Kết quả then chốt Đội/Tổ</t>
  </si>
  <si>
    <t>ĐK.O1.TBHTĐK.O1</t>
  </si>
  <si>
    <t>ĐK.O1.KR1.TBHTĐK.O1.KR1</t>
  </si>
  <si>
    <t>ĐK.O2.TBHTĐK.O2</t>
  </si>
  <si>
    <t>ĐK.O2.KR1.TBHTĐK.O2.KR1</t>
  </si>
  <si>
    <t>ĐK.O3.TBHTĐK.O3</t>
  </si>
  <si>
    <t>ĐK.O3.KR1.TBHTĐK.O3.KR1</t>
  </si>
  <si>
    <t>ĐK.O4.TBHTĐK.O4</t>
  </si>
  <si>
    <t>ĐK.O4.KR1.TBHTĐK.O4.KR1</t>
  </si>
  <si>
    <t>ĐK.O5.TBHTĐK.O5</t>
  </si>
  <si>
    <t>ĐK.O5.KR1.TBHTĐK.O5.KR1</t>
  </si>
  <si>
    <t>ĐK.O6.TBHTĐK.O6</t>
  </si>
  <si>
    <t>- Rà soát nội dung bảo dưỡng liên đới tới hướng dẫn thực hiện
- Cập nhật hướng dẫn, bổ sung và nhận diện các mối nguy có thể xảy ra trong quá trình thực hiện
- Quản lý hồ  sơ tài liệu của đơn vị, đảm bảo dễ  thấy, dễ  lấy, dễ  sử  dụng, không hư hỏng, không thất lạc
- Kiểm soát việc thực hiện có hiệu lực các tài liệu, quy trình, hướng dẫn</t>
  </si>
  <si>
    <t>Triển khai công tác BD định kỳ theo kế hoạch đảm bảo chất lượng và đúng tiến độ</t>
  </si>
  <si>
    <t>ĐK.O1.KR2.TBHTĐK.O1.KR2</t>
  </si>
  <si>
    <t>ĐK.O1.KR3.TBHTĐK.O1.KR3</t>
  </si>
  <si>
    <t>ĐK.O2.KR3.TBHTĐK.O2.KR2</t>
  </si>
  <si>
    <t>ĐK.O2.KR4.TBHTĐK.O2.KR3</t>
  </si>
  <si>
    <t>ĐK.O2.KR5.TBHTĐK.O2.KR4</t>
  </si>
  <si>
    <t>ĐK.O3.KR2.TBHTĐK.O3.KR2</t>
  </si>
  <si>
    <t>ĐK.O3.KR3.TBHTĐK.O3.KR3</t>
  </si>
  <si>
    <t>- Cử nhân sự tham gia
- Sắp xếp nguồn lực để triển khai công việc
- Xây dựng phương án thi công 
- Tổ chức triển khai thi công/chạy thử theo phương án
- Báo cáo kết quả thực hiện</t>
  </si>
  <si>
    <t>ĐK.O4.KR4.TBHTĐK.O4.KR2</t>
  </si>
  <si>
    <t>ĐK.O4.KR5.TBHTĐK.O4.KR3</t>
  </si>
  <si>
    <r>
      <t>- Tổ chức triển khai đào tạo nội bộ theo kế hoạch đã được phê duyệt như</t>
    </r>
    <r>
      <rPr>
        <sz val="14"/>
        <color rgb="FFFF0000"/>
        <rFont val="Times New Roman"/>
        <family val="1"/>
      </rPr>
      <t xml:space="preserve"> Phụ lục 1</t>
    </r>
    <r>
      <rPr>
        <sz val="14"/>
        <rFont val="Times New Roman"/>
        <family val="1"/>
      </rPr>
      <t xml:space="preserve">
- Đánh giá thường xuyên/đột xuất việc triển khai đào tạo nội bộ trong đội
- Hoàn thiện hồ sơ đào tạo nội bộ theo qui chế</t>
    </r>
  </si>
  <si>
    <t>ĐK.O5.KR2.TBHTĐK.O5.KR2</t>
  </si>
  <si>
    <t>ĐK.O5.KR3.TBHTĐK.O5.KR3</t>
  </si>
  <si>
    <t>ĐK.O5.KR4.TBHTĐK.O5.KR4</t>
  </si>
  <si>
    <r>
      <t>- Tổ chức triển khai hội thảo theo kế hoạch như</t>
    </r>
    <r>
      <rPr>
        <sz val="14"/>
        <color rgb="FFFF0000"/>
        <rFont val="Times New Roman"/>
        <family val="1"/>
      </rPr>
      <t xml:space="preserve"> Phụ lục 2</t>
    </r>
    <r>
      <rPr>
        <sz val="14"/>
        <rFont val="Times New Roman"/>
        <family val="1"/>
      </rPr>
      <t xml:space="preserve">
- Báo cáo kết quả thực hiện</t>
    </r>
  </si>
  <si>
    <t>ĐK.O5.KR6.TBHTĐK.O5.KR6</t>
  </si>
  <si>
    <t>ĐK.O5.KR5.TBHTĐK.O5.KR5</t>
  </si>
  <si>
    <r>
      <t xml:space="preserve">- Đề xuất triển khai đào tạo theo kế hoạch đã được phê duyệt như </t>
    </r>
    <r>
      <rPr>
        <sz val="14"/>
        <color rgb="FFFF0000"/>
        <rFont val="Times New Roman"/>
        <family val="1"/>
      </rPr>
      <t>Phụ lục 1</t>
    </r>
    <r>
      <rPr>
        <sz val="14"/>
        <rFont val="Times New Roman"/>
        <family val="1"/>
      </rPr>
      <t xml:space="preserve">
- Báo cáo kết quả đào tạo</t>
    </r>
  </si>
  <si>
    <r>
      <t xml:space="preserve">- Thực hiện chuẩn hóa giáo trình như </t>
    </r>
    <r>
      <rPr>
        <sz val="14"/>
        <color rgb="FFFF0000"/>
        <rFont val="Times New Roman"/>
        <family val="1"/>
      </rPr>
      <t>Phụ lục 3</t>
    </r>
    <r>
      <rPr>
        <sz val="14"/>
        <rFont val="Times New Roman"/>
        <family val="1"/>
      </rPr>
      <t xml:space="preserve">
- Gửi file tài liệu đã chuẩn hóa cho đầu mối và chỉnh sửa theo yêu cầu (nếu có)</t>
    </r>
  </si>
  <si>
    <t>ĐK.O6.KR1.TBHTĐK.O6.KR1</t>
  </si>
  <si>
    <t>ĐK.O6.KR2.TBHTĐK.O6.KR2</t>
  </si>
  <si>
    <t>ĐK.O6.KR3.TBHTĐK.O6.KR3</t>
  </si>
  <si>
    <t>Cải tạo hệ thống tiếp địa cho thiết bị hệ thống điều khiển</t>
  </si>
  <si>
    <t xml:space="preserve">Công tác sửa chữa đột xuất cần có nhận diện mối nguy và ĐGRR đối với hạng mục có mối nguy ảnh hưởng đến giảm tải, gián đoạn sản xuất được giao </t>
  </si>
  <si>
    <t>Triển khai công tác BDTT theo kế hoạch đảm bảo chất lượng và vượt tiến độ</t>
  </si>
  <si>
    <t>ĐK.O2.KR6.TBHTĐK.O2.KR5</t>
  </si>
  <si>
    <t xml:space="preserve">- Thực hiện hội thảo theo lịch ĐTN:
   + Võ Quang Minh: Sơ đồ kết nối các hệ thống điều khiển nhà máy ĐCM
   + Trịnh Văn Kiều: Đọc hiểu interlock ESD, DCS
   + Nguyễn Cao Minh: Nâng cao chất lượng hoạt động đoàn thanh niên tại Xưởng Điều khiển
- Thường xuyên khuyến khích, vận động CBCNV tham gia </t>
  </si>
  <si>
    <t>ĐK.O5.KR9.TBHTĐK.O5.KR7</t>
  </si>
  <si>
    <t>Trụ cột AM: Tiêu chuẩn hóa thiết bị hệ thống điều khiển và thiết bị phòng cháy</t>
  </si>
  <si>
    <t>ĐK.O5.KR11.TBHTĐK.O5.KR9</t>
  </si>
  <si>
    <t>ĐK.O5.KR12.TBHTĐK.O5.KR10</t>
  </si>
  <si>
    <t>ĐK.O5.KR13.TBHTĐK.O5.KR11</t>
  </si>
  <si>
    <t>ĐK.O5.KR14.TBHTĐK.O5.KR12</t>
  </si>
  <si>
    <t>ĐK.O5.KR15.TBHTĐK.O5.KR13</t>
  </si>
  <si>
    <t>ĐK.O5.KR10.TBHTĐK.O5.K8</t>
  </si>
  <si>
    <t>- Rà soát hiện trạng thiết bị, lập danh mục thiết bị cần chuẩn hóa
- Xây dựng và chuẩn hóa tiêu chuẩn cho thiết bị
- Triển khai áp dụng
- Đánh giá và duy trì
- Báo cáo kết quả thực hiện</t>
  </si>
  <si>
    <t>Đánh giá</t>
  </si>
  <si>
    <t>Hoàn thành</t>
  </si>
  <si>
    <t>Hoàn thành tốt</t>
  </si>
  <si>
    <t>Trong tháng không có khóa học</t>
  </si>
  <si>
    <t>Trong tháng không có công việc được giao</t>
  </si>
  <si>
    <t>Trong tháng không có đợt xét của tiểu ban</t>
  </si>
  <si>
    <t>Trong tháng không có hạng mục được giao</t>
  </si>
  <si>
    <t>Không tính Tứ</t>
  </si>
  <si>
    <t>Báo cáo tình hình thực hiện tháng 1</t>
  </si>
  <si>
    <t>Đã rà soát các hạng mục BD có đầy đủ HD</t>
  </si>
  <si>
    <t xml:space="preserve">Đánh giá chung tháng </t>
  </si>
  <si>
    <t>Trong tháng không có hạng mục</t>
  </si>
  <si>
    <t>Trong tháng chưa đến lịch họp</t>
  </si>
  <si>
    <t>Hoàn thành phiếu KPPN sự cố mất alram các HIS</t>
  </si>
  <si>
    <t>Hoàn thành phối hợp đầu mối kiểm tra an toàn cấp 2</t>
  </si>
  <si>
    <t>Trong tháng có 17 thẻ được ghi nhận</t>
  </si>
  <si>
    <t>Hoàn thành hạng mục khái báo modbus dự án CO2 thực phẩm trên DCS</t>
  </si>
  <si>
    <t>Trong tháng không có kế hoạch</t>
  </si>
  <si>
    <t>Trong tháng không có kế hoạch, bắt đầu tháng 2</t>
  </si>
  <si>
    <t>Trong tháng không có kế hoạch, bắt đầu tháng 3</t>
  </si>
  <si>
    <t>SIMATIC S7-400H Redundant System &amp; Advanced Programming, thời gian đào tạo quý 2</t>
  </si>
  <si>
    <t>Đăng ký 1 SK/CTKT đã được LĐX công nhận</t>
  </si>
  <si>
    <t>Trong tháng chưa có kế hoạch</t>
  </si>
  <si>
    <t>Chạy bộ 17/01: Kiều, Quỳnh, Đình, Hải. Đạt 50% ( tính 8 nhân sự, trừ Tứ và Tiến tham gia BDTT ĐPM)</t>
  </si>
  <si>
    <t>Trong tháng không có tổ chức</t>
  </si>
  <si>
    <t>BÁO CÁO KẾ HOẠCH /MỤC TIÊU 2026 ĐỘI THIẾT BỊ HỆ THỐNG ĐIỀU KHIỂN</t>
  </si>
  <si>
    <t>Hoàn thành 254/254 hạng mục theo kế hoạch ngày 28/01</t>
  </si>
  <si>
    <t>Báo cáo tình hình thực hiện tháng 2</t>
  </si>
  <si>
    <t>Tham gia họp theo lịch</t>
  </si>
  <si>
    <t>Hoàn thành 237/237 hạng mục</t>
  </si>
  <si>
    <t>Trong tháng có 14 thẻ được ghi nhận</t>
  </si>
  <si>
    <t>Tham gia họp theo lich đầu mối</t>
  </si>
  <si>
    <t>Hoàn thành đào tạo môn hướng dẫn bảo dưỡng hệ thống PLC và ESD, 32 giờ</t>
  </si>
  <si>
    <t xml:space="preserve">Teambuilding ngày tất niên xưởng: 31/01: Kiều, Quỳnh, Đình, Hải, Minh, CMinh, Tiến, Kiên. Đạt 89% </t>
  </si>
  <si>
    <t>Báo cáo tình hình thực hiện tháng 3</t>
  </si>
  <si>
    <t>Hoàn thành 252/252 hạng mục</t>
  </si>
  <si>
    <t xml:space="preserve">Họp tổ TBĐLĐK lần 1 </t>
  </si>
  <si>
    <t>Hoàn thành khảo sát IO trong tủ đk</t>
  </si>
  <si>
    <t>Trong tháng có 7 thẻ được ghi nhận</t>
  </si>
  <si>
    <t>Tham gia phản biện khung năng lực KTV BDSC thiết bị hệ thống ĐK</t>
  </si>
  <si>
    <t>Hoàn thành đào tạo môn Hướng dẩn bảo dưỡng hệ thống DCS Yokogawa Centum VP và  MPS- Bently Nevada, 32 giờ</t>
  </si>
  <si>
    <t>Hoàn thành tài liệu hướng dẫn kiểm tra tín hiệu hệ thống điều khiển trước khi final workdown</t>
  </si>
  <si>
    <t>Hoàn thành hướng dẫn chạy mô phỏng máy nén K06101</t>
  </si>
  <si>
    <t>Đăng ký 3 SK/CTKT đã được LĐX công nhận</t>
  </si>
  <si>
    <t>Chạy bộ 7/03: Tham gia 6/9.  Đạt 67% ( Kiều, Tiến, Kiên, Đình, Quyền, Quỳnh)</t>
  </si>
  <si>
    <t>Hội thao ngày 21/03: Tham gia 7/9. Đạt 78% (Q Minh, Kiều, Kiên, Quỳnh, Tiến, Đình, Cminh)</t>
  </si>
  <si>
    <t>Nhân sự đi làm ngày 27/03 sẽ tham gia hội thảo AM</t>
  </si>
  <si>
    <t>Hoàn thành Tốt</t>
  </si>
  <si>
    <t>Hoàn thành 1 hội thảo ngày 26/03</t>
  </si>
  <si>
    <t>SIMATIC S7-400H Redundant System &amp; Advanced Programming, thời gian đào tạo quý 2,3,4</t>
  </si>
  <si>
    <t>Báo cáo tình hình thực hiện tháng 4</t>
  </si>
  <si>
    <t>Trong tháng không có lịch từ đầu mối</t>
  </si>
  <si>
    <t>Hoàn thành 258/258 hạng mục</t>
  </si>
  <si>
    <t>Họp tổ TBĐLĐK theo lịch</t>
  </si>
  <si>
    <t>Hoàn thành soạn thảo PA thực hiện phần hệ thống</t>
  </si>
  <si>
    <t>Trong tháng có 9/5 thẻ được ghi nhận</t>
  </si>
  <si>
    <t>Tham gia phản biện khung năng lực KTV BDSC thiết bị hệ thống ĐK và KS BDSC thiết bị hệ thống</t>
  </si>
  <si>
    <t>Hoàn thành đào tạo môn Hướng dẫn bảo dưỡng hệ thống báo cháy tự động và chữa cháy tự động, 32 giờ</t>
  </si>
  <si>
    <t>Hoàn thành 1 hội thảo ngày 21/04</t>
  </si>
  <si>
    <t>Hoàn thành tài liệu Hướng dẫn thay thế card hệ thống MPS</t>
  </si>
  <si>
    <t>Trong tháng: Thống nhất về Sơ đồ bố trí thiết bị báo cháy với quản lý các khu vực CCR</t>
  </si>
  <si>
    <t>Trong tháng không có chương trình</t>
  </si>
  <si>
    <t>Nhân sự đi làm ngày 24/04 sẽ tham gia hội thảo Quy Trình Cấp Phép và Cách Nhận Diện Rủi Ro Trong Quá Trình Làm Việc</t>
  </si>
  <si>
    <t>Báo cáo tình hình thực hiện tháng 5</t>
  </si>
  <si>
    <t>Hoàn thành 236/236 hạng mục</t>
  </si>
  <si>
    <t>Hoàn thành đào tạo môn Cấu hình thiết bị Foudation Fieldbus trên hệ thống DCS, 24 giờ</t>
  </si>
  <si>
    <t>Hoàn thành 1 hội thảo ngày 29/04</t>
  </si>
  <si>
    <t>Hoàn thành tài liệu Hướng dẫn kiểm tra lỗi thiết bị điều khiển khi khởi động boiler</t>
  </si>
  <si>
    <t>Trong tháng: Thống nhất về Sơ đồ bố trí thiết bị báo cháy với quản lý các khu vực CCR. Hoàn thành bảng vẽ layout CCR</t>
  </si>
  <si>
    <t>Chạy bộ 11/4: Tham gia 7/9.  Đạt 78% ( C Minh, A Hải, Kiên, Quỳnh, Quyền, Q Minh, Tiến)</t>
  </si>
  <si>
    <t xml:space="preserve">Nhân sự đi làm ngày 22/05 tham gia hội thảo Tiêu chí xét nâng lương định kỳ hàng năm của Xưởng Điều Khiển”. "Đọc hiểu P&amp;ID, Interlock ESD,DCS” </t>
  </si>
  <si>
    <t>Chạy bộ 9/05: Tham gia 6/9.  Đạt 67% ( Q Minh, Kiều, Đình, CMinh, Tiến, Quỳnh)
Chạy bộ 23/05: Tham gia 7/9.  Đạt 78% ( Q Minh, Kiều, Tiến, Hải, Quyền, Quỳnh, CMinh)</t>
  </si>
  <si>
    <t>Trong tháng có 7/5 thẻ được ghi nhận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</si>
</sst>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1" formatCode="_-* #,##0_-;\-* #,##0_-;_-* &quot;-&quot;_-;_-@_-"/>
    <numFmt numFmtId="43" formatCode="_-* #,##0.00_-;\-* #,##0.00_-;_-* &quot;-&quot;??_-;_-@_-"/>
    <numFmt numFmtId="164" formatCode="&quot;$&quot;#,##0_);[Red]\(&quot;$&quot;#,##0\)"/>
    <numFmt numFmtId="165" formatCode="_(* #,##0_);_(* \(#,##0\);_(* &quot;-&quot;_);_(@_)"/>
    <numFmt numFmtId="166" formatCode="_(* #,##0.00_);_(* \(#,##0.00\);_(* &quot;-&quot;??_);_(@_)"/>
    <numFmt numFmtId="167" formatCode="_(* #,##0_);_(* \(#,##0\);_(* &quot;-&quot;??_);_(@_)"/>
    <numFmt numFmtId="168" formatCode="0.000"/>
    <numFmt numFmtId="169" formatCode="_-* #,##0.00\ _₫_-;\-* #,##0.00\ _₫_-;_-* &quot;-&quot;??\ _₫_-;_-@_-"/>
    <numFmt numFmtId="170" formatCode="00.000"/>
    <numFmt numFmtId="171" formatCode="&quot;?&quot;#,##0;&quot;?&quot;\-#,##0"/>
    <numFmt numFmtId="172" formatCode="\$#,##0\ ;\(\$#,##0\)"/>
    <numFmt numFmtId="173" formatCode="0.00_)"/>
    <numFmt numFmtId="174" formatCode="&quot;\&quot;#,##0;[Red]&quot;\&quot;&quot;\&quot;\-#,##0"/>
    <numFmt numFmtId="175" formatCode="&quot;\&quot;#,##0.00;[Red]&quot;\&quot;&quot;\&quot;&quot;\&quot;&quot;\&quot;&quot;\&quot;&quot;\&quot;\-#,##0.00"/>
    <numFmt numFmtId="176" formatCode="&quot;\&quot;#,##0.00;[Red]&quot;\&quot;\-#,##0.00"/>
    <numFmt numFmtId="177" formatCode="&quot;\&quot;#,##0;[Red]&quot;\&quot;\-#,##0"/>
    <numFmt numFmtId="178" formatCode="_-&quot;$&quot;* #,##0_-;\-&quot;$&quot;* #,##0_-;_-&quot;$&quot;* &quot;-&quot;_-;_-@_-"/>
    <numFmt numFmtId="179" formatCode="_-&quot;$&quot;* #,##0.00_-;\-&quot;$&quot;* #,##0.00_-;_-&quot;$&quot;* &quot;-&quot;??_-;_-@_-"/>
  </numFmts>
  <fonts count="56">
    <font>
      <sz val="11"/>
      <color theme="1"/>
      <name val="Calibri"/>
      <family val="2"/>
      <scheme val="minor"/>
    </font>
    <font>
      <sz val="11"/>
      <color theme="1"/>
      <name val="Calibri"/>
      <family val="2"/>
      <scheme val="minor"/>
    </font>
    <font>
      <sz val="11"/>
      <color rgb="FFFF0000"/>
      <name val="Calibri"/>
      <family val="2"/>
      <scheme val="minor"/>
    </font>
    <font>
      <sz val="11"/>
      <name val="Calibri"/>
      <family val="2"/>
      <scheme val="minor"/>
    </font>
    <font>
      <b/>
      <sz val="12"/>
      <name val="Times New Roman"/>
      <family val="1"/>
    </font>
    <font>
      <sz val="12"/>
      <name val="Times New Roman"/>
      <family val="1"/>
    </font>
    <font>
      <b/>
      <i/>
      <sz val="12"/>
      <name val="Times New Roman"/>
      <family val="1"/>
    </font>
    <font>
      <i/>
      <sz val="12"/>
      <name val="Times New Roman"/>
      <family val="1"/>
    </font>
    <font>
      <sz val="11"/>
      <color theme="1"/>
      <name val="Calibri"/>
      <family val="2"/>
      <charset val="163"/>
      <scheme val="minor"/>
    </font>
    <font>
      <sz val="9"/>
      <color indexed="81"/>
      <name val="Tahoma"/>
      <family val="2"/>
    </font>
    <font>
      <b/>
      <sz val="9"/>
      <color indexed="81"/>
      <name val="Tahoma"/>
      <family val="2"/>
    </font>
    <font>
      <b/>
      <sz val="12"/>
      <color rgb="FFFF0000"/>
      <name val="Times New Roman"/>
      <family val="1"/>
    </font>
    <font>
      <sz val="12"/>
      <color rgb="FFFF0000"/>
      <name val="Times New Roman"/>
      <family val="1"/>
    </font>
    <font>
      <i/>
      <sz val="12"/>
      <color rgb="FFFF0000"/>
      <name val="Times New Roman"/>
      <family val="1"/>
    </font>
    <font>
      <sz val="10"/>
      <name val="Arial"/>
      <family val="2"/>
    </font>
    <font>
      <sz val="10"/>
      <color rgb="FF000000"/>
      <name val="Arial"/>
      <family val="2"/>
    </font>
    <font>
      <sz val="13"/>
      <color theme="1"/>
      <name val="Times New Roman"/>
      <family val="2"/>
    </font>
    <font>
      <sz val="14"/>
      <color theme="1"/>
      <name val="Times New Roman"/>
      <family val="2"/>
    </font>
    <font>
      <b/>
      <sz val="14"/>
      <color theme="1"/>
      <name val="Times New Roman"/>
      <family val="1"/>
    </font>
    <font>
      <sz val="14"/>
      <color theme="1"/>
      <name val="Times New Roman"/>
      <family val="1"/>
    </font>
    <font>
      <sz val="11"/>
      <color indexed="8"/>
      <name val="Arial"/>
      <family val="2"/>
    </font>
    <font>
      <sz val="13"/>
      <color indexed="8"/>
      <name val="Times New Roman"/>
      <family val="2"/>
    </font>
    <font>
      <u/>
      <sz val="13"/>
      <color theme="10"/>
      <name val="Times New Roman"/>
      <family val="2"/>
    </font>
    <font>
      <sz val="11"/>
      <name val="??"/>
      <family val="3"/>
    </font>
    <font>
      <sz val="14"/>
      <name val="??"/>
      <family val="3"/>
    </font>
    <font>
      <sz val="12"/>
      <name val="????"/>
      <charset val="136"/>
    </font>
    <font>
      <sz val="12"/>
      <name val="???"/>
      <family val="3"/>
    </font>
    <font>
      <sz val="10"/>
      <name val="???"/>
      <family val="3"/>
    </font>
    <font>
      <sz val="12"/>
      <name val="¹UAAA¼"/>
      <family val="3"/>
      <charset val="129"/>
    </font>
    <font>
      <sz val="11"/>
      <color indexed="8"/>
      <name val="Calibri"/>
      <family val="2"/>
    </font>
    <font>
      <sz val="10"/>
      <name val=".VnTime"/>
      <family val="2"/>
    </font>
    <font>
      <sz val="8"/>
      <name val="Arial"/>
      <family val="2"/>
    </font>
    <font>
      <b/>
      <sz val="12"/>
      <name val="Arial"/>
      <family val="2"/>
    </font>
    <font>
      <u/>
      <sz val="10"/>
      <color indexed="12"/>
      <name val="Arial"/>
      <family val="2"/>
    </font>
    <font>
      <sz val="12"/>
      <name val="Arial"/>
      <family val="2"/>
    </font>
    <font>
      <b/>
      <i/>
      <sz val="16"/>
      <name val="Helv"/>
    </font>
    <font>
      <sz val="10"/>
      <name val="Arial"/>
      <family val="2"/>
      <charset val="163"/>
    </font>
    <font>
      <sz val="12"/>
      <name val=".VnTime"/>
      <family val="2"/>
    </font>
    <font>
      <sz val="14"/>
      <name val=".VnArial"/>
      <family val="2"/>
    </font>
    <font>
      <sz val="10"/>
      <name val=" "/>
      <family val="1"/>
      <charset val="136"/>
    </font>
    <font>
      <sz val="14"/>
      <name val="뼻뮝"/>
      <family val="3"/>
      <charset val="129"/>
    </font>
    <font>
      <sz val="12"/>
      <name val="바탕체"/>
      <family val="3"/>
    </font>
    <font>
      <sz val="12"/>
      <name val="뼻뮝"/>
      <family val="1"/>
      <charset val="129"/>
    </font>
    <font>
      <sz val="12"/>
      <name val="바탕체"/>
      <family val="1"/>
      <charset val="129"/>
    </font>
    <font>
      <sz val="10"/>
      <name val="굴림체"/>
      <family val="3"/>
      <charset val="129"/>
    </font>
    <font>
      <sz val="9"/>
      <name val="Arial"/>
      <family val="2"/>
    </font>
    <font>
      <sz val="12"/>
      <name val="Courier"/>
      <family val="3"/>
    </font>
    <font>
      <sz val="10"/>
      <color theme="1"/>
      <name val="Times New Roman"/>
      <family val="2"/>
    </font>
    <font>
      <sz val="10"/>
      <color rgb="FF000000"/>
      <name val="Arial"/>
      <family val="2"/>
    </font>
    <font>
      <sz val="14"/>
      <name val="Times New Roman"/>
      <family val="1"/>
    </font>
    <font>
      <b/>
      <sz val="14"/>
      <name val="Times New Roman"/>
      <family val="1"/>
    </font>
    <font>
      <sz val="14"/>
      <color rgb="FFFF0000"/>
      <name val="Times New Roman"/>
      <family val="1"/>
    </font>
    <font>
      <sz val="14"/>
      <color theme="4"/>
      <name val="Times New Roman"/>
      <family val="1"/>
    </font>
    <font>
      <b/>
      <sz val="20"/>
      <name val="Times New Roman"/>
      <family val="1"/>
    </font>
    <font>
      <sz val="12"/>
      <color theme="1"/>
      <name val="Times New Roman"/>
      <family val="1"/>
    </font>
    <font>
      <sz val="12"/>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rgb="FF00B0F0"/>
        <bgColor indexed="64"/>
      </patternFill>
    </fill>
    <fill>
      <patternFill patternType="solid">
        <fgColor indexed="22"/>
        <bgColor indexed="64"/>
      </patternFill>
    </fill>
    <fill>
      <patternFill patternType="solid">
        <fgColor indexed="26"/>
        <bgColor indexed="64"/>
      </patternFill>
    </fill>
    <fill>
      <patternFill patternType="solid">
        <fgColor indexed="65"/>
        <bgColor indexed="64"/>
      </patternFill>
    </fill>
    <fill>
      <patternFill patternType="solid">
        <fgColor theme="9" tint="0.59999389629810485"/>
        <bgColor indexed="64"/>
      </patternFill>
    </fill>
    <fill>
      <patternFill patternType="solid">
        <fgColor rgb="FFFFE598"/>
        <bgColor rgb="FFFFE598"/>
      </patternFill>
    </fill>
    <fill>
      <patternFill patternType="solid">
        <fgColor theme="7" tint="0.79998168889431442"/>
        <bgColor indexed="64"/>
      </patternFill>
    </fill>
  </fills>
  <borders count="1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medium">
        <color indexed="64"/>
      </top>
      <bottom style="medium">
        <color indexed="64"/>
      </bottom>
      <diagonal/>
    </border>
  </borders>
  <cellStyleXfs count="98">
    <xf numFmtId="0" fontId="0" fillId="0" borderId="0"/>
    <xf numFmtId="0" fontId="1" fillId="0" borderId="0"/>
    <xf numFmtId="166" fontId="8" fillId="0" borderId="0" applyFont="0" applyFill="0" applyBorder="0" applyAlignment="0" applyProtection="0"/>
    <xf numFmtId="166" fontId="1" fillId="0" borderId="0" applyFont="0" applyFill="0" applyBorder="0" applyAlignment="0" applyProtection="0"/>
    <xf numFmtId="0" fontId="8" fillId="0" borderId="0"/>
    <xf numFmtId="0" fontId="14" fillId="0" borderId="0"/>
    <xf numFmtId="9" fontId="1" fillId="0" borderId="0"/>
    <xf numFmtId="169" fontId="8" fillId="0" borderId="0"/>
    <xf numFmtId="0" fontId="15" fillId="0" borderId="0"/>
    <xf numFmtId="0" fontId="17" fillId="0" borderId="0"/>
    <xf numFmtId="166" fontId="20" fillId="0" borderId="0" applyFont="0" applyFill="0" applyBorder="0" applyAlignment="0" applyProtection="0"/>
    <xf numFmtId="0" fontId="20" fillId="0" borderId="0"/>
    <xf numFmtId="0" fontId="20" fillId="0" borderId="0"/>
    <xf numFmtId="0" fontId="21" fillId="0" borderId="0"/>
    <xf numFmtId="0" fontId="16" fillId="0" borderId="0"/>
    <xf numFmtId="166" fontId="16" fillId="0" borderId="0" applyFont="0" applyFill="0" applyBorder="0" applyAlignment="0" applyProtection="0"/>
    <xf numFmtId="0" fontId="1" fillId="0" borderId="0"/>
    <xf numFmtId="165" fontId="16" fillId="0" borderId="0" applyFont="0" applyFill="0" applyBorder="0" applyAlignment="0" applyProtection="0"/>
    <xf numFmtId="166" fontId="1" fillId="0" borderId="0" applyFont="0" applyFill="0" applyBorder="0" applyAlignment="0" applyProtection="0"/>
    <xf numFmtId="0" fontId="22" fillId="0" borderId="0" applyNumberFormat="0" applyFill="0" applyBorder="0" applyAlignment="0" applyProtection="0"/>
    <xf numFmtId="0" fontId="16" fillId="0" borderId="0"/>
    <xf numFmtId="0" fontId="1" fillId="0" borderId="0"/>
    <xf numFmtId="0" fontId="1" fillId="0" borderId="0"/>
    <xf numFmtId="0" fontId="1" fillId="0" borderId="0"/>
    <xf numFmtId="0" fontId="16" fillId="0" borderId="0"/>
    <xf numFmtId="0" fontId="8" fillId="0" borderId="0"/>
    <xf numFmtId="0" fontId="1" fillId="0" borderId="0"/>
    <xf numFmtId="0" fontId="1" fillId="0" borderId="0"/>
    <xf numFmtId="170" fontId="23" fillId="0" borderId="0" applyFont="0" applyFill="0" applyBorder="0" applyAlignment="0" applyProtection="0"/>
    <xf numFmtId="0" fontId="24" fillId="0" borderId="0" applyFont="0" applyFill="0" applyBorder="0" applyAlignment="0" applyProtection="0"/>
    <xf numFmtId="171" fontId="23" fillId="0" borderId="0" applyFont="0" applyFill="0" applyBorder="0" applyAlignment="0" applyProtection="0"/>
    <xf numFmtId="40" fontId="24" fillId="0" borderId="0" applyFont="0" applyFill="0" applyBorder="0" applyAlignment="0" applyProtection="0"/>
    <xf numFmtId="38" fontId="24" fillId="0" borderId="0" applyFont="0" applyFill="0" applyBorder="0" applyAlignment="0" applyProtection="0"/>
    <xf numFmtId="41" fontId="25" fillId="0" borderId="0" applyFont="0" applyFill="0" applyBorder="0" applyAlignment="0" applyProtection="0"/>
    <xf numFmtId="9" fontId="26" fillId="0" borderId="0" applyFont="0" applyFill="0" applyBorder="0" applyAlignment="0" applyProtection="0"/>
    <xf numFmtId="0" fontId="27" fillId="0" borderId="0"/>
    <xf numFmtId="0" fontId="28" fillId="0" borderId="0" applyFont="0" applyFill="0" applyBorder="0" applyAlignment="0" applyProtection="0"/>
    <xf numFmtId="0" fontId="28" fillId="0" borderId="0" applyFont="0" applyFill="0" applyBorder="0" applyAlignment="0" applyProtection="0"/>
    <xf numFmtId="0" fontId="28" fillId="0" borderId="0" applyFont="0" applyFill="0" applyBorder="0" applyAlignment="0" applyProtection="0"/>
    <xf numFmtId="0" fontId="28" fillId="0" borderId="0" applyFont="0" applyFill="0" applyBorder="0" applyAlignment="0" applyProtection="0"/>
    <xf numFmtId="0" fontId="28" fillId="0" borderId="0"/>
    <xf numFmtId="0" fontId="28" fillId="0" borderId="0"/>
    <xf numFmtId="166" fontId="1" fillId="0" borderId="0" applyFont="0" applyFill="0" applyBorder="0" applyAlignment="0" applyProtection="0"/>
    <xf numFmtId="166" fontId="29" fillId="0" borderId="0" applyFont="0" applyFill="0" applyBorder="0" applyAlignment="0" applyProtection="0"/>
    <xf numFmtId="169" fontId="1"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3" fontId="14" fillId="0" borderId="0" applyFont="0" applyFill="0" applyBorder="0" applyAlignment="0" applyProtection="0"/>
    <xf numFmtId="172" fontId="14" fillId="0" borderId="0" applyFont="0" applyFill="0" applyBorder="0" applyAlignment="0" applyProtection="0"/>
    <xf numFmtId="0" fontId="14" fillId="0" borderId="0" applyFont="0" applyFill="0" applyBorder="0" applyAlignment="0" applyProtection="0"/>
    <xf numFmtId="2" fontId="14" fillId="0" borderId="0" applyFont="0" applyFill="0" applyBorder="0" applyAlignment="0" applyProtection="0"/>
    <xf numFmtId="38" fontId="31" fillId="6" borderId="0" applyNumberFormat="0" applyBorder="0" applyAlignment="0" applyProtection="0"/>
    <xf numFmtId="0" fontId="32" fillId="0" borderId="16" applyNumberFormat="0" applyAlignment="0" applyProtection="0">
      <alignment horizontal="left" vertical="center"/>
    </xf>
    <xf numFmtId="0" fontId="32" fillId="0" borderId="12">
      <alignment horizontal="left" vertical="center"/>
    </xf>
    <xf numFmtId="0" fontId="33" fillId="0" borderId="0" applyNumberFormat="0" applyFill="0" applyBorder="0" applyAlignment="0" applyProtection="0">
      <alignment vertical="top"/>
      <protection locked="0"/>
    </xf>
    <xf numFmtId="10" fontId="31" fillId="7" borderId="11" applyNumberFormat="0" applyBorder="0" applyAlignment="0" applyProtection="0"/>
    <xf numFmtId="0" fontId="34" fillId="0" borderId="0" applyNumberFormat="0" applyFont="0" applyFill="0" applyAlignment="0"/>
    <xf numFmtId="173" fontId="35" fillId="0" borderId="0"/>
    <xf numFmtId="0" fontId="47" fillId="0" borderId="0"/>
    <xf numFmtId="0" fontId="14" fillId="8" borderId="0"/>
    <xf numFmtId="0" fontId="1" fillId="0" borderId="0"/>
    <xf numFmtId="0" fontId="36" fillId="0" borderId="0"/>
    <xf numFmtId="0" fontId="14" fillId="8" borderId="0"/>
    <xf numFmtId="0" fontId="1" fillId="0" borderId="0"/>
    <xf numFmtId="0" fontId="14" fillId="0" borderId="0"/>
    <xf numFmtId="0" fontId="1" fillId="0" borderId="0"/>
    <xf numFmtId="0" fontId="37" fillId="0" borderId="0"/>
    <xf numFmtId="0" fontId="36" fillId="0" borderId="0"/>
    <xf numFmtId="0" fontId="37" fillId="0" borderId="0"/>
    <xf numFmtId="0" fontId="37" fillId="0" borderId="0"/>
    <xf numFmtId="0" fontId="36" fillId="0" borderId="0"/>
    <xf numFmtId="0" fontId="1" fillId="0" borderId="0"/>
    <xf numFmtId="10" fontId="14" fillId="0" borderId="0" applyFont="0" applyFill="0" applyBorder="0" applyAlignment="0" applyProtection="0"/>
    <xf numFmtId="9" fontId="14" fillId="0" borderId="0" applyFont="0" applyFill="0" applyBorder="0" applyAlignment="0" applyProtection="0"/>
    <xf numFmtId="0" fontId="38" fillId="0" borderId="0" applyNumberForma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5" fillId="0" borderId="0">
      <alignment vertical="center"/>
    </xf>
    <xf numFmtId="40" fontId="40" fillId="0" borderId="0" applyFont="0" applyFill="0" applyBorder="0" applyAlignment="0" applyProtection="0"/>
    <xf numFmtId="38" fontId="40" fillId="0" borderId="0" applyFont="0" applyFill="0" applyBorder="0" applyAlignment="0" applyProtection="0"/>
    <xf numFmtId="0" fontId="40" fillId="0" borderId="0" applyFont="0" applyFill="0" applyBorder="0" applyAlignment="0" applyProtection="0"/>
    <xf numFmtId="0" fontId="40" fillId="0" borderId="0" applyFont="0" applyFill="0" applyBorder="0" applyAlignment="0" applyProtection="0"/>
    <xf numFmtId="9" fontId="41" fillId="0" borderId="0" applyFont="0" applyFill="0" applyBorder="0" applyAlignment="0" applyProtection="0"/>
    <xf numFmtId="0" fontId="42" fillId="0" borderId="0"/>
    <xf numFmtId="174" fontId="14" fillId="0" borderId="0" applyFont="0" applyFill="0" applyBorder="0" applyAlignment="0" applyProtection="0"/>
    <xf numFmtId="175" fontId="14" fillId="0" borderId="0" applyFont="0" applyFill="0" applyBorder="0" applyAlignment="0" applyProtection="0"/>
    <xf numFmtId="176" fontId="43" fillId="0" borderId="0" applyFont="0" applyFill="0" applyBorder="0" applyAlignment="0" applyProtection="0"/>
    <xf numFmtId="177" fontId="43" fillId="0" borderId="0" applyFont="0" applyFill="0" applyBorder="0" applyAlignment="0" applyProtection="0"/>
    <xf numFmtId="0" fontId="44" fillId="0" borderId="0"/>
    <xf numFmtId="0" fontId="34" fillId="0" borderId="0"/>
    <xf numFmtId="41" fontId="45" fillId="0" borderId="0" applyFont="0" applyFill="0" applyBorder="0" applyAlignment="0" applyProtection="0"/>
    <xf numFmtId="43" fontId="45" fillId="0" borderId="0" applyFont="0" applyFill="0" applyBorder="0" applyAlignment="0" applyProtection="0"/>
    <xf numFmtId="178" fontId="45" fillId="0" borderId="0" applyFont="0" applyFill="0" applyBorder="0" applyAlignment="0" applyProtection="0"/>
    <xf numFmtId="164" fontId="46" fillId="0" borderId="0" applyFont="0" applyFill="0" applyBorder="0" applyAlignment="0" applyProtection="0"/>
    <xf numFmtId="179" fontId="45" fillId="0" borderId="0" applyFont="0" applyFill="0" applyBorder="0" applyAlignment="0" applyProtection="0"/>
    <xf numFmtId="0" fontId="48" fillId="0" borderId="0"/>
    <xf numFmtId="0" fontId="8" fillId="0" borderId="0"/>
    <xf numFmtId="0" fontId="14" fillId="0" borderId="0"/>
  </cellStyleXfs>
  <cellXfs count="275">
    <xf numFmtId="0" fontId="0" fillId="0" borderId="0" xfId="0"/>
    <xf numFmtId="0" fontId="2" fillId="0" borderId="0" xfId="0" applyFont="1"/>
    <xf numFmtId="0" fontId="3" fillId="0" borderId="0" xfId="0" applyFont="1"/>
    <xf numFmtId="0" fontId="5" fillId="2" borderId="0" xfId="0" applyFont="1" applyFill="1" applyAlignment="1">
      <alignment vertical="center"/>
    </xf>
    <xf numFmtId="0" fontId="4" fillId="2" borderId="0" xfId="0" applyFont="1" applyFill="1" applyAlignment="1">
      <alignment vertical="center"/>
    </xf>
    <xf numFmtId="0" fontId="5" fillId="2" borderId="0" xfId="0" applyFont="1" applyFill="1" applyAlignment="1">
      <alignment vertical="center" wrapText="1"/>
    </xf>
    <xf numFmtId="0" fontId="6" fillId="2" borderId="0" xfId="0" applyFont="1" applyFill="1" applyAlignment="1">
      <alignment vertical="center"/>
    </xf>
    <xf numFmtId="0" fontId="6" fillId="2" borderId="0" xfId="1" applyFont="1" applyFill="1" applyAlignment="1">
      <alignment vertical="center"/>
    </xf>
    <xf numFmtId="0" fontId="5" fillId="2" borderId="0" xfId="1" applyFont="1" applyFill="1" applyAlignment="1">
      <alignment vertical="center" wrapText="1"/>
    </xf>
    <xf numFmtId="0" fontId="4" fillId="2" borderId="1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7" fillId="2" borderId="11" xfId="0" quotePrefix="1" applyFont="1" applyFill="1" applyBorder="1" applyAlignment="1">
      <alignment horizontal="center" vertical="center"/>
    </xf>
    <xf numFmtId="0" fontId="5" fillId="2" borderId="11" xfId="0" applyFont="1" applyFill="1" applyBorder="1" applyAlignment="1">
      <alignment vertical="center" wrapText="1"/>
    </xf>
    <xf numFmtId="166" fontId="5" fillId="2" borderId="11" xfId="2" applyFont="1" applyFill="1" applyBorder="1" applyAlignment="1">
      <alignment horizontal="center" vertical="center" wrapText="1"/>
    </xf>
    <xf numFmtId="0" fontId="5" fillId="2" borderId="0" xfId="0" applyFont="1" applyFill="1" applyAlignment="1">
      <alignment horizontal="center" vertical="center" wrapText="1"/>
    </xf>
    <xf numFmtId="0" fontId="4" fillId="2" borderId="11" xfId="0" applyFont="1" applyFill="1" applyBorder="1" applyAlignment="1">
      <alignment vertical="center" wrapText="1"/>
    </xf>
    <xf numFmtId="9" fontId="5" fillId="2" borderId="11" xfId="0" applyNumberFormat="1" applyFont="1" applyFill="1" applyBorder="1" applyAlignment="1">
      <alignment vertical="center" wrapText="1"/>
    </xf>
    <xf numFmtId="166" fontId="5" fillId="2" borderId="11" xfId="3" applyFont="1" applyFill="1" applyBorder="1" applyAlignment="1">
      <alignment vertical="center" wrapText="1"/>
    </xf>
    <xf numFmtId="0" fontId="5" fillId="3" borderId="11" xfId="0" applyFont="1" applyFill="1" applyBorder="1" applyAlignment="1">
      <alignment vertical="center" wrapText="1"/>
    </xf>
    <xf numFmtId="9" fontId="5" fillId="2" borderId="11" xfId="0" quotePrefix="1" applyNumberFormat="1" applyFont="1" applyFill="1" applyBorder="1" applyAlignment="1">
      <alignment vertical="center" wrapText="1"/>
    </xf>
    <xf numFmtId="0" fontId="5" fillId="2" borderId="11" xfId="0" quotePrefix="1" applyFont="1" applyFill="1" applyBorder="1" applyAlignment="1">
      <alignment vertical="center" wrapText="1"/>
    </xf>
    <xf numFmtId="0" fontId="0" fillId="3" borderId="0" xfId="0" applyFill="1" applyAlignment="1">
      <alignment horizontal="center"/>
    </xf>
    <xf numFmtId="167" fontId="5" fillId="0" borderId="11" xfId="3" applyNumberFormat="1" applyFont="1" applyFill="1" applyBorder="1" applyAlignment="1">
      <alignment vertical="center" wrapText="1"/>
    </xf>
    <xf numFmtId="9" fontId="5" fillId="2" borderId="11" xfId="0" applyNumberFormat="1" applyFont="1" applyFill="1" applyBorder="1" applyAlignment="1">
      <alignment horizontal="left" vertical="center" wrapText="1"/>
    </xf>
    <xf numFmtId="0" fontId="5" fillId="2" borderId="5" xfId="0" applyFont="1" applyFill="1" applyBorder="1" applyAlignment="1">
      <alignment vertical="center" wrapText="1"/>
    </xf>
    <xf numFmtId="0" fontId="5" fillId="0" borderId="11" xfId="0" quotePrefix="1" applyFont="1" applyBorder="1" applyAlignment="1">
      <alignment vertical="center" wrapText="1"/>
    </xf>
    <xf numFmtId="0" fontId="5" fillId="0" borderId="11" xfId="3" applyNumberFormat="1" applyFont="1" applyFill="1" applyBorder="1" applyAlignment="1">
      <alignment vertical="center" wrapText="1"/>
    </xf>
    <xf numFmtId="0" fontId="5" fillId="0" borderId="11" xfId="0" applyFont="1" applyBorder="1" applyAlignment="1">
      <alignment vertical="center" wrapText="1"/>
    </xf>
    <xf numFmtId="0" fontId="5" fillId="0" borderId="11" xfId="0" quotePrefix="1" applyFont="1" applyBorder="1" applyAlignment="1">
      <alignment horizontal="left" vertical="center" wrapText="1"/>
    </xf>
    <xf numFmtId="0" fontId="5" fillId="0" borderId="11" xfId="0" applyFont="1" applyBorder="1" applyAlignment="1">
      <alignment horizontal="left" vertical="center" wrapText="1"/>
    </xf>
    <xf numFmtId="0" fontId="5" fillId="0" borderId="5" xfId="0" quotePrefix="1" applyFont="1" applyBorder="1" applyAlignment="1">
      <alignment vertical="center" wrapText="1"/>
    </xf>
    <xf numFmtId="0" fontId="5" fillId="2" borderId="5" xfId="0" quotePrefix="1" applyFont="1" applyFill="1" applyBorder="1" applyAlignment="1">
      <alignment vertical="center" wrapText="1"/>
    </xf>
    <xf numFmtId="0" fontId="5" fillId="0" borderId="0" xfId="0" applyFont="1" applyAlignment="1">
      <alignment horizontal="center" vertical="center"/>
    </xf>
    <xf numFmtId="0" fontId="5" fillId="0" borderId="0" xfId="1" applyFont="1" applyAlignment="1">
      <alignment horizontal="center" vertical="center"/>
    </xf>
    <xf numFmtId="14" fontId="5" fillId="0" borderId="0" xfId="0" applyNumberFormat="1" applyFont="1" applyAlignment="1">
      <alignment horizontal="center" vertical="center"/>
    </xf>
    <xf numFmtId="0" fontId="4" fillId="0" borderId="11" xfId="0" applyFont="1" applyBorder="1" applyAlignment="1">
      <alignment horizontal="center" vertical="center" wrapText="1"/>
    </xf>
    <xf numFmtId="0" fontId="5" fillId="0" borderId="0" xfId="0" applyFont="1" applyAlignment="1">
      <alignment horizontal="center" vertical="center" wrapText="1"/>
    </xf>
    <xf numFmtId="0" fontId="5" fillId="0" borderId="11" xfId="0" applyFont="1" applyBorder="1" applyAlignment="1">
      <alignment horizontal="center" vertical="center"/>
    </xf>
    <xf numFmtId="14" fontId="5" fillId="0" borderId="11" xfId="0" applyNumberFormat="1" applyFont="1" applyBorder="1" applyAlignment="1">
      <alignment horizontal="center" vertical="center"/>
    </xf>
    <xf numFmtId="0" fontId="4" fillId="0" borderId="11" xfId="0" applyFont="1" applyBorder="1" applyAlignment="1">
      <alignment horizontal="center" vertical="center"/>
    </xf>
    <xf numFmtId="0" fontId="4" fillId="0" borderId="11" xfId="0" applyFont="1" applyBorder="1" applyAlignment="1">
      <alignment horizontal="left" vertical="center" wrapText="1"/>
    </xf>
    <xf numFmtId="14" fontId="4" fillId="0" borderId="11" xfId="0" applyNumberFormat="1" applyFont="1" applyBorder="1" applyAlignment="1">
      <alignment horizontal="center" vertical="center"/>
    </xf>
    <xf numFmtId="0" fontId="5" fillId="0" borderId="11" xfId="0" quotePrefix="1" applyFont="1" applyBorder="1" applyAlignment="1">
      <alignment horizontal="center" vertical="center"/>
    </xf>
    <xf numFmtId="2" fontId="5" fillId="0" borderId="11" xfId="0" applyNumberFormat="1" applyFont="1" applyBorder="1" applyAlignment="1">
      <alignment vertical="center"/>
    </xf>
    <xf numFmtId="2" fontId="7" fillId="0" borderId="11" xfId="0" applyNumberFormat="1" applyFont="1" applyBorder="1" applyAlignment="1">
      <alignment vertical="center"/>
    </xf>
    <xf numFmtId="0" fontId="6" fillId="0" borderId="11" xfId="0" applyFont="1" applyBorder="1" applyAlignment="1">
      <alignment horizontal="center" vertical="center"/>
    </xf>
    <xf numFmtId="0" fontId="6" fillId="0" borderId="11" xfId="0" applyFont="1" applyBorder="1" applyAlignment="1">
      <alignment vertical="center" wrapText="1"/>
    </xf>
    <xf numFmtId="14" fontId="6" fillId="0" borderId="11" xfId="0" applyNumberFormat="1" applyFont="1" applyBorder="1" applyAlignment="1">
      <alignment horizontal="center" vertical="center"/>
    </xf>
    <xf numFmtId="0" fontId="7" fillId="0" borderId="11" xfId="0" quotePrefix="1" applyFont="1" applyBorder="1" applyAlignment="1">
      <alignment horizontal="center" vertical="center"/>
    </xf>
    <xf numFmtId="0" fontId="7" fillId="0" borderId="11" xfId="0" quotePrefix="1" applyFont="1" applyBorder="1" applyAlignment="1">
      <alignment vertical="center" wrapText="1"/>
    </xf>
    <xf numFmtId="0" fontId="7" fillId="0" borderId="11" xfId="0" applyFont="1" applyBorder="1" applyAlignment="1">
      <alignment horizontal="center" vertical="center"/>
    </xf>
    <xf numFmtId="14" fontId="7" fillId="0" borderId="11" xfId="0" applyNumberFormat="1" applyFont="1" applyBorder="1" applyAlignment="1">
      <alignment horizontal="center" vertical="center"/>
    </xf>
    <xf numFmtId="0" fontId="7" fillId="0" borderId="0" xfId="0" applyFont="1" applyAlignment="1">
      <alignment horizontal="center" vertical="center"/>
    </xf>
    <xf numFmtId="0" fontId="7" fillId="0" borderId="11" xfId="0" applyFont="1" applyBorder="1" applyAlignment="1">
      <alignment vertical="center" wrapText="1"/>
    </xf>
    <xf numFmtId="166" fontId="6" fillId="0" borderId="11" xfId="0" applyNumberFormat="1" applyFont="1" applyBorder="1" applyAlignment="1">
      <alignment vertical="center"/>
    </xf>
    <xf numFmtId="166" fontId="7" fillId="0" borderId="11" xfId="0" applyNumberFormat="1" applyFont="1" applyBorder="1" applyAlignment="1">
      <alignment vertical="center"/>
    </xf>
    <xf numFmtId="166" fontId="5" fillId="0" borderId="11" xfId="0" applyNumberFormat="1" applyFont="1" applyBorder="1" applyAlignment="1">
      <alignment vertical="center"/>
    </xf>
    <xf numFmtId="168" fontId="7" fillId="0" borderId="11" xfId="0" applyNumberFormat="1" applyFont="1" applyBorder="1" applyAlignment="1">
      <alignment vertical="center"/>
    </xf>
    <xf numFmtId="166" fontId="4" fillId="0" borderId="11" xfId="0" applyNumberFormat="1" applyFont="1" applyBorder="1" applyAlignment="1">
      <alignment vertical="center"/>
    </xf>
    <xf numFmtId="0" fontId="5" fillId="0" borderId="0" xfId="0" applyFont="1"/>
    <xf numFmtId="0" fontId="5" fillId="0" borderId="0" xfId="0" applyFont="1" applyAlignment="1">
      <alignment horizontal="center"/>
    </xf>
    <xf numFmtId="0" fontId="4" fillId="0" borderId="11" xfId="0" applyFont="1" applyBorder="1" applyAlignment="1">
      <alignment vertical="center" wrapText="1"/>
    </xf>
    <xf numFmtId="0" fontId="4" fillId="0" borderId="11" xfId="0" quotePrefix="1" applyFont="1" applyBorder="1" applyAlignment="1">
      <alignment vertical="center" wrapText="1"/>
    </xf>
    <xf numFmtId="0" fontId="5" fillId="0" borderId="13" xfId="0" applyFont="1" applyBorder="1" applyAlignment="1">
      <alignment vertical="center" wrapText="1"/>
    </xf>
    <xf numFmtId="0" fontId="6" fillId="0" borderId="5" xfId="0" quotePrefix="1" applyFont="1" applyBorder="1" applyAlignment="1">
      <alignment vertical="center" wrapText="1"/>
    </xf>
    <xf numFmtId="0" fontId="6" fillId="0" borderId="11" xfId="0" applyFont="1" applyBorder="1" applyAlignment="1">
      <alignment horizontal="left" vertical="center" wrapText="1"/>
    </xf>
    <xf numFmtId="9" fontId="5" fillId="0" borderId="11" xfId="0" applyNumberFormat="1" applyFont="1" applyBorder="1" applyAlignment="1">
      <alignment horizontal="left" vertical="center" wrapText="1"/>
    </xf>
    <xf numFmtId="0" fontId="5" fillId="0" borderId="11" xfId="0" applyFont="1" applyBorder="1" applyAlignment="1">
      <alignment horizontal="center" vertical="center" wrapText="1"/>
    </xf>
    <xf numFmtId="9" fontId="5" fillId="0" borderId="11" xfId="0" quotePrefix="1" applyNumberFormat="1" applyFont="1" applyBorder="1" applyAlignment="1">
      <alignment horizontal="left" vertical="center" wrapText="1"/>
    </xf>
    <xf numFmtId="0" fontId="5" fillId="0" borderId="0" xfId="0" applyFont="1" applyAlignment="1">
      <alignment horizontal="left" vertical="center" wrapText="1"/>
    </xf>
    <xf numFmtId="0" fontId="5" fillId="0" borderId="0" xfId="0" applyFont="1" applyAlignment="1">
      <alignment vertical="center" wrapText="1"/>
    </xf>
    <xf numFmtId="0" fontId="4" fillId="0" borderId="0" xfId="0" applyFont="1" applyAlignment="1">
      <alignment vertical="center"/>
    </xf>
    <xf numFmtId="0" fontId="6" fillId="0" borderId="0" xfId="0" applyFont="1" applyAlignment="1">
      <alignment vertical="center"/>
    </xf>
    <xf numFmtId="0" fontId="6" fillId="0" borderId="0" xfId="1" applyFont="1" applyAlignment="1">
      <alignment vertical="center"/>
    </xf>
    <xf numFmtId="0" fontId="5" fillId="0" borderId="0" xfId="1" applyFont="1" applyAlignment="1">
      <alignment vertical="center" wrapText="1"/>
    </xf>
    <xf numFmtId="0" fontId="5" fillId="0" borderId="11" xfId="3" applyNumberFormat="1" applyFont="1" applyFill="1" applyBorder="1" applyAlignment="1">
      <alignment horizontal="left" vertical="center" wrapText="1"/>
    </xf>
    <xf numFmtId="0" fontId="4" fillId="0" borderId="0" xfId="0" applyFont="1" applyAlignment="1">
      <alignment vertical="center" wrapText="1"/>
    </xf>
    <xf numFmtId="166" fontId="5" fillId="0" borderId="11" xfId="2" applyFont="1" applyFill="1" applyBorder="1" applyAlignment="1">
      <alignment horizontal="center" vertical="center" wrapText="1"/>
    </xf>
    <xf numFmtId="166" fontId="4" fillId="0" borderId="11" xfId="2" applyFont="1" applyFill="1" applyBorder="1" applyAlignment="1">
      <alignment horizontal="center" vertical="center" wrapText="1"/>
    </xf>
    <xf numFmtId="0" fontId="5" fillId="0" borderId="4" xfId="0" quotePrefix="1" applyFont="1" applyBorder="1" applyAlignment="1">
      <alignment vertical="center" wrapText="1"/>
    </xf>
    <xf numFmtId="0" fontId="5" fillId="0" borderId="11" xfId="3" quotePrefix="1" applyNumberFormat="1" applyFont="1" applyFill="1" applyBorder="1" applyAlignment="1">
      <alignment horizontal="left" vertical="center" wrapText="1"/>
    </xf>
    <xf numFmtId="9" fontId="5" fillId="0" borderId="11" xfId="3" quotePrefix="1" applyNumberFormat="1" applyFont="1" applyFill="1" applyBorder="1" applyAlignment="1">
      <alignment horizontal="left" vertical="center" wrapText="1"/>
    </xf>
    <xf numFmtId="0" fontId="5" fillId="0" borderId="11" xfId="0" quotePrefix="1" applyFont="1" applyBorder="1" applyAlignment="1">
      <alignment horizontal="center" vertical="center" wrapText="1"/>
    </xf>
    <xf numFmtId="0" fontId="5" fillId="0" borderId="13" xfId="0" quotePrefix="1" applyFont="1" applyBorder="1" applyAlignment="1">
      <alignment vertical="center" wrapText="1"/>
    </xf>
    <xf numFmtId="9" fontId="5" fillId="0" borderId="13" xfId="0" quotePrefix="1" applyNumberFormat="1" applyFont="1" applyBorder="1" applyAlignment="1">
      <alignment horizontal="left" vertical="center" wrapText="1"/>
    </xf>
    <xf numFmtId="0" fontId="4" fillId="0" borderId="13" xfId="0" applyFont="1" applyBorder="1" applyAlignment="1">
      <alignment horizontal="center" vertical="center" wrapText="1"/>
    </xf>
    <xf numFmtId="0" fontId="4" fillId="0" borderId="14"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13" xfId="0" quotePrefix="1" applyFont="1" applyBorder="1" applyAlignment="1">
      <alignment horizontal="left" vertical="center" wrapText="1"/>
    </xf>
    <xf numFmtId="0" fontId="5" fillId="0" borderId="15" xfId="0" quotePrefix="1" applyFont="1" applyBorder="1" applyAlignment="1">
      <alignment horizontal="left" vertical="center" wrapText="1"/>
    </xf>
    <xf numFmtId="166" fontId="4" fillId="0" borderId="14" xfId="0" applyNumberFormat="1" applyFont="1" applyBorder="1" applyAlignment="1">
      <alignment horizontal="center" vertical="center" wrapText="1"/>
    </xf>
    <xf numFmtId="9" fontId="12" fillId="0" borderId="0" xfId="0" applyNumberFormat="1" applyFont="1" applyAlignment="1">
      <alignment vertical="center" wrapText="1"/>
    </xf>
    <xf numFmtId="9" fontId="11" fillId="0" borderId="11" xfId="0" applyNumberFormat="1" applyFont="1" applyBorder="1" applyAlignment="1">
      <alignment horizontal="center" vertical="center" wrapText="1"/>
    </xf>
    <xf numFmtId="9" fontId="13" fillId="0" borderId="11" xfId="0" quotePrefix="1" applyNumberFormat="1" applyFont="1" applyBorder="1" applyAlignment="1">
      <alignment horizontal="center" vertical="center"/>
    </xf>
    <xf numFmtId="9" fontId="12" fillId="0" borderId="11" xfId="0" applyNumberFormat="1" applyFont="1" applyBorder="1" applyAlignment="1">
      <alignment horizontal="center" vertical="center" wrapText="1"/>
    </xf>
    <xf numFmtId="9" fontId="11" fillId="0" borderId="11" xfId="0" applyNumberFormat="1" applyFont="1" applyBorder="1" applyAlignment="1">
      <alignment vertical="center" wrapText="1"/>
    </xf>
    <xf numFmtId="0" fontId="4" fillId="4" borderId="11" xfId="0" applyFont="1" applyFill="1" applyBorder="1" applyAlignment="1">
      <alignment horizontal="center" vertical="center" wrapText="1"/>
    </xf>
    <xf numFmtId="9" fontId="11" fillId="4" borderId="11" xfId="0" applyNumberFormat="1" applyFont="1" applyFill="1" applyBorder="1" applyAlignment="1">
      <alignment horizontal="center" vertical="center" wrapText="1"/>
    </xf>
    <xf numFmtId="0" fontId="4" fillId="4" borderId="11" xfId="0" applyFont="1" applyFill="1" applyBorder="1" applyAlignment="1">
      <alignment vertical="center" wrapText="1"/>
    </xf>
    <xf numFmtId="166" fontId="4" fillId="4" borderId="11" xfId="0" applyNumberFormat="1" applyFont="1" applyFill="1" applyBorder="1" applyAlignment="1">
      <alignment vertical="center" wrapText="1"/>
    </xf>
    <xf numFmtId="0" fontId="5" fillId="4" borderId="0" xfId="0" applyFont="1" applyFill="1" applyAlignment="1">
      <alignment vertical="center" wrapText="1"/>
    </xf>
    <xf numFmtId="9" fontId="11" fillId="4" borderId="14" xfId="0" applyNumberFormat="1" applyFont="1" applyFill="1" applyBorder="1" applyAlignment="1">
      <alignment horizontal="center" vertical="center" wrapText="1"/>
    </xf>
    <xf numFmtId="166" fontId="4" fillId="4" borderId="14" xfId="2"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4" borderId="0" xfId="0" applyFont="1" applyFill="1" applyAlignment="1">
      <alignment vertical="center" wrapText="1"/>
    </xf>
    <xf numFmtId="0" fontId="4" fillId="4" borderId="5" xfId="0" applyFont="1" applyFill="1" applyBorder="1" applyAlignment="1">
      <alignment horizontal="center" vertical="center" wrapText="1"/>
    </xf>
    <xf numFmtId="166" fontId="4" fillId="4" borderId="11" xfId="2" applyFont="1" applyFill="1" applyBorder="1" applyAlignment="1">
      <alignment horizontal="center" vertical="center" wrapText="1"/>
    </xf>
    <xf numFmtId="0" fontId="4" fillId="4" borderId="11" xfId="0" applyFont="1" applyFill="1" applyBorder="1" applyAlignment="1">
      <alignment horizontal="left" vertical="center" wrapText="1"/>
    </xf>
    <xf numFmtId="0" fontId="5" fillId="0" borderId="0" xfId="0" applyFont="1" applyAlignment="1">
      <alignment vertical="top" wrapText="1"/>
    </xf>
    <xf numFmtId="0" fontId="4" fillId="0" borderId="11" xfId="0" applyFont="1" applyBorder="1" applyAlignment="1">
      <alignment horizontal="center" vertical="top" wrapText="1"/>
    </xf>
    <xf numFmtId="0" fontId="7" fillId="0" borderId="11" xfId="0" quotePrefix="1" applyFont="1" applyBorder="1" applyAlignment="1">
      <alignment horizontal="center" vertical="top"/>
    </xf>
    <xf numFmtId="0" fontId="4" fillId="4" borderId="11" xfId="0" applyFont="1" applyFill="1" applyBorder="1" applyAlignment="1">
      <alignment vertical="top" wrapText="1"/>
    </xf>
    <xf numFmtId="0" fontId="5" fillId="0" borderId="11" xfId="0" quotePrefix="1" applyFont="1" applyBorder="1" applyAlignment="1">
      <alignment vertical="top" wrapText="1"/>
    </xf>
    <xf numFmtId="0" fontId="4" fillId="4" borderId="10" xfId="0" applyFont="1" applyFill="1" applyBorder="1" applyAlignment="1">
      <alignment vertical="top" wrapText="1"/>
    </xf>
    <xf numFmtId="0" fontId="5" fillId="0" borderId="5" xfId="0" quotePrefix="1" applyFont="1" applyBorder="1" applyAlignment="1">
      <alignment vertical="top" wrapText="1"/>
    </xf>
    <xf numFmtId="0" fontId="4" fillId="4" borderId="5" xfId="0" applyFont="1" applyFill="1" applyBorder="1" applyAlignment="1">
      <alignment vertical="top" wrapText="1"/>
    </xf>
    <xf numFmtId="0" fontId="4" fillId="0" borderId="5" xfId="0" applyFont="1" applyBorder="1" applyAlignment="1">
      <alignment vertical="top" wrapText="1"/>
    </xf>
    <xf numFmtId="0" fontId="4" fillId="0" borderId="11" xfId="0" quotePrefix="1" applyFont="1" applyBorder="1" applyAlignment="1">
      <alignment vertical="top" wrapText="1"/>
    </xf>
    <xf numFmtId="9" fontId="11" fillId="0" borderId="14" xfId="0" applyNumberFormat="1" applyFont="1" applyBorder="1" applyAlignment="1">
      <alignment horizontal="center" vertical="center" wrapText="1"/>
    </xf>
    <xf numFmtId="0" fontId="5" fillId="0" borderId="14" xfId="0" quotePrefix="1" applyFont="1" applyBorder="1" applyAlignment="1">
      <alignment horizontal="left" vertical="top" wrapText="1"/>
    </xf>
    <xf numFmtId="0" fontId="19" fillId="0" borderId="11" xfId="5" quotePrefix="1" applyFont="1" applyBorder="1" applyAlignment="1">
      <alignment horizontal="left" vertical="center" wrapText="1"/>
    </xf>
    <xf numFmtId="0" fontId="19" fillId="0" borderId="11" xfId="5" quotePrefix="1" applyFont="1" applyBorder="1" applyAlignment="1">
      <alignment horizontal="center" vertical="center" wrapText="1"/>
    </xf>
    <xf numFmtId="9" fontId="19" fillId="0" borderId="11" xfId="0" applyNumberFormat="1" applyFont="1" applyBorder="1" applyAlignment="1">
      <alignment horizontal="center" vertical="center" wrapText="1"/>
    </xf>
    <xf numFmtId="9" fontId="19" fillId="0" borderId="11" xfId="5" quotePrefix="1" applyNumberFormat="1" applyFont="1" applyBorder="1" applyAlignment="1">
      <alignment horizontal="left" vertical="center" wrapText="1"/>
    </xf>
    <xf numFmtId="14" fontId="19" fillId="0" borderId="11" xfId="0" applyNumberFormat="1" applyFont="1" applyBorder="1" applyAlignment="1">
      <alignment horizontal="center" vertical="center" wrapText="1"/>
    </xf>
    <xf numFmtId="14" fontId="19" fillId="0" borderId="11" xfId="5" quotePrefix="1" applyNumberFormat="1" applyFont="1" applyBorder="1" applyAlignment="1">
      <alignment horizontal="center" vertical="center" wrapText="1"/>
    </xf>
    <xf numFmtId="9" fontId="19" fillId="0" borderId="11" xfId="5" quotePrefix="1" applyNumberFormat="1" applyFont="1" applyBorder="1" applyAlignment="1">
      <alignment horizontal="center" vertical="center" wrapText="1"/>
    </xf>
    <xf numFmtId="0" fontId="19" fillId="0" borderId="11" xfId="0" quotePrefix="1" applyFont="1" applyBorder="1" applyAlignment="1">
      <alignment horizontal="center" vertical="center" wrapText="1"/>
    </xf>
    <xf numFmtId="0" fontId="50" fillId="5" borderId="11" xfId="0" quotePrefix="1" applyFont="1" applyFill="1" applyBorder="1" applyAlignment="1">
      <alignment horizontal="left" vertical="center" wrapText="1"/>
    </xf>
    <xf numFmtId="0" fontId="50" fillId="5" borderId="11" xfId="0" quotePrefix="1" applyFont="1" applyFill="1" applyBorder="1" applyAlignment="1">
      <alignment horizontal="center" vertical="center" wrapText="1"/>
    </xf>
    <xf numFmtId="9" fontId="50" fillId="5" borderId="11" xfId="0" quotePrefix="1" applyNumberFormat="1" applyFont="1" applyFill="1" applyBorder="1" applyAlignment="1">
      <alignment horizontal="center" vertical="center" wrapText="1"/>
    </xf>
    <xf numFmtId="0" fontId="18" fillId="5" borderId="11" xfId="0" quotePrefix="1" applyFont="1" applyFill="1" applyBorder="1" applyAlignment="1">
      <alignment horizontal="center" vertical="center"/>
    </xf>
    <xf numFmtId="9" fontId="49" fillId="0" borderId="11" xfId="5" quotePrefix="1" applyNumberFormat="1" applyFont="1" applyBorder="1" applyAlignment="1">
      <alignment horizontal="center" vertical="center" wrapText="1"/>
    </xf>
    <xf numFmtId="9" fontId="49" fillId="0" borderId="11" xfId="0" applyNumberFormat="1" applyFont="1" applyBorder="1" applyAlignment="1">
      <alignment horizontal="center" vertical="center" wrapText="1"/>
    </xf>
    <xf numFmtId="9" fontId="49" fillId="0" borderId="11" xfId="5" quotePrefix="1" applyNumberFormat="1" applyFont="1" applyBorder="1" applyAlignment="1">
      <alignment horizontal="left" vertical="center" wrapText="1"/>
    </xf>
    <xf numFmtId="0" fontId="49" fillId="0" borderId="11" xfId="0" quotePrefix="1" applyFont="1" applyBorder="1" applyAlignment="1">
      <alignment horizontal="center" vertical="center" wrapText="1"/>
    </xf>
    <xf numFmtId="0" fontId="19" fillId="0" borderId="0" xfId="0" applyFont="1" applyAlignment="1">
      <alignment vertical="center" wrapText="1"/>
    </xf>
    <xf numFmtId="0" fontId="50" fillId="9" borderId="11" xfId="0" applyFont="1" applyFill="1" applyBorder="1" applyAlignment="1">
      <alignment horizontal="center" vertical="center" wrapText="1"/>
    </xf>
    <xf numFmtId="9" fontId="50" fillId="9" borderId="11" xfId="0" applyNumberFormat="1" applyFont="1" applyFill="1" applyBorder="1" applyAlignment="1">
      <alignment horizontal="center" vertical="center" wrapText="1"/>
    </xf>
    <xf numFmtId="0" fontId="49" fillId="0" borderId="11" xfId="0" applyFont="1" applyBorder="1" applyAlignment="1">
      <alignment horizontal="center" vertical="center"/>
    </xf>
    <xf numFmtId="0" fontId="49" fillId="0" borderId="0" xfId="0" applyFont="1" applyAlignment="1">
      <alignment vertical="center"/>
    </xf>
    <xf numFmtId="9" fontId="50" fillId="5" borderId="11" xfId="0" quotePrefix="1" applyNumberFormat="1" applyFont="1" applyFill="1" applyBorder="1" applyAlignment="1">
      <alignment horizontal="left" vertical="center" wrapText="1"/>
    </xf>
    <xf numFmtId="0" fontId="18" fillId="5" borderId="11" xfId="0" quotePrefix="1" applyFont="1" applyFill="1" applyBorder="1" applyAlignment="1">
      <alignment vertical="center" wrapText="1"/>
    </xf>
    <xf numFmtId="0" fontId="19" fillId="0" borderId="11" xfId="0" applyFont="1" applyBorder="1" applyAlignment="1">
      <alignment vertical="center" wrapText="1"/>
    </xf>
    <xf numFmtId="14" fontId="49" fillId="0" borderId="11" xfId="0" applyNumberFormat="1" applyFont="1" applyBorder="1" applyAlignment="1">
      <alignment horizontal="center" vertical="center" wrapText="1"/>
    </xf>
    <xf numFmtId="0" fontId="49" fillId="0" borderId="0" xfId="0" applyFont="1" applyAlignment="1">
      <alignment vertical="center" wrapText="1"/>
    </xf>
    <xf numFmtId="0" fontId="18" fillId="5" borderId="11" xfId="0" quotePrefix="1" applyFont="1" applyFill="1" applyBorder="1" applyAlignment="1">
      <alignment horizontal="center" vertical="center" wrapText="1"/>
    </xf>
    <xf numFmtId="0" fontId="19" fillId="5" borderId="11" xfId="5" quotePrefix="1" applyFont="1" applyFill="1" applyBorder="1" applyAlignment="1">
      <alignment horizontal="center" vertical="center" wrapText="1"/>
    </xf>
    <xf numFmtId="9" fontId="51" fillId="0" borderId="0" xfId="0" applyNumberFormat="1" applyFont="1" applyAlignment="1">
      <alignment horizontal="center" vertical="center" wrapText="1"/>
    </xf>
    <xf numFmtId="0" fontId="52" fillId="0" borderId="0" xfId="0" applyFont="1" applyAlignment="1">
      <alignment horizontal="center" vertical="center" wrapText="1"/>
    </xf>
    <xf numFmtId="0" fontId="52" fillId="0" borderId="0" xfId="0" applyFont="1" applyAlignment="1">
      <alignment vertical="center" wrapText="1"/>
    </xf>
    <xf numFmtId="9" fontId="52" fillId="0" borderId="0" xfId="0" applyNumberFormat="1" applyFont="1" applyAlignment="1">
      <alignment vertical="center" wrapText="1"/>
    </xf>
    <xf numFmtId="0" fontId="18" fillId="5" borderId="11" xfId="0" quotePrefix="1" applyFont="1" applyFill="1" applyBorder="1" applyAlignment="1">
      <alignment horizontal="left" vertical="center" wrapText="1"/>
    </xf>
    <xf numFmtId="0" fontId="19" fillId="0" borderId="11" xfId="4" quotePrefix="1" applyFont="1" applyBorder="1" applyAlignment="1">
      <alignment horizontal="center" vertical="center" wrapText="1"/>
    </xf>
    <xf numFmtId="0" fontId="18" fillId="5" borderId="11" xfId="0" quotePrefix="1" applyFont="1" applyFill="1" applyBorder="1" applyAlignment="1">
      <alignment horizontal="left" vertical="center"/>
    </xf>
    <xf numFmtId="0" fontId="49" fillId="0" borderId="11" xfId="4" quotePrefix="1" applyFont="1" applyBorder="1" applyAlignment="1">
      <alignment horizontal="center" vertical="center" wrapText="1"/>
    </xf>
    <xf numFmtId="0" fontId="50" fillId="5" borderId="11" xfId="0" applyFont="1" applyFill="1" applyBorder="1" applyAlignment="1">
      <alignment horizontal="left" vertical="center" wrapText="1"/>
    </xf>
    <xf numFmtId="0" fontId="49" fillId="11" borderId="0" xfId="0" applyFont="1" applyFill="1" applyAlignment="1">
      <alignment vertical="center"/>
    </xf>
    <xf numFmtId="9" fontId="18" fillId="5" borderId="11" xfId="0" quotePrefix="1" applyNumberFormat="1" applyFont="1" applyFill="1" applyBorder="1" applyAlignment="1">
      <alignment horizontal="center" vertical="center" wrapText="1"/>
    </xf>
    <xf numFmtId="9" fontId="19" fillId="5" borderId="11" xfId="5" quotePrefix="1" applyNumberFormat="1" applyFont="1" applyFill="1" applyBorder="1" applyAlignment="1">
      <alignment horizontal="center" vertical="center" wrapText="1"/>
    </xf>
    <xf numFmtId="0" fontId="49" fillId="0" borderId="11" xfId="0" applyFont="1" applyBorder="1" applyAlignment="1">
      <alignment vertical="center" wrapText="1"/>
    </xf>
    <xf numFmtId="0" fontId="49" fillId="0" borderId="11" xfId="5" quotePrefix="1" applyFont="1" applyBorder="1" applyAlignment="1">
      <alignment horizontal="left" vertical="center" wrapText="1"/>
    </xf>
    <xf numFmtId="0" fontId="49" fillId="0" borderId="11" xfId="0" quotePrefix="1" applyFont="1" applyBorder="1" applyAlignment="1">
      <alignment vertical="center" wrapText="1"/>
    </xf>
    <xf numFmtId="9" fontId="49" fillId="2" borderId="11" xfId="0" applyNumberFormat="1" applyFont="1" applyFill="1" applyBorder="1" applyAlignment="1">
      <alignment horizontal="center" vertical="center" wrapText="1"/>
    </xf>
    <xf numFmtId="0" fontId="49" fillId="2" borderId="11" xfId="0" quotePrefix="1" applyFont="1" applyFill="1" applyBorder="1" applyAlignment="1">
      <alignment vertical="center" wrapText="1"/>
    </xf>
    <xf numFmtId="0" fontId="49" fillId="2" borderId="11" xfId="0" applyFont="1" applyFill="1" applyBorder="1" applyAlignment="1">
      <alignment vertical="center" wrapText="1"/>
    </xf>
    <xf numFmtId="0" fontId="49" fillId="2" borderId="11" xfId="0" applyFont="1" applyFill="1" applyBorder="1" applyAlignment="1">
      <alignment horizontal="center" vertical="center" wrapText="1"/>
    </xf>
    <xf numFmtId="0" fontId="49" fillId="0" borderId="11" xfId="0" applyFont="1" applyBorder="1" applyAlignment="1">
      <alignment horizontal="center" vertical="center" wrapText="1"/>
    </xf>
    <xf numFmtId="0" fontId="49" fillId="2" borderId="11" xfId="0" quotePrefix="1" applyFont="1" applyFill="1" applyBorder="1" applyAlignment="1">
      <alignment horizontal="left" vertical="center" wrapText="1"/>
    </xf>
    <xf numFmtId="14" fontId="49" fillId="0" borderId="11" xfId="5" quotePrefix="1" applyNumberFormat="1" applyFont="1" applyBorder="1" applyAlignment="1">
      <alignment horizontal="center" vertical="center" wrapText="1"/>
    </xf>
    <xf numFmtId="0" fontId="19" fillId="2" borderId="11" xfId="5" quotePrefix="1" applyFont="1" applyFill="1" applyBorder="1" applyAlignment="1">
      <alignment horizontal="left" vertical="center" wrapText="1"/>
    </xf>
    <xf numFmtId="9" fontId="19" fillId="2" borderId="11" xfId="5" quotePrefix="1" applyNumberFormat="1" applyFont="1" applyFill="1" applyBorder="1" applyAlignment="1">
      <alignment horizontal="center" vertical="center" wrapText="1"/>
    </xf>
    <xf numFmtId="0" fontId="49" fillId="2" borderId="11" xfId="0" applyFont="1" applyFill="1" applyBorder="1" applyAlignment="1">
      <alignment horizontal="left" vertical="center" wrapText="1"/>
    </xf>
    <xf numFmtId="0" fontId="49" fillId="2" borderId="11" xfId="5" quotePrefix="1" applyFont="1" applyFill="1" applyBorder="1" applyAlignment="1">
      <alignment horizontal="left" vertical="center" wrapText="1"/>
    </xf>
    <xf numFmtId="9" fontId="49" fillId="2" borderId="11" xfId="5" quotePrefix="1" applyNumberFormat="1" applyFont="1" applyFill="1" applyBorder="1" applyAlignment="1">
      <alignment horizontal="center" vertical="center" wrapText="1"/>
    </xf>
    <xf numFmtId="0" fontId="49" fillId="0" borderId="11" xfId="0" quotePrefix="1" applyFont="1" applyBorder="1" applyAlignment="1">
      <alignment horizontal="left" vertical="center" wrapText="1"/>
    </xf>
    <xf numFmtId="9" fontId="19" fillId="2" borderId="11" xfId="0" applyNumberFormat="1" applyFont="1" applyFill="1" applyBorder="1" applyAlignment="1">
      <alignment horizontal="center" vertical="center" wrapText="1"/>
    </xf>
    <xf numFmtId="0" fontId="49" fillId="9" borderId="11" xfId="0" applyFont="1" applyFill="1" applyBorder="1" applyAlignment="1">
      <alignment horizontal="center" vertical="center" wrapText="1"/>
    </xf>
    <xf numFmtId="0" fontId="19" fillId="5" borderId="11" xfId="0" quotePrefix="1" applyFont="1" applyFill="1" applyBorder="1" applyAlignment="1">
      <alignment horizontal="center" vertical="center"/>
    </xf>
    <xf numFmtId="0" fontId="19" fillId="0" borderId="11" xfId="0" quotePrefix="1" applyFont="1" applyBorder="1" applyAlignment="1">
      <alignment horizontal="center" vertical="center"/>
    </xf>
    <xf numFmtId="0" fontId="49" fillId="5" borderId="11" xfId="0" applyFont="1" applyFill="1" applyBorder="1" applyAlignment="1">
      <alignment horizontal="center" vertical="center" wrapText="1"/>
    </xf>
    <xf numFmtId="0" fontId="19" fillId="2" borderId="0" xfId="0" applyFont="1" applyFill="1" applyAlignment="1">
      <alignment vertical="center" wrapText="1"/>
    </xf>
    <xf numFmtId="9" fontId="54" fillId="0" borderId="11" xfId="0" applyNumberFormat="1" applyFont="1" applyBorder="1" applyAlignment="1">
      <alignment vertical="center" wrapText="1"/>
    </xf>
    <xf numFmtId="0" fontId="54" fillId="0" borderId="11" xfId="0" applyFont="1" applyBorder="1" applyAlignment="1">
      <alignment vertical="center" wrapText="1"/>
    </xf>
    <xf numFmtId="9" fontId="54" fillId="0" borderId="11" xfId="0" applyNumberFormat="1" applyFont="1" applyBorder="1" applyAlignment="1">
      <alignment horizontal="center" vertical="center" wrapText="1"/>
    </xf>
    <xf numFmtId="0" fontId="55" fillId="0" borderId="11" xfId="0" applyFont="1" applyBorder="1"/>
    <xf numFmtId="0" fontId="4" fillId="0" borderId="11" xfId="4" applyFont="1" applyBorder="1" applyAlignment="1">
      <alignment horizontal="center" vertical="center" wrapText="1"/>
    </xf>
    <xf numFmtId="0" fontId="54" fillId="0" borderId="0" xfId="0" applyFont="1" applyAlignment="1">
      <alignment vertical="center" wrapText="1"/>
    </xf>
    <xf numFmtId="0" fontId="54" fillId="0" borderId="0" xfId="0" applyFont="1" applyAlignment="1">
      <alignment horizontal="center" vertical="center" wrapText="1"/>
    </xf>
    <xf numFmtId="0" fontId="55" fillId="0" borderId="0" xfId="0" applyFont="1" applyAlignment="1">
      <alignment wrapText="1"/>
    </xf>
    <xf numFmtId="0" fontId="55" fillId="0" borderId="0" xfId="0" applyFont="1" applyAlignment="1">
      <alignment horizontal="center" vertical="center" wrapText="1"/>
    </xf>
    <xf numFmtId="0" fontId="55" fillId="0" borderId="0" xfId="0" applyFont="1"/>
    <xf numFmtId="0" fontId="18" fillId="10" borderId="11" xfId="0" applyFont="1" applyFill="1" applyBorder="1" applyAlignment="1">
      <alignment horizontal="center" vertical="center" wrapText="1"/>
    </xf>
    <xf numFmtId="0" fontId="18" fillId="10" borderId="11" xfId="0" quotePrefix="1" applyFont="1" applyFill="1" applyBorder="1" applyAlignment="1">
      <alignment horizontal="center" vertical="center" wrapText="1"/>
    </xf>
    <xf numFmtId="9" fontId="49" fillId="0" borderId="11" xfId="0" quotePrefix="1" applyNumberFormat="1" applyFont="1" applyBorder="1" applyAlignment="1">
      <alignment horizontal="center" vertical="center" wrapText="1"/>
    </xf>
    <xf numFmtId="9" fontId="49" fillId="2" borderId="11" xfId="0" quotePrefix="1" applyNumberFormat="1" applyFont="1" applyFill="1" applyBorder="1" applyAlignment="1">
      <alignment horizontal="center" vertical="center" wrapText="1"/>
    </xf>
    <xf numFmtId="0" fontId="19" fillId="0" borderId="11" xfId="0" applyFont="1" applyBorder="1" applyAlignment="1">
      <alignment horizontal="left" vertical="center" wrapText="1"/>
    </xf>
    <xf numFmtId="0" fontId="49" fillId="0" borderId="11" xfId="3" quotePrefix="1" applyNumberFormat="1" applyFont="1" applyFill="1" applyBorder="1" applyAlignment="1">
      <alignment horizontal="left" vertical="center" wrapText="1"/>
    </xf>
    <xf numFmtId="9" fontId="51" fillId="0" borderId="11" xfId="5" quotePrefix="1" applyNumberFormat="1" applyFont="1" applyBorder="1" applyAlignment="1">
      <alignment horizontal="left" vertical="center" wrapText="1"/>
    </xf>
    <xf numFmtId="0" fontId="53" fillId="2" borderId="0" xfId="0" applyFont="1" applyFill="1" applyAlignment="1">
      <alignment horizontal="center" vertical="center" wrapText="1"/>
    </xf>
    <xf numFmtId="0" fontId="18" fillId="10" borderId="0" xfId="0" applyFont="1" applyFill="1" applyAlignment="1">
      <alignment horizontal="center" vertical="center" wrapText="1"/>
    </xf>
    <xf numFmtId="9" fontId="19" fillId="0" borderId="0" xfId="5" quotePrefix="1" applyNumberFormat="1" applyFont="1" applyAlignment="1">
      <alignment horizontal="left" vertical="center" wrapText="1"/>
    </xf>
    <xf numFmtId="0" fontId="18" fillId="10" borderId="11" xfId="0" applyFont="1" applyFill="1" applyBorder="1" applyAlignment="1">
      <alignment horizontal="center" vertical="center" wrapText="1"/>
    </xf>
    <xf numFmtId="0" fontId="4" fillId="0" borderId="11" xfId="4" applyFont="1" applyBorder="1" applyAlignment="1">
      <alignment horizontal="center" vertical="center" wrapText="1"/>
    </xf>
    <xf numFmtId="0" fontId="53" fillId="2" borderId="9" xfId="0" applyFont="1" applyFill="1" applyBorder="1" applyAlignment="1">
      <alignment horizontal="center" vertical="center" wrapText="1"/>
    </xf>
    <xf numFmtId="0" fontId="11" fillId="2" borderId="4" xfId="0" applyFont="1" applyFill="1" applyBorder="1" applyAlignment="1">
      <alignment vertical="center" wrapText="1"/>
    </xf>
    <xf numFmtId="0" fontId="11" fillId="2" borderId="12" xfId="0" applyFont="1" applyFill="1" applyBorder="1" applyAlignment="1">
      <alignment vertical="center" wrapText="1"/>
    </xf>
    <xf numFmtId="0" fontId="11" fillId="2" borderId="5" xfId="0" applyFont="1" applyFill="1" applyBorder="1" applyAlignment="1">
      <alignment vertical="center" wrapText="1"/>
    </xf>
    <xf numFmtId="0" fontId="5" fillId="2" borderId="4" xfId="0" applyFont="1" applyFill="1" applyBorder="1" applyAlignment="1">
      <alignment horizontal="left" vertical="center" wrapText="1"/>
    </xf>
    <xf numFmtId="0" fontId="5" fillId="2" borderId="5" xfId="0" applyFont="1" applyFill="1" applyBorder="1" applyAlignment="1">
      <alignment horizontal="left" vertical="center" wrapText="1"/>
    </xf>
    <xf numFmtId="0" fontId="4" fillId="2" borderId="0" xfId="0" applyFont="1" applyFill="1" applyAlignment="1">
      <alignment horizontal="center" vertical="center"/>
    </xf>
    <xf numFmtId="0" fontId="6" fillId="2" borderId="0" xfId="0" applyFont="1" applyFill="1" applyAlignment="1">
      <alignment horizontal="center" vertical="center"/>
    </xf>
    <xf numFmtId="0" fontId="5" fillId="2" borderId="13"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5" fillId="2" borderId="13" xfId="0" applyFont="1" applyFill="1" applyBorder="1" applyAlignment="1">
      <alignment horizontal="left" vertical="center" wrapText="1"/>
    </xf>
    <xf numFmtId="0" fontId="5" fillId="2" borderId="14"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5" fillId="2" borderId="8" xfId="0" applyFont="1" applyFill="1" applyBorder="1" applyAlignment="1">
      <alignment horizontal="left" vertical="center" wrapText="1"/>
    </xf>
    <xf numFmtId="0" fontId="7" fillId="2" borderId="0" xfId="1" applyFont="1" applyFill="1" applyAlignment="1">
      <alignment horizontal="center" vertical="center"/>
    </xf>
    <xf numFmtId="0" fontId="5" fillId="2" borderId="6" xfId="0" applyFont="1" applyFill="1" applyBorder="1" applyAlignment="1">
      <alignment horizontal="left" vertical="center" wrapText="1"/>
    </xf>
    <xf numFmtId="0" fontId="5" fillId="2" borderId="15" xfId="0" applyFont="1" applyFill="1" applyBorder="1" applyAlignment="1">
      <alignment horizontal="center" vertical="center" wrapText="1"/>
    </xf>
    <xf numFmtId="0" fontId="4" fillId="4" borderId="11" xfId="0" applyFont="1" applyFill="1" applyBorder="1" applyAlignment="1">
      <alignment vertical="center" wrapText="1"/>
    </xf>
    <xf numFmtId="0" fontId="4" fillId="4" borderId="11" xfId="0" applyFont="1" applyFill="1" applyBorder="1" applyAlignment="1">
      <alignment horizontal="left" vertical="center" wrapText="1"/>
    </xf>
    <xf numFmtId="0" fontId="4" fillId="0" borderId="0" xfId="0" applyFont="1" applyAlignment="1">
      <alignment horizontal="center"/>
    </xf>
    <xf numFmtId="0" fontId="4" fillId="0" borderId="0" xfId="0" applyFont="1" applyAlignment="1">
      <alignment horizontal="center" vertical="center"/>
    </xf>
    <xf numFmtId="0" fontId="6" fillId="0" borderId="0" xfId="0" applyFont="1" applyAlignment="1">
      <alignment horizontal="center" vertical="center"/>
    </xf>
    <xf numFmtId="0" fontId="7" fillId="0" borderId="0" xfId="1" applyFont="1" applyAlignment="1">
      <alignment horizontal="center" vertical="center"/>
    </xf>
    <xf numFmtId="0" fontId="4" fillId="0" borderId="13"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14"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3" xfId="0" quotePrefix="1" applyFont="1" applyBorder="1" applyAlignment="1">
      <alignment horizontal="left" vertical="center" wrapText="1"/>
    </xf>
    <xf numFmtId="0" fontId="5" fillId="0" borderId="15" xfId="0" quotePrefix="1" applyFont="1" applyBorder="1" applyAlignment="1">
      <alignment horizontal="left" vertical="center" wrapText="1"/>
    </xf>
    <xf numFmtId="9" fontId="11" fillId="0" borderId="13" xfId="0" applyNumberFormat="1" applyFont="1" applyBorder="1" applyAlignment="1">
      <alignment horizontal="center" vertical="center" wrapText="1"/>
    </xf>
    <xf numFmtId="9" fontId="11" fillId="0" borderId="15" xfId="0" applyNumberFormat="1" applyFont="1" applyBorder="1" applyAlignment="1">
      <alignment horizontal="center" vertical="center" wrapText="1"/>
    </xf>
    <xf numFmtId="0" fontId="5" fillId="0" borderId="13" xfId="0" quotePrefix="1" applyFont="1" applyBorder="1" applyAlignment="1">
      <alignment horizontal="left" vertical="top" wrapText="1"/>
    </xf>
    <xf numFmtId="0" fontId="5" fillId="0" borderId="15" xfId="0" quotePrefix="1" applyFont="1" applyBorder="1" applyAlignment="1">
      <alignment horizontal="left" vertical="top" wrapText="1"/>
    </xf>
    <xf numFmtId="166" fontId="4" fillId="0" borderId="13" xfId="0" applyNumberFormat="1" applyFont="1" applyBorder="1" applyAlignment="1">
      <alignment horizontal="center" vertical="center" wrapText="1"/>
    </xf>
    <xf numFmtId="166" fontId="4" fillId="0" borderId="15" xfId="0" applyNumberFormat="1" applyFont="1" applyBorder="1" applyAlignment="1">
      <alignment horizontal="center" vertical="center" wrapText="1"/>
    </xf>
    <xf numFmtId="0" fontId="5" fillId="0" borderId="14" xfId="0" applyFont="1" applyBorder="1" applyAlignment="1">
      <alignment horizontal="center" vertical="center" wrapText="1"/>
    </xf>
    <xf numFmtId="0" fontId="5" fillId="0" borderId="14" xfId="0" quotePrefix="1" applyFont="1" applyBorder="1" applyAlignment="1">
      <alignment horizontal="left" vertical="center" wrapText="1"/>
    </xf>
    <xf numFmtId="9" fontId="11" fillId="0" borderId="14" xfId="0" applyNumberFormat="1" applyFont="1" applyBorder="1" applyAlignment="1">
      <alignment horizontal="center" vertical="center" wrapText="1"/>
    </xf>
    <xf numFmtId="0" fontId="5" fillId="0" borderId="14" xfId="0" quotePrefix="1" applyFont="1" applyBorder="1" applyAlignment="1">
      <alignment horizontal="left" vertical="top" wrapText="1"/>
    </xf>
    <xf numFmtId="166" fontId="4" fillId="0" borderId="14" xfId="0" applyNumberFormat="1" applyFont="1" applyBorder="1" applyAlignment="1">
      <alignment horizontal="center" vertical="center" wrapText="1"/>
    </xf>
    <xf numFmtId="0" fontId="4" fillId="4" borderId="4" xfId="0" applyFont="1" applyFill="1" applyBorder="1" applyAlignment="1">
      <alignment vertical="center" wrapText="1"/>
    </xf>
    <xf numFmtId="0" fontId="4" fillId="4" borderId="12" xfId="0" applyFont="1" applyFill="1" applyBorder="1" applyAlignment="1">
      <alignment vertical="center" wrapText="1"/>
    </xf>
    <xf numFmtId="0" fontId="4" fillId="4" borderId="5" xfId="0" applyFont="1" applyFill="1" applyBorder="1" applyAlignment="1">
      <alignment vertical="center" wrapText="1"/>
    </xf>
    <xf numFmtId="0" fontId="4" fillId="0" borderId="4" xfId="0" applyFont="1" applyBorder="1" applyAlignment="1">
      <alignment horizontal="left" vertical="center" wrapText="1"/>
    </xf>
    <xf numFmtId="0" fontId="4" fillId="0" borderId="12" xfId="0" applyFont="1" applyBorder="1" applyAlignment="1">
      <alignment horizontal="left" vertical="center" wrapText="1"/>
    </xf>
    <xf numFmtId="0" fontId="4" fillId="0" borderId="5" xfId="0" applyFont="1" applyBorder="1" applyAlignment="1">
      <alignment horizontal="left" vertical="center" wrapText="1"/>
    </xf>
    <xf numFmtId="0" fontId="4" fillId="0" borderId="0" xfId="4" applyFont="1" applyAlignment="1">
      <alignment horizontal="center" wrapText="1"/>
    </xf>
    <xf numFmtId="0" fontId="4" fillId="0" borderId="4" xfId="0" applyFont="1" applyBorder="1" applyAlignment="1">
      <alignment vertical="center" wrapText="1"/>
    </xf>
    <xf numFmtId="0" fontId="4" fillId="0" borderId="12" xfId="0" applyFont="1" applyBorder="1" applyAlignment="1">
      <alignment vertical="center" wrapText="1"/>
    </xf>
    <xf numFmtId="0" fontId="4" fillId="0" borderId="5" xfId="0" applyFont="1" applyBorder="1" applyAlignment="1">
      <alignment vertical="center" wrapText="1"/>
    </xf>
    <xf numFmtId="0" fontId="5" fillId="0" borderId="13" xfId="0" applyFont="1" applyBorder="1" applyAlignment="1">
      <alignment horizontal="left" vertical="center" wrapText="1"/>
    </xf>
    <xf numFmtId="0" fontId="5" fillId="0" borderId="15" xfId="0" applyFont="1" applyBorder="1" applyAlignment="1">
      <alignment horizontal="left" vertical="center" wrapText="1"/>
    </xf>
    <xf numFmtId="0" fontId="5" fillId="0" borderId="14" xfId="0" applyFont="1" applyBorder="1" applyAlignment="1">
      <alignment horizontal="left" vertical="center" wrapText="1"/>
    </xf>
    <xf numFmtId="9" fontId="12" fillId="0" borderId="13" xfId="0" applyNumberFormat="1" applyFont="1" applyBorder="1" applyAlignment="1">
      <alignment horizontal="center" vertical="center" wrapText="1"/>
    </xf>
    <xf numFmtId="9" fontId="12" fillId="0" borderId="15" xfId="0" applyNumberFormat="1" applyFont="1" applyBorder="1" applyAlignment="1">
      <alignment horizontal="center" vertical="center" wrapText="1"/>
    </xf>
    <xf numFmtId="9" fontId="12" fillId="0" borderId="14" xfId="0" applyNumberFormat="1" applyFont="1" applyBorder="1" applyAlignment="1">
      <alignment horizontal="center" vertical="center" wrapText="1"/>
    </xf>
    <xf numFmtId="0" fontId="5" fillId="0" borderId="13" xfId="0" quotePrefix="1" applyFont="1" applyBorder="1" applyAlignment="1">
      <alignment horizontal="center" vertical="center" wrapText="1"/>
    </xf>
    <xf numFmtId="0" fontId="5" fillId="0" borderId="14" xfId="0" quotePrefix="1" applyFont="1" applyBorder="1" applyAlignment="1">
      <alignment horizontal="center" vertical="center" wrapText="1"/>
    </xf>
    <xf numFmtId="0" fontId="7" fillId="0" borderId="9" xfId="0" applyFont="1" applyBorder="1" applyAlignment="1">
      <alignment horizontal="right" vertical="center"/>
    </xf>
  </cellXfs>
  <cellStyles count="98">
    <cellStyle name="??" xfId="28" xr:uid="{19674FEF-1873-4DCE-BB37-F3CD68AAF2CB}"/>
    <cellStyle name="?? [0.00]_PRODUCT DETAIL Q1" xfId="29" xr:uid="{30DAA804-9C3A-4D8D-BAEE-0C3D2D957657}"/>
    <cellStyle name="?? [0]" xfId="30" xr:uid="{6B458FCC-8EDE-4869-9E56-8AC02D993F60}"/>
    <cellStyle name="???? [0.00]_PRODUCT DETAIL Q1" xfId="31" xr:uid="{3C2F9D42-341E-4D57-AC27-AD065080AF71}"/>
    <cellStyle name="????_PRODUCT DETAIL Q1" xfId="32" xr:uid="{94E8B4F0-EA58-41A6-9548-C6FDABC98EA8}"/>
    <cellStyle name="???[0]_Book1" xfId="33" xr:uid="{C28174F6-D76E-465C-9FA6-D08D273ED801}"/>
    <cellStyle name="???_95" xfId="34" xr:uid="{ABC824BC-C534-4AEC-9CBC-31AE4E85A572}"/>
    <cellStyle name="??_(????)??????" xfId="35" xr:uid="{63DCA57A-CE38-42A1-A46E-449B701A124F}"/>
    <cellStyle name="AeE­ [0]_INQUIRY ¿μ¾÷AßAø " xfId="36" xr:uid="{03721431-CA49-47A7-A6EB-3042FB5A7F63}"/>
    <cellStyle name="AeE­_INQUIRY ¿μ¾÷AßAø " xfId="37" xr:uid="{52F2BCC5-FD54-4D55-9CF9-43A445EE8A01}"/>
    <cellStyle name="AÞ¸¶ [0]_INQUIRY ¿?¾÷AßAø " xfId="38" xr:uid="{A1465590-35A6-4DC8-8444-849B34F49661}"/>
    <cellStyle name="AÞ¸¶_INQUIRY ¿?¾÷AßAø " xfId="39" xr:uid="{7BF7ADD6-F81E-4F1B-B772-EBB625899591}"/>
    <cellStyle name="C?AØ_¿?¾÷CoE² " xfId="40" xr:uid="{6469A6CD-1A5A-4F4C-B441-7ADFFF4516A3}"/>
    <cellStyle name="C￥AØ_¿μ¾÷CoE² " xfId="41" xr:uid="{576852EC-133B-4F90-BB8E-5B4549025C8B}"/>
    <cellStyle name="Comma" xfId="3" builtinId="3"/>
    <cellStyle name="Comma [0] 2" xfId="17" xr:uid="{3A404A68-EF60-435F-8B09-658ABB1BB31D}"/>
    <cellStyle name="Comma 11" xfId="42" xr:uid="{42F5406E-B022-45DC-B6FE-081EB522A5D8}"/>
    <cellStyle name="Comma 17" xfId="43" xr:uid="{90D1F231-6983-4B4F-BA77-FA327F30D706}"/>
    <cellStyle name="Comma 2" xfId="2" xr:uid="{00000000-0005-0000-0000-000001000000}"/>
    <cellStyle name="Comma 2 2" xfId="18" xr:uid="{5132E4D7-2536-4B3F-8E6B-4402395D273F}"/>
    <cellStyle name="Comma 2 2 2" xfId="45" xr:uid="{A294355E-2099-47CE-A523-C84C50C5722E}"/>
    <cellStyle name="Comma 2 3" xfId="44" xr:uid="{7A4E4C3A-AE24-45BF-A550-072B091E6095}"/>
    <cellStyle name="Comma 2 4" xfId="10" xr:uid="{38DA50D8-31F6-47A4-9226-BC5D7F267287}"/>
    <cellStyle name="Comma 23 2" xfId="46" xr:uid="{6EA0B24A-EE9C-41A6-8702-D6571567F66F}"/>
    <cellStyle name="Comma 3" xfId="7" xr:uid="{00000000-0005-0000-0000-000002000000}"/>
    <cellStyle name="Comma 3 2" xfId="15" xr:uid="{0C58A5FE-7BAA-48B7-8872-B481E819B112}"/>
    <cellStyle name="Comma0" xfId="47" xr:uid="{EF165C32-2EC2-4C9F-BEEC-999692347DCF}"/>
    <cellStyle name="Currency0" xfId="48" xr:uid="{1185689A-8F57-40E5-B6FB-82E66E54EB47}"/>
    <cellStyle name="Date" xfId="49" xr:uid="{992304F9-3039-4528-B263-59A1B59779DE}"/>
    <cellStyle name="Fixed" xfId="50" xr:uid="{26446D2B-D6BF-48D0-A29D-BC2A4D5D0F15}"/>
    <cellStyle name="Grey" xfId="51" xr:uid="{0A7C9D4D-A7B8-4C44-9B58-10AE3D7319DF}"/>
    <cellStyle name="Header1" xfId="52" xr:uid="{10E1644E-6A02-4A62-977C-64D0538CA602}"/>
    <cellStyle name="Header2" xfId="53" xr:uid="{27543BFE-E776-4771-BE2B-FEB394586746}"/>
    <cellStyle name="Hyperlink 2" xfId="19" xr:uid="{AADBD3D6-8989-48FE-9F05-D65C80D29F64}"/>
    <cellStyle name="Hyperlink 2 2" xfId="54" xr:uid="{14BA5C14-5347-471A-B478-4442DAE0E99C}"/>
    <cellStyle name="Input [yellow]" xfId="55" xr:uid="{52B56B0C-8888-4F84-9F82-EB09273C4BC9}"/>
    <cellStyle name="n" xfId="56" xr:uid="{FD5FB82F-DE39-45C2-A5DA-6C3F5FFED2E7}"/>
    <cellStyle name="Normal" xfId="0" builtinId="0"/>
    <cellStyle name="Normal - Style1" xfId="57" xr:uid="{9DC9E781-31FC-4705-9480-30B246B62FB7}"/>
    <cellStyle name="Normal 10" xfId="95" xr:uid="{1691D10A-0457-4F6D-ADE1-035625E2D1C7}"/>
    <cellStyle name="Normal 11" xfId="58" xr:uid="{72157DC6-767F-49FE-9E82-110D9780C745}"/>
    <cellStyle name="Normal 140" xfId="11" xr:uid="{A9D3D2B9-1A84-4EDB-B879-736A894E815F}"/>
    <cellStyle name="Normal 140 2" xfId="12" xr:uid="{69576A49-B19F-49A2-9951-47FE71CCD2B5}"/>
    <cellStyle name="Normal 140 2 2" xfId="21" xr:uid="{8C4E2B42-FE20-4BF1-A1FF-C2A47307544A}"/>
    <cellStyle name="Normal 140 2_ĐĂNG KÝ SOẠN THẢO TÀI LIỆU" xfId="23" xr:uid="{F0995EBC-C579-413D-A870-AAAAD59F391A}"/>
    <cellStyle name="Normal 140 3" xfId="16" xr:uid="{BAB0FDCD-C860-436C-97EC-FB7CCCAAC695}"/>
    <cellStyle name="Normal 140 4" xfId="27" xr:uid="{488DFB95-53C3-4217-871F-10586C956EB5}"/>
    <cellStyle name="Normal 140_ĐĂNG KÝ SOẠN THẢO TÀI LIỆU" xfId="22" xr:uid="{9914C34F-7F6B-442B-8BD8-EF96CA4F5603}"/>
    <cellStyle name="Normal 2" xfId="8" xr:uid="{00000000-0005-0000-0000-000004000000}"/>
    <cellStyle name="Normal 2 11 2" xfId="60" xr:uid="{295F3AC7-932F-40E4-802B-96BFFEFD7369}"/>
    <cellStyle name="Normal 2 2" xfId="4" xr:uid="{00000000-0005-0000-0000-000005000000}"/>
    <cellStyle name="Normal 2 2 2" xfId="61" xr:uid="{BBCC6234-12AF-4943-8FE4-0293152E5FDE}"/>
    <cellStyle name="Normal 2 2 3" xfId="20" xr:uid="{74D9CC62-5324-4025-B51F-2B99A9E55487}"/>
    <cellStyle name="Normal 2 2 6" xfId="96" xr:uid="{AE18A804-C217-49D2-8D82-09599BCC30C9}"/>
    <cellStyle name="Normal 2 3" xfId="62" xr:uid="{42C87D7F-448F-4669-AA9B-7C3762359D31}"/>
    <cellStyle name="Normal 2 3 2" xfId="1" xr:uid="{00000000-0005-0000-0000-000006000000}"/>
    <cellStyle name="Normal 2 4" xfId="63" xr:uid="{55D77B3F-9C6F-4F9C-9790-403662F081AE}"/>
    <cellStyle name="Normal 2 5" xfId="59" xr:uid="{DDD5838C-6823-4CC6-9DC2-107A399301D9}"/>
    <cellStyle name="Normal 2 6" xfId="13" xr:uid="{EBC29A40-9861-46E3-A99C-C6A01641EB5D}"/>
    <cellStyle name="Normal 2 7" xfId="97" xr:uid="{71700FAD-2632-4716-A084-5ADB6512955C}"/>
    <cellStyle name="Normal 2_ĐĂNG KÝ SOẠN THẢO TÀI LIỆU" xfId="24" xr:uid="{718D5A85-7DB8-48C0-8F7F-6AFA05F07622}"/>
    <cellStyle name="Normal 3" xfId="9" xr:uid="{00000000-0005-0000-0000-000007000000}"/>
    <cellStyle name="Normal 3 2" xfId="5" xr:uid="{00000000-0005-0000-0000-000008000000}"/>
    <cellStyle name="Normal 3 2 2" xfId="65" xr:uid="{164C4520-9353-41BF-AD5B-C83D0DA76AE5}"/>
    <cellStyle name="Normal 3 2 3" xfId="25" xr:uid="{FE696908-069F-4193-90EC-0676D4054BFE}"/>
    <cellStyle name="Normal 3 3" xfId="64" xr:uid="{239A2067-0C02-42A3-98C1-F2F453403AE5}"/>
    <cellStyle name="Normal 3 4" xfId="14" xr:uid="{358E5FD7-A44A-4C47-A909-CD71ED565D16}"/>
    <cellStyle name="Normal 4" xfId="66" xr:uid="{A329FA21-62BB-4D52-9183-C2CEA4BEA644}"/>
    <cellStyle name="Normal 5" xfId="67" xr:uid="{67A4B3FC-379C-41AF-9684-B8F37419BFC6}"/>
    <cellStyle name="Normal 6" xfId="68" xr:uid="{F311D4F8-C0E2-43F8-9091-B421CF05211D}"/>
    <cellStyle name="Normal 7" xfId="69" xr:uid="{1FF4C543-1A9E-486B-9721-9FF6C471F2CB}"/>
    <cellStyle name="Normal 8" xfId="70" xr:uid="{350557DB-6118-498A-AD89-E38C4939A48B}"/>
    <cellStyle name="Normal 8 2" xfId="71" xr:uid="{37A87CCE-121B-45D1-9410-9D4A77AD4E1E}"/>
    <cellStyle name="Normal 9" xfId="26" xr:uid="{319E97CE-990B-4AE2-8150-C3DB77C66F71}"/>
    <cellStyle name="Percent [2]" xfId="72" xr:uid="{852288AC-15EF-4EBE-918F-2CA56972C4A0}"/>
    <cellStyle name="Percent 2" xfId="6" xr:uid="{00000000-0005-0000-0000-000009000000}"/>
    <cellStyle name="Percent 2 2" xfId="73" xr:uid="{04DAE90D-B049-4FC8-83E9-5EBC47C7A364}"/>
    <cellStyle name="xuan" xfId="74" xr:uid="{89F34B98-6C6C-421E-8A20-573C7F773030}"/>
    <cellStyle name=" [0.00]_ Att. 1- Cover" xfId="75" xr:uid="{8EAFF4D4-BA26-4268-9AAE-E614B696E743}"/>
    <cellStyle name="_ Att. 1- Cover" xfId="76" xr:uid="{D3183138-4F51-4731-8D5C-E663B9F80CAA}"/>
    <cellStyle name="?_ Att. 1- Cover" xfId="77" xr:uid="{E1718C33-ED6B-4373-AD8C-D542C871936F}"/>
    <cellStyle name="똿뗦먛귟 [0.00]_PRODUCT DETAIL Q1" xfId="78" xr:uid="{DB3EB06E-2095-416F-8E62-E26B28F84C28}"/>
    <cellStyle name="똿뗦먛귟_PRODUCT DETAIL Q1" xfId="79" xr:uid="{FF47AF6D-9249-426F-9784-470A2670BAE4}"/>
    <cellStyle name="믅됞 [0.00]_PRODUCT DETAIL Q1" xfId="80" xr:uid="{4852D5A1-E499-4B59-9E98-2594E536B82A}"/>
    <cellStyle name="믅됞_PRODUCT DETAIL Q1" xfId="81" xr:uid="{F7E7B53C-C853-46EC-9C04-1E8B60690580}"/>
    <cellStyle name="백분율_95" xfId="82" xr:uid="{238CD33F-1FBB-4504-8037-FDC9C2A17870}"/>
    <cellStyle name="뷭?_BOOKSHIP" xfId="83" xr:uid="{A1DA6842-7E6B-4F5A-975D-4AC6508C9A39}"/>
    <cellStyle name="콤마 [0]_1202" xfId="84" xr:uid="{5E30C7A6-0A92-4CCC-9252-5FC393409DC8}"/>
    <cellStyle name="콤마_1202" xfId="85" xr:uid="{908E2D9A-398D-4EA5-A528-185928D4C8EA}"/>
    <cellStyle name="통화 [0]_1202" xfId="86" xr:uid="{08E0CCD3-6983-4242-9801-A68164824220}"/>
    <cellStyle name="통화_1202" xfId="87" xr:uid="{35C50348-D19E-4F69-95C2-4E800EC95016}"/>
    <cellStyle name="표준_(정보부문)월별인원계획" xfId="88" xr:uid="{62181426-AD94-4076-BC36-D2AF206C4351}"/>
    <cellStyle name="一般_00Q3902REV.1" xfId="89" xr:uid="{40ED51FB-7F39-4B1D-BBEC-FF59DB07E6EB}"/>
    <cellStyle name="千分位[0]_00Q3902REV.1" xfId="90" xr:uid="{33D1D77B-E1B0-4339-8201-9597E1BD5C32}"/>
    <cellStyle name="千分位_00Q3902REV.1" xfId="91" xr:uid="{875B29CC-C025-40FA-A587-60C20F4D8132}"/>
    <cellStyle name="貨幣 [0]_00Q3902REV.1" xfId="92" xr:uid="{79493271-2E26-427A-9417-B654F021E509}"/>
    <cellStyle name="貨幣[0]_BRE" xfId="93" xr:uid="{0E14C015-7F82-4377-842F-DEA7489F1401}"/>
    <cellStyle name="貨幣_00Q3902REV.1" xfId="94" xr:uid="{8C734473-A8DC-4B0A-8D1E-C7A91CB0D5F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314325</xdr:colOff>
      <xdr:row>3</xdr:row>
      <xdr:rowOff>9524</xdr:rowOff>
    </xdr:to>
    <xdr:pic>
      <xdr:nvPicPr>
        <xdr:cNvPr id="2" name="Picture 1" descr="Pvcfc new">
          <a:extLst>
            <a:ext uri="{FF2B5EF4-FFF2-40B4-BE49-F238E27FC236}">
              <a16:creationId xmlns:a16="http://schemas.microsoft.com/office/drawing/2014/main" id="{D70F156D-B5BE-42B1-86C7-F4A7873526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704850" cy="8667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1005418</xdr:colOff>
      <xdr:row>3</xdr:row>
      <xdr:rowOff>10585</xdr:rowOff>
    </xdr:from>
    <xdr:to>
      <xdr:col>2</xdr:col>
      <xdr:colOff>306918</xdr:colOff>
      <xdr:row>3</xdr:row>
      <xdr:rowOff>10585</xdr:rowOff>
    </xdr:to>
    <xdr:cxnSp macro="">
      <xdr:nvCxnSpPr>
        <xdr:cNvPr id="2" name="Straight Connector 1">
          <a:extLst>
            <a:ext uri="{FF2B5EF4-FFF2-40B4-BE49-F238E27FC236}">
              <a16:creationId xmlns:a16="http://schemas.microsoft.com/office/drawing/2014/main" id="{CFABF544-C096-4265-A27B-0DDF0D19B93D}"/>
            </a:ext>
          </a:extLst>
        </xdr:cNvPr>
        <xdr:cNvCxnSpPr/>
      </xdr:nvCxnSpPr>
      <xdr:spPr>
        <a:xfrm>
          <a:off x="1564218" y="601135"/>
          <a:ext cx="1549400"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1005418</xdr:colOff>
      <xdr:row>3</xdr:row>
      <xdr:rowOff>10585</xdr:rowOff>
    </xdr:from>
    <xdr:to>
      <xdr:col>2</xdr:col>
      <xdr:colOff>306918</xdr:colOff>
      <xdr:row>3</xdr:row>
      <xdr:rowOff>10585</xdr:rowOff>
    </xdr:to>
    <xdr:cxnSp macro="">
      <xdr:nvCxnSpPr>
        <xdr:cNvPr id="2" name="Straight Connector 1">
          <a:extLst>
            <a:ext uri="{FF2B5EF4-FFF2-40B4-BE49-F238E27FC236}">
              <a16:creationId xmlns:a16="http://schemas.microsoft.com/office/drawing/2014/main" id="{A258A67F-9443-4A75-808F-1F4CEF416735}"/>
            </a:ext>
          </a:extLst>
        </xdr:cNvPr>
        <xdr:cNvCxnSpPr/>
      </xdr:nvCxnSpPr>
      <xdr:spPr>
        <a:xfrm>
          <a:off x="1564218" y="601135"/>
          <a:ext cx="1549400"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45"/>
  <sheetViews>
    <sheetView topLeftCell="A10" zoomScale="70" zoomScaleNormal="70" workbookViewId="0">
      <selection activeCell="D17" sqref="D17"/>
    </sheetView>
  </sheetViews>
  <sheetFormatPr defaultColWidth="9" defaultRowHeight="15.75"/>
  <cols>
    <col min="1" max="1" width="5.85546875" style="5" customWidth="1"/>
    <col min="2" max="2" width="51.42578125" style="5" customWidth="1"/>
    <col min="3" max="3" width="33.85546875" style="5" customWidth="1"/>
    <col min="4" max="4" width="36.42578125" style="5" customWidth="1"/>
    <col min="5" max="5" width="11.28515625" style="5" customWidth="1"/>
    <col min="6" max="6" width="9.42578125" style="5" bestFit="1" customWidth="1"/>
    <col min="7" max="7" width="20.140625" style="5" bestFit="1" customWidth="1"/>
    <col min="8" max="8" width="12.7109375" style="14" customWidth="1"/>
    <col min="9" max="9" width="18.28515625" style="14" customWidth="1"/>
    <col min="10" max="10" width="9" style="5" hidden="1" customWidth="1"/>
    <col min="11" max="13" width="9" style="5"/>
    <col min="14" max="14" width="13.7109375" style="5" bestFit="1" customWidth="1"/>
    <col min="15" max="16384" width="9" style="5"/>
  </cols>
  <sheetData>
    <row r="1" spans="1:18" s="3" customFormat="1" ht="22.5" customHeight="1">
      <c r="A1" s="218" t="s">
        <v>0</v>
      </c>
      <c r="B1" s="219"/>
      <c r="C1" s="219"/>
      <c r="D1" s="219"/>
      <c r="E1" s="219"/>
      <c r="F1" s="219"/>
      <c r="G1" s="220"/>
      <c r="H1" s="210" t="s">
        <v>1</v>
      </c>
      <c r="I1" s="211"/>
    </row>
    <row r="2" spans="1:18" s="3" customFormat="1" ht="22.5" customHeight="1">
      <c r="A2" s="221"/>
      <c r="B2" s="222"/>
      <c r="C2" s="222"/>
      <c r="D2" s="222"/>
      <c r="E2" s="222"/>
      <c r="F2" s="222"/>
      <c r="G2" s="223"/>
      <c r="H2" s="210" t="s">
        <v>2</v>
      </c>
      <c r="I2" s="211"/>
    </row>
    <row r="3" spans="1:18" s="3" customFormat="1" ht="22.5" customHeight="1">
      <c r="A3" s="224"/>
      <c r="B3" s="225"/>
      <c r="C3" s="225"/>
      <c r="D3" s="225"/>
      <c r="E3" s="225"/>
      <c r="F3" s="225"/>
      <c r="G3" s="226"/>
      <c r="H3" s="210" t="s">
        <v>3</v>
      </c>
      <c r="I3" s="211"/>
    </row>
    <row r="5" spans="1:18">
      <c r="A5" s="212" t="s">
        <v>4</v>
      </c>
      <c r="B5" s="212"/>
      <c r="C5" s="212"/>
      <c r="D5" s="212"/>
      <c r="E5" s="212"/>
      <c r="F5" s="212"/>
      <c r="G5" s="212"/>
      <c r="H5" s="212"/>
      <c r="I5" s="212"/>
      <c r="J5" s="4"/>
      <c r="K5" s="4"/>
      <c r="L5" s="4"/>
      <c r="M5" s="4"/>
      <c r="N5" s="4"/>
      <c r="O5" s="4"/>
    </row>
    <row r="6" spans="1:18">
      <c r="A6" s="213" t="s">
        <v>5</v>
      </c>
      <c r="B6" s="213"/>
      <c r="C6" s="213"/>
      <c r="D6" s="213"/>
      <c r="E6" s="213"/>
      <c r="F6" s="213"/>
      <c r="G6" s="213"/>
      <c r="H6" s="213"/>
      <c r="I6" s="213"/>
      <c r="J6" s="6"/>
      <c r="K6" s="6"/>
      <c r="L6" s="6"/>
      <c r="M6" s="6"/>
      <c r="N6" s="6"/>
      <c r="O6" s="6"/>
    </row>
    <row r="7" spans="1:18" s="8" customFormat="1">
      <c r="A7" s="229" t="s">
        <v>6</v>
      </c>
      <c r="B7" s="229"/>
      <c r="C7" s="229"/>
      <c r="D7" s="229"/>
      <c r="E7" s="229"/>
      <c r="F7" s="229"/>
      <c r="G7" s="229"/>
      <c r="H7" s="229"/>
      <c r="I7" s="229"/>
      <c r="J7" s="7"/>
      <c r="K7" s="7"/>
      <c r="L7" s="7"/>
      <c r="M7" s="7"/>
      <c r="N7" s="7"/>
      <c r="O7" s="7"/>
      <c r="P7" s="7"/>
      <c r="Q7" s="7"/>
      <c r="R7" s="7"/>
    </row>
    <row r="9" spans="1:18" ht="47.25">
      <c r="A9" s="9" t="s">
        <v>7</v>
      </c>
      <c r="B9" s="9" t="s">
        <v>8</v>
      </c>
      <c r="C9" s="9" t="s">
        <v>9</v>
      </c>
      <c r="D9" s="9" t="s">
        <v>10</v>
      </c>
      <c r="E9" s="9" t="s">
        <v>11</v>
      </c>
      <c r="F9" s="9" t="s">
        <v>12</v>
      </c>
      <c r="G9" s="9" t="s">
        <v>13</v>
      </c>
      <c r="H9" s="9" t="s">
        <v>14</v>
      </c>
      <c r="I9" s="9" t="s">
        <v>15</v>
      </c>
      <c r="J9" s="10" t="s">
        <v>16</v>
      </c>
    </row>
    <row r="10" spans="1:18">
      <c r="A10" s="11" t="s">
        <v>17</v>
      </c>
      <c r="B10" s="11" t="s">
        <v>18</v>
      </c>
      <c r="C10" s="11" t="s">
        <v>19</v>
      </c>
      <c r="D10" s="11" t="s">
        <v>20</v>
      </c>
      <c r="E10" s="11" t="s">
        <v>21</v>
      </c>
      <c r="F10" s="11" t="s">
        <v>22</v>
      </c>
      <c r="G10" s="11" t="s">
        <v>23</v>
      </c>
      <c r="H10" s="11" t="s">
        <v>24</v>
      </c>
      <c r="I10" s="11" t="s">
        <v>25</v>
      </c>
      <c r="J10" s="12"/>
    </row>
    <row r="11" spans="1:18" ht="27" customHeight="1">
      <c r="A11" s="15">
        <v>1</v>
      </c>
      <c r="B11" s="207" t="s">
        <v>26</v>
      </c>
      <c r="C11" s="208"/>
      <c r="D11" s="208"/>
      <c r="E11" s="209"/>
      <c r="F11" s="16">
        <v>0.2</v>
      </c>
      <c r="G11" s="12"/>
      <c r="H11" s="13"/>
      <c r="I11" s="10"/>
    </row>
    <row r="12" spans="1:18" ht="31.5">
      <c r="A12" s="12">
        <v>1.1000000000000001</v>
      </c>
      <c r="B12" s="17" t="s">
        <v>27</v>
      </c>
      <c r="C12" s="17"/>
      <c r="D12" s="17"/>
      <c r="E12" s="17" t="s">
        <v>28</v>
      </c>
      <c r="F12" s="17"/>
      <c r="G12" s="22"/>
      <c r="H12" s="13"/>
      <c r="I12" s="10"/>
    </row>
    <row r="13" spans="1:18" ht="31.5">
      <c r="A13" s="12">
        <v>1.2</v>
      </c>
      <c r="B13" s="12" t="s">
        <v>29</v>
      </c>
      <c r="C13" s="12" t="s">
        <v>30</v>
      </c>
      <c r="D13" s="12" t="s">
        <v>31</v>
      </c>
      <c r="E13" s="12" t="s">
        <v>32</v>
      </c>
      <c r="F13" s="12"/>
      <c r="G13" s="12"/>
      <c r="H13" s="10"/>
      <c r="I13" s="10"/>
    </row>
    <row r="14" spans="1:18" ht="31.5">
      <c r="A14" s="12">
        <v>1.3</v>
      </c>
      <c r="B14" s="18" t="s">
        <v>33</v>
      </c>
      <c r="C14" s="18" t="s">
        <v>34</v>
      </c>
      <c r="D14" s="18" t="s">
        <v>35</v>
      </c>
      <c r="E14" s="12" t="s">
        <v>32</v>
      </c>
      <c r="F14" s="12"/>
      <c r="G14" s="12"/>
      <c r="H14" s="10"/>
      <c r="I14" s="10"/>
    </row>
    <row r="15" spans="1:18">
      <c r="A15" s="12">
        <v>1.4</v>
      </c>
      <c r="B15" s="12" t="s">
        <v>36</v>
      </c>
      <c r="C15" s="19"/>
      <c r="D15" s="19" t="s">
        <v>37</v>
      </c>
      <c r="E15" s="12" t="s">
        <v>32</v>
      </c>
      <c r="F15" s="12"/>
      <c r="G15" s="19"/>
      <c r="H15" s="10"/>
      <c r="I15" s="19"/>
    </row>
    <row r="16" spans="1:18" ht="47.25">
      <c r="A16" s="214">
        <v>1.5</v>
      </c>
      <c r="B16" s="227" t="s">
        <v>38</v>
      </c>
      <c r="C16" s="20" t="s">
        <v>39</v>
      </c>
      <c r="D16" s="12"/>
      <c r="E16" s="12" t="s">
        <v>32</v>
      </c>
      <c r="F16" s="12"/>
      <c r="G16" s="12"/>
      <c r="H16" s="10"/>
      <c r="I16" s="10"/>
    </row>
    <row r="17" spans="1:9" ht="110.25">
      <c r="A17" s="215"/>
      <c r="B17" s="228"/>
      <c r="C17" s="20" t="s">
        <v>40</v>
      </c>
      <c r="D17" s="12" t="s">
        <v>41</v>
      </c>
      <c r="E17" s="12" t="s">
        <v>32</v>
      </c>
      <c r="F17" s="12"/>
      <c r="G17" s="12"/>
      <c r="H17" s="10"/>
      <c r="I17" s="10"/>
    </row>
    <row r="18" spans="1:9" ht="27" customHeight="1">
      <c r="A18" s="15">
        <v>2</v>
      </c>
      <c r="B18" s="207" t="s">
        <v>42</v>
      </c>
      <c r="C18" s="208"/>
      <c r="D18" s="208"/>
      <c r="E18" s="209"/>
      <c r="F18" s="16">
        <v>0.2</v>
      </c>
      <c r="G18" s="12"/>
      <c r="H18" s="13"/>
      <c r="I18" s="10"/>
    </row>
    <row r="19" spans="1:9">
      <c r="A19" s="12">
        <v>2.1</v>
      </c>
      <c r="B19" s="17" t="s">
        <v>43</v>
      </c>
      <c r="C19" s="17"/>
      <c r="D19" s="16"/>
      <c r="E19" s="12"/>
      <c r="F19" s="12"/>
      <c r="G19" s="12"/>
      <c r="H19" s="10"/>
      <c r="I19" s="10"/>
    </row>
    <row r="20" spans="1:9">
      <c r="A20" s="12">
        <v>2.2000000000000002</v>
      </c>
      <c r="B20" s="17" t="s">
        <v>44</v>
      </c>
      <c r="C20" s="17"/>
      <c r="D20" s="16"/>
      <c r="E20" s="12"/>
      <c r="F20" s="12"/>
      <c r="G20" s="12"/>
      <c r="H20" s="10"/>
      <c r="I20" s="10"/>
    </row>
    <row r="21" spans="1:9" ht="31.5">
      <c r="A21" s="12">
        <v>2.2999999999999998</v>
      </c>
      <c r="B21" s="12" t="s">
        <v>45</v>
      </c>
      <c r="C21" s="20" t="s">
        <v>46</v>
      </c>
      <c r="D21" s="12"/>
      <c r="E21" s="12"/>
      <c r="F21" s="12"/>
      <c r="G21" s="12"/>
      <c r="H21" s="10"/>
      <c r="I21" s="10"/>
    </row>
    <row r="22" spans="1:9">
      <c r="A22" s="12">
        <v>2.4</v>
      </c>
      <c r="B22" s="12" t="s">
        <v>47</v>
      </c>
      <c r="C22" s="12" t="s">
        <v>48</v>
      </c>
      <c r="D22" s="12"/>
      <c r="E22" s="24"/>
      <c r="F22" s="12"/>
      <c r="G22" s="12"/>
      <c r="H22" s="10"/>
      <c r="I22" s="10"/>
    </row>
    <row r="23" spans="1:9" ht="31.5">
      <c r="A23" s="12">
        <v>2.5</v>
      </c>
      <c r="B23" s="12" t="s">
        <v>49</v>
      </c>
      <c r="C23" s="12" t="s">
        <v>50</v>
      </c>
      <c r="D23" s="12"/>
      <c r="E23" s="24"/>
      <c r="F23" s="12"/>
      <c r="G23" s="12"/>
      <c r="H23" s="10"/>
      <c r="I23" s="10"/>
    </row>
    <row r="24" spans="1:9" ht="27" customHeight="1">
      <c r="A24" s="15">
        <v>3</v>
      </c>
      <c r="B24" s="207" t="s">
        <v>51</v>
      </c>
      <c r="C24" s="208"/>
      <c r="D24" s="208"/>
      <c r="E24" s="209"/>
      <c r="F24" s="12"/>
      <c r="G24" s="12"/>
      <c r="H24" s="13"/>
      <c r="I24" s="10"/>
    </row>
    <row r="25" spans="1:9" ht="15.6" customHeight="1">
      <c r="A25" s="214">
        <v>3.1</v>
      </c>
      <c r="B25" s="227" t="s">
        <v>52</v>
      </c>
      <c r="C25" s="12" t="s">
        <v>53</v>
      </c>
      <c r="D25" s="12"/>
      <c r="E25" s="12"/>
      <c r="F25" s="12"/>
      <c r="G25" s="12"/>
      <c r="H25" s="10"/>
      <c r="I25" s="10"/>
    </row>
    <row r="26" spans="1:9">
      <c r="A26" s="231"/>
      <c r="B26" s="230"/>
      <c r="C26" s="12" t="s">
        <v>54</v>
      </c>
      <c r="D26" s="12"/>
      <c r="E26" s="12"/>
      <c r="F26" s="12"/>
      <c r="G26" s="12"/>
      <c r="H26" s="10"/>
      <c r="I26" s="10"/>
    </row>
    <row r="27" spans="1:9">
      <c r="A27" s="231"/>
      <c r="B27" s="230"/>
      <c r="C27" s="12" t="s">
        <v>55</v>
      </c>
      <c r="D27" s="12"/>
      <c r="E27" s="12"/>
      <c r="F27" s="12"/>
      <c r="G27" s="12"/>
      <c r="H27" s="10"/>
      <c r="I27" s="10"/>
    </row>
    <row r="28" spans="1:9">
      <c r="A28" s="215"/>
      <c r="B28" s="228"/>
      <c r="C28" s="12" t="s">
        <v>56</v>
      </c>
      <c r="D28" s="12"/>
      <c r="E28" s="24"/>
      <c r="F28" s="12"/>
      <c r="G28" s="12"/>
      <c r="H28" s="10"/>
      <c r="I28" s="10"/>
    </row>
    <row r="29" spans="1:9" ht="27" customHeight="1">
      <c r="A29" s="15">
        <v>4</v>
      </c>
      <c r="B29" s="207" t="s">
        <v>57</v>
      </c>
      <c r="C29" s="208"/>
      <c r="D29" s="208"/>
      <c r="E29" s="209"/>
      <c r="F29" s="16">
        <v>0.2</v>
      </c>
      <c r="G29" s="12"/>
      <c r="H29" s="13"/>
      <c r="I29" s="10"/>
    </row>
    <row r="30" spans="1:9" ht="31.5">
      <c r="A30" s="12">
        <v>4.0999999999999996</v>
      </c>
      <c r="B30" s="18" t="s">
        <v>58</v>
      </c>
      <c r="C30" s="12" t="s">
        <v>59</v>
      </c>
      <c r="D30" s="12" t="s">
        <v>60</v>
      </c>
      <c r="E30" s="12"/>
      <c r="F30" s="12"/>
      <c r="G30" s="12"/>
      <c r="H30" s="10"/>
      <c r="I30" s="10"/>
    </row>
    <row r="31" spans="1:9" ht="31.5">
      <c r="A31" s="12">
        <v>4.2</v>
      </c>
      <c r="B31" s="12" t="s">
        <v>61</v>
      </c>
      <c r="C31" s="12" t="s">
        <v>62</v>
      </c>
      <c r="D31" s="23">
        <v>1</v>
      </c>
      <c r="E31" s="12"/>
      <c r="F31" s="12"/>
      <c r="G31" s="12"/>
      <c r="H31" s="10"/>
      <c r="I31" s="10"/>
    </row>
    <row r="32" spans="1:9" ht="31.5">
      <c r="A32" s="12">
        <v>4.3</v>
      </c>
      <c r="B32" s="12" t="s">
        <v>63</v>
      </c>
      <c r="C32" s="12" t="s">
        <v>64</v>
      </c>
      <c r="D32" s="12" t="s">
        <v>65</v>
      </c>
      <c r="E32" s="12"/>
      <c r="F32" s="12"/>
      <c r="G32" s="12"/>
      <c r="H32" s="10"/>
      <c r="I32" s="10"/>
    </row>
    <row r="33" spans="1:9" ht="31.5">
      <c r="A33" s="12">
        <v>4.4000000000000004</v>
      </c>
      <c r="B33" s="12" t="s">
        <v>66</v>
      </c>
      <c r="C33" s="12" t="s">
        <v>67</v>
      </c>
      <c r="D33" s="12" t="s">
        <v>68</v>
      </c>
      <c r="E33" s="12"/>
      <c r="F33" s="12"/>
      <c r="G33" s="12"/>
      <c r="H33" s="10"/>
      <c r="I33" s="10"/>
    </row>
    <row r="34" spans="1:9" ht="27" customHeight="1">
      <c r="A34" s="15">
        <v>5</v>
      </c>
      <c r="B34" s="207" t="s">
        <v>69</v>
      </c>
      <c r="C34" s="208"/>
      <c r="D34" s="208"/>
      <c r="E34" s="209"/>
      <c r="F34" s="16">
        <v>0.2</v>
      </c>
      <c r="G34" s="12"/>
      <c r="H34" s="13"/>
      <c r="I34" s="10"/>
    </row>
    <row r="35" spans="1:9" ht="31.5">
      <c r="A35" s="12">
        <v>5.0999999999999996</v>
      </c>
      <c r="B35" s="12" t="s">
        <v>70</v>
      </c>
      <c r="C35" s="12"/>
      <c r="D35" s="12"/>
      <c r="E35" s="12"/>
      <c r="F35" s="12"/>
      <c r="G35" s="12"/>
      <c r="H35" s="10"/>
      <c r="I35" s="10"/>
    </row>
    <row r="36" spans="1:9" ht="31.5">
      <c r="A36" s="12">
        <v>5.2</v>
      </c>
      <c r="B36" s="12" t="s">
        <v>71</v>
      </c>
      <c r="C36" s="12"/>
      <c r="D36" s="12"/>
      <c r="E36" s="12"/>
      <c r="F36" s="12"/>
      <c r="G36" s="12"/>
      <c r="H36" s="10"/>
      <c r="I36" s="10"/>
    </row>
    <row r="37" spans="1:9" ht="47.25">
      <c r="A37" s="214">
        <v>5.3</v>
      </c>
      <c r="B37" s="216" t="s">
        <v>72</v>
      </c>
      <c r="C37" s="12" t="s">
        <v>73</v>
      </c>
      <c r="D37" s="12"/>
      <c r="E37" s="12"/>
      <c r="F37" s="12"/>
      <c r="G37" s="12"/>
      <c r="H37" s="10"/>
      <c r="I37" s="10"/>
    </row>
    <row r="38" spans="1:9" ht="47.25">
      <c r="A38" s="215"/>
      <c r="B38" s="217"/>
      <c r="C38" s="12" t="s">
        <v>74</v>
      </c>
      <c r="D38" s="12"/>
      <c r="E38" s="12"/>
      <c r="F38" s="12"/>
      <c r="G38" s="12"/>
      <c r="H38" s="10"/>
      <c r="I38" s="10"/>
    </row>
    <row r="39" spans="1:9" ht="78.75">
      <c r="A39" s="12">
        <v>5.4</v>
      </c>
      <c r="B39" s="12" t="s">
        <v>75</v>
      </c>
      <c r="C39" s="20"/>
      <c r="D39" s="12"/>
      <c r="E39" s="12"/>
      <c r="F39" s="12"/>
      <c r="G39" s="20" t="s">
        <v>76</v>
      </c>
      <c r="H39" s="10"/>
      <c r="I39" s="10"/>
    </row>
    <row r="40" spans="1:9" ht="78.75">
      <c r="A40" s="12">
        <v>5.5</v>
      </c>
      <c r="B40" s="12" t="s">
        <v>77</v>
      </c>
      <c r="C40" s="12"/>
      <c r="D40" s="12"/>
      <c r="E40" s="12"/>
      <c r="F40" s="12"/>
      <c r="G40" s="12"/>
      <c r="H40" s="10"/>
      <c r="I40" s="10"/>
    </row>
    <row r="41" spans="1:9">
      <c r="A41" s="15">
        <v>6</v>
      </c>
      <c r="B41" s="207" t="s">
        <v>78</v>
      </c>
      <c r="C41" s="208"/>
      <c r="D41" s="208"/>
      <c r="E41" s="209"/>
      <c r="F41" s="12"/>
      <c r="G41" s="12"/>
      <c r="H41" s="10"/>
      <c r="I41" s="10"/>
    </row>
    <row r="42" spans="1:9">
      <c r="A42" s="12"/>
      <c r="B42" s="12"/>
      <c r="C42" s="12"/>
      <c r="D42" s="12"/>
      <c r="E42" s="12"/>
      <c r="F42" s="12"/>
      <c r="G42" s="12"/>
      <c r="H42" s="10"/>
      <c r="I42" s="10"/>
    </row>
    <row r="43" spans="1:9">
      <c r="A43" s="12"/>
      <c r="B43" s="12"/>
      <c r="C43" s="12"/>
      <c r="D43" s="12"/>
      <c r="E43" s="12"/>
      <c r="F43" s="12"/>
      <c r="G43" s="12"/>
      <c r="H43" s="10"/>
      <c r="I43" s="10"/>
    </row>
    <row r="44" spans="1:9">
      <c r="A44" s="12"/>
      <c r="B44" s="12"/>
      <c r="C44" s="12"/>
      <c r="D44" s="12"/>
      <c r="E44" s="12"/>
      <c r="F44" s="12"/>
      <c r="G44" s="12"/>
      <c r="H44" s="10"/>
      <c r="I44" s="10"/>
    </row>
    <row r="45" spans="1:9">
      <c r="A45" s="12"/>
      <c r="B45" s="12"/>
      <c r="C45" s="12"/>
      <c r="D45" s="12"/>
      <c r="E45" s="12"/>
      <c r="F45" s="12"/>
      <c r="G45" s="12"/>
      <c r="H45" s="10"/>
      <c r="I45" s="10"/>
    </row>
  </sheetData>
  <mergeCells count="19">
    <mergeCell ref="A16:A17"/>
    <mergeCell ref="B25:B28"/>
    <mergeCell ref="A25:A28"/>
    <mergeCell ref="B41:E41"/>
    <mergeCell ref="H1:I1"/>
    <mergeCell ref="H2:I2"/>
    <mergeCell ref="H3:I3"/>
    <mergeCell ref="A5:I5"/>
    <mergeCell ref="A6:I6"/>
    <mergeCell ref="A37:A38"/>
    <mergeCell ref="B37:B38"/>
    <mergeCell ref="B34:E34"/>
    <mergeCell ref="A1:G3"/>
    <mergeCell ref="B16:B17"/>
    <mergeCell ref="A7:I7"/>
    <mergeCell ref="B11:E11"/>
    <mergeCell ref="B18:E18"/>
    <mergeCell ref="B24:E24"/>
    <mergeCell ref="B29:E29"/>
  </mergeCell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Q43"/>
  <sheetViews>
    <sheetView topLeftCell="A6" zoomScale="70" zoomScaleNormal="70" workbookViewId="0">
      <pane xSplit="1" ySplit="5" topLeftCell="B11" activePane="bottomRight" state="frozen"/>
      <selection pane="topRight" activeCell="B6" sqref="B6"/>
      <selection pane="bottomLeft" activeCell="A11" sqref="A11"/>
      <selection pane="bottomRight" activeCell="C17" sqref="C17"/>
    </sheetView>
  </sheetViews>
  <sheetFormatPr defaultColWidth="9" defaultRowHeight="15.75"/>
  <cols>
    <col min="1" max="1" width="8" style="36" customWidth="1"/>
    <col min="2" max="2" width="32.140625" style="70" customWidth="1"/>
    <col min="3" max="3" width="55.42578125" style="70" customWidth="1"/>
    <col min="4" max="4" width="17.42578125" style="69" customWidth="1"/>
    <col min="5" max="5" width="10.140625" style="36" customWidth="1"/>
    <col min="6" max="6" width="9.42578125" style="93" customWidth="1"/>
    <col min="7" max="7" width="90.140625" style="110" customWidth="1"/>
    <col min="8" max="8" width="14" style="36" hidden="1" customWidth="1"/>
    <col min="9" max="9" width="16.85546875" style="36" customWidth="1"/>
    <col min="10" max="12" width="9" style="70"/>
    <col min="13" max="13" width="13.7109375" style="70" bestFit="1" customWidth="1"/>
    <col min="14" max="16384" width="9" style="70"/>
  </cols>
  <sheetData>
    <row r="2" spans="1:17">
      <c r="B2" s="234" t="s">
        <v>79</v>
      </c>
      <c r="C2" s="234"/>
    </row>
    <row r="3" spans="1:17">
      <c r="B3" s="234" t="s">
        <v>80</v>
      </c>
      <c r="C3" s="234"/>
    </row>
    <row r="5" spans="1:17">
      <c r="A5" s="235" t="s">
        <v>81</v>
      </c>
      <c r="B5" s="235"/>
      <c r="C5" s="235"/>
      <c r="D5" s="235"/>
      <c r="E5" s="235"/>
      <c r="F5" s="235"/>
      <c r="G5" s="235"/>
      <c r="H5" s="235"/>
      <c r="I5" s="235"/>
      <c r="J5" s="71"/>
      <c r="K5" s="71"/>
      <c r="L5" s="71"/>
      <c r="M5" s="71"/>
      <c r="N5" s="71"/>
    </row>
    <row r="6" spans="1:17">
      <c r="A6" s="236" t="s">
        <v>5</v>
      </c>
      <c r="B6" s="236"/>
      <c r="C6" s="236"/>
      <c r="D6" s="236"/>
      <c r="E6" s="236"/>
      <c r="F6" s="236"/>
      <c r="G6" s="236"/>
      <c r="H6" s="236"/>
      <c r="I6" s="236"/>
      <c r="J6" s="72"/>
      <c r="K6" s="72"/>
      <c r="L6" s="72"/>
      <c r="M6" s="72"/>
      <c r="N6" s="72"/>
    </row>
    <row r="7" spans="1:17" s="74" customFormat="1">
      <c r="A7" s="237" t="s">
        <v>6</v>
      </c>
      <c r="B7" s="237"/>
      <c r="C7" s="237"/>
      <c r="D7" s="237"/>
      <c r="E7" s="237"/>
      <c r="F7" s="237"/>
      <c r="G7" s="237"/>
      <c r="H7" s="237"/>
      <c r="I7" s="237"/>
      <c r="J7" s="73"/>
      <c r="K7" s="73"/>
      <c r="L7" s="73"/>
      <c r="M7" s="73"/>
      <c r="N7" s="73"/>
      <c r="O7" s="73"/>
      <c r="P7" s="73"/>
      <c r="Q7" s="73"/>
    </row>
    <row r="9" spans="1:17" ht="47.25">
      <c r="A9" s="35" t="s">
        <v>7</v>
      </c>
      <c r="B9" s="35" t="s">
        <v>8</v>
      </c>
      <c r="C9" s="35" t="s">
        <v>9</v>
      </c>
      <c r="D9" s="35" t="s">
        <v>10</v>
      </c>
      <c r="E9" s="35" t="s">
        <v>11</v>
      </c>
      <c r="F9" s="94" t="s">
        <v>12</v>
      </c>
      <c r="G9" s="111" t="s">
        <v>13</v>
      </c>
      <c r="H9" s="35" t="s">
        <v>14</v>
      </c>
      <c r="I9" s="35" t="s">
        <v>15</v>
      </c>
    </row>
    <row r="10" spans="1:17" s="36" customFormat="1">
      <c r="A10" s="48" t="s">
        <v>17</v>
      </c>
      <c r="B10" s="48" t="s">
        <v>18</v>
      </c>
      <c r="C10" s="48" t="s">
        <v>19</v>
      </c>
      <c r="D10" s="48" t="s">
        <v>20</v>
      </c>
      <c r="E10" s="48" t="s">
        <v>21</v>
      </c>
      <c r="F10" s="95" t="s">
        <v>22</v>
      </c>
      <c r="G10" s="112" t="s">
        <v>23</v>
      </c>
      <c r="H10" s="48" t="s">
        <v>24</v>
      </c>
      <c r="I10" s="48" t="s">
        <v>25</v>
      </c>
    </row>
    <row r="11" spans="1:17" s="102" customFormat="1" ht="31.15" customHeight="1">
      <c r="A11" s="98">
        <v>1</v>
      </c>
      <c r="B11" s="233" t="s">
        <v>82</v>
      </c>
      <c r="C11" s="233"/>
      <c r="D11" s="233"/>
      <c r="E11" s="98"/>
      <c r="F11" s="99">
        <v>0.4</v>
      </c>
      <c r="G11" s="113"/>
      <c r="H11" s="101"/>
      <c r="I11" s="100"/>
    </row>
    <row r="12" spans="1:17" ht="29.1" customHeight="1">
      <c r="A12" s="241">
        <v>1.1000000000000001</v>
      </c>
      <c r="B12" s="243" t="s">
        <v>83</v>
      </c>
      <c r="C12" s="75" t="s">
        <v>84</v>
      </c>
      <c r="D12" s="81">
        <v>1</v>
      </c>
      <c r="E12" s="241" t="s">
        <v>85</v>
      </c>
      <c r="F12" s="245">
        <v>0.1</v>
      </c>
      <c r="G12" s="247" t="s">
        <v>86</v>
      </c>
      <c r="H12" s="249"/>
      <c r="I12" s="238"/>
    </row>
    <row r="13" spans="1:17">
      <c r="A13" s="242"/>
      <c r="B13" s="244"/>
      <c r="C13" s="75" t="s">
        <v>87</v>
      </c>
      <c r="D13" s="80" t="s">
        <v>88</v>
      </c>
      <c r="E13" s="242"/>
      <c r="F13" s="246"/>
      <c r="G13" s="248"/>
      <c r="H13" s="250"/>
      <c r="I13" s="239"/>
    </row>
    <row r="14" spans="1:17">
      <c r="A14" s="251"/>
      <c r="B14" s="252"/>
      <c r="C14" s="28" t="s">
        <v>89</v>
      </c>
      <c r="D14" s="68" t="s">
        <v>90</v>
      </c>
      <c r="E14" s="251"/>
      <c r="F14" s="253"/>
      <c r="G14" s="254"/>
      <c r="H14" s="255"/>
      <c r="I14" s="240"/>
    </row>
    <row r="15" spans="1:17" ht="50.1" customHeight="1">
      <c r="A15" s="241">
        <v>1.2</v>
      </c>
      <c r="B15" s="243" t="s">
        <v>91</v>
      </c>
      <c r="C15" s="28" t="s">
        <v>92</v>
      </c>
      <c r="D15" s="68" t="s">
        <v>93</v>
      </c>
      <c r="E15" s="241" t="s">
        <v>307</v>
      </c>
      <c r="F15" s="245">
        <v>0.4</v>
      </c>
      <c r="G15" s="247" t="s">
        <v>312</v>
      </c>
      <c r="H15" s="249"/>
      <c r="I15" s="238"/>
    </row>
    <row r="16" spans="1:17" ht="68.650000000000006" customHeight="1">
      <c r="A16" s="242"/>
      <c r="B16" s="244"/>
      <c r="C16" s="25" t="s">
        <v>96</v>
      </c>
      <c r="D16" s="68" t="s">
        <v>97</v>
      </c>
      <c r="E16" s="242"/>
      <c r="F16" s="246"/>
      <c r="G16" s="248"/>
      <c r="H16" s="250"/>
      <c r="I16" s="239"/>
    </row>
    <row r="17" spans="1:9">
      <c r="A17" s="88"/>
      <c r="B17" s="91"/>
      <c r="C17" s="25" t="s">
        <v>311</v>
      </c>
      <c r="D17" s="68"/>
      <c r="E17" s="89"/>
      <c r="F17" s="120"/>
      <c r="G17" s="121"/>
      <c r="H17" s="92"/>
      <c r="I17" s="86"/>
    </row>
    <row r="18" spans="1:9" ht="94.5">
      <c r="A18" s="87">
        <v>1.3</v>
      </c>
      <c r="B18" s="90" t="s">
        <v>100</v>
      </c>
      <c r="C18" s="25" t="s">
        <v>101</v>
      </c>
      <c r="D18" s="68" t="s">
        <v>102</v>
      </c>
      <c r="E18" s="67" t="s">
        <v>307</v>
      </c>
      <c r="F18" s="94">
        <v>0.17</v>
      </c>
      <c r="G18" s="114" t="s">
        <v>103</v>
      </c>
      <c r="H18" s="67"/>
      <c r="I18" s="67"/>
    </row>
    <row r="19" spans="1:9" ht="78.75">
      <c r="A19" s="87">
        <v>1.4</v>
      </c>
      <c r="B19" s="90" t="s">
        <v>104</v>
      </c>
      <c r="C19" s="83" t="s">
        <v>105</v>
      </c>
      <c r="D19" s="84" t="s">
        <v>102</v>
      </c>
      <c r="E19" s="87" t="s">
        <v>307</v>
      </c>
      <c r="F19" s="94">
        <v>0.03</v>
      </c>
      <c r="G19" s="114" t="s">
        <v>106</v>
      </c>
      <c r="H19" s="67"/>
      <c r="I19" s="67"/>
    </row>
    <row r="20" spans="1:9" s="106" customFormat="1" ht="28.5" customHeight="1">
      <c r="A20" s="98">
        <v>2</v>
      </c>
      <c r="B20" s="232" t="s">
        <v>107</v>
      </c>
      <c r="C20" s="232"/>
      <c r="D20" s="232"/>
      <c r="E20" s="232"/>
      <c r="F20" s="103">
        <v>0.15</v>
      </c>
      <c r="G20" s="115"/>
      <c r="H20" s="104"/>
      <c r="I20" s="105"/>
    </row>
    <row r="21" spans="1:9" ht="126">
      <c r="A21" s="67">
        <v>2.1</v>
      </c>
      <c r="B21" s="26" t="s">
        <v>108</v>
      </c>
      <c r="C21" s="26" t="s">
        <v>109</v>
      </c>
      <c r="D21" s="29" t="s">
        <v>110</v>
      </c>
      <c r="E21" s="67" t="s">
        <v>307</v>
      </c>
      <c r="F21" s="96">
        <v>0.05</v>
      </c>
      <c r="G21" s="116" t="s">
        <v>111</v>
      </c>
      <c r="H21" s="67"/>
      <c r="I21" s="67"/>
    </row>
    <row r="22" spans="1:9" ht="63">
      <c r="A22" s="67">
        <v>2.2000000000000002</v>
      </c>
      <c r="B22" s="26" t="s">
        <v>112</v>
      </c>
      <c r="C22" s="26" t="s">
        <v>113</v>
      </c>
      <c r="D22" s="29" t="s">
        <v>110</v>
      </c>
      <c r="E22" s="67" t="s">
        <v>307</v>
      </c>
      <c r="F22" s="96">
        <v>0.05</v>
      </c>
      <c r="G22" s="116" t="s">
        <v>114</v>
      </c>
      <c r="H22" s="67"/>
      <c r="I22" s="67"/>
    </row>
    <row r="23" spans="1:9" ht="66" customHeight="1">
      <c r="A23" s="67">
        <v>2.2999999999999998</v>
      </c>
      <c r="B23" s="27" t="s">
        <v>115</v>
      </c>
      <c r="C23" s="25" t="s">
        <v>116</v>
      </c>
      <c r="D23" s="29">
        <v>0</v>
      </c>
      <c r="E23" s="67" t="s">
        <v>307</v>
      </c>
      <c r="F23" s="96">
        <v>0.05</v>
      </c>
      <c r="G23" s="116" t="s">
        <v>117</v>
      </c>
      <c r="H23" s="67"/>
      <c r="I23" s="67"/>
    </row>
    <row r="24" spans="1:9" s="106" customFormat="1" ht="29.65" customHeight="1">
      <c r="A24" s="98">
        <v>3</v>
      </c>
      <c r="B24" s="256" t="s">
        <v>118</v>
      </c>
      <c r="C24" s="257"/>
      <c r="D24" s="258"/>
      <c r="E24" s="107"/>
      <c r="F24" s="99">
        <v>0.3</v>
      </c>
      <c r="G24" s="117"/>
      <c r="H24" s="108"/>
      <c r="I24" s="98"/>
    </row>
    <row r="25" spans="1:9" s="76" customFormat="1" ht="19.5" customHeight="1">
      <c r="A25" s="85">
        <v>3.1</v>
      </c>
      <c r="B25" s="259" t="s">
        <v>119</v>
      </c>
      <c r="C25" s="260"/>
      <c r="D25" s="260"/>
      <c r="E25" s="261"/>
      <c r="F25" s="94">
        <v>0.2</v>
      </c>
      <c r="G25" s="118"/>
      <c r="H25" s="78"/>
      <c r="I25" s="35"/>
    </row>
    <row r="26" spans="1:9" ht="45.6" customHeight="1">
      <c r="A26" s="87" t="s">
        <v>120</v>
      </c>
      <c r="B26" s="63" t="s">
        <v>121</v>
      </c>
      <c r="C26" s="27" t="s">
        <v>122</v>
      </c>
      <c r="D26" s="29" t="s">
        <v>123</v>
      </c>
      <c r="E26" s="67" t="s">
        <v>307</v>
      </c>
      <c r="F26" s="96">
        <v>0.05</v>
      </c>
      <c r="G26" s="116" t="s">
        <v>124</v>
      </c>
      <c r="H26" s="77"/>
      <c r="I26" s="67"/>
    </row>
    <row r="27" spans="1:9" ht="47.65" customHeight="1">
      <c r="A27" s="241" t="s">
        <v>120</v>
      </c>
      <c r="B27" s="243" t="s">
        <v>125</v>
      </c>
      <c r="C27" s="79" t="s">
        <v>126</v>
      </c>
      <c r="D27" s="28" t="s">
        <v>127</v>
      </c>
      <c r="E27" s="67" t="s">
        <v>94</v>
      </c>
      <c r="F27" s="96">
        <v>0.05</v>
      </c>
      <c r="G27" s="247" t="s">
        <v>128</v>
      </c>
      <c r="H27" s="67"/>
      <c r="I27" s="67"/>
    </row>
    <row r="28" spans="1:9" ht="47.65" customHeight="1">
      <c r="A28" s="251"/>
      <c r="B28" s="252"/>
      <c r="C28" s="79" t="s">
        <v>129</v>
      </c>
      <c r="D28" s="68">
        <v>1</v>
      </c>
      <c r="E28" s="67" t="s">
        <v>94</v>
      </c>
      <c r="F28" s="96">
        <v>0.05</v>
      </c>
      <c r="G28" s="254"/>
      <c r="H28" s="67"/>
      <c r="I28" s="67"/>
    </row>
    <row r="29" spans="1:9" ht="63">
      <c r="A29" s="87" t="s">
        <v>120</v>
      </c>
      <c r="B29" s="63" t="s">
        <v>130</v>
      </c>
      <c r="C29" s="27" t="s">
        <v>131</v>
      </c>
      <c r="D29" s="29" t="s">
        <v>132</v>
      </c>
      <c r="E29" s="67" t="s">
        <v>94</v>
      </c>
      <c r="F29" s="96">
        <v>0.05</v>
      </c>
      <c r="G29" s="116" t="s">
        <v>133</v>
      </c>
      <c r="H29" s="77"/>
      <c r="I29" s="67"/>
    </row>
    <row r="30" spans="1:9" ht="30" customHeight="1">
      <c r="A30" s="35" t="s">
        <v>134</v>
      </c>
      <c r="B30" s="263" t="s">
        <v>135</v>
      </c>
      <c r="C30" s="264"/>
      <c r="D30" s="265"/>
      <c r="E30" s="67"/>
      <c r="F30" s="94">
        <v>0.1</v>
      </c>
      <c r="G30" s="116"/>
      <c r="H30" s="67"/>
      <c r="I30" s="67"/>
    </row>
    <row r="31" spans="1:9" ht="72" customHeight="1">
      <c r="A31" s="67" t="s">
        <v>120</v>
      </c>
      <c r="B31" s="27" t="s">
        <v>136</v>
      </c>
      <c r="C31" s="27" t="s">
        <v>137</v>
      </c>
      <c r="D31" s="66">
        <v>1</v>
      </c>
      <c r="E31" s="67" t="s">
        <v>94</v>
      </c>
      <c r="F31" s="96">
        <v>0.05</v>
      </c>
      <c r="G31" s="116" t="s">
        <v>309</v>
      </c>
      <c r="H31" s="67"/>
      <c r="I31" s="67"/>
    </row>
    <row r="32" spans="1:9" ht="36.6" customHeight="1">
      <c r="A32" s="241" t="s">
        <v>120</v>
      </c>
      <c r="B32" s="266" t="s">
        <v>138</v>
      </c>
      <c r="C32" s="27" t="s">
        <v>139</v>
      </c>
      <c r="D32" s="28" t="s">
        <v>140</v>
      </c>
      <c r="E32" s="67" t="s">
        <v>94</v>
      </c>
      <c r="F32" s="269">
        <v>0.05</v>
      </c>
      <c r="G32" s="247" t="s">
        <v>141</v>
      </c>
      <c r="H32" s="67"/>
      <c r="I32" s="67"/>
    </row>
    <row r="33" spans="1:9" ht="36.6" customHeight="1">
      <c r="A33" s="242"/>
      <c r="B33" s="267"/>
      <c r="C33" s="27" t="s">
        <v>142</v>
      </c>
      <c r="D33" s="28" t="s">
        <v>308</v>
      </c>
      <c r="E33" s="67" t="s">
        <v>94</v>
      </c>
      <c r="F33" s="270"/>
      <c r="G33" s="248"/>
      <c r="H33" s="67"/>
      <c r="I33" s="67"/>
    </row>
    <row r="34" spans="1:9" ht="36.6" customHeight="1">
      <c r="A34" s="242"/>
      <c r="B34" s="267"/>
      <c r="C34" s="25" t="s">
        <v>143</v>
      </c>
      <c r="D34" s="68">
        <v>1</v>
      </c>
      <c r="E34" s="67" t="s">
        <v>94</v>
      </c>
      <c r="F34" s="270"/>
      <c r="G34" s="248"/>
      <c r="H34" s="67"/>
      <c r="I34" s="67"/>
    </row>
    <row r="35" spans="1:9" ht="60.6" customHeight="1">
      <c r="A35" s="251"/>
      <c r="B35" s="268"/>
      <c r="C35" s="25" t="s">
        <v>144</v>
      </c>
      <c r="D35" s="28" t="s">
        <v>310</v>
      </c>
      <c r="E35" s="67" t="s">
        <v>94</v>
      </c>
      <c r="F35" s="271"/>
      <c r="G35" s="254"/>
      <c r="H35" s="67"/>
      <c r="I35" s="67"/>
    </row>
    <row r="36" spans="1:9" s="106" customFormat="1" ht="27" customHeight="1">
      <c r="A36" s="98">
        <v>4</v>
      </c>
      <c r="B36" s="100" t="s">
        <v>145</v>
      </c>
      <c r="C36" s="100"/>
      <c r="D36" s="109"/>
      <c r="E36" s="98"/>
      <c r="F36" s="99">
        <v>0.15</v>
      </c>
      <c r="G36" s="117"/>
      <c r="H36" s="108"/>
      <c r="I36" s="98"/>
    </row>
    <row r="37" spans="1:9" ht="31.5">
      <c r="A37" s="272" t="s">
        <v>120</v>
      </c>
      <c r="B37" s="243" t="s">
        <v>146</v>
      </c>
      <c r="C37" s="27" t="s">
        <v>147</v>
      </c>
      <c r="D37" s="66">
        <v>1</v>
      </c>
      <c r="E37" s="67" t="s">
        <v>94</v>
      </c>
      <c r="F37" s="96">
        <v>0.05</v>
      </c>
      <c r="G37" s="116" t="s">
        <v>148</v>
      </c>
      <c r="H37" s="67"/>
      <c r="I37" s="67"/>
    </row>
    <row r="38" spans="1:9" ht="47.25">
      <c r="A38" s="273"/>
      <c r="B38" s="252"/>
      <c r="C38" s="27" t="s">
        <v>149</v>
      </c>
      <c r="D38" s="29" t="s">
        <v>150</v>
      </c>
      <c r="E38" s="67" t="s">
        <v>94</v>
      </c>
      <c r="F38" s="96">
        <v>0.05</v>
      </c>
      <c r="G38" s="116" t="s">
        <v>151</v>
      </c>
      <c r="H38" s="67"/>
      <c r="I38" s="67"/>
    </row>
    <row r="39" spans="1:9" ht="31.5">
      <c r="A39" s="82" t="s">
        <v>120</v>
      </c>
      <c r="B39" s="25" t="s">
        <v>152</v>
      </c>
      <c r="C39" s="27" t="s">
        <v>153</v>
      </c>
      <c r="D39" s="66">
        <v>1</v>
      </c>
      <c r="E39" s="67" t="s">
        <v>94</v>
      </c>
      <c r="F39" s="96">
        <v>0.05</v>
      </c>
      <c r="G39" s="116" t="s">
        <v>148</v>
      </c>
      <c r="H39" s="67"/>
      <c r="I39" s="67"/>
    </row>
    <row r="40" spans="1:9" s="76" customFormat="1">
      <c r="A40" s="35"/>
      <c r="B40" s="62" t="s">
        <v>154</v>
      </c>
      <c r="C40" s="61"/>
      <c r="D40" s="40"/>
      <c r="E40" s="35"/>
      <c r="F40" s="97"/>
      <c r="G40" s="119"/>
      <c r="H40" s="35"/>
      <c r="I40" s="35"/>
    </row>
    <row r="43" spans="1:9" s="59" customFormat="1" ht="15.75" customHeight="1">
      <c r="A43" s="262" t="s">
        <v>155</v>
      </c>
      <c r="B43" s="262"/>
      <c r="C43" s="262"/>
      <c r="D43" s="262"/>
      <c r="E43" s="262"/>
      <c r="F43" s="262"/>
      <c r="G43" s="262"/>
      <c r="H43" s="262"/>
      <c r="I43" s="262"/>
    </row>
  </sheetData>
  <autoFilter ref="A9:I40" xr:uid="{00000000-0009-0000-0000-000001000000}"/>
  <mergeCells count="34">
    <mergeCell ref="B24:D24"/>
    <mergeCell ref="B25:E25"/>
    <mergeCell ref="A27:A28"/>
    <mergeCell ref="B27:B28"/>
    <mergeCell ref="A43:I43"/>
    <mergeCell ref="B30:D30"/>
    <mergeCell ref="A32:A35"/>
    <mergeCell ref="B32:B35"/>
    <mergeCell ref="F32:F35"/>
    <mergeCell ref="G32:G35"/>
    <mergeCell ref="A37:A38"/>
    <mergeCell ref="B37:B38"/>
    <mergeCell ref="G27:G28"/>
    <mergeCell ref="B12:B14"/>
    <mergeCell ref="E12:E14"/>
    <mergeCell ref="F12:F14"/>
    <mergeCell ref="G12:G14"/>
    <mergeCell ref="H12:H14"/>
    <mergeCell ref="B20:E20"/>
    <mergeCell ref="B11:D11"/>
    <mergeCell ref="B2:C2"/>
    <mergeCell ref="B3:C3"/>
    <mergeCell ref="A5:I5"/>
    <mergeCell ref="A6:I6"/>
    <mergeCell ref="A7:I7"/>
    <mergeCell ref="I12:I14"/>
    <mergeCell ref="A15:A16"/>
    <mergeCell ref="B15:B16"/>
    <mergeCell ref="E15:E16"/>
    <mergeCell ref="F15:F16"/>
    <mergeCell ref="G15:G16"/>
    <mergeCell ref="H15:H16"/>
    <mergeCell ref="I15:I16"/>
    <mergeCell ref="A12:A14"/>
  </mergeCells>
  <pageMargins left="0.7" right="0.7" top="0.75" bottom="0.75" header="0.3" footer="0.3"/>
  <pageSetup paperSize="9" scale="3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2:Q43"/>
  <sheetViews>
    <sheetView topLeftCell="A6" zoomScale="70" zoomScaleNormal="70" workbookViewId="0">
      <pane xSplit="1" ySplit="5" topLeftCell="B11" activePane="bottomRight" state="frozen"/>
      <selection pane="topRight" activeCell="B6" sqref="B6"/>
      <selection pane="bottomLeft" activeCell="A11" sqref="A11"/>
      <selection pane="bottomRight" activeCell="B18" sqref="B18"/>
    </sheetView>
  </sheetViews>
  <sheetFormatPr defaultColWidth="9" defaultRowHeight="15.75"/>
  <cols>
    <col min="1" max="1" width="8" style="36" customWidth="1"/>
    <col min="2" max="2" width="32.140625" style="70" customWidth="1"/>
    <col min="3" max="3" width="55.42578125" style="70" customWidth="1"/>
    <col min="4" max="4" width="17.42578125" style="69" customWidth="1"/>
    <col min="5" max="5" width="10.140625" style="36" customWidth="1"/>
    <col min="6" max="6" width="9.42578125" style="93" customWidth="1"/>
    <col min="7" max="7" width="90.140625" style="110" customWidth="1"/>
    <col min="8" max="8" width="14" style="36" hidden="1" customWidth="1"/>
    <col min="9" max="9" width="16.85546875" style="36" customWidth="1"/>
    <col min="10" max="12" width="9" style="70"/>
    <col min="13" max="13" width="13.7109375" style="70" bestFit="1" customWidth="1"/>
    <col min="14" max="16384" width="9" style="70"/>
  </cols>
  <sheetData>
    <row r="2" spans="1:17">
      <c r="B2" s="234" t="s">
        <v>79</v>
      </c>
      <c r="C2" s="234"/>
    </row>
    <row r="3" spans="1:17">
      <c r="B3" s="234" t="s">
        <v>80</v>
      </c>
      <c r="C3" s="234"/>
    </row>
    <row r="5" spans="1:17">
      <c r="A5" s="235" t="s">
        <v>81</v>
      </c>
      <c r="B5" s="235"/>
      <c r="C5" s="235"/>
      <c r="D5" s="235"/>
      <c r="E5" s="235"/>
      <c r="F5" s="235"/>
      <c r="G5" s="235"/>
      <c r="H5" s="235"/>
      <c r="I5" s="235"/>
      <c r="J5" s="71"/>
      <c r="K5" s="71"/>
      <c r="L5" s="71"/>
      <c r="M5" s="71"/>
      <c r="N5" s="71"/>
    </row>
    <row r="6" spans="1:17">
      <c r="A6" s="236" t="s">
        <v>5</v>
      </c>
      <c r="B6" s="236"/>
      <c r="C6" s="236"/>
      <c r="D6" s="236"/>
      <c r="E6" s="236"/>
      <c r="F6" s="236"/>
      <c r="G6" s="236"/>
      <c r="H6" s="236"/>
      <c r="I6" s="236"/>
      <c r="J6" s="72"/>
      <c r="K6" s="72"/>
      <c r="L6" s="72"/>
      <c r="M6" s="72"/>
      <c r="N6" s="72"/>
    </row>
    <row r="7" spans="1:17" s="74" customFormat="1">
      <c r="A7" s="237" t="s">
        <v>6</v>
      </c>
      <c r="B7" s="237"/>
      <c r="C7" s="237"/>
      <c r="D7" s="237"/>
      <c r="E7" s="237"/>
      <c r="F7" s="237"/>
      <c r="G7" s="237"/>
      <c r="H7" s="237"/>
      <c r="I7" s="237"/>
      <c r="J7" s="73"/>
      <c r="K7" s="73"/>
      <c r="L7" s="73"/>
      <c r="M7" s="73"/>
      <c r="N7" s="73"/>
      <c r="O7" s="73"/>
      <c r="P7" s="73"/>
      <c r="Q7" s="73"/>
    </row>
    <row r="9" spans="1:17" ht="47.25">
      <c r="A9" s="35" t="s">
        <v>7</v>
      </c>
      <c r="B9" s="35" t="s">
        <v>8</v>
      </c>
      <c r="C9" s="35" t="s">
        <v>9</v>
      </c>
      <c r="D9" s="35" t="s">
        <v>10</v>
      </c>
      <c r="E9" s="35" t="s">
        <v>11</v>
      </c>
      <c r="F9" s="94" t="s">
        <v>12</v>
      </c>
      <c r="G9" s="111" t="s">
        <v>13</v>
      </c>
      <c r="H9" s="35" t="s">
        <v>14</v>
      </c>
      <c r="I9" s="35" t="s">
        <v>15</v>
      </c>
    </row>
    <row r="10" spans="1:17" s="36" customFormat="1" hidden="1">
      <c r="A10" s="48" t="s">
        <v>17</v>
      </c>
      <c r="B10" s="48" t="s">
        <v>18</v>
      </c>
      <c r="C10" s="48" t="s">
        <v>19</v>
      </c>
      <c r="D10" s="48" t="s">
        <v>20</v>
      </c>
      <c r="E10" s="48" t="s">
        <v>21</v>
      </c>
      <c r="F10" s="95" t="s">
        <v>22</v>
      </c>
      <c r="G10" s="112" t="s">
        <v>23</v>
      </c>
      <c r="H10" s="48" t="s">
        <v>24</v>
      </c>
      <c r="I10" s="48" t="s">
        <v>25</v>
      </c>
    </row>
    <row r="11" spans="1:17" s="102" customFormat="1" ht="31.15" customHeight="1">
      <c r="A11" s="98">
        <v>1</v>
      </c>
      <c r="B11" s="233" t="s">
        <v>82</v>
      </c>
      <c r="C11" s="233"/>
      <c r="D11" s="233"/>
      <c r="E11" s="98"/>
      <c r="F11" s="99">
        <v>0.4</v>
      </c>
      <c r="G11" s="113"/>
      <c r="H11" s="101"/>
      <c r="I11" s="100"/>
    </row>
    <row r="12" spans="1:17" ht="29.1" customHeight="1">
      <c r="A12" s="241">
        <v>1.1000000000000001</v>
      </c>
      <c r="B12" s="243" t="s">
        <v>83</v>
      </c>
      <c r="C12" s="75" t="s">
        <v>84</v>
      </c>
      <c r="D12" s="81">
        <v>1</v>
      </c>
      <c r="E12" s="241" t="s">
        <v>85</v>
      </c>
      <c r="F12" s="245">
        <v>0.1</v>
      </c>
      <c r="G12" s="247" t="s">
        <v>86</v>
      </c>
      <c r="H12" s="249"/>
      <c r="I12" s="238"/>
    </row>
    <row r="13" spans="1:17">
      <c r="A13" s="242"/>
      <c r="B13" s="244"/>
      <c r="C13" s="75" t="s">
        <v>87</v>
      </c>
      <c r="D13" s="80" t="s">
        <v>88</v>
      </c>
      <c r="E13" s="242"/>
      <c r="F13" s="246"/>
      <c r="G13" s="248"/>
      <c r="H13" s="250"/>
      <c r="I13" s="239"/>
    </row>
    <row r="14" spans="1:17">
      <c r="A14" s="251"/>
      <c r="B14" s="252"/>
      <c r="C14" s="28" t="s">
        <v>89</v>
      </c>
      <c r="D14" s="68" t="s">
        <v>90</v>
      </c>
      <c r="E14" s="251"/>
      <c r="F14" s="253"/>
      <c r="G14" s="254"/>
      <c r="H14" s="255"/>
      <c r="I14" s="240"/>
    </row>
    <row r="15" spans="1:17" ht="50.1" hidden="1" customHeight="1">
      <c r="A15" s="241">
        <v>1.2</v>
      </c>
      <c r="B15" s="243" t="s">
        <v>91</v>
      </c>
      <c r="C15" s="28" t="s">
        <v>92</v>
      </c>
      <c r="D15" s="68" t="s">
        <v>93</v>
      </c>
      <c r="E15" s="241" t="s">
        <v>307</v>
      </c>
      <c r="F15" s="245">
        <v>0.1</v>
      </c>
      <c r="G15" s="247" t="s">
        <v>95</v>
      </c>
      <c r="H15" s="249"/>
      <c r="I15" s="238"/>
    </row>
    <row r="16" spans="1:17" ht="31.5" hidden="1">
      <c r="A16" s="242"/>
      <c r="B16" s="244"/>
      <c r="C16" s="25" t="s">
        <v>96</v>
      </c>
      <c r="D16" s="68" t="s">
        <v>97</v>
      </c>
      <c r="E16" s="242"/>
      <c r="F16" s="246"/>
      <c r="G16" s="248"/>
      <c r="H16" s="250"/>
      <c r="I16" s="239"/>
    </row>
    <row r="17" spans="1:9" ht="47.25" hidden="1">
      <c r="A17" s="251"/>
      <c r="B17" s="252"/>
      <c r="C17" s="25" t="s">
        <v>98</v>
      </c>
      <c r="D17" s="68" t="s">
        <v>99</v>
      </c>
      <c r="E17" s="251"/>
      <c r="F17" s="253"/>
      <c r="G17" s="254"/>
      <c r="H17" s="255"/>
      <c r="I17" s="240"/>
    </row>
    <row r="18" spans="1:9" ht="94.5">
      <c r="A18" s="87">
        <v>1.3</v>
      </c>
      <c r="B18" s="90" t="s">
        <v>100</v>
      </c>
      <c r="C18" s="25" t="s">
        <v>101</v>
      </c>
      <c r="D18" s="68" t="s">
        <v>102</v>
      </c>
      <c r="E18" s="67" t="s">
        <v>307</v>
      </c>
      <c r="F18" s="94">
        <v>0.17</v>
      </c>
      <c r="G18" s="114" t="s">
        <v>103</v>
      </c>
      <c r="H18" s="67"/>
      <c r="I18" s="67"/>
    </row>
    <row r="19" spans="1:9" ht="78.75">
      <c r="A19" s="87">
        <v>1.4</v>
      </c>
      <c r="B19" s="90" t="s">
        <v>104</v>
      </c>
      <c r="C19" s="83" t="s">
        <v>105</v>
      </c>
      <c r="D19" s="84" t="s">
        <v>102</v>
      </c>
      <c r="E19" s="87" t="s">
        <v>307</v>
      </c>
      <c r="F19" s="94">
        <v>0.03</v>
      </c>
      <c r="G19" s="114" t="s">
        <v>106</v>
      </c>
      <c r="H19" s="67"/>
      <c r="I19" s="67"/>
    </row>
    <row r="20" spans="1:9" s="106" customFormat="1" ht="28.5" customHeight="1">
      <c r="A20" s="98">
        <v>2</v>
      </c>
      <c r="B20" s="232" t="s">
        <v>107</v>
      </c>
      <c r="C20" s="232"/>
      <c r="D20" s="232"/>
      <c r="E20" s="232"/>
      <c r="F20" s="103">
        <v>0.15</v>
      </c>
      <c r="G20" s="115"/>
      <c r="H20" s="104"/>
      <c r="I20" s="105"/>
    </row>
    <row r="21" spans="1:9" ht="126" hidden="1">
      <c r="A21" s="67">
        <v>2.1</v>
      </c>
      <c r="B21" s="26" t="s">
        <v>108</v>
      </c>
      <c r="C21" s="26" t="s">
        <v>109</v>
      </c>
      <c r="D21" s="29" t="s">
        <v>110</v>
      </c>
      <c r="E21" s="67" t="s">
        <v>307</v>
      </c>
      <c r="F21" s="96">
        <v>0.05</v>
      </c>
      <c r="G21" s="116" t="s">
        <v>111</v>
      </c>
      <c r="H21" s="67"/>
      <c r="I21" s="67"/>
    </row>
    <row r="22" spans="1:9" ht="63" hidden="1">
      <c r="A22" s="67">
        <v>2.2000000000000002</v>
      </c>
      <c r="B22" s="26" t="s">
        <v>112</v>
      </c>
      <c r="C22" s="26" t="s">
        <v>113</v>
      </c>
      <c r="D22" s="29" t="s">
        <v>110</v>
      </c>
      <c r="E22" s="67" t="s">
        <v>307</v>
      </c>
      <c r="F22" s="96">
        <v>0.05</v>
      </c>
      <c r="G22" s="116" t="s">
        <v>114</v>
      </c>
      <c r="H22" s="67"/>
      <c r="I22" s="67"/>
    </row>
    <row r="23" spans="1:9" ht="66" hidden="1" customHeight="1">
      <c r="A23" s="67">
        <v>2.2999999999999998</v>
      </c>
      <c r="B23" s="27" t="s">
        <v>115</v>
      </c>
      <c r="C23" s="25" t="s">
        <v>116</v>
      </c>
      <c r="D23" s="29">
        <v>0</v>
      </c>
      <c r="E23" s="67" t="s">
        <v>307</v>
      </c>
      <c r="F23" s="96">
        <v>0.05</v>
      </c>
      <c r="G23" s="116" t="s">
        <v>117</v>
      </c>
      <c r="H23" s="67"/>
      <c r="I23" s="67"/>
    </row>
    <row r="24" spans="1:9" s="106" customFormat="1" ht="29.65" customHeight="1">
      <c r="A24" s="98">
        <v>3</v>
      </c>
      <c r="B24" s="256" t="s">
        <v>118</v>
      </c>
      <c r="C24" s="257"/>
      <c r="D24" s="258"/>
      <c r="E24" s="107"/>
      <c r="F24" s="99">
        <v>0.3</v>
      </c>
      <c r="G24" s="117"/>
      <c r="H24" s="108"/>
      <c r="I24" s="98"/>
    </row>
    <row r="25" spans="1:9" s="76" customFormat="1" ht="19.5" hidden="1" customHeight="1">
      <c r="A25" s="85">
        <v>3.1</v>
      </c>
      <c r="B25" s="259" t="s">
        <v>119</v>
      </c>
      <c r="C25" s="260"/>
      <c r="D25" s="260"/>
      <c r="E25" s="261"/>
      <c r="F25" s="94">
        <v>0.2</v>
      </c>
      <c r="G25" s="118"/>
      <c r="H25" s="78"/>
      <c r="I25" s="35"/>
    </row>
    <row r="26" spans="1:9" ht="45.6" hidden="1" customHeight="1">
      <c r="A26" s="87" t="s">
        <v>120</v>
      </c>
      <c r="B26" s="63" t="s">
        <v>121</v>
      </c>
      <c r="C26" s="27" t="s">
        <v>122</v>
      </c>
      <c r="D26" s="29" t="s">
        <v>123</v>
      </c>
      <c r="E26" s="67" t="s">
        <v>307</v>
      </c>
      <c r="F26" s="96">
        <v>0.05</v>
      </c>
      <c r="G26" s="116" t="s">
        <v>124</v>
      </c>
      <c r="H26" s="77"/>
      <c r="I26" s="67"/>
    </row>
    <row r="27" spans="1:9" ht="47.65" hidden="1" customHeight="1">
      <c r="A27" s="241" t="s">
        <v>120</v>
      </c>
      <c r="B27" s="243" t="s">
        <v>125</v>
      </c>
      <c r="C27" s="79" t="s">
        <v>126</v>
      </c>
      <c r="D27" s="28" t="s">
        <v>127</v>
      </c>
      <c r="E27" s="67" t="s">
        <v>94</v>
      </c>
      <c r="F27" s="96">
        <v>0.05</v>
      </c>
      <c r="G27" s="247" t="s">
        <v>128</v>
      </c>
      <c r="H27" s="67"/>
      <c r="I27" s="67"/>
    </row>
    <row r="28" spans="1:9" ht="47.65" hidden="1" customHeight="1">
      <c r="A28" s="251"/>
      <c r="B28" s="252"/>
      <c r="C28" s="79" t="s">
        <v>129</v>
      </c>
      <c r="D28" s="68">
        <v>1</v>
      </c>
      <c r="E28" s="67" t="s">
        <v>94</v>
      </c>
      <c r="F28" s="96">
        <v>0.05</v>
      </c>
      <c r="G28" s="254"/>
      <c r="H28" s="67"/>
      <c r="I28" s="67"/>
    </row>
    <row r="29" spans="1:9" ht="63" hidden="1">
      <c r="A29" s="87" t="s">
        <v>120</v>
      </c>
      <c r="B29" s="63" t="s">
        <v>130</v>
      </c>
      <c r="C29" s="27" t="s">
        <v>131</v>
      </c>
      <c r="D29" s="29" t="s">
        <v>132</v>
      </c>
      <c r="E29" s="67" t="s">
        <v>94</v>
      </c>
      <c r="F29" s="96">
        <v>0.05</v>
      </c>
      <c r="G29" s="116" t="s">
        <v>133</v>
      </c>
      <c r="H29" s="77"/>
      <c r="I29" s="67"/>
    </row>
    <row r="30" spans="1:9" ht="30" hidden="1" customHeight="1">
      <c r="A30" s="35" t="s">
        <v>134</v>
      </c>
      <c r="B30" s="263" t="s">
        <v>135</v>
      </c>
      <c r="C30" s="264"/>
      <c r="D30" s="265"/>
      <c r="E30" s="67"/>
      <c r="F30" s="94">
        <v>0.1</v>
      </c>
      <c r="G30" s="116"/>
      <c r="H30" s="67"/>
      <c r="I30" s="67"/>
    </row>
    <row r="31" spans="1:9" ht="72" hidden="1" customHeight="1">
      <c r="A31" s="67" t="s">
        <v>120</v>
      </c>
      <c r="B31" s="27" t="s">
        <v>136</v>
      </c>
      <c r="C31" s="27" t="s">
        <v>137</v>
      </c>
      <c r="D31" s="66">
        <v>1</v>
      </c>
      <c r="E31" s="67" t="s">
        <v>94</v>
      </c>
      <c r="F31" s="96">
        <v>0.05</v>
      </c>
      <c r="G31" s="116" t="s">
        <v>309</v>
      </c>
      <c r="H31" s="67"/>
      <c r="I31" s="67"/>
    </row>
    <row r="32" spans="1:9" ht="36.6" hidden="1" customHeight="1">
      <c r="A32" s="241" t="s">
        <v>120</v>
      </c>
      <c r="B32" s="266" t="s">
        <v>138</v>
      </c>
      <c r="C32" s="27" t="s">
        <v>139</v>
      </c>
      <c r="D32" s="28" t="s">
        <v>140</v>
      </c>
      <c r="E32" s="67" t="s">
        <v>94</v>
      </c>
      <c r="F32" s="269">
        <v>0.05</v>
      </c>
      <c r="G32" s="247" t="s">
        <v>141</v>
      </c>
      <c r="H32" s="67"/>
      <c r="I32" s="67"/>
    </row>
    <row r="33" spans="1:9" ht="36.6" hidden="1" customHeight="1">
      <c r="A33" s="242"/>
      <c r="B33" s="267"/>
      <c r="C33" s="27" t="s">
        <v>142</v>
      </c>
      <c r="D33" s="28" t="s">
        <v>308</v>
      </c>
      <c r="E33" s="67" t="s">
        <v>94</v>
      </c>
      <c r="F33" s="270"/>
      <c r="G33" s="248"/>
      <c r="H33" s="67"/>
      <c r="I33" s="67"/>
    </row>
    <row r="34" spans="1:9" ht="36.6" hidden="1" customHeight="1">
      <c r="A34" s="242"/>
      <c r="B34" s="267"/>
      <c r="C34" s="25" t="s">
        <v>143</v>
      </c>
      <c r="D34" s="68">
        <v>1</v>
      </c>
      <c r="E34" s="67" t="s">
        <v>94</v>
      </c>
      <c r="F34" s="270"/>
      <c r="G34" s="248"/>
      <c r="H34" s="67"/>
      <c r="I34" s="67"/>
    </row>
    <row r="35" spans="1:9" ht="60.6" hidden="1" customHeight="1">
      <c r="A35" s="251"/>
      <c r="B35" s="268"/>
      <c r="C35" s="25" t="s">
        <v>144</v>
      </c>
      <c r="D35" s="28" t="s">
        <v>310</v>
      </c>
      <c r="E35" s="67" t="s">
        <v>94</v>
      </c>
      <c r="F35" s="271"/>
      <c r="G35" s="254"/>
      <c r="H35" s="67"/>
      <c r="I35" s="67"/>
    </row>
    <row r="36" spans="1:9" s="106" customFormat="1" ht="27" customHeight="1">
      <c r="A36" s="98">
        <v>4</v>
      </c>
      <c r="B36" s="100" t="s">
        <v>145</v>
      </c>
      <c r="C36" s="100"/>
      <c r="D36" s="109"/>
      <c r="E36" s="98"/>
      <c r="F36" s="99">
        <v>0.15</v>
      </c>
      <c r="G36" s="117"/>
      <c r="H36" s="108"/>
      <c r="I36" s="98"/>
    </row>
    <row r="37" spans="1:9" ht="31.5" hidden="1">
      <c r="A37" s="272" t="s">
        <v>120</v>
      </c>
      <c r="B37" s="243" t="s">
        <v>146</v>
      </c>
      <c r="C37" s="27" t="s">
        <v>147</v>
      </c>
      <c r="D37" s="66">
        <v>1</v>
      </c>
      <c r="E37" s="67" t="s">
        <v>94</v>
      </c>
      <c r="F37" s="96">
        <v>0.05</v>
      </c>
      <c r="G37" s="116" t="s">
        <v>148</v>
      </c>
      <c r="H37" s="67"/>
      <c r="I37" s="67"/>
    </row>
    <row r="38" spans="1:9" ht="47.25" hidden="1">
      <c r="A38" s="273"/>
      <c r="B38" s="252"/>
      <c r="C38" s="27" t="s">
        <v>149</v>
      </c>
      <c r="D38" s="29" t="s">
        <v>150</v>
      </c>
      <c r="E38" s="67" t="s">
        <v>94</v>
      </c>
      <c r="F38" s="96">
        <v>0.05</v>
      </c>
      <c r="G38" s="116" t="s">
        <v>151</v>
      </c>
      <c r="H38" s="67"/>
      <c r="I38" s="67"/>
    </row>
    <row r="39" spans="1:9" ht="31.5" hidden="1">
      <c r="A39" s="82" t="s">
        <v>120</v>
      </c>
      <c r="B39" s="25" t="s">
        <v>152</v>
      </c>
      <c r="C39" s="27" t="s">
        <v>153</v>
      </c>
      <c r="D39" s="66">
        <v>1</v>
      </c>
      <c r="E39" s="67" t="s">
        <v>94</v>
      </c>
      <c r="F39" s="96">
        <v>0.05</v>
      </c>
      <c r="G39" s="116" t="s">
        <v>148</v>
      </c>
      <c r="H39" s="67"/>
      <c r="I39" s="67"/>
    </row>
    <row r="40" spans="1:9" s="76" customFormat="1" hidden="1">
      <c r="A40" s="35"/>
      <c r="B40" s="62" t="s">
        <v>154</v>
      </c>
      <c r="C40" s="61"/>
      <c r="D40" s="40"/>
      <c r="E40" s="35"/>
      <c r="F40" s="97"/>
      <c r="G40" s="119"/>
      <c r="H40" s="35"/>
      <c r="I40" s="35"/>
    </row>
    <row r="43" spans="1:9" s="59" customFormat="1" ht="15.75" customHeight="1">
      <c r="A43" s="262" t="s">
        <v>155</v>
      </c>
      <c r="B43" s="262"/>
      <c r="C43" s="262"/>
      <c r="D43" s="262"/>
      <c r="E43" s="262"/>
      <c r="F43" s="262"/>
      <c r="G43" s="262"/>
      <c r="H43" s="262"/>
      <c r="I43" s="262"/>
    </row>
  </sheetData>
  <autoFilter ref="A9:I40" xr:uid="{00000000-0009-0000-0000-000002000000}">
    <filterColumn colId="0">
      <filters>
        <filter val="1"/>
        <filter val="1.1"/>
        <filter val="1.2"/>
        <filter val="1.3"/>
        <filter val="1.4"/>
        <filter val="2"/>
        <filter val="3"/>
        <filter val="4"/>
      </filters>
    </filterColumn>
  </autoFilter>
  <mergeCells count="34">
    <mergeCell ref="B24:D24"/>
    <mergeCell ref="B25:E25"/>
    <mergeCell ref="A27:A28"/>
    <mergeCell ref="B27:B28"/>
    <mergeCell ref="A43:I43"/>
    <mergeCell ref="B30:D30"/>
    <mergeCell ref="A32:A35"/>
    <mergeCell ref="B32:B35"/>
    <mergeCell ref="F32:F35"/>
    <mergeCell ref="G32:G35"/>
    <mergeCell ref="A37:A38"/>
    <mergeCell ref="B37:B38"/>
    <mergeCell ref="G27:G28"/>
    <mergeCell ref="B12:B14"/>
    <mergeCell ref="E12:E14"/>
    <mergeCell ref="F12:F14"/>
    <mergeCell ref="G12:G14"/>
    <mergeCell ref="H12:H14"/>
    <mergeCell ref="B20:E20"/>
    <mergeCell ref="B11:D11"/>
    <mergeCell ref="B2:C2"/>
    <mergeCell ref="B3:C3"/>
    <mergeCell ref="A5:I5"/>
    <mergeCell ref="A6:I6"/>
    <mergeCell ref="A7:I7"/>
    <mergeCell ref="I12:I14"/>
    <mergeCell ref="A15:A17"/>
    <mergeCell ref="B15:B17"/>
    <mergeCell ref="E15:E17"/>
    <mergeCell ref="F15:F17"/>
    <mergeCell ref="G15:G17"/>
    <mergeCell ref="H15:H17"/>
    <mergeCell ref="I15:I17"/>
    <mergeCell ref="A12:A14"/>
  </mergeCells>
  <pageMargins left="0.7" right="0.7" top="0.75" bottom="0.75" header="0.3" footer="0.3"/>
  <pageSetup paperSize="9" scale="36"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0C962-6A56-4B51-AEE1-4588C9E8EC3A}">
  <sheetPr>
    <tabColor rgb="FF92D050"/>
  </sheetPr>
  <dimension ref="A1:AB807"/>
  <sheetViews>
    <sheetView tabSelected="1" view="pageBreakPreview" zoomScale="55" zoomScaleNormal="55" zoomScaleSheetLayoutView="55" workbookViewId="0">
      <pane xSplit="7" ySplit="2" topLeftCell="O30" activePane="bottomRight" state="frozen"/>
      <selection pane="topRight" activeCell="H1" sqref="H1"/>
      <selection pane="bottomLeft" activeCell="A3" sqref="A3"/>
      <selection pane="bottomRight" activeCell="Y28" sqref="Y28"/>
    </sheetView>
  </sheetViews>
  <sheetFormatPr defaultColWidth="9" defaultRowHeight="18.75"/>
  <cols>
    <col min="1" max="1" width="7.85546875" style="138" customWidth="1"/>
    <col min="2" max="2" width="37.42578125" style="138" customWidth="1"/>
    <col min="3" max="3" width="41.140625" style="152" customWidth="1"/>
    <col min="4" max="4" width="29.28515625" style="151" customWidth="1"/>
    <col min="5" max="5" width="13" style="151" customWidth="1"/>
    <col min="6" max="6" width="14.28515625" style="151" customWidth="1"/>
    <col min="7" max="7" width="9.7109375" style="150" bestFit="1" customWidth="1"/>
    <col min="8" max="8" width="91.7109375" style="150" customWidth="1"/>
    <col min="9" max="10" width="13.5703125" style="138" customWidth="1"/>
    <col min="11" max="11" width="12.140625" style="138" customWidth="1"/>
    <col min="12" max="12" width="15" style="138" customWidth="1"/>
    <col min="13" max="13" width="35.28515625" style="191" customWidth="1"/>
    <col min="14" max="14" width="17.85546875" style="192" customWidth="1"/>
    <col min="15" max="15" width="15.42578125" style="193" customWidth="1"/>
    <col min="16" max="16" width="35.28515625" style="191" customWidth="1"/>
    <col min="17" max="17" width="17.85546875" style="192" customWidth="1"/>
    <col min="18" max="18" width="15.42578125" style="193" customWidth="1"/>
    <col min="19" max="19" width="38.28515625" style="191" customWidth="1"/>
    <col min="20" max="20" width="23.140625" style="192" customWidth="1"/>
    <col min="21" max="21" width="15.42578125" style="193" customWidth="1"/>
    <col min="22" max="22" width="40.5703125" style="191" customWidth="1"/>
    <col min="23" max="23" width="23.140625" style="192" customWidth="1"/>
    <col min="24" max="24" width="15.42578125" style="193" customWidth="1"/>
    <col min="25" max="25" width="40.5703125" style="191" customWidth="1"/>
    <col min="26" max="26" width="23.140625" style="192" customWidth="1"/>
    <col min="27" max="28" width="15.42578125" style="193" customWidth="1"/>
    <col min="29" max="16384" width="9" style="138"/>
  </cols>
  <sheetData>
    <row r="1" spans="1:28" s="183" customFormat="1" ht="43.9" customHeight="1">
      <c r="A1" s="206" t="s">
        <v>495</v>
      </c>
      <c r="B1" s="206"/>
      <c r="C1" s="206"/>
      <c r="D1" s="206"/>
      <c r="E1" s="206"/>
      <c r="F1" s="206"/>
      <c r="G1" s="206"/>
      <c r="H1" s="206"/>
      <c r="I1" s="206"/>
      <c r="J1" s="206"/>
      <c r="K1" s="206"/>
      <c r="L1" s="206"/>
      <c r="M1" s="206"/>
      <c r="N1" s="206"/>
      <c r="O1" s="206"/>
      <c r="P1" s="206"/>
      <c r="Q1" s="206"/>
      <c r="R1" s="206"/>
      <c r="S1" s="206"/>
      <c r="T1" s="206"/>
      <c r="U1" s="206"/>
      <c r="V1" s="206"/>
      <c r="W1" s="206"/>
      <c r="X1" s="206"/>
      <c r="Y1" s="206"/>
      <c r="Z1" s="206"/>
      <c r="AA1" s="206"/>
      <c r="AB1" s="201"/>
    </row>
    <row r="2" spans="1:28" ht="75">
      <c r="A2" s="179" t="s">
        <v>7</v>
      </c>
      <c r="B2" s="139" t="s">
        <v>420</v>
      </c>
      <c r="C2" s="139" t="s">
        <v>413</v>
      </c>
      <c r="D2" s="139" t="s">
        <v>9</v>
      </c>
      <c r="E2" s="139" t="s">
        <v>414</v>
      </c>
      <c r="F2" s="139" t="s">
        <v>335</v>
      </c>
      <c r="G2" s="140" t="s">
        <v>415</v>
      </c>
      <c r="H2" s="140" t="s">
        <v>13</v>
      </c>
      <c r="I2" s="139" t="s">
        <v>332</v>
      </c>
      <c r="J2" s="139" t="s">
        <v>333</v>
      </c>
      <c r="K2" s="139" t="s">
        <v>376</v>
      </c>
      <c r="L2" s="139" t="s">
        <v>377</v>
      </c>
      <c r="M2" s="204" t="s">
        <v>478</v>
      </c>
      <c r="N2" s="204"/>
      <c r="O2" s="204"/>
      <c r="P2" s="204" t="s">
        <v>497</v>
      </c>
      <c r="Q2" s="204"/>
      <c r="R2" s="204"/>
      <c r="S2" s="204" t="s">
        <v>504</v>
      </c>
      <c r="T2" s="204"/>
      <c r="U2" s="204"/>
      <c r="V2" s="204" t="s">
        <v>520</v>
      </c>
      <c r="W2" s="204"/>
      <c r="X2" s="204"/>
      <c r="Y2" s="204" t="s">
        <v>533</v>
      </c>
      <c r="Z2" s="204"/>
      <c r="AA2" s="204"/>
      <c r="AB2" s="202"/>
    </row>
    <row r="3" spans="1:28" s="142" customFormat="1" ht="60.6" customHeight="1">
      <c r="A3" s="180">
        <v>1</v>
      </c>
      <c r="B3" s="133" t="s">
        <v>421</v>
      </c>
      <c r="C3" s="154" t="s">
        <v>368</v>
      </c>
      <c r="D3" s="131" t="s">
        <v>383</v>
      </c>
      <c r="E3" s="131">
        <v>0</v>
      </c>
      <c r="F3" s="131" t="s">
        <v>94</v>
      </c>
      <c r="G3" s="132">
        <v>0.15</v>
      </c>
      <c r="H3" s="143"/>
      <c r="I3" s="144"/>
      <c r="J3" s="144"/>
      <c r="K3" s="133"/>
      <c r="L3" s="133"/>
      <c r="M3" s="195" t="s">
        <v>366</v>
      </c>
      <c r="N3" s="195" t="s">
        <v>470</v>
      </c>
      <c r="O3" s="194" t="s">
        <v>313</v>
      </c>
      <c r="P3" s="195" t="s">
        <v>366</v>
      </c>
      <c r="Q3" s="195" t="s">
        <v>470</v>
      </c>
      <c r="R3" s="194" t="s">
        <v>313</v>
      </c>
      <c r="S3" s="195" t="s">
        <v>366</v>
      </c>
      <c r="T3" s="195" t="s">
        <v>470</v>
      </c>
      <c r="U3" s="194" t="s">
        <v>313</v>
      </c>
      <c r="V3" s="195" t="s">
        <v>366</v>
      </c>
      <c r="W3" s="195" t="s">
        <v>470</v>
      </c>
      <c r="X3" s="194" t="s">
        <v>313</v>
      </c>
      <c r="Y3" s="195" t="s">
        <v>366</v>
      </c>
      <c r="Z3" s="195" t="s">
        <v>470</v>
      </c>
      <c r="AA3" s="194" t="s">
        <v>313</v>
      </c>
      <c r="AB3" s="202"/>
    </row>
    <row r="4" spans="1:28" ht="130.9" customHeight="1">
      <c r="A4" s="141">
        <v>2</v>
      </c>
      <c r="B4" s="155" t="s">
        <v>422</v>
      </c>
      <c r="C4" s="122" t="s">
        <v>378</v>
      </c>
      <c r="D4" s="122" t="s">
        <v>374</v>
      </c>
      <c r="E4" s="128">
        <v>1</v>
      </c>
      <c r="F4" s="123" t="s">
        <v>307</v>
      </c>
      <c r="G4" s="128">
        <v>0.1</v>
      </c>
      <c r="H4" s="125" t="s">
        <v>432</v>
      </c>
      <c r="I4" s="126">
        <v>46023</v>
      </c>
      <c r="J4" s="127" t="s">
        <v>404</v>
      </c>
      <c r="K4" s="145" t="s">
        <v>390</v>
      </c>
      <c r="L4" s="167" t="s">
        <v>375</v>
      </c>
      <c r="M4" s="125" t="s">
        <v>479</v>
      </c>
      <c r="N4" s="125" t="s">
        <v>471</v>
      </c>
      <c r="O4" s="125"/>
      <c r="P4" s="125" t="s">
        <v>479</v>
      </c>
      <c r="Q4" s="125" t="s">
        <v>471</v>
      </c>
      <c r="R4" s="125"/>
      <c r="S4" s="125" t="s">
        <v>479</v>
      </c>
      <c r="T4" s="125" t="s">
        <v>471</v>
      </c>
      <c r="U4" s="125"/>
      <c r="V4" s="125" t="s">
        <v>479</v>
      </c>
      <c r="W4" s="125" t="s">
        <v>471</v>
      </c>
      <c r="X4" s="125"/>
      <c r="Y4" s="125" t="s">
        <v>479</v>
      </c>
      <c r="Z4" s="125" t="s">
        <v>471</v>
      </c>
      <c r="AA4" s="125"/>
      <c r="AB4" s="203"/>
    </row>
    <row r="5" spans="1:28" ht="93" customHeight="1">
      <c r="A5" s="181">
        <v>3</v>
      </c>
      <c r="B5" s="155" t="s">
        <v>434</v>
      </c>
      <c r="C5" s="122" t="s">
        <v>457</v>
      </c>
      <c r="D5" s="122" t="s">
        <v>379</v>
      </c>
      <c r="E5" s="128">
        <v>1</v>
      </c>
      <c r="F5" s="123" t="s">
        <v>307</v>
      </c>
      <c r="G5" s="128">
        <v>0.03</v>
      </c>
      <c r="H5" s="125" t="s">
        <v>416</v>
      </c>
      <c r="I5" s="126">
        <v>46023</v>
      </c>
      <c r="J5" s="127" t="s">
        <v>404</v>
      </c>
      <c r="K5" s="145" t="s">
        <v>390</v>
      </c>
      <c r="L5" s="167" t="s">
        <v>375</v>
      </c>
      <c r="M5" s="125" t="s">
        <v>481</v>
      </c>
      <c r="N5" s="125" t="s">
        <v>471</v>
      </c>
      <c r="O5" s="125"/>
      <c r="P5" s="125" t="s">
        <v>481</v>
      </c>
      <c r="Q5" s="125" t="s">
        <v>471</v>
      </c>
      <c r="R5" s="125"/>
      <c r="S5" s="125" t="s">
        <v>481</v>
      </c>
      <c r="T5" s="125" t="s">
        <v>471</v>
      </c>
      <c r="U5" s="125"/>
      <c r="V5" s="125" t="s">
        <v>481</v>
      </c>
      <c r="W5" s="125" t="s">
        <v>471</v>
      </c>
      <c r="X5" s="125"/>
      <c r="Y5" s="125" t="s">
        <v>481</v>
      </c>
      <c r="Z5" s="125" t="s">
        <v>471</v>
      </c>
      <c r="AA5" s="125"/>
      <c r="AB5" s="203"/>
    </row>
    <row r="6" spans="1:28" ht="80.45" customHeight="1">
      <c r="A6" s="141">
        <v>4</v>
      </c>
      <c r="B6" s="155" t="s">
        <v>435</v>
      </c>
      <c r="C6" s="122" t="s">
        <v>380</v>
      </c>
      <c r="D6" s="122" t="s">
        <v>379</v>
      </c>
      <c r="E6" s="128">
        <v>1</v>
      </c>
      <c r="F6" s="123" t="s">
        <v>307</v>
      </c>
      <c r="G6" s="128">
        <v>0.02</v>
      </c>
      <c r="H6" s="125" t="s">
        <v>417</v>
      </c>
      <c r="I6" s="126">
        <v>46023</v>
      </c>
      <c r="J6" s="127" t="s">
        <v>404</v>
      </c>
      <c r="K6" s="167" t="s">
        <v>390</v>
      </c>
      <c r="L6" s="167" t="s">
        <v>375</v>
      </c>
      <c r="M6" s="125" t="s">
        <v>481</v>
      </c>
      <c r="N6" s="125" t="s">
        <v>471</v>
      </c>
      <c r="O6" s="185"/>
      <c r="P6" s="125" t="s">
        <v>481</v>
      </c>
      <c r="Q6" s="125" t="s">
        <v>471</v>
      </c>
      <c r="R6" s="185"/>
      <c r="S6" s="125" t="s">
        <v>481</v>
      </c>
      <c r="T6" s="125" t="s">
        <v>471</v>
      </c>
      <c r="U6" s="185"/>
      <c r="V6" s="125" t="s">
        <v>481</v>
      </c>
      <c r="W6" s="125" t="s">
        <v>471</v>
      </c>
      <c r="X6" s="185"/>
      <c r="Y6" s="125" t="s">
        <v>481</v>
      </c>
      <c r="Z6" s="125" t="s">
        <v>471</v>
      </c>
      <c r="AA6" s="185"/>
      <c r="AB6" s="189"/>
    </row>
    <row r="7" spans="1:28" s="142" customFormat="1" ht="75">
      <c r="A7" s="180">
        <v>5</v>
      </c>
      <c r="B7" s="133" t="s">
        <v>423</v>
      </c>
      <c r="C7" s="156" t="s">
        <v>336</v>
      </c>
      <c r="D7" s="131" t="s">
        <v>381</v>
      </c>
      <c r="E7" s="131" t="s">
        <v>382</v>
      </c>
      <c r="F7" s="131" t="s">
        <v>85</v>
      </c>
      <c r="G7" s="132">
        <v>0.2</v>
      </c>
      <c r="H7" s="132"/>
      <c r="I7" s="144"/>
      <c r="J7" s="144"/>
      <c r="K7" s="133"/>
      <c r="L7" s="133"/>
      <c r="M7" s="184"/>
      <c r="N7" s="186"/>
      <c r="O7" s="185"/>
      <c r="P7" s="184"/>
      <c r="Q7" s="186"/>
      <c r="R7" s="185"/>
      <c r="S7" s="184"/>
      <c r="T7" s="186"/>
      <c r="U7" s="185"/>
      <c r="V7" s="184"/>
      <c r="W7" s="186"/>
      <c r="X7" s="185"/>
      <c r="Y7" s="184"/>
      <c r="Z7" s="186"/>
      <c r="AA7" s="185"/>
      <c r="AB7" s="189"/>
    </row>
    <row r="8" spans="1:28" s="147" customFormat="1" ht="81" customHeight="1">
      <c r="A8" s="181">
        <v>6</v>
      </c>
      <c r="B8" s="157" t="s">
        <v>424</v>
      </c>
      <c r="C8" s="122" t="s">
        <v>369</v>
      </c>
      <c r="D8" s="122" t="s">
        <v>372</v>
      </c>
      <c r="E8" s="128">
        <v>1</v>
      </c>
      <c r="F8" s="123" t="s">
        <v>94</v>
      </c>
      <c r="G8" s="124">
        <v>0.03</v>
      </c>
      <c r="H8" s="125" t="s">
        <v>373</v>
      </c>
      <c r="I8" s="126">
        <v>46023</v>
      </c>
      <c r="J8" s="127">
        <v>46387</v>
      </c>
      <c r="K8" s="167" t="s">
        <v>371</v>
      </c>
      <c r="L8" s="167" t="s">
        <v>370</v>
      </c>
      <c r="M8" s="125" t="s">
        <v>482</v>
      </c>
      <c r="N8" s="125" t="s">
        <v>471</v>
      </c>
      <c r="O8" s="185"/>
      <c r="P8" s="125" t="s">
        <v>498</v>
      </c>
      <c r="Q8" s="125" t="s">
        <v>471</v>
      </c>
      <c r="R8" s="185"/>
      <c r="S8" s="125" t="s">
        <v>498</v>
      </c>
      <c r="T8" s="125" t="s">
        <v>471</v>
      </c>
      <c r="U8" s="185"/>
      <c r="V8" s="125" t="s">
        <v>521</v>
      </c>
      <c r="W8" s="125" t="s">
        <v>471</v>
      </c>
      <c r="X8" s="185"/>
      <c r="Y8" s="125" t="s">
        <v>521</v>
      </c>
      <c r="Z8" s="125" t="s">
        <v>471</v>
      </c>
      <c r="AA8" s="185"/>
      <c r="AB8" s="189"/>
    </row>
    <row r="9" spans="1:28" ht="153" customHeight="1">
      <c r="A9" s="181">
        <v>7</v>
      </c>
      <c r="B9" s="157" t="s">
        <v>436</v>
      </c>
      <c r="C9" s="163" t="s">
        <v>433</v>
      </c>
      <c r="D9" s="177" t="s">
        <v>318</v>
      </c>
      <c r="E9" s="196" t="s">
        <v>102</v>
      </c>
      <c r="F9" s="169" t="s">
        <v>307</v>
      </c>
      <c r="G9" s="135">
        <v>0.1</v>
      </c>
      <c r="H9" s="164" t="s">
        <v>346</v>
      </c>
      <c r="I9" s="126">
        <v>46023</v>
      </c>
      <c r="J9" s="127" t="s">
        <v>404</v>
      </c>
      <c r="K9" s="167" t="s">
        <v>390</v>
      </c>
      <c r="L9" s="167" t="s">
        <v>375</v>
      </c>
      <c r="M9" s="125" t="s">
        <v>496</v>
      </c>
      <c r="N9" s="125" t="s">
        <v>471</v>
      </c>
      <c r="O9" s="185"/>
      <c r="P9" s="125" t="s">
        <v>499</v>
      </c>
      <c r="Q9" s="125" t="s">
        <v>471</v>
      </c>
      <c r="R9" s="185"/>
      <c r="S9" s="125" t="s">
        <v>505</v>
      </c>
      <c r="T9" s="125" t="s">
        <v>471</v>
      </c>
      <c r="U9" s="185"/>
      <c r="V9" s="125" t="s">
        <v>522</v>
      </c>
      <c r="W9" s="125" t="s">
        <v>471</v>
      </c>
      <c r="X9" s="185"/>
      <c r="Y9" s="125" t="s">
        <v>534</v>
      </c>
      <c r="Z9" s="125" t="s">
        <v>471</v>
      </c>
      <c r="AA9" s="185"/>
      <c r="AB9" s="189"/>
    </row>
    <row r="10" spans="1:28" ht="177" customHeight="1">
      <c r="A10" s="141">
        <v>8</v>
      </c>
      <c r="B10" s="157" t="s">
        <v>437</v>
      </c>
      <c r="C10" s="163" t="s">
        <v>458</v>
      </c>
      <c r="D10" s="170" t="s">
        <v>319</v>
      </c>
      <c r="E10" s="197" t="s">
        <v>324</v>
      </c>
      <c r="F10" s="168" t="s">
        <v>316</v>
      </c>
      <c r="G10" s="165">
        <v>0.05</v>
      </c>
      <c r="H10" s="166" t="s">
        <v>347</v>
      </c>
      <c r="I10" s="168" t="s">
        <v>316</v>
      </c>
      <c r="J10" s="168" t="s">
        <v>316</v>
      </c>
      <c r="K10" s="198" t="s">
        <v>334</v>
      </c>
      <c r="L10" s="167" t="s">
        <v>375</v>
      </c>
      <c r="M10" s="125" t="s">
        <v>481</v>
      </c>
      <c r="N10" s="125" t="s">
        <v>471</v>
      </c>
      <c r="O10" s="185"/>
      <c r="P10" s="125" t="s">
        <v>481</v>
      </c>
      <c r="Q10" s="125" t="s">
        <v>471</v>
      </c>
      <c r="R10" s="185"/>
      <c r="S10" s="125" t="s">
        <v>506</v>
      </c>
      <c r="T10" s="125" t="s">
        <v>471</v>
      </c>
      <c r="U10" s="185"/>
      <c r="V10" s="125" t="s">
        <v>523</v>
      </c>
      <c r="W10" s="125" t="s">
        <v>471</v>
      </c>
      <c r="X10" s="185"/>
      <c r="Y10" s="125" t="s">
        <v>523</v>
      </c>
      <c r="Z10" s="125" t="s">
        <v>471</v>
      </c>
      <c r="AA10" s="185"/>
      <c r="AB10" s="189"/>
    </row>
    <row r="11" spans="1:28" s="147" customFormat="1" ht="162" customHeight="1">
      <c r="A11" s="181">
        <v>9</v>
      </c>
      <c r="B11" s="157" t="s">
        <v>438</v>
      </c>
      <c r="C11" s="122" t="s">
        <v>408</v>
      </c>
      <c r="D11" s="123" t="s">
        <v>384</v>
      </c>
      <c r="E11" s="128">
        <v>1</v>
      </c>
      <c r="F11" s="168" t="s">
        <v>316</v>
      </c>
      <c r="G11" s="135">
        <v>0.01</v>
      </c>
      <c r="H11" s="166" t="s">
        <v>385</v>
      </c>
      <c r="I11" s="168" t="s">
        <v>316</v>
      </c>
      <c r="J11" s="168" t="s">
        <v>316</v>
      </c>
      <c r="K11" s="198" t="s">
        <v>334</v>
      </c>
      <c r="L11" s="167" t="s">
        <v>375</v>
      </c>
      <c r="M11" s="125" t="s">
        <v>481</v>
      </c>
      <c r="N11" s="125" t="s">
        <v>471</v>
      </c>
      <c r="O11" s="187"/>
      <c r="P11" s="125" t="s">
        <v>481</v>
      </c>
      <c r="Q11" s="125" t="s">
        <v>471</v>
      </c>
      <c r="R11" s="187"/>
      <c r="S11" s="125" t="s">
        <v>507</v>
      </c>
      <c r="T11" s="125" t="s">
        <v>471</v>
      </c>
      <c r="U11" s="187"/>
      <c r="V11" s="125" t="s">
        <v>524</v>
      </c>
      <c r="W11" s="125" t="s">
        <v>471</v>
      </c>
      <c r="X11" s="187"/>
      <c r="Y11" s="125" t="s">
        <v>524</v>
      </c>
      <c r="Z11" s="125" t="s">
        <v>471</v>
      </c>
      <c r="AA11" s="187"/>
      <c r="AB11" s="193"/>
    </row>
    <row r="12" spans="1:28" s="147" customFormat="1" ht="63" customHeight="1">
      <c r="A12" s="181">
        <v>10</v>
      </c>
      <c r="B12" s="157" t="s">
        <v>459</v>
      </c>
      <c r="C12" s="122" t="s">
        <v>338</v>
      </c>
      <c r="D12" s="122" t="s">
        <v>362</v>
      </c>
      <c r="E12" s="128" t="s">
        <v>339</v>
      </c>
      <c r="F12" s="123" t="s">
        <v>307</v>
      </c>
      <c r="G12" s="135">
        <v>0.01</v>
      </c>
      <c r="H12" s="164" t="s">
        <v>361</v>
      </c>
      <c r="I12" s="126">
        <v>46023</v>
      </c>
      <c r="J12" s="127" t="s">
        <v>404</v>
      </c>
      <c r="K12" s="177" t="s">
        <v>390</v>
      </c>
      <c r="L12" s="167" t="s">
        <v>375</v>
      </c>
      <c r="M12" s="125" t="s">
        <v>483</v>
      </c>
      <c r="N12" s="125" t="s">
        <v>471</v>
      </c>
      <c r="O12" s="187"/>
      <c r="P12" s="125" t="s">
        <v>481</v>
      </c>
      <c r="Q12" s="125" t="s">
        <v>471</v>
      </c>
      <c r="R12" s="187"/>
      <c r="S12" s="125" t="s">
        <v>481</v>
      </c>
      <c r="T12" s="125" t="s">
        <v>471</v>
      </c>
      <c r="U12" s="187"/>
      <c r="V12" s="125" t="s">
        <v>481</v>
      </c>
      <c r="W12" s="125" t="s">
        <v>471</v>
      </c>
      <c r="X12" s="187"/>
      <c r="Y12" s="125" t="s">
        <v>481</v>
      </c>
      <c r="Z12" s="125" t="s">
        <v>471</v>
      </c>
      <c r="AA12" s="187"/>
      <c r="AB12" s="193"/>
    </row>
    <row r="13" spans="1:28" s="142" customFormat="1" ht="61.9" customHeight="1">
      <c r="A13" s="180">
        <v>11</v>
      </c>
      <c r="B13" s="133" t="s">
        <v>425</v>
      </c>
      <c r="C13" s="130" t="s">
        <v>315</v>
      </c>
      <c r="D13" s="131" t="s">
        <v>340</v>
      </c>
      <c r="E13" s="131">
        <v>0</v>
      </c>
      <c r="F13" s="131"/>
      <c r="G13" s="132">
        <v>0.15</v>
      </c>
      <c r="H13" s="132"/>
      <c r="I13" s="148"/>
      <c r="J13" s="148"/>
      <c r="K13" s="133"/>
      <c r="L13" s="133"/>
      <c r="M13" s="125"/>
      <c r="N13" s="125"/>
      <c r="O13" s="27"/>
      <c r="P13" s="125"/>
      <c r="Q13" s="125"/>
      <c r="R13" s="27"/>
      <c r="S13" s="125"/>
      <c r="T13" s="125"/>
      <c r="U13" s="27"/>
      <c r="V13" s="125"/>
      <c r="W13" s="125"/>
      <c r="X13" s="27"/>
      <c r="Y13" s="125"/>
      <c r="Z13" s="125"/>
      <c r="AA13" s="27"/>
      <c r="AB13" s="70"/>
    </row>
    <row r="14" spans="1:28" s="147" customFormat="1" ht="75">
      <c r="A14" s="181">
        <v>12</v>
      </c>
      <c r="B14" s="155" t="s">
        <v>426</v>
      </c>
      <c r="C14" s="122" t="s">
        <v>348</v>
      </c>
      <c r="D14" s="199" t="s">
        <v>359</v>
      </c>
      <c r="E14" s="135" t="s">
        <v>317</v>
      </c>
      <c r="F14" s="169" t="s">
        <v>307</v>
      </c>
      <c r="G14" s="176">
        <v>0.05</v>
      </c>
      <c r="H14" s="164" t="s">
        <v>386</v>
      </c>
      <c r="I14" s="126">
        <v>46023</v>
      </c>
      <c r="J14" s="127" t="s">
        <v>404</v>
      </c>
      <c r="K14" s="137" t="s">
        <v>387</v>
      </c>
      <c r="L14" s="167" t="s">
        <v>375</v>
      </c>
      <c r="M14" s="125" t="s">
        <v>484</v>
      </c>
      <c r="N14" s="125" t="s">
        <v>471</v>
      </c>
      <c r="O14" s="185"/>
      <c r="P14" s="125" t="s">
        <v>484</v>
      </c>
      <c r="Q14" s="125" t="s">
        <v>471</v>
      </c>
      <c r="R14" s="185"/>
      <c r="S14" s="125" t="s">
        <v>484</v>
      </c>
      <c r="T14" s="125" t="s">
        <v>471</v>
      </c>
      <c r="U14" s="185"/>
      <c r="V14" s="125" t="s">
        <v>484</v>
      </c>
      <c r="W14" s="125" t="s">
        <v>471</v>
      </c>
      <c r="X14" s="185"/>
      <c r="Y14" s="125" t="s">
        <v>484</v>
      </c>
      <c r="Z14" s="125" t="s">
        <v>471</v>
      </c>
      <c r="AA14" s="185"/>
      <c r="AB14" s="189"/>
    </row>
    <row r="15" spans="1:28" s="147" customFormat="1" ht="57.6" customHeight="1">
      <c r="A15" s="141">
        <v>13</v>
      </c>
      <c r="B15" s="155" t="s">
        <v>439</v>
      </c>
      <c r="C15" s="122" t="s">
        <v>320</v>
      </c>
      <c r="D15" s="166" t="s">
        <v>344</v>
      </c>
      <c r="E15" s="165" t="s">
        <v>363</v>
      </c>
      <c r="F15" s="168" t="s">
        <v>307</v>
      </c>
      <c r="G15" s="165">
        <v>0.08</v>
      </c>
      <c r="H15" s="166" t="s">
        <v>345</v>
      </c>
      <c r="I15" s="126">
        <v>46023</v>
      </c>
      <c r="J15" s="127" t="s">
        <v>404</v>
      </c>
      <c r="K15" s="137" t="s">
        <v>387</v>
      </c>
      <c r="L15" s="167" t="s">
        <v>375</v>
      </c>
      <c r="M15" s="125" t="s">
        <v>485</v>
      </c>
      <c r="N15" s="125" t="s">
        <v>472</v>
      </c>
      <c r="O15" s="185"/>
      <c r="P15" s="125" t="s">
        <v>500</v>
      </c>
      <c r="Q15" s="125" t="s">
        <v>472</v>
      </c>
      <c r="R15" s="185"/>
      <c r="S15" s="125" t="s">
        <v>508</v>
      </c>
      <c r="T15" s="200" t="s">
        <v>472</v>
      </c>
      <c r="U15" s="185"/>
      <c r="V15" s="125" t="s">
        <v>525</v>
      </c>
      <c r="W15" s="200" t="s">
        <v>472</v>
      </c>
      <c r="X15" s="185"/>
      <c r="Y15" s="125" t="s">
        <v>542</v>
      </c>
      <c r="Z15" s="200" t="s">
        <v>472</v>
      </c>
      <c r="AA15" s="185"/>
      <c r="AB15" s="189"/>
    </row>
    <row r="16" spans="1:28" s="147" customFormat="1" ht="52.15" customHeight="1">
      <c r="A16" s="181">
        <v>14</v>
      </c>
      <c r="B16" s="155" t="s">
        <v>440</v>
      </c>
      <c r="C16" s="122" t="s">
        <v>341</v>
      </c>
      <c r="D16" s="164" t="s">
        <v>360</v>
      </c>
      <c r="E16" s="135">
        <v>1</v>
      </c>
      <c r="F16" s="169" t="s">
        <v>307</v>
      </c>
      <c r="G16" s="165">
        <v>0.02</v>
      </c>
      <c r="H16" s="164" t="s">
        <v>330</v>
      </c>
      <c r="I16" s="126">
        <v>46023</v>
      </c>
      <c r="J16" s="127" t="s">
        <v>404</v>
      </c>
      <c r="K16" s="137" t="s">
        <v>387</v>
      </c>
      <c r="L16" s="167" t="s">
        <v>375</v>
      </c>
      <c r="M16" s="125" t="s">
        <v>473</v>
      </c>
      <c r="N16" s="125" t="s">
        <v>471</v>
      </c>
      <c r="O16" s="185"/>
      <c r="P16" s="125" t="s">
        <v>473</v>
      </c>
      <c r="Q16" s="125" t="s">
        <v>471</v>
      </c>
      <c r="R16" s="185"/>
      <c r="S16" s="125" t="s">
        <v>473</v>
      </c>
      <c r="T16" s="125" t="s">
        <v>471</v>
      </c>
      <c r="U16" s="185"/>
      <c r="V16" s="125" t="s">
        <v>473</v>
      </c>
      <c r="W16" s="125" t="s">
        <v>471</v>
      </c>
      <c r="X16" s="185"/>
      <c r="Y16" s="125" t="s">
        <v>473</v>
      </c>
      <c r="Z16" s="125" t="s">
        <v>471</v>
      </c>
      <c r="AA16" s="185"/>
      <c r="AB16" s="189"/>
    </row>
    <row r="17" spans="1:28" s="142" customFormat="1" ht="56.45" customHeight="1">
      <c r="A17" s="180">
        <v>15</v>
      </c>
      <c r="B17" s="133" t="s">
        <v>427</v>
      </c>
      <c r="C17" s="130" t="s">
        <v>342</v>
      </c>
      <c r="D17" s="131"/>
      <c r="E17" s="131"/>
      <c r="F17" s="131"/>
      <c r="G17" s="132">
        <v>0.2</v>
      </c>
      <c r="H17" s="132"/>
      <c r="I17" s="144"/>
      <c r="J17" s="144"/>
      <c r="K17" s="133"/>
      <c r="L17" s="133"/>
      <c r="M17" s="125"/>
      <c r="N17" s="125"/>
      <c r="O17" s="185"/>
      <c r="P17" s="125"/>
      <c r="Q17" s="125"/>
      <c r="R17" s="185"/>
      <c r="S17" s="125"/>
      <c r="T17" s="125"/>
      <c r="U17" s="185"/>
      <c r="V17" s="125"/>
      <c r="W17" s="125"/>
      <c r="X17" s="185"/>
      <c r="Y17" s="125"/>
      <c r="Z17" s="125"/>
      <c r="AA17" s="185"/>
      <c r="AB17" s="189"/>
    </row>
    <row r="18" spans="1:28" s="142" customFormat="1" ht="75">
      <c r="A18" s="141">
        <v>16</v>
      </c>
      <c r="B18" s="155" t="s">
        <v>428</v>
      </c>
      <c r="C18" s="122" t="s">
        <v>388</v>
      </c>
      <c r="D18" s="122" t="s">
        <v>343</v>
      </c>
      <c r="E18" s="128">
        <v>1</v>
      </c>
      <c r="F18" s="123" t="s">
        <v>307</v>
      </c>
      <c r="G18" s="165">
        <v>0.05</v>
      </c>
      <c r="H18" s="125" t="s">
        <v>389</v>
      </c>
      <c r="I18" s="126">
        <v>46023</v>
      </c>
      <c r="J18" s="127" t="s">
        <v>404</v>
      </c>
      <c r="K18" s="137" t="s">
        <v>390</v>
      </c>
      <c r="L18" s="167" t="s">
        <v>375</v>
      </c>
      <c r="M18" s="125" t="s">
        <v>486</v>
      </c>
      <c r="N18" s="125" t="s">
        <v>471</v>
      </c>
      <c r="O18" s="185"/>
      <c r="P18" s="125" t="s">
        <v>481</v>
      </c>
      <c r="Q18" s="125" t="s">
        <v>471</v>
      </c>
      <c r="R18" s="185"/>
      <c r="S18" s="125" t="s">
        <v>481</v>
      </c>
      <c r="T18" s="125" t="s">
        <v>471</v>
      </c>
      <c r="U18" s="185"/>
      <c r="V18" s="125" t="s">
        <v>481</v>
      </c>
      <c r="W18" s="125" t="s">
        <v>471</v>
      </c>
      <c r="X18" s="185"/>
      <c r="Y18" s="125" t="s">
        <v>481</v>
      </c>
      <c r="Z18" s="125" t="s">
        <v>471</v>
      </c>
      <c r="AA18" s="185"/>
      <c r="AB18" s="189"/>
    </row>
    <row r="19" spans="1:28" s="142" customFormat="1" ht="97.9" customHeight="1">
      <c r="A19" s="181">
        <v>17</v>
      </c>
      <c r="B19" s="155" t="s">
        <v>442</v>
      </c>
      <c r="C19" s="122" t="s">
        <v>409</v>
      </c>
      <c r="D19" s="122" t="s">
        <v>343</v>
      </c>
      <c r="E19" s="128">
        <v>1</v>
      </c>
      <c r="F19" s="123" t="s">
        <v>307</v>
      </c>
      <c r="G19" s="165">
        <v>0.05</v>
      </c>
      <c r="H19" s="125" t="s">
        <v>441</v>
      </c>
      <c r="I19" s="126">
        <v>46023</v>
      </c>
      <c r="J19" s="127" t="s">
        <v>404</v>
      </c>
      <c r="K19" s="137" t="s">
        <v>390</v>
      </c>
      <c r="L19" s="167" t="s">
        <v>375</v>
      </c>
      <c r="M19" s="125" t="s">
        <v>476</v>
      </c>
      <c r="N19" s="125" t="s">
        <v>471</v>
      </c>
      <c r="O19" s="185"/>
      <c r="P19" s="125" t="s">
        <v>476</v>
      </c>
      <c r="Q19" s="125" t="s">
        <v>471</v>
      </c>
      <c r="R19" s="185"/>
      <c r="S19" s="125" t="s">
        <v>476</v>
      </c>
      <c r="T19" s="125" t="s">
        <v>471</v>
      </c>
      <c r="U19" s="185"/>
      <c r="V19" s="125" t="s">
        <v>476</v>
      </c>
      <c r="W19" s="125" t="s">
        <v>471</v>
      </c>
      <c r="X19" s="185"/>
      <c r="Y19" s="125" t="s">
        <v>476</v>
      </c>
      <c r="Z19" s="125" t="s">
        <v>471</v>
      </c>
      <c r="AA19" s="185"/>
      <c r="AB19" s="189"/>
    </row>
    <row r="20" spans="1:28" s="142" customFormat="1" ht="123" customHeight="1">
      <c r="A20" s="141">
        <v>18</v>
      </c>
      <c r="B20" s="155" t="s">
        <v>443</v>
      </c>
      <c r="C20" s="122" t="s">
        <v>456</v>
      </c>
      <c r="D20" s="122" t="s">
        <v>349</v>
      </c>
      <c r="E20" s="128">
        <v>1</v>
      </c>
      <c r="F20" s="168" t="s">
        <v>316</v>
      </c>
      <c r="G20" s="135">
        <v>0.1</v>
      </c>
      <c r="H20" s="164" t="s">
        <v>391</v>
      </c>
      <c r="I20" s="168" t="s">
        <v>316</v>
      </c>
      <c r="J20" s="168" t="s">
        <v>316</v>
      </c>
      <c r="K20" s="137" t="s">
        <v>390</v>
      </c>
      <c r="L20" s="167" t="s">
        <v>375</v>
      </c>
      <c r="M20" s="125" t="s">
        <v>487</v>
      </c>
      <c r="N20" s="125" t="s">
        <v>471</v>
      </c>
      <c r="O20" s="185"/>
      <c r="P20" s="125" t="s">
        <v>487</v>
      </c>
      <c r="Q20" s="125" t="s">
        <v>471</v>
      </c>
      <c r="R20" s="185"/>
      <c r="S20" s="125" t="s">
        <v>487</v>
      </c>
      <c r="T20" s="125" t="s">
        <v>471</v>
      </c>
      <c r="U20" s="185"/>
      <c r="V20" s="125" t="s">
        <v>487</v>
      </c>
      <c r="W20" s="125" t="s">
        <v>471</v>
      </c>
      <c r="X20" s="185"/>
      <c r="Y20" s="125" t="s">
        <v>487</v>
      </c>
      <c r="Z20" s="125" t="s">
        <v>471</v>
      </c>
      <c r="AA20" s="185"/>
      <c r="AB20" s="189"/>
    </row>
    <row r="21" spans="1:28" s="159" customFormat="1" ht="46.9" customHeight="1">
      <c r="A21" s="182">
        <v>19</v>
      </c>
      <c r="B21" s="133" t="s">
        <v>429</v>
      </c>
      <c r="C21" s="130" t="s">
        <v>418</v>
      </c>
      <c r="D21" s="131"/>
      <c r="E21" s="131"/>
      <c r="F21" s="131"/>
      <c r="G21" s="132">
        <v>0.25</v>
      </c>
      <c r="H21" s="158"/>
      <c r="I21" s="158"/>
      <c r="J21" s="158"/>
      <c r="K21" s="158"/>
      <c r="L21" s="158"/>
      <c r="M21" s="125"/>
      <c r="N21" s="125"/>
      <c r="O21" s="185"/>
      <c r="P21" s="125"/>
      <c r="Q21" s="125"/>
      <c r="R21" s="185"/>
      <c r="S21" s="125"/>
      <c r="T21" s="125"/>
      <c r="U21" s="185"/>
      <c r="V21" s="125"/>
      <c r="W21" s="125"/>
      <c r="X21" s="185"/>
      <c r="Y21" s="125"/>
      <c r="Z21" s="125"/>
      <c r="AA21" s="185"/>
      <c r="AB21" s="189"/>
    </row>
    <row r="22" spans="1:28" s="142" customFormat="1" ht="55.9" customHeight="1">
      <c r="A22" s="141">
        <v>20</v>
      </c>
      <c r="B22" s="155" t="s">
        <v>430</v>
      </c>
      <c r="C22" s="122" t="s">
        <v>350</v>
      </c>
      <c r="D22" s="164" t="s">
        <v>329</v>
      </c>
      <c r="E22" s="165">
        <v>1</v>
      </c>
      <c r="F22" s="168" t="s">
        <v>307</v>
      </c>
      <c r="G22" s="165">
        <v>0.01</v>
      </c>
      <c r="H22" s="164" t="s">
        <v>352</v>
      </c>
      <c r="I22" s="126">
        <v>46023</v>
      </c>
      <c r="J22" s="127" t="s">
        <v>404</v>
      </c>
      <c r="K22" s="129" t="s">
        <v>371</v>
      </c>
      <c r="L22" s="137" t="s">
        <v>370</v>
      </c>
      <c r="M22" s="125" t="s">
        <v>474</v>
      </c>
      <c r="N22" s="125" t="s">
        <v>471</v>
      </c>
      <c r="O22" s="185"/>
      <c r="P22" s="125" t="s">
        <v>474</v>
      </c>
      <c r="Q22" s="125" t="s">
        <v>471</v>
      </c>
      <c r="S22" s="125" t="s">
        <v>509</v>
      </c>
      <c r="T22" s="125" t="s">
        <v>471</v>
      </c>
      <c r="V22" s="125" t="s">
        <v>526</v>
      </c>
      <c r="W22" s="125" t="s">
        <v>471</v>
      </c>
      <c r="Y22" s="125" t="s">
        <v>487</v>
      </c>
      <c r="Z22" s="125" t="s">
        <v>471</v>
      </c>
    </row>
    <row r="23" spans="1:28" s="142" customFormat="1" ht="51" customHeight="1">
      <c r="A23" s="141">
        <v>21</v>
      </c>
      <c r="B23" s="155" t="s">
        <v>445</v>
      </c>
      <c r="C23" s="122" t="s">
        <v>351</v>
      </c>
      <c r="D23" s="164" t="s">
        <v>329</v>
      </c>
      <c r="E23" s="165">
        <v>1</v>
      </c>
      <c r="F23" s="168" t="s">
        <v>307</v>
      </c>
      <c r="G23" s="165">
        <v>0.01</v>
      </c>
      <c r="H23" s="164" t="s">
        <v>353</v>
      </c>
      <c r="I23" s="126">
        <v>46023</v>
      </c>
      <c r="J23" s="127" t="s">
        <v>404</v>
      </c>
      <c r="K23" s="129" t="s">
        <v>371</v>
      </c>
      <c r="L23" s="137" t="s">
        <v>370</v>
      </c>
      <c r="M23" s="125" t="s">
        <v>474</v>
      </c>
      <c r="N23" s="125" t="s">
        <v>471</v>
      </c>
      <c r="O23" s="185"/>
      <c r="P23" s="125" t="s">
        <v>501</v>
      </c>
      <c r="Q23" s="125" t="s">
        <v>471</v>
      </c>
      <c r="R23" s="185"/>
      <c r="S23" s="125" t="s">
        <v>501</v>
      </c>
      <c r="T23" s="125" t="s">
        <v>471</v>
      </c>
      <c r="U23" s="185"/>
      <c r="V23" s="125" t="s">
        <v>487</v>
      </c>
      <c r="W23" s="125" t="s">
        <v>471</v>
      </c>
      <c r="X23" s="185"/>
      <c r="Y23" s="125" t="s">
        <v>487</v>
      </c>
      <c r="Z23" s="125" t="s">
        <v>471</v>
      </c>
      <c r="AA23" s="185"/>
      <c r="AB23" s="189"/>
    </row>
    <row r="24" spans="1:28" s="142" customFormat="1" ht="109.15" customHeight="1">
      <c r="A24" s="141">
        <v>22</v>
      </c>
      <c r="B24" s="155" t="s">
        <v>446</v>
      </c>
      <c r="C24" s="122" t="s">
        <v>392</v>
      </c>
      <c r="D24" s="170" t="s">
        <v>321</v>
      </c>
      <c r="E24" s="165">
        <v>1</v>
      </c>
      <c r="F24" s="168" t="s">
        <v>314</v>
      </c>
      <c r="G24" s="165">
        <v>0.08</v>
      </c>
      <c r="H24" s="166" t="s">
        <v>444</v>
      </c>
      <c r="I24" s="126">
        <v>46023</v>
      </c>
      <c r="J24" s="127" t="s">
        <v>404</v>
      </c>
      <c r="K24" s="129" t="s">
        <v>390</v>
      </c>
      <c r="L24" s="137" t="s">
        <v>375</v>
      </c>
      <c r="M24" s="125" t="s">
        <v>488</v>
      </c>
      <c r="N24" s="125" t="s">
        <v>471</v>
      </c>
      <c r="O24" s="185"/>
      <c r="P24" s="125" t="s">
        <v>502</v>
      </c>
      <c r="Q24" s="125" t="s">
        <v>471</v>
      </c>
      <c r="R24" s="185"/>
      <c r="S24" s="125" t="s">
        <v>510</v>
      </c>
      <c r="T24" s="125" t="s">
        <v>471</v>
      </c>
      <c r="U24" s="185"/>
      <c r="V24" s="125" t="s">
        <v>527</v>
      </c>
      <c r="W24" s="125" t="s">
        <v>471</v>
      </c>
      <c r="X24" s="185"/>
      <c r="Y24" s="125" t="s">
        <v>535</v>
      </c>
      <c r="Z24" s="125" t="s">
        <v>471</v>
      </c>
      <c r="AA24" s="185"/>
      <c r="AB24" s="189"/>
    </row>
    <row r="25" spans="1:28" s="142" customFormat="1" ht="75">
      <c r="A25" s="141">
        <v>23</v>
      </c>
      <c r="B25" s="155" t="s">
        <v>447</v>
      </c>
      <c r="C25" s="122" t="s">
        <v>393</v>
      </c>
      <c r="D25" s="170" t="s">
        <v>325</v>
      </c>
      <c r="E25" s="128">
        <v>1</v>
      </c>
      <c r="F25" s="168" t="s">
        <v>307</v>
      </c>
      <c r="G25" s="165">
        <v>0.03</v>
      </c>
      <c r="H25" s="166" t="s">
        <v>448</v>
      </c>
      <c r="I25" s="126">
        <v>46023</v>
      </c>
      <c r="J25" s="127" t="s">
        <v>404</v>
      </c>
      <c r="K25" s="129" t="s">
        <v>390</v>
      </c>
      <c r="L25" s="137" t="s">
        <v>375</v>
      </c>
      <c r="M25" s="125" t="s">
        <v>489</v>
      </c>
      <c r="N25" s="125" t="s">
        <v>471</v>
      </c>
      <c r="O25" s="185"/>
      <c r="P25" s="125" t="s">
        <v>489</v>
      </c>
      <c r="Q25" s="125" t="s">
        <v>471</v>
      </c>
      <c r="R25" s="185"/>
      <c r="S25" s="125" t="s">
        <v>518</v>
      </c>
      <c r="T25" s="125" t="s">
        <v>471</v>
      </c>
      <c r="U25" s="185"/>
      <c r="V25" s="125" t="s">
        <v>528</v>
      </c>
      <c r="W25" s="125" t="s">
        <v>471</v>
      </c>
      <c r="X25" s="185"/>
      <c r="Y25" s="125" t="s">
        <v>536</v>
      </c>
      <c r="Z25" s="125" t="s">
        <v>471</v>
      </c>
      <c r="AA25" s="185"/>
      <c r="AB25" s="189"/>
    </row>
    <row r="26" spans="1:28" s="142" customFormat="1" ht="75">
      <c r="A26" s="141">
        <v>24</v>
      </c>
      <c r="B26" s="157" t="s">
        <v>450</v>
      </c>
      <c r="C26" s="163" t="s">
        <v>394</v>
      </c>
      <c r="D26" s="170" t="s">
        <v>397</v>
      </c>
      <c r="E26" s="165">
        <v>1</v>
      </c>
      <c r="F26" s="168" t="s">
        <v>314</v>
      </c>
      <c r="G26" s="165">
        <v>0.01</v>
      </c>
      <c r="H26" s="164" t="s">
        <v>451</v>
      </c>
      <c r="I26" s="146">
        <v>46023</v>
      </c>
      <c r="J26" s="171" t="s">
        <v>404</v>
      </c>
      <c r="K26" s="137" t="s">
        <v>390</v>
      </c>
      <c r="L26" s="137" t="s">
        <v>375</v>
      </c>
      <c r="M26" s="125" t="s">
        <v>490</v>
      </c>
      <c r="N26" s="125" t="s">
        <v>471</v>
      </c>
      <c r="O26" s="185"/>
      <c r="P26" s="125" t="s">
        <v>490</v>
      </c>
      <c r="Q26" s="125" t="s">
        <v>471</v>
      </c>
      <c r="R26" s="185"/>
      <c r="S26" s="125" t="s">
        <v>519</v>
      </c>
      <c r="T26" s="125" t="s">
        <v>471</v>
      </c>
      <c r="U26" s="185"/>
      <c r="V26" s="125" t="s">
        <v>519</v>
      </c>
      <c r="W26" s="125" t="s">
        <v>471</v>
      </c>
      <c r="X26" s="185"/>
      <c r="Y26" s="125" t="s">
        <v>519</v>
      </c>
      <c r="Z26" s="125" t="s">
        <v>471</v>
      </c>
      <c r="AA26" s="185"/>
      <c r="AB26" s="189"/>
    </row>
    <row r="27" spans="1:28" s="142" customFormat="1" ht="63" customHeight="1">
      <c r="A27" s="141">
        <v>25</v>
      </c>
      <c r="B27" s="157" t="s">
        <v>449</v>
      </c>
      <c r="C27" s="163" t="s">
        <v>395</v>
      </c>
      <c r="D27" s="170" t="s">
        <v>326</v>
      </c>
      <c r="E27" s="165">
        <v>1</v>
      </c>
      <c r="F27" s="168" t="s">
        <v>314</v>
      </c>
      <c r="G27" s="165">
        <v>0.01</v>
      </c>
      <c r="H27" s="166" t="s">
        <v>452</v>
      </c>
      <c r="I27" s="146">
        <v>46023</v>
      </c>
      <c r="J27" s="171" t="s">
        <v>404</v>
      </c>
      <c r="K27" s="137" t="s">
        <v>390</v>
      </c>
      <c r="L27" s="137" t="s">
        <v>375</v>
      </c>
      <c r="M27" s="125" t="s">
        <v>488</v>
      </c>
      <c r="N27" s="125" t="s">
        <v>471</v>
      </c>
      <c r="O27" s="185"/>
      <c r="P27" s="125" t="s">
        <v>512</v>
      </c>
      <c r="Q27" s="125" t="s">
        <v>471</v>
      </c>
      <c r="R27" s="185"/>
      <c r="S27" s="125" t="s">
        <v>511</v>
      </c>
      <c r="T27" s="125" t="s">
        <v>471</v>
      </c>
      <c r="U27" s="185"/>
      <c r="V27" s="125" t="s">
        <v>529</v>
      </c>
      <c r="W27" s="125" t="s">
        <v>471</v>
      </c>
      <c r="X27" s="185"/>
      <c r="Y27" s="125" t="s">
        <v>537</v>
      </c>
      <c r="Z27" s="125" t="s">
        <v>471</v>
      </c>
      <c r="AA27" s="185"/>
      <c r="AB27" s="189"/>
    </row>
    <row r="28" spans="1:28" s="142" customFormat="1" ht="103.15" customHeight="1">
      <c r="A28" s="141">
        <v>26</v>
      </c>
      <c r="B28" s="155" t="s">
        <v>461</v>
      </c>
      <c r="C28" s="172" t="s">
        <v>462</v>
      </c>
      <c r="D28" s="122" t="s">
        <v>398</v>
      </c>
      <c r="E28" s="128">
        <v>1</v>
      </c>
      <c r="F28" s="168" t="s">
        <v>307</v>
      </c>
      <c r="G28" s="165">
        <v>0.02</v>
      </c>
      <c r="H28" s="166" t="s">
        <v>469</v>
      </c>
      <c r="I28" s="146">
        <v>46023</v>
      </c>
      <c r="J28" s="171" t="s">
        <v>404</v>
      </c>
      <c r="K28" s="137" t="s">
        <v>390</v>
      </c>
      <c r="L28" s="137" t="s">
        <v>375</v>
      </c>
      <c r="M28" s="125" t="s">
        <v>487</v>
      </c>
      <c r="N28" s="125" t="s">
        <v>471</v>
      </c>
      <c r="O28" s="185"/>
      <c r="P28" s="125" t="s">
        <v>501</v>
      </c>
      <c r="Q28" s="125" t="s">
        <v>471</v>
      </c>
      <c r="R28" s="185"/>
      <c r="S28" s="125" t="s">
        <v>476</v>
      </c>
      <c r="T28" s="125" t="s">
        <v>471</v>
      </c>
      <c r="U28" s="185"/>
      <c r="V28" s="125" t="s">
        <v>530</v>
      </c>
      <c r="W28" s="125" t="s">
        <v>471</v>
      </c>
      <c r="X28" s="185"/>
      <c r="Y28" s="125" t="s">
        <v>538</v>
      </c>
      <c r="Z28" s="125" t="s">
        <v>471</v>
      </c>
      <c r="AA28" s="185"/>
      <c r="AB28" s="189"/>
    </row>
    <row r="29" spans="1:28" s="142" customFormat="1" ht="52.15" customHeight="1">
      <c r="A29" s="141">
        <v>27</v>
      </c>
      <c r="B29" s="155" t="s">
        <v>468</v>
      </c>
      <c r="C29" s="122" t="s">
        <v>402</v>
      </c>
      <c r="D29" s="163" t="s">
        <v>401</v>
      </c>
      <c r="E29" s="134">
        <v>1</v>
      </c>
      <c r="F29" s="168" t="s">
        <v>307</v>
      </c>
      <c r="G29" s="165">
        <v>0.01</v>
      </c>
      <c r="H29" s="166" t="s">
        <v>403</v>
      </c>
      <c r="I29" s="126">
        <v>46023</v>
      </c>
      <c r="J29" s="127" t="s">
        <v>404</v>
      </c>
      <c r="K29" s="129" t="s">
        <v>390</v>
      </c>
      <c r="L29" s="137" t="s">
        <v>375</v>
      </c>
      <c r="M29" s="125" t="s">
        <v>476</v>
      </c>
      <c r="N29" s="125" t="s">
        <v>471</v>
      </c>
      <c r="O29" s="185"/>
      <c r="P29" s="125" t="s">
        <v>476</v>
      </c>
      <c r="Q29" s="125" t="s">
        <v>471</v>
      </c>
      <c r="R29" s="185"/>
      <c r="S29" s="125" t="s">
        <v>476</v>
      </c>
      <c r="T29" s="125" t="s">
        <v>471</v>
      </c>
      <c r="U29" s="185"/>
      <c r="V29" s="125" t="s">
        <v>476</v>
      </c>
      <c r="W29" s="125" t="s">
        <v>471</v>
      </c>
      <c r="X29" s="185"/>
      <c r="Y29" s="125" t="s">
        <v>476</v>
      </c>
      <c r="Z29" s="125" t="s">
        <v>471</v>
      </c>
      <c r="AA29" s="185"/>
      <c r="AB29" s="189"/>
    </row>
    <row r="30" spans="1:28" s="142" customFormat="1" ht="129.6" customHeight="1">
      <c r="A30" s="141">
        <v>28</v>
      </c>
      <c r="B30" s="155" t="s">
        <v>463</v>
      </c>
      <c r="C30" s="170" t="s">
        <v>337</v>
      </c>
      <c r="D30" s="172" t="s">
        <v>354</v>
      </c>
      <c r="E30" s="173">
        <v>1</v>
      </c>
      <c r="F30" s="168" t="s">
        <v>173</v>
      </c>
      <c r="G30" s="165">
        <v>0.02</v>
      </c>
      <c r="H30" s="166" t="s">
        <v>365</v>
      </c>
      <c r="I30" s="126">
        <v>46023</v>
      </c>
      <c r="J30" s="127" t="s">
        <v>367</v>
      </c>
      <c r="K30" s="129" t="s">
        <v>390</v>
      </c>
      <c r="L30" s="137" t="s">
        <v>375</v>
      </c>
      <c r="M30" s="125" t="s">
        <v>487</v>
      </c>
      <c r="N30" s="125" t="s">
        <v>471</v>
      </c>
      <c r="O30" s="185"/>
      <c r="P30" s="125" t="s">
        <v>487</v>
      </c>
      <c r="Q30" s="125" t="s">
        <v>471</v>
      </c>
      <c r="R30" s="185"/>
      <c r="S30" s="125" t="s">
        <v>487</v>
      </c>
      <c r="T30" s="125" t="s">
        <v>471</v>
      </c>
      <c r="U30" s="185"/>
      <c r="V30" s="125" t="s">
        <v>487</v>
      </c>
      <c r="W30" s="125" t="s">
        <v>471</v>
      </c>
      <c r="X30" s="185"/>
      <c r="Y30" s="125" t="s">
        <v>487</v>
      </c>
      <c r="Z30" s="125" t="s">
        <v>471</v>
      </c>
      <c r="AA30" s="185"/>
      <c r="AB30" s="189"/>
    </row>
    <row r="31" spans="1:28" s="142" customFormat="1" ht="63.6" customHeight="1">
      <c r="A31" s="141">
        <v>29</v>
      </c>
      <c r="B31" s="155" t="s">
        <v>464</v>
      </c>
      <c r="C31" s="122" t="s">
        <v>410</v>
      </c>
      <c r="D31" s="174" t="s">
        <v>357</v>
      </c>
      <c r="E31" s="168">
        <v>2</v>
      </c>
      <c r="F31" s="168" t="s">
        <v>85</v>
      </c>
      <c r="G31" s="165">
        <v>0.01</v>
      </c>
      <c r="H31" s="166" t="s">
        <v>358</v>
      </c>
      <c r="I31" s="126">
        <v>46023</v>
      </c>
      <c r="J31" s="127" t="s">
        <v>404</v>
      </c>
      <c r="K31" s="129" t="s">
        <v>390</v>
      </c>
      <c r="L31" s="137" t="s">
        <v>375</v>
      </c>
      <c r="M31" s="125" t="s">
        <v>475</v>
      </c>
      <c r="N31" s="125" t="s">
        <v>471</v>
      </c>
      <c r="O31" s="185"/>
      <c r="P31" s="125" t="s">
        <v>475</v>
      </c>
      <c r="Q31" s="125" t="s">
        <v>471</v>
      </c>
      <c r="R31" s="185"/>
      <c r="S31" s="125" t="s">
        <v>475</v>
      </c>
      <c r="T31" s="125" t="s">
        <v>471</v>
      </c>
      <c r="U31" s="185"/>
      <c r="V31" s="125" t="s">
        <v>475</v>
      </c>
      <c r="W31" s="125" t="s">
        <v>471</v>
      </c>
      <c r="X31" s="185"/>
      <c r="Y31" s="125" t="s">
        <v>475</v>
      </c>
      <c r="Z31" s="125" t="s">
        <v>471</v>
      </c>
      <c r="AA31" s="185"/>
      <c r="AB31" s="189"/>
    </row>
    <row r="32" spans="1:28" s="142" customFormat="1" ht="56.25">
      <c r="A32" s="141">
        <v>30</v>
      </c>
      <c r="B32" s="155" t="s">
        <v>465</v>
      </c>
      <c r="C32" s="122" t="s">
        <v>411</v>
      </c>
      <c r="D32" s="174" t="s">
        <v>355</v>
      </c>
      <c r="E32" s="168" t="s">
        <v>364</v>
      </c>
      <c r="F32" s="168" t="s">
        <v>314</v>
      </c>
      <c r="G32" s="165">
        <v>0.02</v>
      </c>
      <c r="H32" s="166" t="s">
        <v>356</v>
      </c>
      <c r="I32" s="126">
        <v>46023</v>
      </c>
      <c r="J32" s="127" t="s">
        <v>404</v>
      </c>
      <c r="K32" s="129" t="s">
        <v>390</v>
      </c>
      <c r="L32" s="137" t="s">
        <v>375</v>
      </c>
      <c r="M32" s="125" t="s">
        <v>491</v>
      </c>
      <c r="N32" s="125" t="s">
        <v>471</v>
      </c>
      <c r="O32" s="185"/>
      <c r="P32" s="125" t="s">
        <v>491</v>
      </c>
      <c r="Q32" s="125" t="s">
        <v>471</v>
      </c>
      <c r="R32" s="185"/>
      <c r="S32" s="125" t="s">
        <v>513</v>
      </c>
      <c r="T32" s="200" t="s">
        <v>472</v>
      </c>
      <c r="U32" s="185"/>
      <c r="V32" s="125" t="s">
        <v>513</v>
      </c>
      <c r="W32" s="200" t="s">
        <v>472</v>
      </c>
      <c r="X32" s="185"/>
      <c r="Y32" s="125" t="s">
        <v>491</v>
      </c>
      <c r="Z32" s="125" t="s">
        <v>471</v>
      </c>
      <c r="AA32" s="185"/>
      <c r="AB32" s="189"/>
    </row>
    <row r="33" spans="1:28" s="142" customFormat="1" ht="53.45" customHeight="1">
      <c r="A33" s="141">
        <v>31</v>
      </c>
      <c r="B33" s="155" t="s">
        <v>466</v>
      </c>
      <c r="C33" s="122" t="s">
        <v>412</v>
      </c>
      <c r="D33" s="175" t="s">
        <v>401</v>
      </c>
      <c r="E33" s="176">
        <v>1</v>
      </c>
      <c r="F33" s="168" t="s">
        <v>314</v>
      </c>
      <c r="G33" s="165">
        <v>0.01</v>
      </c>
      <c r="H33" s="166" t="s">
        <v>399</v>
      </c>
      <c r="I33" s="126">
        <v>46023</v>
      </c>
      <c r="J33" s="127" t="s">
        <v>404</v>
      </c>
      <c r="K33" s="129" t="s">
        <v>390</v>
      </c>
      <c r="L33" s="137" t="s">
        <v>375</v>
      </c>
      <c r="M33" s="125" t="s">
        <v>476</v>
      </c>
      <c r="N33" s="125" t="s">
        <v>471</v>
      </c>
      <c r="O33" s="185"/>
      <c r="P33" s="125" t="s">
        <v>476</v>
      </c>
      <c r="Q33" s="125" t="s">
        <v>471</v>
      </c>
      <c r="R33" s="185"/>
      <c r="S33" s="125" t="s">
        <v>476</v>
      </c>
      <c r="T33" s="125" t="s">
        <v>471</v>
      </c>
      <c r="U33" s="185"/>
      <c r="V33" s="125" t="s">
        <v>476</v>
      </c>
      <c r="W33" s="125" t="s">
        <v>471</v>
      </c>
      <c r="X33" s="185"/>
      <c r="Y33" s="125" t="s">
        <v>476</v>
      </c>
      <c r="Z33" s="125" t="s">
        <v>471</v>
      </c>
      <c r="AA33" s="185"/>
      <c r="AB33" s="189"/>
    </row>
    <row r="34" spans="1:28" s="142" customFormat="1" ht="84" customHeight="1">
      <c r="A34" s="141">
        <v>32</v>
      </c>
      <c r="B34" s="155" t="s">
        <v>467</v>
      </c>
      <c r="C34" s="122" t="s">
        <v>405</v>
      </c>
      <c r="D34" s="122" t="s">
        <v>400</v>
      </c>
      <c r="E34" s="128">
        <v>1</v>
      </c>
      <c r="F34" s="123" t="s">
        <v>85</v>
      </c>
      <c r="G34" s="128">
        <v>0.01</v>
      </c>
      <c r="H34" s="125" t="s">
        <v>419</v>
      </c>
      <c r="I34" s="126">
        <v>46023</v>
      </c>
      <c r="J34" s="127">
        <v>46387</v>
      </c>
      <c r="K34" s="129" t="s">
        <v>390</v>
      </c>
      <c r="L34" s="137" t="s">
        <v>375</v>
      </c>
      <c r="M34" s="125" t="s">
        <v>476</v>
      </c>
      <c r="N34" s="125" t="s">
        <v>471</v>
      </c>
      <c r="O34" s="185"/>
      <c r="P34" s="125" t="s">
        <v>476</v>
      </c>
      <c r="Q34" s="125" t="s">
        <v>471</v>
      </c>
      <c r="R34" s="185"/>
      <c r="S34" s="125" t="s">
        <v>476</v>
      </c>
      <c r="T34" s="125" t="s">
        <v>471</v>
      </c>
      <c r="U34" s="185"/>
      <c r="V34" s="125" t="s">
        <v>476</v>
      </c>
      <c r="W34" s="125" t="s">
        <v>471</v>
      </c>
      <c r="X34" s="185"/>
      <c r="Y34" s="125" t="s">
        <v>476</v>
      </c>
      <c r="Z34" s="125" t="s">
        <v>471</v>
      </c>
      <c r="AA34" s="185"/>
      <c r="AB34" s="189"/>
    </row>
    <row r="35" spans="1:28" s="142" customFormat="1" ht="40.9" customHeight="1">
      <c r="A35" s="180">
        <v>33</v>
      </c>
      <c r="B35" s="133" t="s">
        <v>431</v>
      </c>
      <c r="C35" s="154" t="s">
        <v>146</v>
      </c>
      <c r="D35" s="149"/>
      <c r="E35" s="149"/>
      <c r="F35" s="149"/>
      <c r="G35" s="160">
        <v>0.05</v>
      </c>
      <c r="H35" s="161"/>
      <c r="I35" s="148"/>
      <c r="J35" s="148"/>
      <c r="K35" s="133"/>
      <c r="L35" s="133"/>
      <c r="M35" s="125"/>
      <c r="N35" s="125"/>
      <c r="O35" s="185"/>
      <c r="P35" s="125"/>
      <c r="Q35" s="125"/>
      <c r="R35" s="185"/>
      <c r="S35" s="125"/>
      <c r="T35" s="125"/>
      <c r="U35" s="185"/>
      <c r="V35" s="125"/>
      <c r="W35" s="125"/>
      <c r="X35" s="185"/>
      <c r="Y35" s="125"/>
      <c r="Z35" s="125"/>
      <c r="AA35" s="185"/>
      <c r="AB35" s="189"/>
    </row>
    <row r="36" spans="1:28" s="142" customFormat="1" ht="141.75" customHeight="1">
      <c r="A36" s="141">
        <v>34</v>
      </c>
      <c r="B36" s="155" t="s">
        <v>453</v>
      </c>
      <c r="C36" s="177" t="s">
        <v>322</v>
      </c>
      <c r="D36" s="164" t="s">
        <v>327</v>
      </c>
      <c r="E36" s="178" t="s">
        <v>323</v>
      </c>
      <c r="F36" s="169" t="s">
        <v>307</v>
      </c>
      <c r="G36" s="165">
        <v>0.02</v>
      </c>
      <c r="H36" s="164" t="s">
        <v>328</v>
      </c>
      <c r="I36" s="126">
        <v>46023</v>
      </c>
      <c r="J36" s="127" t="s">
        <v>404</v>
      </c>
      <c r="K36" s="129" t="s">
        <v>396</v>
      </c>
      <c r="L36" s="137" t="s">
        <v>370</v>
      </c>
      <c r="M36" s="125" t="s">
        <v>493</v>
      </c>
      <c r="N36" s="125" t="s">
        <v>471</v>
      </c>
      <c r="O36" s="125" t="s">
        <v>477</v>
      </c>
      <c r="P36" s="125" t="s">
        <v>503</v>
      </c>
      <c r="Q36" s="125" t="s">
        <v>472</v>
      </c>
      <c r="R36" s="125" t="s">
        <v>477</v>
      </c>
      <c r="S36" s="125" t="s">
        <v>514</v>
      </c>
      <c r="T36" s="200" t="s">
        <v>472</v>
      </c>
      <c r="U36" s="125" t="s">
        <v>477</v>
      </c>
      <c r="V36" s="125" t="s">
        <v>539</v>
      </c>
      <c r="W36" s="200" t="s">
        <v>472</v>
      </c>
      <c r="X36" s="125" t="s">
        <v>477</v>
      </c>
      <c r="Y36" s="125" t="s">
        <v>541</v>
      </c>
      <c r="Z36" s="200" t="s">
        <v>472</v>
      </c>
      <c r="AA36" s="125" t="s">
        <v>477</v>
      </c>
      <c r="AB36" s="203"/>
    </row>
    <row r="37" spans="1:28" s="147" customFormat="1" ht="58.9" customHeight="1">
      <c r="A37" s="141">
        <v>35</v>
      </c>
      <c r="B37" s="155" t="s">
        <v>454</v>
      </c>
      <c r="C37" s="177" t="s">
        <v>331</v>
      </c>
      <c r="D37" s="162" t="s">
        <v>327</v>
      </c>
      <c r="E37" s="178" t="s">
        <v>323</v>
      </c>
      <c r="F37" s="169" t="s">
        <v>307</v>
      </c>
      <c r="G37" s="165">
        <v>0.01</v>
      </c>
      <c r="H37" s="164" t="s">
        <v>328</v>
      </c>
      <c r="I37" s="126">
        <v>46023</v>
      </c>
      <c r="J37" s="127" t="s">
        <v>404</v>
      </c>
      <c r="K37" s="129" t="s">
        <v>396</v>
      </c>
      <c r="L37" s="137" t="s">
        <v>370</v>
      </c>
      <c r="M37" s="125" t="s">
        <v>492</v>
      </c>
      <c r="N37" s="125" t="s">
        <v>471</v>
      </c>
      <c r="O37" s="125" t="s">
        <v>477</v>
      </c>
      <c r="P37" s="125" t="s">
        <v>492</v>
      </c>
      <c r="Q37" s="125" t="s">
        <v>471</v>
      </c>
      <c r="R37" s="125" t="s">
        <v>477</v>
      </c>
      <c r="S37" s="125" t="s">
        <v>515</v>
      </c>
      <c r="T37" s="200" t="s">
        <v>472</v>
      </c>
      <c r="U37" s="125" t="s">
        <v>477</v>
      </c>
      <c r="V37" s="125" t="s">
        <v>531</v>
      </c>
      <c r="W37" s="125" t="s">
        <v>471</v>
      </c>
      <c r="X37" s="125" t="s">
        <v>477</v>
      </c>
      <c r="Y37" s="125" t="s">
        <v>531</v>
      </c>
      <c r="Z37" s="125" t="s">
        <v>471</v>
      </c>
      <c r="AA37" s="125" t="s">
        <v>477</v>
      </c>
      <c r="AB37" s="203"/>
    </row>
    <row r="38" spans="1:28" s="147" customFormat="1" ht="145.15" customHeight="1">
      <c r="A38" s="141">
        <v>36</v>
      </c>
      <c r="B38" s="155" t="s">
        <v>455</v>
      </c>
      <c r="C38" s="163" t="s">
        <v>406</v>
      </c>
      <c r="D38" s="175" t="s">
        <v>407</v>
      </c>
      <c r="E38" s="135">
        <v>1</v>
      </c>
      <c r="F38" s="169" t="s">
        <v>307</v>
      </c>
      <c r="G38" s="134">
        <v>0.02</v>
      </c>
      <c r="H38" s="136" t="s">
        <v>460</v>
      </c>
      <c r="I38" s="126">
        <v>46023</v>
      </c>
      <c r="J38" s="127" t="s">
        <v>404</v>
      </c>
      <c r="K38" s="137" t="s">
        <v>396</v>
      </c>
      <c r="L38" s="137" t="s">
        <v>370</v>
      </c>
      <c r="M38" s="125" t="s">
        <v>494</v>
      </c>
      <c r="N38" s="125" t="s">
        <v>471</v>
      </c>
      <c r="O38" s="27"/>
      <c r="P38" s="125" t="s">
        <v>494</v>
      </c>
      <c r="Q38" s="125" t="s">
        <v>471</v>
      </c>
      <c r="R38" s="27"/>
      <c r="S38" s="125" t="s">
        <v>516</v>
      </c>
      <c r="T38" s="125" t="s">
        <v>471</v>
      </c>
      <c r="U38" s="27"/>
      <c r="V38" s="125" t="s">
        <v>532</v>
      </c>
      <c r="W38" s="125" t="s">
        <v>471</v>
      </c>
      <c r="X38" s="27"/>
      <c r="Y38" s="125" t="s">
        <v>540</v>
      </c>
      <c r="Z38" s="125" t="s">
        <v>471</v>
      </c>
      <c r="AA38" s="27"/>
      <c r="AB38" s="70"/>
    </row>
    <row r="39" spans="1:28" ht="40.9" customHeight="1">
      <c r="A39" s="205" t="s">
        <v>480</v>
      </c>
      <c r="B39" s="205"/>
      <c r="C39" s="205"/>
      <c r="D39" s="205"/>
      <c r="E39" s="205"/>
      <c r="F39" s="205"/>
      <c r="G39" s="205"/>
      <c r="H39" s="205"/>
      <c r="I39" s="205"/>
      <c r="J39" s="205"/>
      <c r="K39" s="205"/>
      <c r="L39" s="205"/>
      <c r="M39" s="205"/>
      <c r="N39" s="205"/>
      <c r="O39" s="205"/>
      <c r="P39" s="205"/>
      <c r="Q39" s="188" t="s">
        <v>471</v>
      </c>
      <c r="R39" s="185"/>
      <c r="S39" s="185"/>
      <c r="T39" s="188" t="s">
        <v>517</v>
      </c>
      <c r="U39" s="185"/>
      <c r="V39" s="185"/>
      <c r="W39" s="188" t="s">
        <v>517</v>
      </c>
      <c r="X39" s="185"/>
      <c r="Y39" s="185"/>
      <c r="Z39" s="188" t="s">
        <v>471</v>
      </c>
      <c r="AA39" s="185"/>
      <c r="AB39" s="189"/>
    </row>
    <row r="40" spans="1:28" s="151" customFormat="1">
      <c r="A40" s="138"/>
      <c r="B40" s="138"/>
      <c r="C40" s="153"/>
      <c r="G40" s="150"/>
      <c r="H40" s="150"/>
      <c r="I40" s="138"/>
      <c r="J40" s="138"/>
      <c r="K40" s="138"/>
      <c r="L40" s="138"/>
      <c r="M40" s="189"/>
      <c r="N40" s="190"/>
      <c r="O40" s="189"/>
      <c r="P40" s="189"/>
      <c r="Q40" s="190"/>
      <c r="R40" s="189"/>
      <c r="S40" s="189"/>
      <c r="T40" s="190"/>
      <c r="U40" s="189"/>
      <c r="V40" s="189"/>
      <c r="W40" s="190"/>
      <c r="X40" s="189"/>
      <c r="Y40" s="189"/>
      <c r="Z40" s="190"/>
      <c r="AA40" s="189"/>
      <c r="AB40" s="189"/>
    </row>
    <row r="41" spans="1:28">
      <c r="M41" s="189"/>
      <c r="N41" s="190"/>
      <c r="O41" s="189"/>
      <c r="P41" s="189"/>
      <c r="Q41" s="190"/>
      <c r="R41" s="189"/>
      <c r="S41" s="189"/>
      <c r="T41" s="190"/>
      <c r="U41" s="189"/>
      <c r="V41" s="189"/>
      <c r="W41" s="190"/>
      <c r="X41" s="189"/>
      <c r="Y41" s="189"/>
      <c r="Z41" s="190"/>
      <c r="AA41" s="189"/>
      <c r="AB41" s="189"/>
    </row>
    <row r="42" spans="1:28">
      <c r="M42" s="189"/>
      <c r="N42" s="190"/>
      <c r="O42" s="189"/>
      <c r="P42" s="189"/>
      <c r="Q42" s="190"/>
      <c r="R42" s="189"/>
      <c r="S42" s="189"/>
      <c r="T42" s="190"/>
      <c r="U42" s="189"/>
      <c r="V42" s="189"/>
      <c r="W42" s="190"/>
      <c r="X42" s="189"/>
      <c r="Y42" s="189"/>
      <c r="Z42" s="190"/>
      <c r="AA42" s="189"/>
      <c r="AB42" s="189"/>
    </row>
    <row r="43" spans="1:28">
      <c r="M43" s="189"/>
      <c r="N43" s="190"/>
      <c r="O43" s="189"/>
      <c r="P43" s="189"/>
      <c r="Q43" s="190"/>
      <c r="R43" s="189"/>
      <c r="S43" s="189"/>
      <c r="T43" s="190"/>
      <c r="U43" s="189"/>
      <c r="V43" s="189"/>
      <c r="W43" s="190"/>
      <c r="X43" s="189"/>
      <c r="Y43" s="189"/>
      <c r="Z43" s="190"/>
      <c r="AA43" s="189"/>
      <c r="AB43" s="189"/>
    </row>
    <row r="44" spans="1:28">
      <c r="M44" s="189"/>
      <c r="N44" s="190"/>
      <c r="O44" s="189"/>
      <c r="P44" s="189"/>
      <c r="Q44" s="190"/>
      <c r="R44" s="189"/>
      <c r="S44" s="189"/>
      <c r="T44" s="190"/>
      <c r="U44" s="189"/>
      <c r="V44" s="189"/>
      <c r="W44" s="190"/>
      <c r="X44" s="189"/>
      <c r="Y44" s="189"/>
      <c r="Z44" s="190"/>
      <c r="AA44" s="189"/>
      <c r="AB44" s="189"/>
    </row>
    <row r="45" spans="1:28">
      <c r="M45" s="189"/>
      <c r="N45" s="190"/>
      <c r="O45" s="189"/>
      <c r="P45" s="189"/>
      <c r="Q45" s="190"/>
      <c r="R45" s="189"/>
      <c r="S45" s="189"/>
      <c r="T45" s="190"/>
      <c r="U45" s="189"/>
      <c r="V45" s="189"/>
      <c r="W45" s="190"/>
      <c r="X45" s="189"/>
      <c r="Y45" s="189"/>
      <c r="Z45" s="190"/>
      <c r="AA45" s="189"/>
      <c r="AB45" s="189"/>
    </row>
    <row r="46" spans="1:28">
      <c r="M46" s="189"/>
      <c r="N46" s="190"/>
      <c r="O46" s="189"/>
      <c r="P46" s="189"/>
      <c r="Q46" s="190"/>
      <c r="R46" s="189"/>
      <c r="S46" s="189"/>
      <c r="T46" s="190"/>
      <c r="U46" s="189"/>
      <c r="V46" s="189"/>
      <c r="W46" s="190"/>
      <c r="X46" s="189"/>
      <c r="Y46" s="189"/>
      <c r="Z46" s="190"/>
      <c r="AA46" s="189"/>
      <c r="AB46" s="189"/>
    </row>
    <row r="47" spans="1:28">
      <c r="M47" s="189"/>
      <c r="N47" s="190"/>
      <c r="O47" s="189"/>
      <c r="P47" s="189"/>
      <c r="Q47" s="190"/>
      <c r="R47" s="189"/>
      <c r="S47" s="189"/>
      <c r="T47" s="190"/>
      <c r="U47" s="189"/>
      <c r="V47" s="189"/>
      <c r="W47" s="190"/>
      <c r="X47" s="189"/>
      <c r="Y47" s="189"/>
      <c r="Z47" s="190"/>
      <c r="AA47" s="189"/>
      <c r="AB47" s="189"/>
    </row>
    <row r="48" spans="1:28">
      <c r="M48" s="189"/>
      <c r="N48" s="190"/>
      <c r="O48" s="189"/>
      <c r="P48" s="189"/>
      <c r="Q48" s="190"/>
      <c r="R48" s="189"/>
      <c r="S48" s="189"/>
      <c r="T48" s="190"/>
      <c r="U48" s="189"/>
      <c r="V48" s="189"/>
      <c r="W48" s="190"/>
      <c r="X48" s="189"/>
      <c r="Y48" s="189"/>
      <c r="Z48" s="190"/>
      <c r="AA48" s="189"/>
      <c r="AB48" s="189"/>
    </row>
    <row r="49" spans="13:28">
      <c r="M49" s="189"/>
      <c r="N49" s="190"/>
      <c r="O49" s="189"/>
      <c r="P49" s="189"/>
      <c r="Q49" s="190"/>
      <c r="R49" s="189"/>
      <c r="S49" s="189"/>
      <c r="T49" s="190"/>
      <c r="U49" s="189"/>
      <c r="V49" s="189"/>
      <c r="W49" s="190"/>
      <c r="X49" s="189"/>
      <c r="Y49" s="189"/>
      <c r="Z49" s="190"/>
      <c r="AA49" s="189"/>
      <c r="AB49" s="189"/>
    </row>
    <row r="50" spans="13:28">
      <c r="M50" s="189"/>
      <c r="N50" s="190"/>
      <c r="O50" s="189"/>
      <c r="P50" s="189"/>
      <c r="Q50" s="190"/>
      <c r="R50" s="189"/>
      <c r="S50" s="189"/>
      <c r="T50" s="190"/>
      <c r="U50" s="189"/>
      <c r="V50" s="189"/>
      <c r="W50" s="190"/>
      <c r="X50" s="189"/>
      <c r="Y50" s="189"/>
      <c r="Z50" s="190"/>
      <c r="AA50" s="189"/>
      <c r="AB50" s="189"/>
    </row>
    <row r="51" spans="13:28">
      <c r="M51" s="189"/>
      <c r="N51" s="190"/>
      <c r="O51" s="189"/>
      <c r="P51" s="189"/>
      <c r="Q51" s="190"/>
      <c r="R51" s="189"/>
      <c r="S51" s="189"/>
      <c r="T51" s="190"/>
      <c r="U51" s="189"/>
      <c r="V51" s="189"/>
      <c r="W51" s="190"/>
      <c r="X51" s="189"/>
      <c r="Y51" s="189"/>
      <c r="Z51" s="190"/>
      <c r="AA51" s="189"/>
      <c r="AB51" s="189"/>
    </row>
    <row r="52" spans="13:28">
      <c r="M52" s="189"/>
      <c r="N52" s="190"/>
      <c r="O52" s="189"/>
      <c r="P52" s="189"/>
      <c r="Q52" s="190"/>
      <c r="R52" s="189"/>
      <c r="S52" s="189"/>
      <c r="T52" s="190"/>
      <c r="U52" s="189"/>
      <c r="V52" s="189"/>
      <c r="W52" s="190"/>
      <c r="X52" s="189"/>
      <c r="Y52" s="189"/>
      <c r="Z52" s="190"/>
      <c r="AA52" s="189"/>
      <c r="AB52" s="189"/>
    </row>
    <row r="53" spans="13:28">
      <c r="M53" s="189"/>
      <c r="N53" s="190"/>
      <c r="O53" s="189"/>
      <c r="P53" s="189"/>
      <c r="Q53" s="190"/>
      <c r="R53" s="189"/>
      <c r="S53" s="189"/>
      <c r="T53" s="190"/>
      <c r="U53" s="189"/>
      <c r="V53" s="189"/>
      <c r="W53" s="190"/>
      <c r="X53" s="189"/>
      <c r="Y53" s="189"/>
      <c r="Z53" s="190"/>
      <c r="AA53" s="189"/>
      <c r="AB53" s="189"/>
    </row>
    <row r="54" spans="13:28">
      <c r="M54" s="189"/>
      <c r="N54" s="190"/>
      <c r="O54" s="189"/>
      <c r="P54" s="189"/>
      <c r="Q54" s="190"/>
      <c r="R54" s="189"/>
      <c r="S54" s="189"/>
      <c r="T54" s="190"/>
      <c r="U54" s="189"/>
      <c r="V54" s="189"/>
      <c r="W54" s="190"/>
      <c r="X54" s="189"/>
      <c r="Y54" s="189"/>
      <c r="Z54" s="190"/>
      <c r="AA54" s="189"/>
      <c r="AB54" s="189"/>
    </row>
    <row r="55" spans="13:28">
      <c r="M55" s="189"/>
      <c r="N55" s="190"/>
      <c r="O55" s="189"/>
      <c r="P55" s="189"/>
      <c r="Q55" s="190"/>
      <c r="R55" s="189"/>
      <c r="S55" s="189"/>
      <c r="T55" s="190"/>
      <c r="U55" s="189"/>
      <c r="V55" s="189"/>
      <c r="W55" s="190"/>
      <c r="X55" s="189"/>
      <c r="Y55" s="189"/>
      <c r="Z55" s="190"/>
      <c r="AA55" s="189"/>
      <c r="AB55" s="189"/>
    </row>
    <row r="56" spans="13:28">
      <c r="M56" s="189"/>
      <c r="N56" s="190"/>
      <c r="O56" s="189"/>
      <c r="P56" s="189"/>
      <c r="Q56" s="190"/>
      <c r="R56" s="189"/>
      <c r="S56" s="189"/>
      <c r="T56" s="190"/>
      <c r="U56" s="189"/>
      <c r="V56" s="189"/>
      <c r="W56" s="190"/>
      <c r="X56" s="189"/>
      <c r="Y56" s="189"/>
      <c r="Z56" s="190"/>
      <c r="AA56" s="189"/>
      <c r="AB56" s="189"/>
    </row>
    <row r="57" spans="13:28">
      <c r="M57" s="189"/>
      <c r="N57" s="190"/>
      <c r="O57" s="189"/>
      <c r="P57" s="189"/>
      <c r="Q57" s="190"/>
      <c r="R57" s="189"/>
      <c r="S57" s="189"/>
      <c r="T57" s="190"/>
      <c r="U57" s="189"/>
      <c r="V57" s="189"/>
      <c r="W57" s="190"/>
      <c r="X57" s="189"/>
      <c r="Y57" s="189"/>
      <c r="Z57" s="190"/>
      <c r="AA57" s="189"/>
      <c r="AB57" s="189"/>
    </row>
    <row r="58" spans="13:28">
      <c r="M58" s="189"/>
      <c r="N58" s="190"/>
      <c r="O58" s="189"/>
      <c r="P58" s="189"/>
      <c r="Q58" s="190"/>
      <c r="R58" s="189"/>
      <c r="S58" s="189"/>
      <c r="T58" s="190"/>
      <c r="U58" s="189"/>
      <c r="V58" s="189"/>
      <c r="W58" s="190"/>
      <c r="X58" s="189"/>
      <c r="Y58" s="189"/>
      <c r="Z58" s="190"/>
      <c r="AA58" s="189"/>
      <c r="AB58" s="189"/>
    </row>
    <row r="59" spans="13:28">
      <c r="M59" s="189"/>
      <c r="N59" s="190"/>
      <c r="O59" s="189"/>
      <c r="P59" s="189"/>
      <c r="Q59" s="190"/>
      <c r="R59" s="189"/>
      <c r="S59" s="189"/>
      <c r="T59" s="190"/>
      <c r="U59" s="189"/>
      <c r="V59" s="189"/>
      <c r="W59" s="190"/>
      <c r="X59" s="189"/>
      <c r="Y59" s="189"/>
      <c r="Z59" s="190"/>
      <c r="AA59" s="189"/>
      <c r="AB59" s="189"/>
    </row>
    <row r="60" spans="13:28">
      <c r="M60" s="189"/>
      <c r="N60" s="190"/>
      <c r="O60" s="189"/>
      <c r="P60" s="189"/>
      <c r="Q60" s="190"/>
      <c r="R60" s="189"/>
      <c r="S60" s="189"/>
      <c r="T60" s="190"/>
      <c r="U60" s="189"/>
      <c r="V60" s="189"/>
      <c r="W60" s="190"/>
      <c r="X60" s="189"/>
      <c r="Y60" s="189"/>
      <c r="Z60" s="190"/>
      <c r="AA60" s="189"/>
      <c r="AB60" s="189"/>
    </row>
    <row r="61" spans="13:28">
      <c r="M61" s="189"/>
      <c r="N61" s="190"/>
      <c r="O61" s="189"/>
      <c r="P61" s="189"/>
      <c r="Q61" s="190"/>
      <c r="R61" s="189"/>
      <c r="S61" s="189"/>
      <c r="T61" s="190"/>
      <c r="U61" s="189"/>
      <c r="V61" s="189"/>
      <c r="W61" s="190"/>
      <c r="X61" s="189"/>
      <c r="Y61" s="189"/>
      <c r="Z61" s="190"/>
      <c r="AA61" s="189"/>
      <c r="AB61" s="189"/>
    </row>
    <row r="62" spans="13:28">
      <c r="M62" s="189"/>
      <c r="N62" s="190"/>
      <c r="O62" s="189"/>
      <c r="P62" s="189"/>
      <c r="Q62" s="190"/>
      <c r="R62" s="189"/>
      <c r="S62" s="189"/>
      <c r="T62" s="190"/>
      <c r="U62" s="189"/>
      <c r="V62" s="189"/>
      <c r="W62" s="190"/>
      <c r="X62" s="189"/>
      <c r="Y62" s="189"/>
      <c r="Z62" s="190"/>
      <c r="AA62" s="189"/>
      <c r="AB62" s="189"/>
    </row>
    <row r="63" spans="13:28">
      <c r="M63" s="189"/>
      <c r="N63" s="190"/>
      <c r="O63" s="189"/>
      <c r="P63" s="189"/>
      <c r="Q63" s="190"/>
      <c r="R63" s="189"/>
      <c r="S63" s="189"/>
      <c r="T63" s="190"/>
      <c r="U63" s="189"/>
      <c r="V63" s="189"/>
      <c r="W63" s="190"/>
      <c r="X63" s="189"/>
      <c r="Y63" s="189"/>
      <c r="Z63" s="190"/>
      <c r="AA63" s="189"/>
      <c r="AB63" s="189"/>
    </row>
    <row r="64" spans="13:28">
      <c r="M64" s="189"/>
      <c r="N64" s="190"/>
      <c r="O64" s="189"/>
      <c r="P64" s="189"/>
      <c r="Q64" s="190"/>
      <c r="R64" s="189"/>
      <c r="S64" s="189"/>
      <c r="T64" s="190"/>
      <c r="U64" s="189"/>
      <c r="V64" s="189"/>
      <c r="W64" s="190"/>
      <c r="X64" s="189"/>
      <c r="Y64" s="189"/>
      <c r="Z64" s="190"/>
      <c r="AA64" s="189"/>
      <c r="AB64" s="189"/>
    </row>
    <row r="65" spans="13:28">
      <c r="M65" s="189"/>
      <c r="N65" s="190"/>
      <c r="O65" s="189"/>
      <c r="P65" s="189"/>
      <c r="Q65" s="190"/>
      <c r="R65" s="189"/>
      <c r="S65" s="189"/>
      <c r="T65" s="190"/>
      <c r="U65" s="189"/>
      <c r="V65" s="189"/>
      <c r="W65" s="190"/>
      <c r="X65" s="189"/>
      <c r="Y65" s="189"/>
      <c r="Z65" s="190"/>
      <c r="AA65" s="189"/>
      <c r="AB65" s="189"/>
    </row>
    <row r="66" spans="13:28">
      <c r="M66" s="189"/>
      <c r="N66" s="190"/>
      <c r="O66" s="189"/>
      <c r="P66" s="189"/>
      <c r="Q66" s="190"/>
      <c r="R66" s="189"/>
      <c r="S66" s="189"/>
      <c r="T66" s="190"/>
      <c r="U66" s="189"/>
      <c r="V66" s="189"/>
      <c r="W66" s="190"/>
      <c r="X66" s="189"/>
      <c r="Y66" s="189"/>
      <c r="Z66" s="190"/>
      <c r="AA66" s="189"/>
      <c r="AB66" s="189"/>
    </row>
    <row r="67" spans="13:28">
      <c r="M67" s="189"/>
      <c r="N67" s="190"/>
      <c r="O67" s="189"/>
      <c r="P67" s="189"/>
      <c r="Q67" s="190"/>
      <c r="R67" s="189"/>
      <c r="S67" s="189"/>
      <c r="T67" s="190"/>
      <c r="U67" s="189"/>
      <c r="V67" s="189"/>
      <c r="W67" s="190"/>
      <c r="X67" s="189"/>
      <c r="Y67" s="189"/>
      <c r="Z67" s="190"/>
      <c r="AA67" s="189"/>
      <c r="AB67" s="189"/>
    </row>
    <row r="68" spans="13:28">
      <c r="M68" s="189"/>
      <c r="N68" s="190"/>
      <c r="O68" s="189"/>
      <c r="P68" s="189"/>
      <c r="Q68" s="190"/>
      <c r="R68" s="189"/>
      <c r="S68" s="189"/>
      <c r="T68" s="190"/>
      <c r="U68" s="189"/>
      <c r="V68" s="189"/>
      <c r="W68" s="190"/>
      <c r="X68" s="189"/>
      <c r="Y68" s="189"/>
      <c r="Z68" s="190"/>
      <c r="AA68" s="189"/>
      <c r="AB68" s="189"/>
    </row>
    <row r="69" spans="13:28">
      <c r="M69" s="189"/>
      <c r="N69" s="190"/>
      <c r="O69" s="189"/>
      <c r="P69" s="189"/>
      <c r="Q69" s="190"/>
      <c r="R69" s="189"/>
      <c r="S69" s="189"/>
      <c r="T69" s="190"/>
      <c r="U69" s="189"/>
      <c r="V69" s="189"/>
      <c r="W69" s="190"/>
      <c r="X69" s="189"/>
      <c r="Y69" s="189"/>
      <c r="Z69" s="190"/>
      <c r="AA69" s="189"/>
      <c r="AB69" s="189"/>
    </row>
    <row r="70" spans="13:28">
      <c r="M70" s="189"/>
      <c r="N70" s="190"/>
      <c r="O70" s="189"/>
      <c r="P70" s="189"/>
      <c r="Q70" s="190"/>
      <c r="R70" s="189"/>
      <c r="S70" s="189"/>
      <c r="T70" s="190"/>
      <c r="U70" s="189"/>
      <c r="V70" s="189"/>
      <c r="W70" s="190"/>
      <c r="X70" s="189"/>
      <c r="Y70" s="189"/>
      <c r="Z70" s="190"/>
      <c r="AA70" s="189"/>
      <c r="AB70" s="189"/>
    </row>
    <row r="71" spans="13:28">
      <c r="M71" s="189"/>
      <c r="N71" s="190"/>
      <c r="O71" s="189"/>
      <c r="P71" s="189"/>
      <c r="Q71" s="190"/>
      <c r="R71" s="189"/>
      <c r="S71" s="189"/>
      <c r="T71" s="190"/>
      <c r="U71" s="189"/>
      <c r="V71" s="189"/>
      <c r="W71" s="190"/>
      <c r="X71" s="189"/>
      <c r="Y71" s="189"/>
      <c r="Z71" s="190"/>
      <c r="AA71" s="189"/>
      <c r="AB71" s="189"/>
    </row>
    <row r="72" spans="13:28">
      <c r="M72" s="189"/>
      <c r="N72" s="190"/>
      <c r="O72" s="189"/>
      <c r="P72" s="189"/>
      <c r="Q72" s="190"/>
      <c r="R72" s="189"/>
      <c r="S72" s="189"/>
      <c r="T72" s="190"/>
      <c r="U72" s="189"/>
      <c r="V72" s="189"/>
      <c r="W72" s="190"/>
      <c r="X72" s="189"/>
      <c r="Y72" s="189"/>
      <c r="Z72" s="190"/>
      <c r="AA72" s="189"/>
      <c r="AB72" s="189"/>
    </row>
    <row r="73" spans="13:28">
      <c r="M73" s="189"/>
      <c r="N73" s="190"/>
      <c r="O73" s="189"/>
      <c r="P73" s="189"/>
      <c r="Q73" s="190"/>
      <c r="R73" s="189"/>
      <c r="S73" s="189"/>
      <c r="T73" s="190"/>
      <c r="U73" s="189"/>
      <c r="V73" s="189"/>
      <c r="W73" s="190"/>
      <c r="X73" s="189"/>
      <c r="Y73" s="189"/>
      <c r="Z73" s="190"/>
      <c r="AA73" s="189"/>
      <c r="AB73" s="189"/>
    </row>
    <row r="74" spans="13:28">
      <c r="M74" s="189"/>
      <c r="N74" s="190"/>
      <c r="O74" s="189"/>
      <c r="P74" s="189"/>
      <c r="Q74" s="190"/>
      <c r="R74" s="189"/>
      <c r="S74" s="189"/>
      <c r="T74" s="190"/>
      <c r="U74" s="189"/>
      <c r="V74" s="189"/>
      <c r="W74" s="190"/>
      <c r="X74" s="189"/>
      <c r="Y74" s="189"/>
      <c r="Z74" s="190"/>
      <c r="AA74" s="189"/>
      <c r="AB74" s="189"/>
    </row>
    <row r="75" spans="13:28">
      <c r="M75" s="189"/>
      <c r="N75" s="190"/>
      <c r="O75" s="189"/>
      <c r="P75" s="189"/>
      <c r="Q75" s="190"/>
      <c r="R75" s="189"/>
      <c r="S75" s="189"/>
      <c r="T75" s="190"/>
      <c r="U75" s="189"/>
      <c r="V75" s="189"/>
      <c r="W75" s="190"/>
      <c r="X75" s="189"/>
      <c r="Y75" s="189"/>
      <c r="Z75" s="190"/>
      <c r="AA75" s="189"/>
      <c r="AB75" s="189"/>
    </row>
    <row r="76" spans="13:28">
      <c r="M76" s="189"/>
      <c r="N76" s="190"/>
      <c r="O76" s="189"/>
      <c r="P76" s="189"/>
      <c r="Q76" s="190"/>
      <c r="R76" s="189"/>
      <c r="S76" s="189"/>
      <c r="T76" s="190"/>
      <c r="U76" s="189"/>
      <c r="V76" s="189"/>
      <c r="W76" s="190"/>
      <c r="X76" s="189"/>
      <c r="Y76" s="189"/>
      <c r="Z76" s="190"/>
      <c r="AA76" s="189"/>
      <c r="AB76" s="189"/>
    </row>
    <row r="77" spans="13:28">
      <c r="M77" s="189"/>
      <c r="N77" s="190"/>
      <c r="O77" s="189"/>
      <c r="P77" s="189"/>
      <c r="Q77" s="190"/>
      <c r="R77" s="189"/>
      <c r="S77" s="189"/>
      <c r="T77" s="190"/>
      <c r="U77" s="189"/>
      <c r="V77" s="189"/>
      <c r="W77" s="190"/>
      <c r="X77" s="189"/>
      <c r="Y77" s="189"/>
      <c r="Z77" s="190"/>
      <c r="AA77" s="189"/>
      <c r="AB77" s="189"/>
    </row>
    <row r="78" spans="13:28">
      <c r="M78" s="189"/>
      <c r="N78" s="190"/>
      <c r="O78" s="189"/>
      <c r="P78" s="189"/>
      <c r="Q78" s="190"/>
      <c r="R78" s="189"/>
      <c r="S78" s="189"/>
      <c r="T78" s="190"/>
      <c r="U78" s="189"/>
      <c r="V78" s="189"/>
      <c r="W78" s="190"/>
      <c r="X78" s="189"/>
      <c r="Y78" s="189"/>
      <c r="Z78" s="190"/>
      <c r="AA78" s="189"/>
      <c r="AB78" s="189"/>
    </row>
    <row r="79" spans="13:28">
      <c r="M79" s="189"/>
      <c r="N79" s="190"/>
      <c r="O79" s="189"/>
      <c r="P79" s="189"/>
      <c r="Q79" s="190"/>
      <c r="R79" s="189"/>
      <c r="S79" s="189"/>
      <c r="T79" s="190"/>
      <c r="U79" s="189"/>
      <c r="V79" s="189"/>
      <c r="W79" s="190"/>
      <c r="X79" s="189"/>
      <c r="Y79" s="189"/>
      <c r="Z79" s="190"/>
      <c r="AA79" s="189"/>
      <c r="AB79" s="189"/>
    </row>
    <row r="80" spans="13:28">
      <c r="M80" s="189"/>
      <c r="N80" s="190"/>
      <c r="O80" s="189"/>
      <c r="P80" s="189"/>
      <c r="Q80" s="190"/>
      <c r="R80" s="189"/>
      <c r="S80" s="189"/>
      <c r="T80" s="190"/>
      <c r="U80" s="189"/>
      <c r="V80" s="189"/>
      <c r="W80" s="190"/>
      <c r="X80" s="189"/>
      <c r="Y80" s="189"/>
      <c r="Z80" s="190"/>
      <c r="AA80" s="189"/>
      <c r="AB80" s="189"/>
    </row>
    <row r="81" spans="13:28">
      <c r="M81" s="189"/>
      <c r="N81" s="190"/>
      <c r="O81" s="189"/>
      <c r="P81" s="189"/>
      <c r="Q81" s="190"/>
      <c r="R81" s="189"/>
      <c r="S81" s="189"/>
      <c r="T81" s="190"/>
      <c r="U81" s="189"/>
      <c r="V81" s="189"/>
      <c r="W81" s="190"/>
      <c r="X81" s="189"/>
      <c r="Y81" s="189"/>
      <c r="Z81" s="190"/>
      <c r="AA81" s="189"/>
      <c r="AB81" s="189"/>
    </row>
    <row r="82" spans="13:28">
      <c r="M82" s="189"/>
      <c r="N82" s="190"/>
      <c r="O82" s="189"/>
      <c r="P82" s="189"/>
      <c r="Q82" s="190"/>
      <c r="R82" s="189"/>
      <c r="S82" s="189"/>
      <c r="T82" s="190"/>
      <c r="U82" s="189"/>
      <c r="V82" s="189"/>
      <c r="W82" s="190"/>
      <c r="X82" s="189"/>
      <c r="Y82" s="189"/>
      <c r="Z82" s="190"/>
      <c r="AA82" s="189"/>
      <c r="AB82" s="189"/>
    </row>
    <row r="83" spans="13:28">
      <c r="M83" s="189"/>
      <c r="N83" s="190"/>
      <c r="O83" s="189"/>
      <c r="P83" s="189"/>
      <c r="Q83" s="190"/>
      <c r="R83" s="189"/>
      <c r="S83" s="189"/>
      <c r="T83" s="190"/>
      <c r="U83" s="189"/>
      <c r="V83" s="189"/>
      <c r="W83" s="190"/>
      <c r="X83" s="189"/>
      <c r="Y83" s="189"/>
      <c r="Z83" s="190"/>
      <c r="AA83" s="189"/>
      <c r="AB83" s="189"/>
    </row>
    <row r="84" spans="13:28">
      <c r="M84" s="189"/>
      <c r="N84" s="190"/>
      <c r="O84" s="189"/>
      <c r="P84" s="189"/>
      <c r="Q84" s="190"/>
      <c r="R84" s="189"/>
      <c r="S84" s="189"/>
      <c r="T84" s="190"/>
      <c r="U84" s="189"/>
      <c r="V84" s="189"/>
      <c r="W84" s="190"/>
      <c r="X84" s="189"/>
      <c r="Y84" s="189"/>
      <c r="Z84" s="190"/>
      <c r="AA84" s="189"/>
      <c r="AB84" s="189"/>
    </row>
    <row r="85" spans="13:28">
      <c r="M85" s="189"/>
      <c r="N85" s="190"/>
      <c r="O85" s="189"/>
      <c r="P85" s="189"/>
      <c r="Q85" s="190"/>
      <c r="R85" s="189"/>
      <c r="S85" s="189"/>
      <c r="T85" s="190"/>
      <c r="U85" s="189"/>
      <c r="V85" s="189"/>
      <c r="W85" s="190"/>
      <c r="X85" s="189"/>
      <c r="Y85" s="189"/>
      <c r="Z85" s="190"/>
      <c r="AA85" s="189"/>
      <c r="AB85" s="189"/>
    </row>
    <row r="86" spans="13:28">
      <c r="M86" s="189"/>
      <c r="N86" s="190"/>
      <c r="O86" s="189"/>
      <c r="P86" s="189"/>
      <c r="Q86" s="190"/>
      <c r="R86" s="189"/>
      <c r="S86" s="189"/>
      <c r="T86" s="190"/>
      <c r="U86" s="189"/>
      <c r="V86" s="189"/>
      <c r="W86" s="190"/>
      <c r="X86" s="189"/>
      <c r="Y86" s="189"/>
      <c r="Z86" s="190"/>
      <c r="AA86" s="189"/>
      <c r="AB86" s="189"/>
    </row>
    <row r="87" spans="13:28">
      <c r="M87" s="189"/>
      <c r="N87" s="190"/>
      <c r="O87" s="189"/>
      <c r="P87" s="189"/>
      <c r="Q87" s="190"/>
      <c r="R87" s="189"/>
      <c r="S87" s="189"/>
      <c r="T87" s="190"/>
      <c r="U87" s="189"/>
      <c r="V87" s="189"/>
      <c r="W87" s="190"/>
      <c r="X87" s="189"/>
      <c r="Y87" s="189"/>
      <c r="Z87" s="190"/>
      <c r="AA87" s="189"/>
      <c r="AB87" s="189"/>
    </row>
    <row r="88" spans="13:28">
      <c r="M88" s="189"/>
      <c r="N88" s="190"/>
      <c r="O88" s="189"/>
      <c r="P88" s="189"/>
      <c r="Q88" s="190"/>
      <c r="R88" s="189"/>
      <c r="S88" s="189"/>
      <c r="T88" s="190"/>
      <c r="U88" s="189"/>
      <c r="V88" s="189"/>
      <c r="W88" s="190"/>
      <c r="X88" s="189"/>
      <c r="Y88" s="189"/>
      <c r="Z88" s="190"/>
      <c r="AA88" s="189"/>
      <c r="AB88" s="189"/>
    </row>
    <row r="89" spans="13:28">
      <c r="M89" s="189"/>
      <c r="N89" s="190"/>
      <c r="O89" s="189"/>
      <c r="P89" s="189"/>
      <c r="Q89" s="190"/>
      <c r="R89" s="189"/>
      <c r="S89" s="189"/>
      <c r="T89" s="190"/>
      <c r="U89" s="189"/>
      <c r="V89" s="189"/>
      <c r="W89" s="190"/>
      <c r="X89" s="189"/>
      <c r="Y89" s="189"/>
      <c r="Z89" s="190"/>
      <c r="AA89" s="189"/>
      <c r="AB89" s="189"/>
    </row>
    <row r="90" spans="13:28">
      <c r="M90" s="189"/>
      <c r="N90" s="190"/>
      <c r="O90" s="189"/>
      <c r="P90" s="189"/>
      <c r="Q90" s="190"/>
      <c r="R90" s="189"/>
      <c r="S90" s="189"/>
      <c r="T90" s="190"/>
      <c r="U90" s="189"/>
      <c r="V90" s="189"/>
      <c r="W90" s="190"/>
      <c r="X90" s="189"/>
      <c r="Y90" s="189"/>
      <c r="Z90" s="190"/>
      <c r="AA90" s="189"/>
      <c r="AB90" s="189"/>
    </row>
    <row r="91" spans="13:28">
      <c r="M91" s="189"/>
      <c r="N91" s="190"/>
      <c r="O91" s="189"/>
      <c r="P91" s="189"/>
      <c r="Q91" s="190"/>
      <c r="R91" s="189"/>
      <c r="S91" s="189"/>
      <c r="T91" s="190"/>
      <c r="U91" s="189"/>
      <c r="V91" s="189"/>
      <c r="W91" s="190"/>
      <c r="X91" s="189"/>
      <c r="Y91" s="189"/>
      <c r="Z91" s="190"/>
      <c r="AA91" s="189"/>
      <c r="AB91" s="189"/>
    </row>
    <row r="92" spans="13:28">
      <c r="M92" s="189"/>
      <c r="N92" s="190"/>
      <c r="O92" s="189"/>
      <c r="P92" s="189"/>
      <c r="Q92" s="190"/>
      <c r="R92" s="189"/>
      <c r="S92" s="189"/>
      <c r="T92" s="190"/>
      <c r="U92" s="189"/>
      <c r="V92" s="189"/>
      <c r="W92" s="190"/>
      <c r="X92" s="189"/>
      <c r="Y92" s="189"/>
      <c r="Z92" s="190"/>
      <c r="AA92" s="189"/>
      <c r="AB92" s="189"/>
    </row>
    <row r="93" spans="13:28">
      <c r="M93" s="189"/>
      <c r="N93" s="190"/>
      <c r="O93" s="189"/>
      <c r="P93" s="189"/>
      <c r="Q93" s="190"/>
      <c r="R93" s="189"/>
      <c r="S93" s="189"/>
      <c r="T93" s="190"/>
      <c r="U93" s="189"/>
      <c r="V93" s="189"/>
      <c r="W93" s="190"/>
      <c r="X93" s="189"/>
      <c r="Y93" s="189"/>
      <c r="Z93" s="190"/>
      <c r="AA93" s="189"/>
      <c r="AB93" s="189"/>
    </row>
    <row r="94" spans="13:28">
      <c r="M94" s="189"/>
      <c r="N94" s="190"/>
      <c r="O94" s="189"/>
      <c r="P94" s="189"/>
      <c r="Q94" s="190"/>
      <c r="R94" s="189"/>
      <c r="S94" s="189"/>
      <c r="T94" s="190"/>
      <c r="U94" s="189"/>
      <c r="V94" s="189"/>
      <c r="W94" s="190"/>
      <c r="X94" s="189"/>
      <c r="Y94" s="189"/>
      <c r="Z94" s="190"/>
      <c r="AA94" s="189"/>
      <c r="AB94" s="189"/>
    </row>
    <row r="95" spans="13:28">
      <c r="M95" s="189"/>
      <c r="N95" s="190"/>
      <c r="O95" s="189"/>
      <c r="P95" s="189"/>
      <c r="Q95" s="190"/>
      <c r="R95" s="189"/>
      <c r="S95" s="189"/>
      <c r="T95" s="190"/>
      <c r="U95" s="189"/>
      <c r="V95" s="189"/>
      <c r="W95" s="190"/>
      <c r="X95" s="189"/>
      <c r="Y95" s="189"/>
      <c r="Z95" s="190"/>
      <c r="AA95" s="189"/>
      <c r="AB95" s="189"/>
    </row>
    <row r="96" spans="13:28">
      <c r="M96" s="189"/>
      <c r="N96" s="190"/>
      <c r="O96" s="189"/>
      <c r="P96" s="189"/>
      <c r="Q96" s="190"/>
      <c r="R96" s="189"/>
      <c r="S96" s="189"/>
      <c r="T96" s="190"/>
      <c r="U96" s="189"/>
      <c r="V96" s="189"/>
      <c r="W96" s="190"/>
      <c r="X96" s="189"/>
      <c r="Y96" s="189"/>
      <c r="Z96" s="190"/>
      <c r="AA96" s="189"/>
      <c r="AB96" s="189"/>
    </row>
    <row r="97" spans="13:28">
      <c r="M97" s="189"/>
      <c r="N97" s="190"/>
      <c r="O97" s="189"/>
      <c r="P97" s="189"/>
      <c r="Q97" s="190"/>
      <c r="R97" s="189"/>
      <c r="S97" s="189"/>
      <c r="T97" s="190"/>
      <c r="U97" s="189"/>
      <c r="V97" s="189"/>
      <c r="W97" s="190"/>
      <c r="X97" s="189"/>
      <c r="Y97" s="189"/>
      <c r="Z97" s="190"/>
      <c r="AA97" s="189"/>
      <c r="AB97" s="189"/>
    </row>
    <row r="98" spans="13:28">
      <c r="M98" s="189"/>
      <c r="N98" s="190"/>
      <c r="O98" s="189"/>
      <c r="P98" s="189"/>
      <c r="Q98" s="190"/>
      <c r="R98" s="189"/>
      <c r="S98" s="189"/>
      <c r="T98" s="190"/>
      <c r="U98" s="189"/>
      <c r="V98" s="189"/>
      <c r="W98" s="190"/>
      <c r="X98" s="189"/>
      <c r="Y98" s="189"/>
      <c r="Z98" s="190"/>
      <c r="AA98" s="189"/>
      <c r="AB98" s="189"/>
    </row>
    <row r="99" spans="13:28">
      <c r="M99" s="189"/>
      <c r="N99" s="190"/>
      <c r="O99" s="189"/>
      <c r="P99" s="189"/>
      <c r="Q99" s="190"/>
      <c r="R99" s="189"/>
      <c r="S99" s="189"/>
      <c r="T99" s="190"/>
      <c r="U99" s="189"/>
      <c r="V99" s="189"/>
      <c r="W99" s="190"/>
      <c r="X99" s="189"/>
      <c r="Y99" s="189"/>
      <c r="Z99" s="190"/>
      <c r="AA99" s="189"/>
      <c r="AB99" s="189"/>
    </row>
    <row r="100" spans="13:28">
      <c r="M100" s="189"/>
      <c r="N100" s="190"/>
      <c r="O100" s="189"/>
      <c r="P100" s="189"/>
      <c r="Q100" s="190"/>
      <c r="R100" s="189"/>
      <c r="S100" s="189"/>
      <c r="T100" s="190"/>
      <c r="U100" s="189"/>
      <c r="V100" s="189"/>
      <c r="W100" s="190"/>
      <c r="X100" s="189"/>
      <c r="Y100" s="189"/>
      <c r="Z100" s="190"/>
      <c r="AA100" s="189"/>
      <c r="AB100" s="189"/>
    </row>
    <row r="101" spans="13:28">
      <c r="M101" s="189"/>
      <c r="N101" s="190"/>
      <c r="O101" s="189"/>
      <c r="P101" s="189"/>
      <c r="Q101" s="190"/>
      <c r="R101" s="189"/>
      <c r="S101" s="189"/>
      <c r="T101" s="190"/>
      <c r="U101" s="189"/>
      <c r="V101" s="189"/>
      <c r="W101" s="190"/>
      <c r="X101" s="189"/>
      <c r="Y101" s="189"/>
      <c r="Z101" s="190"/>
      <c r="AA101" s="189"/>
      <c r="AB101" s="189"/>
    </row>
    <row r="102" spans="13:28">
      <c r="M102" s="189"/>
      <c r="N102" s="190"/>
      <c r="O102" s="189"/>
      <c r="P102" s="189"/>
      <c r="Q102" s="190"/>
      <c r="R102" s="189"/>
      <c r="S102" s="189"/>
      <c r="T102" s="190"/>
      <c r="U102" s="189"/>
      <c r="V102" s="189"/>
      <c r="W102" s="190"/>
      <c r="X102" s="189"/>
      <c r="Y102" s="189"/>
      <c r="Z102" s="190"/>
      <c r="AA102" s="189"/>
      <c r="AB102" s="189"/>
    </row>
    <row r="103" spans="13:28">
      <c r="M103" s="189"/>
      <c r="N103" s="190"/>
      <c r="O103" s="189"/>
      <c r="P103" s="189"/>
      <c r="Q103" s="190"/>
      <c r="R103" s="189"/>
      <c r="S103" s="189"/>
      <c r="T103" s="190"/>
      <c r="U103" s="189"/>
      <c r="V103" s="189"/>
      <c r="W103" s="190"/>
      <c r="X103" s="189"/>
      <c r="Y103" s="189"/>
      <c r="Z103" s="190"/>
      <c r="AA103" s="189"/>
      <c r="AB103" s="189"/>
    </row>
    <row r="104" spans="13:28">
      <c r="M104" s="189"/>
      <c r="N104" s="190"/>
      <c r="O104" s="189"/>
      <c r="P104" s="189"/>
      <c r="Q104" s="190"/>
      <c r="R104" s="189"/>
      <c r="S104" s="189"/>
      <c r="T104" s="190"/>
      <c r="U104" s="189"/>
      <c r="V104" s="189"/>
      <c r="W104" s="190"/>
      <c r="X104" s="189"/>
      <c r="Y104" s="189"/>
      <c r="Z104" s="190"/>
      <c r="AA104" s="189"/>
      <c r="AB104" s="189"/>
    </row>
    <row r="105" spans="13:28">
      <c r="M105" s="189"/>
      <c r="N105" s="190"/>
      <c r="O105" s="189"/>
      <c r="P105" s="189"/>
      <c r="Q105" s="190"/>
      <c r="R105" s="189"/>
      <c r="S105" s="189"/>
      <c r="T105" s="190"/>
      <c r="U105" s="189"/>
      <c r="V105" s="189"/>
      <c r="W105" s="190"/>
      <c r="X105" s="189"/>
      <c r="Y105" s="189"/>
      <c r="Z105" s="190"/>
      <c r="AA105" s="189"/>
      <c r="AB105" s="189"/>
    </row>
    <row r="106" spans="13:28">
      <c r="M106" s="189"/>
      <c r="N106" s="190"/>
      <c r="O106" s="189"/>
      <c r="P106" s="189"/>
      <c r="Q106" s="190"/>
      <c r="R106" s="189"/>
      <c r="S106" s="189"/>
      <c r="T106" s="190"/>
      <c r="U106" s="189"/>
      <c r="V106" s="189"/>
      <c r="W106" s="190"/>
      <c r="X106" s="189"/>
      <c r="Y106" s="189"/>
      <c r="Z106" s="190"/>
      <c r="AA106" s="189"/>
      <c r="AB106" s="189"/>
    </row>
    <row r="107" spans="13:28">
      <c r="M107" s="189"/>
      <c r="N107" s="190"/>
      <c r="O107" s="189"/>
      <c r="P107" s="189"/>
      <c r="Q107" s="190"/>
      <c r="R107" s="189"/>
      <c r="S107" s="189"/>
      <c r="T107" s="190"/>
      <c r="U107" s="189"/>
      <c r="V107" s="189"/>
      <c r="W107" s="190"/>
      <c r="X107" s="189"/>
      <c r="Y107" s="189"/>
      <c r="Z107" s="190"/>
      <c r="AA107" s="189"/>
      <c r="AB107" s="189"/>
    </row>
    <row r="108" spans="13:28">
      <c r="M108" s="189"/>
      <c r="N108" s="190"/>
      <c r="O108" s="189"/>
      <c r="P108" s="189"/>
      <c r="Q108" s="190"/>
      <c r="R108" s="189"/>
      <c r="S108" s="189"/>
      <c r="T108" s="190"/>
      <c r="U108" s="189"/>
      <c r="V108" s="189"/>
      <c r="W108" s="190"/>
      <c r="X108" s="189"/>
      <c r="Y108" s="189"/>
      <c r="Z108" s="190"/>
      <c r="AA108" s="189"/>
      <c r="AB108" s="189"/>
    </row>
    <row r="109" spans="13:28">
      <c r="M109" s="189"/>
      <c r="N109" s="190"/>
      <c r="O109" s="189"/>
      <c r="P109" s="189"/>
      <c r="Q109" s="190"/>
      <c r="R109" s="189"/>
      <c r="S109" s="189"/>
      <c r="T109" s="190"/>
      <c r="U109" s="189"/>
      <c r="V109" s="189"/>
      <c r="W109" s="190"/>
      <c r="X109" s="189"/>
      <c r="Y109" s="189"/>
      <c r="Z109" s="190"/>
      <c r="AA109" s="189"/>
      <c r="AB109" s="189"/>
    </row>
    <row r="110" spans="13:28">
      <c r="M110" s="189"/>
      <c r="N110" s="190"/>
      <c r="O110" s="189"/>
      <c r="P110" s="189"/>
      <c r="Q110" s="190"/>
      <c r="R110" s="189"/>
      <c r="S110" s="189"/>
      <c r="T110" s="190"/>
      <c r="U110" s="189"/>
      <c r="V110" s="189"/>
      <c r="W110" s="190"/>
      <c r="X110" s="189"/>
      <c r="Y110" s="189"/>
      <c r="Z110" s="190"/>
      <c r="AA110" s="189"/>
      <c r="AB110" s="189"/>
    </row>
    <row r="111" spans="13:28">
      <c r="M111" s="189"/>
      <c r="N111" s="190"/>
      <c r="O111" s="189"/>
      <c r="P111" s="189"/>
      <c r="Q111" s="190"/>
      <c r="R111" s="189"/>
      <c r="S111" s="189"/>
      <c r="T111" s="190"/>
      <c r="U111" s="189"/>
      <c r="V111" s="189"/>
      <c r="W111" s="190"/>
      <c r="X111" s="189"/>
      <c r="Y111" s="189"/>
      <c r="Z111" s="190"/>
      <c r="AA111" s="189"/>
      <c r="AB111" s="189"/>
    </row>
    <row r="112" spans="13:28">
      <c r="M112" s="189"/>
      <c r="N112" s="190"/>
      <c r="O112" s="189"/>
      <c r="P112" s="189"/>
      <c r="Q112" s="190"/>
      <c r="R112" s="189"/>
      <c r="S112" s="189"/>
      <c r="T112" s="190"/>
      <c r="U112" s="189"/>
      <c r="V112" s="189"/>
      <c r="W112" s="190"/>
      <c r="X112" s="189"/>
      <c r="Y112" s="189"/>
      <c r="Z112" s="190"/>
      <c r="AA112" s="189"/>
      <c r="AB112" s="189"/>
    </row>
    <row r="113" spans="13:28">
      <c r="M113" s="189"/>
      <c r="N113" s="190"/>
      <c r="O113" s="189"/>
      <c r="P113" s="189"/>
      <c r="Q113" s="190"/>
      <c r="R113" s="189"/>
      <c r="S113" s="189"/>
      <c r="T113" s="190"/>
      <c r="U113" s="189"/>
      <c r="V113" s="189"/>
      <c r="W113" s="190"/>
      <c r="X113" s="189"/>
      <c r="Y113" s="189"/>
      <c r="Z113" s="190"/>
      <c r="AA113" s="189"/>
      <c r="AB113" s="189"/>
    </row>
    <row r="114" spans="13:28">
      <c r="M114" s="189"/>
      <c r="N114" s="190"/>
      <c r="O114" s="189"/>
      <c r="P114" s="189"/>
      <c r="Q114" s="190"/>
      <c r="R114" s="189"/>
      <c r="S114" s="189"/>
      <c r="T114" s="190"/>
      <c r="U114" s="189"/>
      <c r="V114" s="189"/>
      <c r="W114" s="190"/>
      <c r="X114" s="189"/>
      <c r="Y114" s="189"/>
      <c r="Z114" s="190"/>
      <c r="AA114" s="189"/>
      <c r="AB114" s="189"/>
    </row>
    <row r="115" spans="13:28">
      <c r="M115" s="189"/>
      <c r="N115" s="190"/>
      <c r="O115" s="189"/>
      <c r="P115" s="189"/>
      <c r="Q115" s="190"/>
      <c r="R115" s="189"/>
      <c r="S115" s="189"/>
      <c r="T115" s="190"/>
      <c r="U115" s="189"/>
      <c r="V115" s="189"/>
      <c r="W115" s="190"/>
      <c r="X115" s="189"/>
      <c r="Y115" s="189"/>
      <c r="Z115" s="190"/>
      <c r="AA115" s="189"/>
      <c r="AB115" s="189"/>
    </row>
    <row r="116" spans="13:28">
      <c r="M116" s="189"/>
      <c r="N116" s="190"/>
      <c r="O116" s="189"/>
      <c r="P116" s="189"/>
      <c r="Q116" s="190"/>
      <c r="R116" s="189"/>
      <c r="S116" s="189"/>
      <c r="T116" s="190"/>
      <c r="U116" s="189"/>
      <c r="V116" s="189"/>
      <c r="W116" s="190"/>
      <c r="X116" s="189"/>
      <c r="Y116" s="189"/>
      <c r="Z116" s="190"/>
      <c r="AA116" s="189"/>
      <c r="AB116" s="189"/>
    </row>
    <row r="117" spans="13:28">
      <c r="M117" s="189"/>
      <c r="N117" s="190"/>
      <c r="O117" s="189"/>
      <c r="P117" s="189"/>
      <c r="Q117" s="190"/>
      <c r="R117" s="189"/>
      <c r="S117" s="189"/>
      <c r="T117" s="190"/>
      <c r="U117" s="189"/>
      <c r="V117" s="189"/>
      <c r="W117" s="190"/>
      <c r="X117" s="189"/>
      <c r="Y117" s="189"/>
      <c r="Z117" s="190"/>
      <c r="AA117" s="189"/>
      <c r="AB117" s="189"/>
    </row>
    <row r="118" spans="13:28">
      <c r="M118" s="189"/>
      <c r="N118" s="190"/>
      <c r="O118" s="189"/>
      <c r="P118" s="189"/>
      <c r="Q118" s="190"/>
      <c r="R118" s="189"/>
      <c r="S118" s="189"/>
      <c r="T118" s="190"/>
      <c r="U118" s="189"/>
      <c r="V118" s="189"/>
      <c r="W118" s="190"/>
      <c r="X118" s="189"/>
      <c r="Y118" s="189"/>
      <c r="Z118" s="190"/>
      <c r="AA118" s="189"/>
      <c r="AB118" s="189"/>
    </row>
    <row r="119" spans="13:28">
      <c r="M119" s="189"/>
      <c r="N119" s="190"/>
      <c r="O119" s="189"/>
      <c r="P119" s="189"/>
      <c r="Q119" s="190"/>
      <c r="R119" s="189"/>
      <c r="S119" s="189"/>
      <c r="T119" s="190"/>
      <c r="U119" s="189"/>
      <c r="V119" s="189"/>
      <c r="W119" s="190"/>
      <c r="X119" s="189"/>
      <c r="Y119" s="189"/>
      <c r="Z119" s="190"/>
      <c r="AA119" s="189"/>
      <c r="AB119" s="189"/>
    </row>
    <row r="120" spans="13:28">
      <c r="M120" s="189"/>
      <c r="N120" s="190"/>
      <c r="O120" s="189"/>
      <c r="P120" s="189"/>
      <c r="Q120" s="190"/>
      <c r="R120" s="189"/>
      <c r="S120" s="189"/>
      <c r="T120" s="190"/>
      <c r="U120" s="189"/>
      <c r="V120" s="189"/>
      <c r="W120" s="190"/>
      <c r="X120" s="189"/>
      <c r="Y120" s="189"/>
      <c r="Z120" s="190"/>
      <c r="AA120" s="189"/>
      <c r="AB120" s="189"/>
    </row>
    <row r="121" spans="13:28">
      <c r="M121" s="189"/>
      <c r="N121" s="190"/>
      <c r="O121" s="189"/>
      <c r="P121" s="189"/>
      <c r="Q121" s="190"/>
      <c r="R121" s="189"/>
      <c r="S121" s="189"/>
      <c r="T121" s="190"/>
      <c r="U121" s="189"/>
      <c r="V121" s="189"/>
      <c r="W121" s="190"/>
      <c r="X121" s="189"/>
      <c r="Y121" s="189"/>
      <c r="Z121" s="190"/>
      <c r="AA121" s="189"/>
      <c r="AB121" s="189"/>
    </row>
    <row r="122" spans="13:28">
      <c r="M122" s="189"/>
      <c r="N122" s="190"/>
      <c r="O122" s="189"/>
      <c r="P122" s="189"/>
      <c r="Q122" s="190"/>
      <c r="R122" s="189"/>
      <c r="S122" s="189"/>
      <c r="T122" s="190"/>
      <c r="U122" s="189"/>
      <c r="V122" s="189"/>
      <c r="W122" s="190"/>
      <c r="X122" s="189"/>
      <c r="Y122" s="189"/>
      <c r="Z122" s="190"/>
      <c r="AA122" s="189"/>
      <c r="AB122" s="189"/>
    </row>
    <row r="123" spans="13:28">
      <c r="M123" s="189"/>
      <c r="N123" s="190"/>
      <c r="O123" s="189"/>
      <c r="P123" s="189"/>
      <c r="Q123" s="190"/>
      <c r="R123" s="189"/>
      <c r="S123" s="189"/>
      <c r="T123" s="190"/>
      <c r="U123" s="189"/>
      <c r="V123" s="189"/>
      <c r="W123" s="190"/>
      <c r="X123" s="189"/>
      <c r="Y123" s="189"/>
      <c r="Z123" s="190"/>
      <c r="AA123" s="189"/>
      <c r="AB123" s="189"/>
    </row>
    <row r="124" spans="13:28">
      <c r="M124" s="189"/>
      <c r="N124" s="190"/>
      <c r="O124" s="189"/>
      <c r="P124" s="189"/>
      <c r="Q124" s="190"/>
      <c r="R124" s="189"/>
      <c r="S124" s="189"/>
      <c r="T124" s="190"/>
      <c r="U124" s="189"/>
      <c r="V124" s="189"/>
      <c r="W124" s="190"/>
      <c r="X124" s="189"/>
      <c r="Y124" s="189"/>
      <c r="Z124" s="190"/>
      <c r="AA124" s="189"/>
      <c r="AB124" s="189"/>
    </row>
    <row r="125" spans="13:28">
      <c r="M125" s="189"/>
      <c r="N125" s="190"/>
      <c r="O125" s="189"/>
      <c r="P125" s="189"/>
      <c r="Q125" s="190"/>
      <c r="R125" s="189"/>
      <c r="S125" s="189"/>
      <c r="T125" s="190"/>
      <c r="U125" s="189"/>
      <c r="V125" s="189"/>
      <c r="W125" s="190"/>
      <c r="X125" s="189"/>
      <c r="Y125" s="189"/>
      <c r="Z125" s="190"/>
      <c r="AA125" s="189"/>
      <c r="AB125" s="189"/>
    </row>
    <row r="126" spans="13:28">
      <c r="M126" s="189"/>
      <c r="N126" s="190"/>
      <c r="O126" s="189"/>
      <c r="P126" s="189"/>
      <c r="Q126" s="190"/>
      <c r="R126" s="189"/>
      <c r="S126" s="189"/>
      <c r="T126" s="190"/>
      <c r="U126" s="189"/>
      <c r="V126" s="189"/>
      <c r="W126" s="190"/>
      <c r="X126" s="189"/>
      <c r="Y126" s="189"/>
      <c r="Z126" s="190"/>
      <c r="AA126" s="189"/>
      <c r="AB126" s="189"/>
    </row>
    <row r="127" spans="13:28">
      <c r="M127" s="189"/>
      <c r="N127" s="190"/>
      <c r="O127" s="189"/>
      <c r="P127" s="189"/>
      <c r="Q127" s="190"/>
      <c r="R127" s="189"/>
      <c r="S127" s="189"/>
      <c r="T127" s="190"/>
      <c r="U127" s="189"/>
      <c r="V127" s="189"/>
      <c r="W127" s="190"/>
      <c r="X127" s="189"/>
      <c r="Y127" s="189"/>
      <c r="Z127" s="190"/>
      <c r="AA127" s="189"/>
      <c r="AB127" s="189"/>
    </row>
    <row r="128" spans="13:28">
      <c r="M128" s="189"/>
      <c r="N128" s="190"/>
      <c r="O128" s="189"/>
      <c r="P128" s="189"/>
      <c r="Q128" s="190"/>
      <c r="R128" s="189"/>
      <c r="S128" s="189"/>
      <c r="T128" s="190"/>
      <c r="U128" s="189"/>
      <c r="V128" s="189"/>
      <c r="W128" s="190"/>
      <c r="X128" s="189"/>
      <c r="Y128" s="189"/>
      <c r="Z128" s="190"/>
      <c r="AA128" s="189"/>
      <c r="AB128" s="189"/>
    </row>
    <row r="129" spans="13:28">
      <c r="M129" s="189"/>
      <c r="N129" s="190"/>
      <c r="O129" s="189"/>
      <c r="P129" s="189"/>
      <c r="Q129" s="190"/>
      <c r="R129" s="189"/>
      <c r="S129" s="189"/>
      <c r="T129" s="190"/>
      <c r="U129" s="189"/>
      <c r="V129" s="189"/>
      <c r="W129" s="190"/>
      <c r="X129" s="189"/>
      <c r="Y129" s="189"/>
      <c r="Z129" s="190"/>
      <c r="AA129" s="189"/>
      <c r="AB129" s="189"/>
    </row>
    <row r="130" spans="13:28">
      <c r="M130" s="189"/>
      <c r="N130" s="190"/>
      <c r="O130" s="189"/>
      <c r="P130" s="189"/>
      <c r="Q130" s="190"/>
      <c r="R130" s="189"/>
      <c r="S130" s="189"/>
      <c r="T130" s="190"/>
      <c r="U130" s="189"/>
      <c r="V130" s="189"/>
      <c r="W130" s="190"/>
      <c r="X130" s="189"/>
      <c r="Y130" s="189"/>
      <c r="Z130" s="190"/>
      <c r="AA130" s="189"/>
      <c r="AB130" s="189"/>
    </row>
    <row r="131" spans="13:28">
      <c r="M131" s="189"/>
      <c r="N131" s="190"/>
      <c r="O131" s="189"/>
      <c r="P131" s="189"/>
      <c r="Q131" s="190"/>
      <c r="R131" s="189"/>
      <c r="S131" s="189"/>
      <c r="T131" s="190"/>
      <c r="U131" s="189"/>
      <c r="V131" s="189"/>
      <c r="W131" s="190"/>
      <c r="X131" s="189"/>
      <c r="Y131" s="189"/>
      <c r="Z131" s="190"/>
      <c r="AA131" s="189"/>
      <c r="AB131" s="189"/>
    </row>
    <row r="132" spans="13:28">
      <c r="M132" s="189"/>
      <c r="N132" s="190"/>
      <c r="O132" s="189"/>
      <c r="P132" s="189"/>
      <c r="Q132" s="190"/>
      <c r="R132" s="189"/>
      <c r="S132" s="189"/>
      <c r="T132" s="190"/>
      <c r="U132" s="189"/>
      <c r="V132" s="189"/>
      <c r="W132" s="190"/>
      <c r="X132" s="189"/>
      <c r="Y132" s="189"/>
      <c r="Z132" s="190"/>
      <c r="AA132" s="189"/>
      <c r="AB132" s="189"/>
    </row>
    <row r="133" spans="13:28">
      <c r="M133" s="189"/>
      <c r="N133" s="190"/>
      <c r="O133" s="189"/>
      <c r="P133" s="189"/>
      <c r="Q133" s="190"/>
      <c r="R133" s="189"/>
      <c r="S133" s="189"/>
      <c r="T133" s="190"/>
      <c r="U133" s="189"/>
      <c r="V133" s="189"/>
      <c r="W133" s="190"/>
      <c r="X133" s="189"/>
      <c r="Y133" s="189"/>
      <c r="Z133" s="190"/>
      <c r="AA133" s="189"/>
      <c r="AB133" s="189"/>
    </row>
    <row r="134" spans="13:28">
      <c r="M134" s="189"/>
      <c r="N134" s="190"/>
      <c r="O134" s="189"/>
      <c r="P134" s="189"/>
      <c r="Q134" s="190"/>
      <c r="R134" s="189"/>
      <c r="S134" s="189"/>
      <c r="T134" s="190"/>
      <c r="U134" s="189"/>
      <c r="V134" s="189"/>
      <c r="W134" s="190"/>
      <c r="X134" s="189"/>
      <c r="Y134" s="189"/>
      <c r="Z134" s="190"/>
      <c r="AA134" s="189"/>
      <c r="AB134" s="189"/>
    </row>
    <row r="135" spans="13:28">
      <c r="M135" s="189"/>
      <c r="N135" s="190"/>
      <c r="O135" s="189"/>
      <c r="P135" s="189"/>
      <c r="Q135" s="190"/>
      <c r="R135" s="189"/>
      <c r="S135" s="189"/>
      <c r="T135" s="190"/>
      <c r="U135" s="189"/>
      <c r="V135" s="189"/>
      <c r="W135" s="190"/>
      <c r="X135" s="189"/>
      <c r="Y135" s="189"/>
      <c r="Z135" s="190"/>
      <c r="AA135" s="189"/>
      <c r="AB135" s="189"/>
    </row>
    <row r="136" spans="13:28">
      <c r="M136" s="189"/>
      <c r="N136" s="190"/>
      <c r="O136" s="189"/>
      <c r="P136" s="189"/>
      <c r="Q136" s="190"/>
      <c r="R136" s="189"/>
      <c r="S136" s="189"/>
      <c r="T136" s="190"/>
      <c r="U136" s="189"/>
      <c r="V136" s="189"/>
      <c r="W136" s="190"/>
      <c r="X136" s="189"/>
      <c r="Y136" s="189"/>
      <c r="Z136" s="190"/>
      <c r="AA136" s="189"/>
      <c r="AB136" s="189"/>
    </row>
    <row r="137" spans="13:28">
      <c r="M137" s="189"/>
      <c r="N137" s="190"/>
      <c r="O137" s="189"/>
      <c r="P137" s="189"/>
      <c r="Q137" s="190"/>
      <c r="R137" s="189"/>
      <c r="S137" s="189"/>
      <c r="T137" s="190"/>
      <c r="U137" s="189"/>
      <c r="V137" s="189"/>
      <c r="W137" s="190"/>
      <c r="X137" s="189"/>
      <c r="Y137" s="189"/>
      <c r="Z137" s="190"/>
      <c r="AA137" s="189"/>
      <c r="AB137" s="189"/>
    </row>
    <row r="138" spans="13:28">
      <c r="M138" s="189"/>
      <c r="N138" s="190"/>
      <c r="O138" s="189"/>
      <c r="P138" s="189"/>
      <c r="Q138" s="190"/>
      <c r="R138" s="189"/>
      <c r="S138" s="189"/>
      <c r="T138" s="190"/>
      <c r="U138" s="189"/>
      <c r="V138" s="189"/>
      <c r="W138" s="190"/>
      <c r="X138" s="189"/>
      <c r="Y138" s="189"/>
      <c r="Z138" s="190"/>
      <c r="AA138" s="189"/>
      <c r="AB138" s="189"/>
    </row>
    <row r="139" spans="13:28">
      <c r="M139" s="189"/>
      <c r="N139" s="190"/>
      <c r="O139" s="189"/>
      <c r="P139" s="189"/>
      <c r="Q139" s="190"/>
      <c r="R139" s="189"/>
      <c r="S139" s="189"/>
      <c r="T139" s="190"/>
      <c r="U139" s="189"/>
      <c r="V139" s="189"/>
      <c r="W139" s="190"/>
      <c r="X139" s="189"/>
      <c r="Y139" s="189"/>
      <c r="Z139" s="190"/>
      <c r="AA139" s="189"/>
      <c r="AB139" s="189"/>
    </row>
    <row r="140" spans="13:28">
      <c r="M140" s="189"/>
      <c r="N140" s="190"/>
      <c r="O140" s="189"/>
      <c r="P140" s="189"/>
      <c r="Q140" s="190"/>
      <c r="R140" s="189"/>
      <c r="S140" s="189"/>
      <c r="T140" s="190"/>
      <c r="U140" s="189"/>
      <c r="V140" s="189"/>
      <c r="W140" s="190"/>
      <c r="X140" s="189"/>
      <c r="Y140" s="189"/>
      <c r="Z140" s="190"/>
      <c r="AA140" s="189"/>
      <c r="AB140" s="189"/>
    </row>
    <row r="141" spans="13:28">
      <c r="M141" s="189"/>
      <c r="N141" s="190"/>
      <c r="O141" s="189"/>
      <c r="P141" s="189"/>
      <c r="Q141" s="190"/>
      <c r="R141" s="189"/>
      <c r="S141" s="189"/>
      <c r="T141" s="190"/>
      <c r="U141" s="189"/>
      <c r="V141" s="189"/>
      <c r="W141" s="190"/>
      <c r="X141" s="189"/>
      <c r="Y141" s="189"/>
      <c r="Z141" s="190"/>
      <c r="AA141" s="189"/>
      <c r="AB141" s="189"/>
    </row>
    <row r="142" spans="13:28">
      <c r="M142" s="189"/>
      <c r="N142" s="190"/>
      <c r="O142" s="189"/>
      <c r="P142" s="189"/>
      <c r="Q142" s="190"/>
      <c r="R142" s="189"/>
      <c r="S142" s="189"/>
      <c r="T142" s="190"/>
      <c r="U142" s="189"/>
      <c r="V142" s="189"/>
      <c r="W142" s="190"/>
      <c r="X142" s="189"/>
      <c r="Y142" s="189"/>
      <c r="Z142" s="190"/>
      <c r="AA142" s="189"/>
      <c r="AB142" s="189"/>
    </row>
    <row r="143" spans="13:28">
      <c r="M143" s="189"/>
      <c r="N143" s="190"/>
      <c r="O143" s="189"/>
      <c r="P143" s="189"/>
      <c r="Q143" s="190"/>
      <c r="R143" s="189"/>
      <c r="S143" s="189"/>
      <c r="T143" s="190"/>
      <c r="U143" s="189"/>
      <c r="V143" s="189"/>
      <c r="W143" s="190"/>
      <c r="X143" s="189"/>
      <c r="Y143" s="189"/>
      <c r="Z143" s="190"/>
      <c r="AA143" s="189"/>
      <c r="AB143" s="189"/>
    </row>
    <row r="144" spans="13:28">
      <c r="M144" s="189"/>
      <c r="N144" s="190"/>
      <c r="O144" s="189"/>
      <c r="P144" s="189"/>
      <c r="Q144" s="190"/>
      <c r="R144" s="189"/>
      <c r="S144" s="189"/>
      <c r="T144" s="190"/>
      <c r="U144" s="189"/>
      <c r="V144" s="189"/>
      <c r="W144" s="190"/>
      <c r="X144" s="189"/>
      <c r="Y144" s="189"/>
      <c r="Z144" s="190"/>
      <c r="AA144" s="189"/>
      <c r="AB144" s="189"/>
    </row>
    <row r="145" spans="13:28">
      <c r="M145" s="189"/>
      <c r="N145" s="190"/>
      <c r="O145" s="189"/>
      <c r="P145" s="189"/>
      <c r="Q145" s="190"/>
      <c r="R145" s="189"/>
      <c r="S145" s="189"/>
      <c r="T145" s="190"/>
      <c r="U145" s="189"/>
      <c r="V145" s="189"/>
      <c r="W145" s="190"/>
      <c r="X145" s="189"/>
      <c r="Y145" s="189"/>
      <c r="Z145" s="190"/>
      <c r="AA145" s="189"/>
      <c r="AB145" s="189"/>
    </row>
    <row r="146" spans="13:28">
      <c r="M146" s="189"/>
      <c r="N146" s="190"/>
      <c r="O146" s="189"/>
      <c r="P146" s="189"/>
      <c r="Q146" s="190"/>
      <c r="R146" s="189"/>
      <c r="S146" s="189"/>
      <c r="T146" s="190"/>
      <c r="U146" s="189"/>
      <c r="V146" s="189"/>
      <c r="W146" s="190"/>
      <c r="X146" s="189"/>
      <c r="Y146" s="189"/>
      <c r="Z146" s="190"/>
      <c r="AA146" s="189"/>
      <c r="AB146" s="189"/>
    </row>
    <row r="147" spans="13:28">
      <c r="M147" s="189"/>
      <c r="N147" s="190"/>
      <c r="O147" s="189"/>
      <c r="P147" s="189"/>
      <c r="Q147" s="190"/>
      <c r="R147" s="189"/>
      <c r="S147" s="189"/>
      <c r="T147" s="190"/>
      <c r="U147" s="189"/>
      <c r="V147" s="189"/>
      <c r="W147" s="190"/>
      <c r="X147" s="189"/>
      <c r="Y147" s="189"/>
      <c r="Z147" s="190"/>
      <c r="AA147" s="189"/>
      <c r="AB147" s="189"/>
    </row>
    <row r="148" spans="13:28">
      <c r="M148" s="189"/>
      <c r="N148" s="190"/>
      <c r="O148" s="189"/>
      <c r="P148" s="189"/>
      <c r="Q148" s="190"/>
      <c r="R148" s="189"/>
      <c r="S148" s="189"/>
      <c r="T148" s="190"/>
      <c r="U148" s="189"/>
      <c r="V148" s="189"/>
      <c r="W148" s="190"/>
      <c r="X148" s="189"/>
      <c r="Y148" s="189"/>
      <c r="Z148" s="190"/>
      <c r="AA148" s="189"/>
      <c r="AB148" s="189"/>
    </row>
    <row r="149" spans="13:28">
      <c r="M149" s="189"/>
      <c r="N149" s="190"/>
      <c r="O149" s="189"/>
      <c r="P149" s="189"/>
      <c r="Q149" s="190"/>
      <c r="R149" s="189"/>
      <c r="S149" s="189"/>
      <c r="T149" s="190"/>
      <c r="U149" s="189"/>
      <c r="V149" s="189"/>
      <c r="W149" s="190"/>
      <c r="X149" s="189"/>
      <c r="Y149" s="189"/>
      <c r="Z149" s="190"/>
      <c r="AA149" s="189"/>
      <c r="AB149" s="189"/>
    </row>
    <row r="150" spans="13:28">
      <c r="M150" s="189"/>
      <c r="N150" s="190"/>
      <c r="O150" s="189"/>
      <c r="P150" s="189"/>
      <c r="Q150" s="190"/>
      <c r="R150" s="189"/>
      <c r="S150" s="189"/>
      <c r="T150" s="190"/>
      <c r="U150" s="189"/>
      <c r="V150" s="189"/>
      <c r="W150" s="190"/>
      <c r="X150" s="189"/>
      <c r="Y150" s="189"/>
      <c r="Z150" s="190"/>
      <c r="AA150" s="189"/>
      <c r="AB150" s="189"/>
    </row>
    <row r="151" spans="13:28">
      <c r="M151" s="189"/>
      <c r="N151" s="190"/>
      <c r="O151" s="189"/>
      <c r="P151" s="189"/>
      <c r="Q151" s="190"/>
      <c r="R151" s="189"/>
      <c r="S151" s="189"/>
      <c r="T151" s="190"/>
      <c r="U151" s="189"/>
      <c r="V151" s="189"/>
      <c r="W151" s="190"/>
      <c r="X151" s="189"/>
      <c r="Y151" s="189"/>
      <c r="Z151" s="190"/>
      <c r="AA151" s="189"/>
      <c r="AB151" s="189"/>
    </row>
    <row r="152" spans="13:28">
      <c r="M152" s="189"/>
      <c r="N152" s="190"/>
      <c r="O152" s="189"/>
      <c r="P152" s="189"/>
      <c r="Q152" s="190"/>
      <c r="R152" s="189"/>
      <c r="S152" s="189"/>
      <c r="T152" s="190"/>
      <c r="U152" s="189"/>
      <c r="V152" s="189"/>
      <c r="W152" s="190"/>
      <c r="X152" s="189"/>
      <c r="Y152" s="189"/>
      <c r="Z152" s="190"/>
      <c r="AA152" s="189"/>
      <c r="AB152" s="189"/>
    </row>
    <row r="153" spans="13:28">
      <c r="M153" s="189"/>
      <c r="N153" s="190"/>
      <c r="O153" s="189"/>
      <c r="P153" s="189"/>
      <c r="Q153" s="190"/>
      <c r="R153" s="189"/>
      <c r="S153" s="189"/>
      <c r="T153" s="190"/>
      <c r="U153" s="189"/>
      <c r="V153" s="189"/>
      <c r="W153" s="190"/>
      <c r="X153" s="189"/>
      <c r="Y153" s="189"/>
      <c r="Z153" s="190"/>
      <c r="AA153" s="189"/>
      <c r="AB153" s="189"/>
    </row>
    <row r="154" spans="13:28">
      <c r="M154" s="189"/>
      <c r="N154" s="190"/>
      <c r="O154" s="189"/>
      <c r="P154" s="189"/>
      <c r="Q154" s="190"/>
      <c r="R154" s="189"/>
      <c r="S154" s="189"/>
      <c r="T154" s="190"/>
      <c r="U154" s="189"/>
      <c r="V154" s="189"/>
      <c r="W154" s="190"/>
      <c r="X154" s="189"/>
      <c r="Y154" s="189"/>
      <c r="Z154" s="190"/>
      <c r="AA154" s="189"/>
      <c r="AB154" s="189"/>
    </row>
    <row r="155" spans="13:28">
      <c r="M155" s="189"/>
      <c r="N155" s="190"/>
      <c r="O155" s="189"/>
      <c r="P155" s="189"/>
      <c r="Q155" s="190"/>
      <c r="R155" s="189"/>
      <c r="S155" s="189"/>
      <c r="T155" s="190"/>
      <c r="U155" s="189"/>
      <c r="V155" s="189"/>
      <c r="W155" s="190"/>
      <c r="X155" s="189"/>
      <c r="Y155" s="189"/>
      <c r="Z155" s="190"/>
      <c r="AA155" s="189"/>
      <c r="AB155" s="189"/>
    </row>
    <row r="156" spans="13:28">
      <c r="M156" s="189"/>
      <c r="N156" s="190"/>
      <c r="O156" s="189"/>
      <c r="P156" s="189"/>
      <c r="Q156" s="190"/>
      <c r="R156" s="189"/>
      <c r="S156" s="189"/>
      <c r="T156" s="190"/>
      <c r="U156" s="189"/>
      <c r="V156" s="189"/>
      <c r="W156" s="190"/>
      <c r="X156" s="189"/>
      <c r="Y156" s="189"/>
      <c r="Z156" s="190"/>
      <c r="AA156" s="189"/>
      <c r="AB156" s="189"/>
    </row>
    <row r="157" spans="13:28">
      <c r="M157" s="189"/>
      <c r="N157" s="190"/>
      <c r="O157" s="189"/>
      <c r="P157" s="189"/>
      <c r="Q157" s="190"/>
      <c r="R157" s="189"/>
      <c r="S157" s="189"/>
      <c r="T157" s="190"/>
      <c r="U157" s="189"/>
      <c r="V157" s="189"/>
      <c r="W157" s="190"/>
      <c r="X157" s="189"/>
      <c r="Y157" s="189"/>
      <c r="Z157" s="190"/>
      <c r="AA157" s="189"/>
      <c r="AB157" s="189"/>
    </row>
    <row r="158" spans="13:28">
      <c r="M158" s="189"/>
      <c r="N158" s="190"/>
      <c r="O158" s="189"/>
      <c r="P158" s="189"/>
      <c r="Q158" s="190"/>
      <c r="R158" s="189"/>
      <c r="S158" s="189"/>
      <c r="T158" s="190"/>
      <c r="U158" s="189"/>
      <c r="V158" s="189"/>
      <c r="W158" s="190"/>
      <c r="X158" s="189"/>
      <c r="Y158" s="189"/>
      <c r="Z158" s="190"/>
      <c r="AA158" s="189"/>
      <c r="AB158" s="189"/>
    </row>
    <row r="159" spans="13:28">
      <c r="M159" s="189"/>
      <c r="N159" s="190"/>
      <c r="O159" s="189"/>
      <c r="P159" s="189"/>
      <c r="Q159" s="190"/>
      <c r="R159" s="189"/>
      <c r="S159" s="189"/>
      <c r="T159" s="190"/>
      <c r="U159" s="189"/>
      <c r="V159" s="189"/>
      <c r="W159" s="190"/>
      <c r="X159" s="189"/>
      <c r="Y159" s="189"/>
      <c r="Z159" s="190"/>
      <c r="AA159" s="189"/>
      <c r="AB159" s="189"/>
    </row>
    <row r="160" spans="13:28">
      <c r="M160" s="189"/>
      <c r="N160" s="190"/>
      <c r="O160" s="189"/>
      <c r="P160" s="189"/>
      <c r="Q160" s="190"/>
      <c r="R160" s="189"/>
      <c r="S160" s="189"/>
      <c r="T160" s="190"/>
      <c r="U160" s="189"/>
      <c r="V160" s="189"/>
      <c r="W160" s="190"/>
      <c r="X160" s="189"/>
      <c r="Y160" s="189"/>
      <c r="Z160" s="190"/>
      <c r="AA160" s="189"/>
      <c r="AB160" s="189"/>
    </row>
    <row r="161" spans="13:28">
      <c r="M161" s="189"/>
      <c r="N161" s="190"/>
      <c r="O161" s="189"/>
      <c r="P161" s="189"/>
      <c r="Q161" s="190"/>
      <c r="R161" s="189"/>
      <c r="S161" s="189"/>
      <c r="T161" s="190"/>
      <c r="U161" s="189"/>
      <c r="V161" s="189"/>
      <c r="W161" s="190"/>
      <c r="X161" s="189"/>
      <c r="Y161" s="189"/>
      <c r="Z161" s="190"/>
      <c r="AA161" s="189"/>
      <c r="AB161" s="189"/>
    </row>
    <row r="162" spans="13:28">
      <c r="M162" s="189"/>
      <c r="N162" s="190"/>
      <c r="O162" s="189"/>
      <c r="P162" s="189"/>
      <c r="Q162" s="190"/>
      <c r="R162" s="189"/>
      <c r="S162" s="189"/>
      <c r="T162" s="190"/>
      <c r="U162" s="189"/>
      <c r="V162" s="189"/>
      <c r="W162" s="190"/>
      <c r="X162" s="189"/>
      <c r="Y162" s="189"/>
      <c r="Z162" s="190"/>
      <c r="AA162" s="189"/>
      <c r="AB162" s="189"/>
    </row>
    <row r="163" spans="13:28">
      <c r="M163" s="189"/>
      <c r="N163" s="190"/>
      <c r="O163" s="189"/>
      <c r="P163" s="189"/>
      <c r="Q163" s="190"/>
      <c r="R163" s="189"/>
      <c r="S163" s="189"/>
      <c r="T163" s="190"/>
      <c r="U163" s="189"/>
      <c r="V163" s="189"/>
      <c r="W163" s="190"/>
      <c r="X163" s="189"/>
      <c r="Y163" s="189"/>
      <c r="Z163" s="190"/>
      <c r="AA163" s="189"/>
      <c r="AB163" s="189"/>
    </row>
    <row r="164" spans="13:28">
      <c r="M164" s="189"/>
      <c r="N164" s="190"/>
      <c r="O164" s="189"/>
      <c r="P164" s="189"/>
      <c r="Q164" s="190"/>
      <c r="R164" s="189"/>
      <c r="S164" s="189"/>
      <c r="T164" s="190"/>
      <c r="U164" s="189"/>
      <c r="V164" s="189"/>
      <c r="W164" s="190"/>
      <c r="X164" s="189"/>
      <c r="Y164" s="189"/>
      <c r="Z164" s="190"/>
      <c r="AA164" s="189"/>
      <c r="AB164" s="189"/>
    </row>
    <row r="165" spans="13:28">
      <c r="M165" s="189"/>
      <c r="N165" s="190"/>
      <c r="O165" s="189"/>
      <c r="P165" s="189"/>
      <c r="Q165" s="190"/>
      <c r="R165" s="189"/>
      <c r="S165" s="189"/>
      <c r="T165" s="190"/>
      <c r="U165" s="189"/>
      <c r="V165" s="189"/>
      <c r="W165" s="190"/>
      <c r="X165" s="189"/>
      <c r="Y165" s="189"/>
      <c r="Z165" s="190"/>
      <c r="AA165" s="189"/>
      <c r="AB165" s="189"/>
    </row>
    <row r="166" spans="13:28">
      <c r="M166" s="189"/>
      <c r="N166" s="190"/>
      <c r="O166" s="189"/>
      <c r="P166" s="189"/>
      <c r="Q166" s="190"/>
      <c r="R166" s="189"/>
      <c r="S166" s="189"/>
      <c r="T166" s="190"/>
      <c r="U166" s="189"/>
      <c r="V166" s="189"/>
      <c r="W166" s="190"/>
      <c r="X166" s="189"/>
      <c r="Y166" s="189"/>
      <c r="Z166" s="190"/>
      <c r="AA166" s="189"/>
      <c r="AB166" s="189"/>
    </row>
    <row r="167" spans="13:28">
      <c r="M167" s="189"/>
      <c r="N167" s="190"/>
      <c r="O167" s="189"/>
      <c r="P167" s="189"/>
      <c r="Q167" s="190"/>
      <c r="R167" s="189"/>
      <c r="S167" s="189"/>
      <c r="T167" s="190"/>
      <c r="U167" s="189"/>
      <c r="V167" s="189"/>
      <c r="W167" s="190"/>
      <c r="X167" s="189"/>
      <c r="Y167" s="189"/>
      <c r="Z167" s="190"/>
      <c r="AA167" s="189"/>
      <c r="AB167" s="189"/>
    </row>
    <row r="168" spans="13:28">
      <c r="M168" s="189"/>
      <c r="N168" s="190"/>
      <c r="O168" s="189"/>
      <c r="P168" s="189"/>
      <c r="Q168" s="190"/>
      <c r="R168" s="189"/>
      <c r="S168" s="189"/>
      <c r="T168" s="190"/>
      <c r="U168" s="189"/>
      <c r="V168" s="189"/>
      <c r="W168" s="190"/>
      <c r="X168" s="189"/>
      <c r="Y168" s="189"/>
      <c r="Z168" s="190"/>
      <c r="AA168" s="189"/>
      <c r="AB168" s="189"/>
    </row>
    <row r="169" spans="13:28">
      <c r="M169" s="189"/>
      <c r="N169" s="190"/>
      <c r="O169" s="189"/>
      <c r="P169" s="189"/>
      <c r="Q169" s="190"/>
      <c r="R169" s="189"/>
      <c r="S169" s="189"/>
      <c r="T169" s="190"/>
      <c r="U169" s="189"/>
      <c r="V169" s="189"/>
      <c r="W169" s="190"/>
      <c r="X169" s="189"/>
      <c r="Y169" s="189"/>
      <c r="Z169" s="190"/>
      <c r="AA169" s="189"/>
      <c r="AB169" s="189"/>
    </row>
    <row r="170" spans="13:28">
      <c r="M170" s="189"/>
      <c r="N170" s="190"/>
      <c r="O170" s="189"/>
      <c r="P170" s="189"/>
      <c r="Q170" s="190"/>
      <c r="R170" s="189"/>
      <c r="S170" s="189"/>
      <c r="T170" s="190"/>
      <c r="U170" s="189"/>
      <c r="V170" s="189"/>
      <c r="W170" s="190"/>
      <c r="X170" s="189"/>
      <c r="Y170" s="189"/>
      <c r="Z170" s="190"/>
      <c r="AA170" s="189"/>
      <c r="AB170" s="189"/>
    </row>
    <row r="171" spans="13:28">
      <c r="M171" s="189"/>
      <c r="N171" s="190"/>
      <c r="O171" s="189"/>
      <c r="P171" s="189"/>
      <c r="Q171" s="190"/>
      <c r="R171" s="189"/>
      <c r="S171" s="189"/>
      <c r="T171" s="190"/>
      <c r="U171" s="189"/>
      <c r="V171" s="189"/>
      <c r="W171" s="190"/>
      <c r="X171" s="189"/>
      <c r="Y171" s="189"/>
      <c r="Z171" s="190"/>
      <c r="AA171" s="189"/>
      <c r="AB171" s="189"/>
    </row>
    <row r="172" spans="13:28">
      <c r="M172" s="189"/>
      <c r="N172" s="190"/>
      <c r="O172" s="189"/>
      <c r="P172" s="189"/>
      <c r="Q172" s="190"/>
      <c r="R172" s="189"/>
      <c r="S172" s="189"/>
      <c r="T172" s="190"/>
      <c r="U172" s="189"/>
      <c r="V172" s="189"/>
      <c r="W172" s="190"/>
      <c r="X172" s="189"/>
      <c r="Y172" s="189"/>
      <c r="Z172" s="190"/>
      <c r="AA172" s="189"/>
      <c r="AB172" s="189"/>
    </row>
    <row r="173" spans="13:28">
      <c r="M173" s="189"/>
      <c r="N173" s="190"/>
      <c r="O173" s="189"/>
      <c r="P173" s="189"/>
      <c r="Q173" s="190"/>
      <c r="R173" s="189"/>
      <c r="S173" s="189"/>
      <c r="T173" s="190"/>
      <c r="U173" s="189"/>
      <c r="V173" s="189"/>
      <c r="W173" s="190"/>
      <c r="X173" s="189"/>
      <c r="Y173" s="189"/>
      <c r="Z173" s="190"/>
      <c r="AA173" s="189"/>
      <c r="AB173" s="189"/>
    </row>
    <row r="174" spans="13:28">
      <c r="M174" s="189"/>
      <c r="N174" s="190"/>
      <c r="O174" s="189"/>
      <c r="P174" s="189"/>
      <c r="Q174" s="190"/>
      <c r="R174" s="189"/>
      <c r="S174" s="189"/>
      <c r="T174" s="190"/>
      <c r="U174" s="189"/>
      <c r="V174" s="189"/>
      <c r="W174" s="190"/>
      <c r="X174" s="189"/>
      <c r="Y174" s="189"/>
      <c r="Z174" s="190"/>
      <c r="AA174" s="189"/>
      <c r="AB174" s="189"/>
    </row>
    <row r="175" spans="13:28">
      <c r="M175" s="189"/>
      <c r="N175" s="190"/>
      <c r="O175" s="189"/>
      <c r="P175" s="189"/>
      <c r="Q175" s="190"/>
      <c r="R175" s="189"/>
      <c r="S175" s="189"/>
      <c r="T175" s="190"/>
      <c r="U175" s="189"/>
      <c r="V175" s="189"/>
      <c r="W175" s="190"/>
      <c r="X175" s="189"/>
      <c r="Y175" s="189"/>
      <c r="Z175" s="190"/>
      <c r="AA175" s="189"/>
      <c r="AB175" s="189"/>
    </row>
    <row r="176" spans="13:28">
      <c r="M176" s="189"/>
      <c r="N176" s="190"/>
      <c r="O176" s="189"/>
      <c r="P176" s="189"/>
      <c r="Q176" s="190"/>
      <c r="R176" s="189"/>
      <c r="S176" s="189"/>
      <c r="T176" s="190"/>
      <c r="U176" s="189"/>
      <c r="V176" s="189"/>
      <c r="W176" s="190"/>
      <c r="X176" s="189"/>
      <c r="Y176" s="189"/>
      <c r="Z176" s="190"/>
      <c r="AA176" s="189"/>
      <c r="AB176" s="189"/>
    </row>
    <row r="177" spans="13:28">
      <c r="M177" s="189"/>
      <c r="N177" s="190"/>
      <c r="O177" s="189"/>
      <c r="P177" s="189"/>
      <c r="Q177" s="190"/>
      <c r="R177" s="189"/>
      <c r="S177" s="189"/>
      <c r="T177" s="190"/>
      <c r="U177" s="189"/>
      <c r="V177" s="189"/>
      <c r="W177" s="190"/>
      <c r="X177" s="189"/>
      <c r="Y177" s="189"/>
      <c r="Z177" s="190"/>
      <c r="AA177" s="189"/>
      <c r="AB177" s="189"/>
    </row>
    <row r="178" spans="13:28">
      <c r="M178" s="189"/>
      <c r="N178" s="190"/>
      <c r="O178" s="189"/>
      <c r="P178" s="189"/>
      <c r="Q178" s="190"/>
      <c r="R178" s="189"/>
      <c r="S178" s="189"/>
      <c r="T178" s="190"/>
      <c r="U178" s="189"/>
      <c r="V178" s="189"/>
      <c r="W178" s="190"/>
      <c r="X178" s="189"/>
      <c r="Y178" s="189"/>
      <c r="Z178" s="190"/>
      <c r="AA178" s="189"/>
      <c r="AB178" s="189"/>
    </row>
    <row r="179" spans="13:28">
      <c r="M179" s="189"/>
      <c r="N179" s="190"/>
      <c r="O179" s="189"/>
      <c r="P179" s="189"/>
      <c r="Q179" s="190"/>
      <c r="R179" s="189"/>
      <c r="S179" s="189"/>
      <c r="T179" s="190"/>
      <c r="U179" s="189"/>
      <c r="V179" s="189"/>
      <c r="W179" s="190"/>
      <c r="X179" s="189"/>
      <c r="Y179" s="189"/>
      <c r="Z179" s="190"/>
      <c r="AA179" s="189"/>
      <c r="AB179" s="189"/>
    </row>
    <row r="180" spans="13:28">
      <c r="M180" s="189"/>
      <c r="N180" s="190"/>
      <c r="O180" s="189"/>
      <c r="P180" s="189"/>
      <c r="Q180" s="190"/>
      <c r="R180" s="189"/>
      <c r="S180" s="189"/>
      <c r="T180" s="190"/>
      <c r="U180" s="189"/>
      <c r="V180" s="189"/>
      <c r="W180" s="190"/>
      <c r="X180" s="189"/>
      <c r="Y180" s="189"/>
      <c r="Z180" s="190"/>
      <c r="AA180" s="189"/>
      <c r="AB180" s="189"/>
    </row>
    <row r="181" spans="13:28">
      <c r="M181" s="189"/>
      <c r="N181" s="190"/>
      <c r="O181" s="189"/>
      <c r="P181" s="189"/>
      <c r="Q181" s="190"/>
      <c r="R181" s="189"/>
      <c r="S181" s="189"/>
      <c r="T181" s="190"/>
      <c r="U181" s="189"/>
      <c r="V181" s="189"/>
      <c r="W181" s="190"/>
      <c r="X181" s="189"/>
      <c r="Y181" s="189"/>
      <c r="Z181" s="190"/>
      <c r="AA181" s="189"/>
      <c r="AB181" s="189"/>
    </row>
    <row r="182" spans="13:28">
      <c r="M182" s="189"/>
      <c r="N182" s="190"/>
      <c r="O182" s="189"/>
      <c r="P182" s="189"/>
      <c r="Q182" s="190"/>
      <c r="R182" s="189"/>
      <c r="S182" s="189"/>
      <c r="T182" s="190"/>
      <c r="U182" s="189"/>
      <c r="V182" s="189"/>
      <c r="W182" s="190"/>
      <c r="X182" s="189"/>
      <c r="Y182" s="189"/>
      <c r="Z182" s="190"/>
      <c r="AA182" s="189"/>
      <c r="AB182" s="189"/>
    </row>
    <row r="183" spans="13:28">
      <c r="M183" s="189"/>
      <c r="N183" s="190"/>
      <c r="O183" s="189"/>
      <c r="P183" s="189"/>
      <c r="Q183" s="190"/>
      <c r="R183" s="189"/>
      <c r="S183" s="189"/>
      <c r="T183" s="190"/>
      <c r="U183" s="189"/>
      <c r="V183" s="189"/>
      <c r="W183" s="190"/>
      <c r="X183" s="189"/>
      <c r="Y183" s="189"/>
      <c r="Z183" s="190"/>
      <c r="AA183" s="189"/>
      <c r="AB183" s="189"/>
    </row>
    <row r="184" spans="13:28">
      <c r="M184" s="189"/>
      <c r="N184" s="190"/>
      <c r="O184" s="189"/>
      <c r="P184" s="189"/>
      <c r="Q184" s="190"/>
      <c r="R184" s="189"/>
      <c r="S184" s="189"/>
      <c r="T184" s="190"/>
      <c r="U184" s="189"/>
      <c r="V184" s="189"/>
      <c r="W184" s="190"/>
      <c r="X184" s="189"/>
      <c r="Y184" s="189"/>
      <c r="Z184" s="190"/>
      <c r="AA184" s="189"/>
      <c r="AB184" s="189"/>
    </row>
    <row r="185" spans="13:28">
      <c r="M185" s="189"/>
      <c r="N185" s="190"/>
      <c r="O185" s="189"/>
      <c r="P185" s="189"/>
      <c r="Q185" s="190"/>
      <c r="R185" s="189"/>
      <c r="S185" s="189"/>
      <c r="T185" s="190"/>
      <c r="U185" s="189"/>
      <c r="V185" s="189"/>
      <c r="W185" s="190"/>
      <c r="X185" s="189"/>
      <c r="Y185" s="189"/>
      <c r="Z185" s="190"/>
      <c r="AA185" s="189"/>
      <c r="AB185" s="189"/>
    </row>
    <row r="186" spans="13:28">
      <c r="M186" s="189"/>
      <c r="N186" s="190"/>
      <c r="O186" s="189"/>
      <c r="P186" s="189"/>
      <c r="Q186" s="190"/>
      <c r="R186" s="189"/>
      <c r="S186" s="189"/>
      <c r="T186" s="190"/>
      <c r="U186" s="189"/>
      <c r="V186" s="189"/>
      <c r="W186" s="190"/>
      <c r="X186" s="189"/>
      <c r="Y186" s="189"/>
      <c r="Z186" s="190"/>
      <c r="AA186" s="189"/>
      <c r="AB186" s="189"/>
    </row>
    <row r="187" spans="13:28">
      <c r="M187" s="189"/>
      <c r="N187" s="190"/>
      <c r="O187" s="189"/>
      <c r="P187" s="189"/>
      <c r="Q187" s="190"/>
      <c r="R187" s="189"/>
      <c r="S187" s="189"/>
      <c r="T187" s="190"/>
      <c r="U187" s="189"/>
      <c r="V187" s="189"/>
      <c r="W187" s="190"/>
      <c r="X187" s="189"/>
      <c r="Y187" s="189"/>
      <c r="Z187" s="190"/>
      <c r="AA187" s="189"/>
      <c r="AB187" s="189"/>
    </row>
    <row r="188" spans="13:28">
      <c r="M188" s="189"/>
      <c r="N188" s="190"/>
      <c r="O188" s="189"/>
      <c r="P188" s="189"/>
      <c r="Q188" s="190"/>
      <c r="R188" s="189"/>
      <c r="S188" s="189"/>
      <c r="T188" s="190"/>
      <c r="U188" s="189"/>
      <c r="V188" s="189"/>
      <c r="W188" s="190"/>
      <c r="X188" s="189"/>
      <c r="Y188" s="189"/>
      <c r="Z188" s="190"/>
      <c r="AA188" s="189"/>
      <c r="AB188" s="189"/>
    </row>
    <row r="189" spans="13:28">
      <c r="M189" s="189"/>
      <c r="N189" s="190"/>
      <c r="O189" s="189"/>
      <c r="P189" s="189"/>
      <c r="Q189" s="190"/>
      <c r="R189" s="189"/>
      <c r="S189" s="189"/>
      <c r="T189" s="190"/>
      <c r="U189" s="189"/>
      <c r="V189" s="189"/>
      <c r="W189" s="190"/>
      <c r="X189" s="189"/>
      <c r="Y189" s="189"/>
      <c r="Z189" s="190"/>
      <c r="AA189" s="189"/>
      <c r="AB189" s="189"/>
    </row>
    <row r="190" spans="13:28">
      <c r="M190" s="189"/>
      <c r="N190" s="190"/>
      <c r="O190" s="189"/>
      <c r="P190" s="189"/>
      <c r="Q190" s="190"/>
      <c r="R190" s="189"/>
      <c r="S190" s="189"/>
      <c r="T190" s="190"/>
      <c r="U190" s="189"/>
      <c r="V190" s="189"/>
      <c r="W190" s="190"/>
      <c r="X190" s="189"/>
      <c r="Y190" s="189"/>
      <c r="Z190" s="190"/>
      <c r="AA190" s="189"/>
      <c r="AB190" s="189"/>
    </row>
    <row r="191" spans="13:28">
      <c r="M191" s="189"/>
      <c r="N191" s="190"/>
      <c r="O191" s="189"/>
      <c r="P191" s="189"/>
      <c r="Q191" s="190"/>
      <c r="R191" s="189"/>
      <c r="S191" s="189"/>
      <c r="T191" s="190"/>
      <c r="U191" s="189"/>
      <c r="V191" s="189"/>
      <c r="W191" s="190"/>
      <c r="X191" s="189"/>
      <c r="Y191" s="189"/>
      <c r="Z191" s="190"/>
      <c r="AA191" s="189"/>
      <c r="AB191" s="189"/>
    </row>
    <row r="192" spans="13:28">
      <c r="M192" s="189"/>
      <c r="N192" s="190"/>
      <c r="O192" s="189"/>
      <c r="P192" s="189"/>
      <c r="Q192" s="190"/>
      <c r="R192" s="189"/>
      <c r="S192" s="189"/>
      <c r="T192" s="190"/>
      <c r="U192" s="189"/>
      <c r="V192" s="189"/>
      <c r="W192" s="190"/>
      <c r="X192" s="189"/>
      <c r="Y192" s="189"/>
      <c r="Z192" s="190"/>
      <c r="AA192" s="189"/>
      <c r="AB192" s="189"/>
    </row>
    <row r="193" spans="13:28">
      <c r="M193" s="189"/>
      <c r="N193" s="190"/>
      <c r="O193" s="189"/>
      <c r="P193" s="189"/>
      <c r="Q193" s="190"/>
      <c r="R193" s="189"/>
      <c r="S193" s="189"/>
      <c r="T193" s="190"/>
      <c r="U193" s="189"/>
      <c r="V193" s="189"/>
      <c r="W193" s="190"/>
      <c r="X193" s="189"/>
      <c r="Y193" s="189"/>
      <c r="Z193" s="190"/>
      <c r="AA193" s="189"/>
      <c r="AB193" s="189"/>
    </row>
    <row r="194" spans="13:28">
      <c r="M194" s="189"/>
      <c r="N194" s="190"/>
      <c r="O194" s="189"/>
      <c r="P194" s="189"/>
      <c r="Q194" s="190"/>
      <c r="R194" s="189"/>
      <c r="S194" s="189"/>
      <c r="T194" s="190"/>
      <c r="U194" s="189"/>
      <c r="V194" s="189"/>
      <c r="W194" s="190"/>
      <c r="X194" s="189"/>
      <c r="Y194" s="189"/>
      <c r="Z194" s="190"/>
      <c r="AA194" s="189"/>
      <c r="AB194" s="189"/>
    </row>
    <row r="195" spans="13:28">
      <c r="M195" s="189"/>
      <c r="N195" s="190"/>
      <c r="O195" s="189"/>
      <c r="P195" s="189"/>
      <c r="Q195" s="190"/>
      <c r="R195" s="189"/>
      <c r="S195" s="189"/>
      <c r="T195" s="190"/>
      <c r="U195" s="189"/>
      <c r="V195" s="189"/>
      <c r="W195" s="190"/>
      <c r="X195" s="189"/>
      <c r="Y195" s="189"/>
      <c r="Z195" s="190"/>
      <c r="AA195" s="189"/>
      <c r="AB195" s="189"/>
    </row>
    <row r="196" spans="13:28">
      <c r="M196" s="189"/>
      <c r="N196" s="190"/>
      <c r="O196" s="189"/>
      <c r="P196" s="189"/>
      <c r="Q196" s="190"/>
      <c r="R196" s="189"/>
      <c r="S196" s="189"/>
      <c r="T196" s="190"/>
      <c r="U196" s="189"/>
      <c r="V196" s="189"/>
      <c r="W196" s="190"/>
      <c r="X196" s="189"/>
      <c r="Y196" s="189"/>
      <c r="Z196" s="190"/>
      <c r="AA196" s="189"/>
      <c r="AB196" s="189"/>
    </row>
    <row r="197" spans="13:28">
      <c r="M197" s="189"/>
      <c r="N197" s="190"/>
      <c r="O197" s="189"/>
      <c r="P197" s="189"/>
      <c r="Q197" s="190"/>
      <c r="R197" s="189"/>
      <c r="S197" s="189"/>
      <c r="T197" s="190"/>
      <c r="U197" s="189"/>
      <c r="V197" s="189"/>
      <c r="W197" s="190"/>
      <c r="X197" s="189"/>
      <c r="Y197" s="189"/>
      <c r="Z197" s="190"/>
      <c r="AA197" s="189"/>
      <c r="AB197" s="189"/>
    </row>
    <row r="198" spans="13:28">
      <c r="M198" s="189"/>
      <c r="N198" s="190"/>
      <c r="O198" s="189"/>
      <c r="P198" s="189"/>
      <c r="Q198" s="190"/>
      <c r="R198" s="189"/>
      <c r="S198" s="189"/>
      <c r="T198" s="190"/>
      <c r="U198" s="189"/>
      <c r="V198" s="189"/>
      <c r="W198" s="190"/>
      <c r="X198" s="189"/>
      <c r="Y198" s="189"/>
      <c r="Z198" s="190"/>
      <c r="AA198" s="189"/>
      <c r="AB198" s="189"/>
    </row>
    <row r="199" spans="13:28">
      <c r="M199" s="189"/>
      <c r="N199" s="190"/>
      <c r="O199" s="189"/>
      <c r="P199" s="189"/>
      <c r="Q199" s="190"/>
      <c r="R199" s="189"/>
      <c r="S199" s="189"/>
      <c r="T199" s="190"/>
      <c r="U199" s="189"/>
      <c r="V199" s="189"/>
      <c r="W199" s="190"/>
      <c r="X199" s="189"/>
      <c r="Y199" s="189"/>
      <c r="Z199" s="190"/>
      <c r="AA199" s="189"/>
      <c r="AB199" s="189"/>
    </row>
    <row r="200" spans="13:28">
      <c r="M200" s="189"/>
      <c r="N200" s="190"/>
      <c r="O200" s="189"/>
      <c r="P200" s="189"/>
      <c r="Q200" s="190"/>
      <c r="R200" s="189"/>
      <c r="S200" s="189"/>
      <c r="T200" s="190"/>
      <c r="U200" s="189"/>
      <c r="V200" s="189"/>
      <c r="W200" s="190"/>
      <c r="X200" s="189"/>
      <c r="Y200" s="189"/>
      <c r="Z200" s="190"/>
      <c r="AA200" s="189"/>
      <c r="AB200" s="189"/>
    </row>
    <row r="201" spans="13:28">
      <c r="M201" s="189"/>
      <c r="N201" s="190"/>
      <c r="O201" s="189"/>
      <c r="P201" s="189"/>
      <c r="Q201" s="190"/>
      <c r="R201" s="189"/>
      <c r="S201" s="189"/>
      <c r="T201" s="190"/>
      <c r="U201" s="189"/>
      <c r="V201" s="189"/>
      <c r="W201" s="190"/>
      <c r="X201" s="189"/>
      <c r="Y201" s="189"/>
      <c r="Z201" s="190"/>
      <c r="AA201" s="189"/>
      <c r="AB201" s="189"/>
    </row>
    <row r="202" spans="13:28">
      <c r="M202" s="189"/>
      <c r="N202" s="190"/>
      <c r="O202" s="189"/>
      <c r="P202" s="189"/>
      <c r="Q202" s="190"/>
      <c r="R202" s="189"/>
      <c r="S202" s="189"/>
      <c r="T202" s="190"/>
      <c r="U202" s="189"/>
      <c r="V202" s="189"/>
      <c r="W202" s="190"/>
      <c r="X202" s="189"/>
      <c r="Y202" s="189"/>
      <c r="Z202" s="190"/>
      <c r="AA202" s="189"/>
      <c r="AB202" s="189"/>
    </row>
    <row r="203" spans="13:28">
      <c r="M203" s="189"/>
      <c r="N203" s="190"/>
      <c r="O203" s="189"/>
      <c r="P203" s="189"/>
      <c r="Q203" s="190"/>
      <c r="R203" s="189"/>
      <c r="S203" s="189"/>
      <c r="T203" s="190"/>
      <c r="U203" s="189"/>
      <c r="V203" s="189"/>
      <c r="W203" s="190"/>
      <c r="X203" s="189"/>
      <c r="Y203" s="189"/>
      <c r="Z203" s="190"/>
      <c r="AA203" s="189"/>
      <c r="AB203" s="189"/>
    </row>
    <row r="204" spans="13:28">
      <c r="M204" s="189"/>
      <c r="N204" s="190"/>
      <c r="O204" s="189"/>
      <c r="P204" s="189"/>
      <c r="Q204" s="190"/>
      <c r="R204" s="189"/>
      <c r="S204" s="189"/>
      <c r="T204" s="190"/>
      <c r="U204" s="189"/>
      <c r="V204" s="189"/>
      <c r="W204" s="190"/>
      <c r="X204" s="189"/>
      <c r="Y204" s="189"/>
      <c r="Z204" s="190"/>
      <c r="AA204" s="189"/>
      <c r="AB204" s="189"/>
    </row>
    <row r="205" spans="13:28">
      <c r="M205" s="189"/>
      <c r="N205" s="190"/>
      <c r="O205" s="189"/>
      <c r="P205" s="189"/>
      <c r="Q205" s="190"/>
      <c r="R205" s="189"/>
      <c r="S205" s="189"/>
      <c r="T205" s="190"/>
      <c r="U205" s="189"/>
      <c r="V205" s="189"/>
      <c r="W205" s="190"/>
      <c r="X205" s="189"/>
      <c r="Y205" s="189"/>
      <c r="Z205" s="190"/>
      <c r="AA205" s="189"/>
      <c r="AB205" s="189"/>
    </row>
    <row r="206" spans="13:28">
      <c r="M206" s="189"/>
      <c r="N206" s="190"/>
      <c r="O206" s="189"/>
      <c r="P206" s="189"/>
      <c r="Q206" s="190"/>
      <c r="R206" s="189"/>
      <c r="S206" s="189"/>
      <c r="T206" s="190"/>
      <c r="U206" s="189"/>
      <c r="V206" s="189"/>
      <c r="W206" s="190"/>
      <c r="X206" s="189"/>
      <c r="Y206" s="189"/>
      <c r="Z206" s="190"/>
      <c r="AA206" s="189"/>
      <c r="AB206" s="189"/>
    </row>
    <row r="207" spans="13:28">
      <c r="M207" s="189"/>
      <c r="N207" s="190"/>
      <c r="O207" s="189"/>
      <c r="P207" s="189"/>
      <c r="Q207" s="190"/>
      <c r="R207" s="189"/>
      <c r="S207" s="189"/>
      <c r="T207" s="190"/>
      <c r="U207" s="189"/>
      <c r="V207" s="189"/>
      <c r="W207" s="190"/>
      <c r="X207" s="189"/>
      <c r="Y207" s="189"/>
      <c r="Z207" s="190"/>
      <c r="AA207" s="189"/>
      <c r="AB207" s="189"/>
    </row>
    <row r="208" spans="13:28">
      <c r="M208" s="189"/>
      <c r="N208" s="190"/>
      <c r="O208" s="189"/>
      <c r="P208" s="189"/>
      <c r="Q208" s="190"/>
      <c r="R208" s="189"/>
      <c r="S208" s="189"/>
      <c r="T208" s="190"/>
      <c r="U208" s="189"/>
      <c r="V208" s="189"/>
      <c r="W208" s="190"/>
      <c r="X208" s="189"/>
      <c r="Y208" s="189"/>
      <c r="Z208" s="190"/>
      <c r="AA208" s="189"/>
      <c r="AB208" s="189"/>
    </row>
    <row r="209" spans="13:28">
      <c r="M209" s="189"/>
      <c r="N209" s="190"/>
      <c r="O209" s="189"/>
      <c r="P209" s="189"/>
      <c r="Q209" s="190"/>
      <c r="R209" s="189"/>
      <c r="S209" s="189"/>
      <c r="T209" s="190"/>
      <c r="U209" s="189"/>
      <c r="V209" s="189"/>
      <c r="W209" s="190"/>
      <c r="X209" s="189"/>
      <c r="Y209" s="189"/>
      <c r="Z209" s="190"/>
      <c r="AA209" s="189"/>
      <c r="AB209" s="189"/>
    </row>
    <row r="210" spans="13:28">
      <c r="M210" s="189"/>
      <c r="N210" s="190"/>
      <c r="O210" s="189"/>
      <c r="P210" s="189"/>
      <c r="Q210" s="190"/>
      <c r="R210" s="189"/>
      <c r="S210" s="189"/>
      <c r="T210" s="190"/>
      <c r="U210" s="189"/>
      <c r="V210" s="189"/>
      <c r="W210" s="190"/>
      <c r="X210" s="189"/>
      <c r="Y210" s="189"/>
      <c r="Z210" s="190"/>
      <c r="AA210" s="189"/>
      <c r="AB210" s="189"/>
    </row>
    <row r="211" spans="13:28">
      <c r="M211" s="189"/>
      <c r="N211" s="190"/>
      <c r="O211" s="189"/>
      <c r="P211" s="189"/>
      <c r="Q211" s="190"/>
      <c r="R211" s="189"/>
      <c r="S211" s="189"/>
      <c r="T211" s="190"/>
      <c r="U211" s="189"/>
      <c r="V211" s="189"/>
      <c r="W211" s="190"/>
      <c r="X211" s="189"/>
      <c r="Y211" s="189"/>
      <c r="Z211" s="190"/>
      <c r="AA211" s="189"/>
      <c r="AB211" s="189"/>
    </row>
    <row r="212" spans="13:28">
      <c r="M212" s="189"/>
      <c r="N212" s="190"/>
      <c r="O212" s="189"/>
      <c r="P212" s="189"/>
      <c r="Q212" s="190"/>
      <c r="R212" s="189"/>
      <c r="S212" s="189"/>
      <c r="T212" s="190"/>
      <c r="U212" s="189"/>
      <c r="V212" s="189"/>
      <c r="W212" s="190"/>
      <c r="X212" s="189"/>
      <c r="Y212" s="189"/>
      <c r="Z212" s="190"/>
      <c r="AA212" s="189"/>
      <c r="AB212" s="189"/>
    </row>
    <row r="213" spans="13:28">
      <c r="M213" s="189"/>
      <c r="N213" s="190"/>
      <c r="O213" s="189"/>
      <c r="P213" s="189"/>
      <c r="Q213" s="190"/>
      <c r="R213" s="189"/>
      <c r="S213" s="189"/>
      <c r="T213" s="190"/>
      <c r="U213" s="189"/>
      <c r="V213" s="189"/>
      <c r="W213" s="190"/>
      <c r="X213" s="189"/>
      <c r="Y213" s="189"/>
      <c r="Z213" s="190"/>
      <c r="AA213" s="189"/>
      <c r="AB213" s="189"/>
    </row>
    <row r="214" spans="13:28">
      <c r="M214" s="189"/>
      <c r="N214" s="190"/>
      <c r="O214" s="189"/>
      <c r="P214" s="189"/>
      <c r="Q214" s="190"/>
      <c r="R214" s="189"/>
      <c r="S214" s="189"/>
      <c r="T214" s="190"/>
      <c r="U214" s="189"/>
      <c r="V214" s="189"/>
      <c r="W214" s="190"/>
      <c r="X214" s="189"/>
      <c r="Y214" s="189"/>
      <c r="Z214" s="190"/>
      <c r="AA214" s="189"/>
      <c r="AB214" s="189"/>
    </row>
    <row r="215" spans="13:28">
      <c r="M215" s="189"/>
      <c r="N215" s="190"/>
      <c r="O215" s="189"/>
      <c r="P215" s="189"/>
      <c r="Q215" s="190"/>
      <c r="R215" s="189"/>
      <c r="S215" s="189"/>
      <c r="T215" s="190"/>
      <c r="U215" s="189"/>
      <c r="V215" s="189"/>
      <c r="W215" s="190"/>
      <c r="X215" s="189"/>
      <c r="Y215" s="189"/>
      <c r="Z215" s="190"/>
      <c r="AA215" s="189"/>
      <c r="AB215" s="189"/>
    </row>
    <row r="216" spans="13:28">
      <c r="M216" s="189"/>
      <c r="N216" s="190"/>
      <c r="O216" s="189"/>
      <c r="P216" s="189"/>
      <c r="Q216" s="190"/>
      <c r="R216" s="189"/>
      <c r="S216" s="189"/>
      <c r="T216" s="190"/>
      <c r="U216" s="189"/>
      <c r="V216" s="189"/>
      <c r="W216" s="190"/>
      <c r="X216" s="189"/>
      <c r="Y216" s="189"/>
      <c r="Z216" s="190"/>
      <c r="AA216" s="189"/>
      <c r="AB216" s="189"/>
    </row>
    <row r="217" spans="13:28">
      <c r="M217" s="189"/>
      <c r="N217" s="190"/>
      <c r="O217" s="189"/>
      <c r="P217" s="189"/>
      <c r="Q217" s="190"/>
      <c r="R217" s="189"/>
      <c r="S217" s="189"/>
      <c r="T217" s="190"/>
      <c r="U217" s="189"/>
      <c r="V217" s="189"/>
      <c r="W217" s="190"/>
      <c r="X217" s="189"/>
      <c r="Y217" s="189"/>
      <c r="Z217" s="190"/>
      <c r="AA217" s="189"/>
      <c r="AB217" s="189"/>
    </row>
    <row r="218" spans="13:28">
      <c r="M218" s="189"/>
      <c r="N218" s="190"/>
      <c r="O218" s="189"/>
      <c r="P218" s="189"/>
      <c r="Q218" s="190"/>
      <c r="R218" s="189"/>
      <c r="S218" s="189"/>
      <c r="T218" s="190"/>
      <c r="U218" s="189"/>
      <c r="V218" s="189"/>
      <c r="W218" s="190"/>
      <c r="X218" s="189"/>
      <c r="Y218" s="189"/>
      <c r="Z218" s="190"/>
      <c r="AA218" s="189"/>
      <c r="AB218" s="189"/>
    </row>
    <row r="219" spans="13:28">
      <c r="M219" s="189"/>
      <c r="N219" s="190"/>
      <c r="O219" s="189"/>
      <c r="P219" s="189"/>
      <c r="Q219" s="190"/>
      <c r="R219" s="189"/>
      <c r="S219" s="189"/>
      <c r="T219" s="190"/>
      <c r="U219" s="189"/>
      <c r="V219" s="189"/>
      <c r="W219" s="190"/>
      <c r="X219" s="189"/>
      <c r="Y219" s="189"/>
      <c r="Z219" s="190"/>
      <c r="AA219" s="189"/>
      <c r="AB219" s="189"/>
    </row>
    <row r="220" spans="13:28">
      <c r="M220" s="189"/>
      <c r="N220" s="190"/>
      <c r="O220" s="189"/>
      <c r="P220" s="189"/>
      <c r="Q220" s="190"/>
      <c r="R220" s="189"/>
      <c r="S220" s="189"/>
      <c r="T220" s="190"/>
      <c r="U220" s="189"/>
      <c r="V220" s="189"/>
      <c r="W220" s="190"/>
      <c r="X220" s="189"/>
      <c r="Y220" s="189"/>
      <c r="Z220" s="190"/>
      <c r="AA220" s="189"/>
      <c r="AB220" s="189"/>
    </row>
    <row r="221" spans="13:28">
      <c r="M221" s="189"/>
      <c r="N221" s="190"/>
      <c r="O221" s="189"/>
      <c r="P221" s="189"/>
      <c r="Q221" s="190"/>
      <c r="R221" s="189"/>
      <c r="S221" s="189"/>
      <c r="T221" s="190"/>
      <c r="U221" s="189"/>
      <c r="V221" s="189"/>
      <c r="W221" s="190"/>
      <c r="X221" s="189"/>
      <c r="Y221" s="189"/>
      <c r="Z221" s="190"/>
      <c r="AA221" s="189"/>
      <c r="AB221" s="189"/>
    </row>
    <row r="222" spans="13:28">
      <c r="M222" s="189"/>
      <c r="N222" s="190"/>
      <c r="O222" s="189"/>
      <c r="P222" s="189"/>
      <c r="Q222" s="190"/>
      <c r="R222" s="189"/>
      <c r="S222" s="189"/>
      <c r="T222" s="190"/>
      <c r="U222" s="189"/>
      <c r="V222" s="189"/>
      <c r="W222" s="190"/>
      <c r="X222" s="189"/>
      <c r="Y222" s="189"/>
      <c r="Z222" s="190"/>
      <c r="AA222" s="189"/>
      <c r="AB222" s="189"/>
    </row>
    <row r="223" spans="13:28">
      <c r="M223" s="189"/>
      <c r="N223" s="190"/>
      <c r="O223" s="189"/>
      <c r="P223" s="189"/>
      <c r="Q223" s="190"/>
      <c r="R223" s="189"/>
      <c r="S223" s="189"/>
      <c r="T223" s="190"/>
      <c r="U223" s="189"/>
      <c r="V223" s="189"/>
      <c r="W223" s="190"/>
      <c r="X223" s="189"/>
      <c r="Y223" s="189"/>
      <c r="Z223" s="190"/>
      <c r="AA223" s="189"/>
      <c r="AB223" s="189"/>
    </row>
    <row r="224" spans="13:28">
      <c r="M224" s="189"/>
      <c r="N224" s="190"/>
      <c r="O224" s="189"/>
      <c r="P224" s="189"/>
      <c r="Q224" s="190"/>
      <c r="R224" s="189"/>
      <c r="S224" s="189"/>
      <c r="T224" s="190"/>
      <c r="U224" s="189"/>
      <c r="V224" s="189"/>
      <c r="W224" s="190"/>
      <c r="X224" s="189"/>
      <c r="Y224" s="189"/>
      <c r="Z224" s="190"/>
      <c r="AA224" s="189"/>
      <c r="AB224" s="189"/>
    </row>
    <row r="225" spans="13:28">
      <c r="M225" s="189"/>
      <c r="N225" s="190"/>
      <c r="O225" s="189"/>
      <c r="P225" s="189"/>
      <c r="Q225" s="190"/>
      <c r="R225" s="189"/>
      <c r="S225" s="189"/>
      <c r="T225" s="190"/>
      <c r="U225" s="189"/>
      <c r="V225" s="189"/>
      <c r="W225" s="190"/>
      <c r="X225" s="189"/>
      <c r="Y225" s="189"/>
      <c r="Z225" s="190"/>
      <c r="AA225" s="189"/>
      <c r="AB225" s="189"/>
    </row>
    <row r="226" spans="13:28">
      <c r="M226" s="189"/>
      <c r="N226" s="190"/>
      <c r="O226" s="189"/>
      <c r="P226" s="189"/>
      <c r="Q226" s="190"/>
      <c r="R226" s="189"/>
      <c r="S226" s="189"/>
      <c r="T226" s="190"/>
      <c r="U226" s="189"/>
      <c r="V226" s="189"/>
      <c r="W226" s="190"/>
      <c r="X226" s="189"/>
      <c r="Y226" s="189"/>
      <c r="Z226" s="190"/>
      <c r="AA226" s="189"/>
      <c r="AB226" s="189"/>
    </row>
    <row r="227" spans="13:28">
      <c r="M227" s="189"/>
      <c r="N227" s="190"/>
      <c r="O227" s="189"/>
      <c r="P227" s="189"/>
      <c r="Q227" s="190"/>
      <c r="R227" s="189"/>
      <c r="S227" s="189"/>
      <c r="T227" s="190"/>
      <c r="U227" s="189"/>
      <c r="V227" s="189"/>
      <c r="W227" s="190"/>
      <c r="X227" s="189"/>
      <c r="Y227" s="189"/>
      <c r="Z227" s="190"/>
      <c r="AA227" s="189"/>
      <c r="AB227" s="189"/>
    </row>
    <row r="228" spans="13:28">
      <c r="M228" s="189"/>
      <c r="N228" s="190"/>
      <c r="O228" s="189"/>
      <c r="P228" s="189"/>
      <c r="Q228" s="190"/>
      <c r="R228" s="189"/>
      <c r="S228" s="189"/>
      <c r="T228" s="190"/>
      <c r="U228" s="189"/>
      <c r="V228" s="189"/>
      <c r="W228" s="190"/>
      <c r="X228" s="189"/>
      <c r="Y228" s="189"/>
      <c r="Z228" s="190"/>
      <c r="AA228" s="189"/>
      <c r="AB228" s="189"/>
    </row>
    <row r="229" spans="13:28">
      <c r="M229" s="189"/>
      <c r="N229" s="190"/>
      <c r="O229" s="189"/>
      <c r="P229" s="189"/>
      <c r="Q229" s="190"/>
      <c r="R229" s="189"/>
      <c r="S229" s="189"/>
      <c r="T229" s="190"/>
      <c r="U229" s="189"/>
      <c r="V229" s="189"/>
      <c r="W229" s="190"/>
      <c r="X229" s="189"/>
      <c r="Y229" s="189"/>
      <c r="Z229" s="190"/>
      <c r="AA229" s="189"/>
      <c r="AB229" s="189"/>
    </row>
    <row r="230" spans="13:28">
      <c r="M230" s="189"/>
      <c r="N230" s="190"/>
      <c r="O230" s="189"/>
      <c r="P230" s="189"/>
      <c r="Q230" s="190"/>
      <c r="R230" s="189"/>
      <c r="S230" s="189"/>
      <c r="T230" s="190"/>
      <c r="U230" s="189"/>
      <c r="V230" s="189"/>
      <c r="W230" s="190"/>
      <c r="X230" s="189"/>
      <c r="Y230" s="189"/>
      <c r="Z230" s="190"/>
      <c r="AA230" s="189"/>
      <c r="AB230" s="189"/>
    </row>
    <row r="231" spans="13:28">
      <c r="M231" s="189"/>
      <c r="N231" s="190"/>
      <c r="O231" s="189"/>
      <c r="P231" s="189"/>
      <c r="Q231" s="190"/>
      <c r="R231" s="189"/>
      <c r="S231" s="189"/>
      <c r="T231" s="190"/>
      <c r="U231" s="189"/>
      <c r="V231" s="189"/>
      <c r="W231" s="190"/>
      <c r="X231" s="189"/>
      <c r="Y231" s="189"/>
      <c r="Z231" s="190"/>
      <c r="AA231" s="189"/>
      <c r="AB231" s="189"/>
    </row>
    <row r="232" spans="13:28">
      <c r="M232" s="189"/>
      <c r="N232" s="190"/>
      <c r="O232" s="189"/>
      <c r="P232" s="189"/>
      <c r="Q232" s="190"/>
      <c r="R232" s="189"/>
      <c r="S232" s="189"/>
      <c r="T232" s="190"/>
      <c r="U232" s="189"/>
      <c r="V232" s="189"/>
      <c r="W232" s="190"/>
      <c r="X232" s="189"/>
      <c r="Y232" s="189"/>
      <c r="Z232" s="190"/>
      <c r="AA232" s="189"/>
      <c r="AB232" s="189"/>
    </row>
    <row r="233" spans="13:28">
      <c r="M233" s="189"/>
      <c r="N233" s="190"/>
      <c r="O233" s="189"/>
      <c r="P233" s="189"/>
      <c r="Q233" s="190"/>
      <c r="R233" s="189"/>
      <c r="S233" s="189"/>
      <c r="T233" s="190"/>
      <c r="U233" s="189"/>
      <c r="V233" s="189"/>
      <c r="W233" s="190"/>
      <c r="X233" s="189"/>
      <c r="Y233" s="189"/>
      <c r="Z233" s="190"/>
      <c r="AA233" s="189"/>
      <c r="AB233" s="189"/>
    </row>
    <row r="234" spans="13:28">
      <c r="M234" s="189"/>
      <c r="N234" s="190"/>
      <c r="O234" s="189"/>
      <c r="P234" s="189"/>
      <c r="Q234" s="190"/>
      <c r="R234" s="189"/>
      <c r="S234" s="189"/>
      <c r="T234" s="190"/>
      <c r="U234" s="189"/>
      <c r="V234" s="189"/>
      <c r="W234" s="190"/>
      <c r="X234" s="189"/>
      <c r="Y234" s="189"/>
      <c r="Z234" s="190"/>
      <c r="AA234" s="189"/>
      <c r="AB234" s="189"/>
    </row>
    <row r="235" spans="13:28">
      <c r="M235" s="189"/>
      <c r="N235" s="190"/>
      <c r="O235" s="189"/>
      <c r="P235" s="189"/>
      <c r="Q235" s="190"/>
      <c r="R235" s="189"/>
      <c r="S235" s="189"/>
      <c r="T235" s="190"/>
      <c r="U235" s="189"/>
      <c r="V235" s="189"/>
      <c r="W235" s="190"/>
      <c r="X235" s="189"/>
      <c r="Y235" s="189"/>
      <c r="Z235" s="190"/>
      <c r="AA235" s="189"/>
      <c r="AB235" s="189"/>
    </row>
    <row r="236" spans="13:28">
      <c r="M236" s="189"/>
      <c r="N236" s="190"/>
      <c r="O236" s="189"/>
      <c r="P236" s="189"/>
      <c r="Q236" s="190"/>
      <c r="R236" s="189"/>
      <c r="S236" s="189"/>
      <c r="T236" s="190"/>
      <c r="U236" s="189"/>
      <c r="V236" s="189"/>
      <c r="W236" s="190"/>
      <c r="X236" s="189"/>
      <c r="Y236" s="189"/>
      <c r="Z236" s="190"/>
      <c r="AA236" s="189"/>
      <c r="AB236" s="189"/>
    </row>
    <row r="237" spans="13:28">
      <c r="M237" s="189"/>
      <c r="N237" s="190"/>
      <c r="O237" s="189"/>
      <c r="P237" s="189"/>
      <c r="Q237" s="190"/>
      <c r="R237" s="189"/>
      <c r="S237" s="189"/>
      <c r="T237" s="190"/>
      <c r="U237" s="189"/>
      <c r="V237" s="189"/>
      <c r="W237" s="190"/>
      <c r="X237" s="189"/>
      <c r="Y237" s="189"/>
      <c r="Z237" s="190"/>
      <c r="AA237" s="189"/>
      <c r="AB237" s="189"/>
    </row>
    <row r="238" spans="13:28">
      <c r="M238" s="189"/>
      <c r="N238" s="190"/>
      <c r="O238" s="189"/>
      <c r="P238" s="189"/>
      <c r="Q238" s="190"/>
      <c r="R238" s="189"/>
      <c r="S238" s="189"/>
      <c r="T238" s="190"/>
      <c r="U238" s="189"/>
      <c r="V238" s="189"/>
      <c r="W238" s="190"/>
      <c r="X238" s="189"/>
      <c r="Y238" s="189"/>
      <c r="Z238" s="190"/>
      <c r="AA238" s="189"/>
      <c r="AB238" s="189"/>
    </row>
    <row r="239" spans="13:28">
      <c r="M239" s="189"/>
      <c r="N239" s="190"/>
      <c r="O239" s="189"/>
      <c r="P239" s="189"/>
      <c r="Q239" s="190"/>
      <c r="R239" s="189"/>
      <c r="S239" s="189"/>
      <c r="T239" s="190"/>
      <c r="U239" s="189"/>
      <c r="V239" s="189"/>
      <c r="W239" s="190"/>
      <c r="X239" s="189"/>
      <c r="Y239" s="189"/>
      <c r="Z239" s="190"/>
      <c r="AA239" s="189"/>
      <c r="AB239" s="189"/>
    </row>
    <row r="240" spans="13:28">
      <c r="M240" s="189"/>
      <c r="N240" s="190"/>
      <c r="O240" s="189"/>
      <c r="P240" s="189"/>
      <c r="Q240" s="190"/>
      <c r="R240" s="189"/>
      <c r="S240" s="189"/>
      <c r="T240" s="190"/>
      <c r="U240" s="189"/>
      <c r="V240" s="189"/>
      <c r="W240" s="190"/>
      <c r="X240" s="189"/>
      <c r="Y240" s="189"/>
      <c r="Z240" s="190"/>
      <c r="AA240" s="189"/>
      <c r="AB240" s="189"/>
    </row>
    <row r="241" spans="13:28">
      <c r="M241" s="189"/>
      <c r="N241" s="190"/>
      <c r="O241" s="189"/>
      <c r="P241" s="189"/>
      <c r="Q241" s="190"/>
      <c r="R241" s="189"/>
      <c r="S241" s="189"/>
      <c r="T241" s="190"/>
      <c r="U241" s="189"/>
      <c r="V241" s="189"/>
      <c r="W241" s="190"/>
      <c r="X241" s="189"/>
      <c r="Y241" s="189"/>
      <c r="Z241" s="190"/>
      <c r="AA241" s="189"/>
      <c r="AB241" s="189"/>
    </row>
    <row r="242" spans="13:28">
      <c r="M242" s="189"/>
      <c r="N242" s="190"/>
      <c r="O242" s="189"/>
      <c r="P242" s="189"/>
      <c r="Q242" s="190"/>
      <c r="R242" s="189"/>
      <c r="S242" s="189"/>
      <c r="T242" s="190"/>
      <c r="U242" s="189"/>
      <c r="V242" s="189"/>
      <c r="W242" s="190"/>
      <c r="X242" s="189"/>
      <c r="Y242" s="189"/>
      <c r="Z242" s="190"/>
      <c r="AA242" s="189"/>
      <c r="AB242" s="189"/>
    </row>
    <row r="243" spans="13:28">
      <c r="M243" s="189"/>
      <c r="N243" s="190"/>
      <c r="O243" s="189"/>
      <c r="P243" s="189"/>
      <c r="Q243" s="190"/>
      <c r="R243" s="189"/>
      <c r="S243" s="189"/>
      <c r="T243" s="190"/>
      <c r="U243" s="189"/>
      <c r="V243" s="189"/>
      <c r="W243" s="190"/>
      <c r="X243" s="189"/>
      <c r="Y243" s="189"/>
      <c r="Z243" s="190"/>
      <c r="AA243" s="189"/>
      <c r="AB243" s="189"/>
    </row>
    <row r="244" spans="13:28">
      <c r="M244" s="189"/>
      <c r="N244" s="190"/>
      <c r="O244" s="189"/>
      <c r="P244" s="189"/>
      <c r="Q244" s="190"/>
      <c r="R244" s="189"/>
      <c r="S244" s="189"/>
      <c r="T244" s="190"/>
      <c r="U244" s="189"/>
      <c r="V244" s="189"/>
      <c r="W244" s="190"/>
      <c r="X244" s="189"/>
      <c r="Y244" s="189"/>
      <c r="Z244" s="190"/>
      <c r="AA244" s="189"/>
      <c r="AB244" s="189"/>
    </row>
    <row r="245" spans="13:28">
      <c r="M245" s="189"/>
      <c r="N245" s="190"/>
      <c r="O245" s="189"/>
      <c r="P245" s="189"/>
      <c r="Q245" s="190"/>
      <c r="R245" s="189"/>
      <c r="S245" s="189"/>
      <c r="T245" s="190"/>
      <c r="U245" s="189"/>
      <c r="V245" s="189"/>
      <c r="W245" s="190"/>
      <c r="X245" s="189"/>
      <c r="Y245" s="189"/>
      <c r="Z245" s="190"/>
      <c r="AA245" s="189"/>
      <c r="AB245" s="189"/>
    </row>
    <row r="246" spans="13:28">
      <c r="M246" s="189"/>
      <c r="N246" s="190"/>
      <c r="O246" s="189"/>
      <c r="P246" s="189"/>
      <c r="Q246" s="190"/>
      <c r="R246" s="189"/>
      <c r="S246" s="189"/>
      <c r="T246" s="190"/>
      <c r="U246" s="189"/>
      <c r="V246" s="189"/>
      <c r="W246" s="190"/>
      <c r="X246" s="189"/>
      <c r="Y246" s="189"/>
      <c r="Z246" s="190"/>
      <c r="AA246" s="189"/>
      <c r="AB246" s="189"/>
    </row>
    <row r="247" spans="13:28">
      <c r="M247" s="189"/>
      <c r="N247" s="190"/>
      <c r="O247" s="189"/>
      <c r="P247" s="189"/>
      <c r="Q247" s="190"/>
      <c r="R247" s="189"/>
      <c r="S247" s="189"/>
      <c r="T247" s="190"/>
      <c r="U247" s="189"/>
      <c r="V247" s="189"/>
      <c r="W247" s="190"/>
      <c r="X247" s="189"/>
      <c r="Y247" s="189"/>
      <c r="Z247" s="190"/>
      <c r="AA247" s="189"/>
      <c r="AB247" s="189"/>
    </row>
    <row r="248" spans="13:28">
      <c r="M248" s="189"/>
      <c r="N248" s="190"/>
      <c r="O248" s="189"/>
      <c r="P248" s="189"/>
      <c r="Q248" s="190"/>
      <c r="R248" s="189"/>
      <c r="S248" s="189"/>
      <c r="T248" s="190"/>
      <c r="U248" s="189"/>
      <c r="V248" s="189"/>
      <c r="W248" s="190"/>
      <c r="X248" s="189"/>
      <c r="Y248" s="189"/>
      <c r="Z248" s="190"/>
      <c r="AA248" s="189"/>
      <c r="AB248" s="189"/>
    </row>
    <row r="249" spans="13:28">
      <c r="M249" s="189"/>
      <c r="N249" s="190"/>
      <c r="O249" s="189"/>
      <c r="P249" s="189"/>
      <c r="Q249" s="190"/>
      <c r="R249" s="189"/>
      <c r="S249" s="189"/>
      <c r="T249" s="190"/>
      <c r="U249" s="189"/>
      <c r="V249" s="189"/>
      <c r="W249" s="190"/>
      <c r="X249" s="189"/>
      <c r="Y249" s="189"/>
      <c r="Z249" s="190"/>
      <c r="AA249" s="189"/>
      <c r="AB249" s="189"/>
    </row>
    <row r="250" spans="13:28">
      <c r="M250" s="189"/>
      <c r="N250" s="190"/>
      <c r="O250" s="189"/>
      <c r="P250" s="189"/>
      <c r="Q250" s="190"/>
      <c r="R250" s="189"/>
      <c r="S250" s="189"/>
      <c r="T250" s="190"/>
      <c r="U250" s="189"/>
      <c r="V250" s="189"/>
      <c r="W250" s="190"/>
      <c r="X250" s="189"/>
      <c r="Y250" s="189"/>
      <c r="Z250" s="190"/>
      <c r="AA250" s="189"/>
      <c r="AB250" s="189"/>
    </row>
    <row r="251" spans="13:28">
      <c r="M251" s="189"/>
      <c r="N251" s="190"/>
      <c r="O251" s="189"/>
      <c r="P251" s="189"/>
      <c r="Q251" s="190"/>
      <c r="R251" s="189"/>
      <c r="S251" s="189"/>
      <c r="T251" s="190"/>
      <c r="U251" s="189"/>
      <c r="V251" s="189"/>
      <c r="W251" s="190"/>
      <c r="X251" s="189"/>
      <c r="Y251" s="189"/>
      <c r="Z251" s="190"/>
      <c r="AA251" s="189"/>
      <c r="AB251" s="189"/>
    </row>
    <row r="252" spans="13:28">
      <c r="M252" s="189"/>
      <c r="N252" s="190"/>
      <c r="O252" s="189"/>
      <c r="P252" s="189"/>
      <c r="Q252" s="190"/>
      <c r="R252" s="189"/>
      <c r="S252" s="189"/>
      <c r="T252" s="190"/>
      <c r="U252" s="189"/>
      <c r="V252" s="189"/>
      <c r="W252" s="190"/>
      <c r="X252" s="189"/>
      <c r="Y252" s="189"/>
      <c r="Z252" s="190"/>
      <c r="AA252" s="189"/>
      <c r="AB252" s="189"/>
    </row>
    <row r="253" spans="13:28">
      <c r="M253" s="189"/>
      <c r="N253" s="190"/>
      <c r="O253" s="189"/>
      <c r="P253" s="189"/>
      <c r="Q253" s="190"/>
      <c r="R253" s="189"/>
      <c r="S253" s="189"/>
      <c r="T253" s="190"/>
      <c r="U253" s="189"/>
      <c r="V253" s="189"/>
      <c r="W253" s="190"/>
      <c r="X253" s="189"/>
      <c r="Y253" s="189"/>
      <c r="Z253" s="190"/>
      <c r="AA253" s="189"/>
      <c r="AB253" s="189"/>
    </row>
    <row r="254" spans="13:28">
      <c r="M254" s="189"/>
      <c r="N254" s="190"/>
      <c r="O254" s="189"/>
      <c r="P254" s="189"/>
      <c r="Q254" s="190"/>
      <c r="R254" s="189"/>
      <c r="S254" s="189"/>
      <c r="T254" s="190"/>
      <c r="U254" s="189"/>
      <c r="V254" s="189"/>
      <c r="W254" s="190"/>
      <c r="X254" s="189"/>
      <c r="Y254" s="189"/>
      <c r="Z254" s="190"/>
      <c r="AA254" s="189"/>
      <c r="AB254" s="189"/>
    </row>
    <row r="255" spans="13:28">
      <c r="M255" s="189"/>
      <c r="N255" s="190"/>
      <c r="O255" s="189"/>
      <c r="P255" s="189"/>
      <c r="Q255" s="190"/>
      <c r="R255" s="189"/>
      <c r="S255" s="189"/>
      <c r="T255" s="190"/>
      <c r="U255" s="189"/>
      <c r="V255" s="189"/>
      <c r="W255" s="190"/>
      <c r="X255" s="189"/>
      <c r="Y255" s="189"/>
      <c r="Z255" s="190"/>
      <c r="AA255" s="189"/>
      <c r="AB255" s="189"/>
    </row>
    <row r="256" spans="13:28">
      <c r="M256" s="189"/>
      <c r="N256" s="190"/>
      <c r="O256" s="189"/>
      <c r="P256" s="189"/>
      <c r="Q256" s="190"/>
      <c r="R256" s="189"/>
      <c r="S256" s="189"/>
      <c r="T256" s="190"/>
      <c r="U256" s="189"/>
      <c r="V256" s="189"/>
      <c r="W256" s="190"/>
      <c r="X256" s="189"/>
      <c r="Y256" s="189"/>
      <c r="Z256" s="190"/>
      <c r="AA256" s="189"/>
      <c r="AB256" s="189"/>
    </row>
    <row r="257" spans="13:28">
      <c r="M257" s="189"/>
      <c r="N257" s="190"/>
      <c r="O257" s="189"/>
      <c r="P257" s="189"/>
      <c r="Q257" s="190"/>
      <c r="R257" s="189"/>
      <c r="S257" s="189"/>
      <c r="T257" s="190"/>
      <c r="U257" s="189"/>
      <c r="V257" s="189"/>
      <c r="W257" s="190"/>
      <c r="X257" s="189"/>
      <c r="Y257" s="189"/>
      <c r="Z257" s="190"/>
      <c r="AA257" s="189"/>
      <c r="AB257" s="189"/>
    </row>
    <row r="258" spans="13:28">
      <c r="M258" s="189"/>
      <c r="N258" s="190"/>
      <c r="O258" s="189"/>
      <c r="P258" s="189"/>
      <c r="Q258" s="190"/>
      <c r="R258" s="189"/>
      <c r="S258" s="189"/>
      <c r="T258" s="190"/>
      <c r="U258" s="189"/>
      <c r="V258" s="189"/>
      <c r="W258" s="190"/>
      <c r="X258" s="189"/>
      <c r="Y258" s="189"/>
      <c r="Z258" s="190"/>
      <c r="AA258" s="189"/>
      <c r="AB258" s="189"/>
    </row>
    <row r="259" spans="13:28">
      <c r="M259" s="189"/>
      <c r="N259" s="190"/>
      <c r="O259" s="189"/>
      <c r="P259" s="189"/>
      <c r="Q259" s="190"/>
      <c r="R259" s="189"/>
      <c r="S259" s="189"/>
      <c r="T259" s="190"/>
      <c r="U259" s="189"/>
      <c r="V259" s="189"/>
      <c r="W259" s="190"/>
      <c r="X259" s="189"/>
      <c r="Y259" s="189"/>
      <c r="Z259" s="190"/>
      <c r="AA259" s="189"/>
      <c r="AB259" s="189"/>
    </row>
    <row r="260" spans="13:28">
      <c r="M260" s="189"/>
      <c r="N260" s="190"/>
      <c r="O260" s="189"/>
      <c r="P260" s="189"/>
      <c r="Q260" s="190"/>
      <c r="R260" s="189"/>
      <c r="S260" s="189"/>
      <c r="T260" s="190"/>
      <c r="U260" s="189"/>
      <c r="V260" s="189"/>
      <c r="W260" s="190"/>
      <c r="X260" s="189"/>
      <c r="Y260" s="189"/>
      <c r="Z260" s="190"/>
      <c r="AA260" s="189"/>
      <c r="AB260" s="189"/>
    </row>
    <row r="261" spans="13:28">
      <c r="M261" s="189"/>
      <c r="N261" s="190"/>
      <c r="O261" s="189"/>
      <c r="P261" s="189"/>
      <c r="Q261" s="190"/>
      <c r="R261" s="189"/>
      <c r="S261" s="189"/>
      <c r="T261" s="190"/>
      <c r="U261" s="189"/>
      <c r="V261" s="189"/>
      <c r="W261" s="190"/>
      <c r="X261" s="189"/>
      <c r="Y261" s="189"/>
      <c r="Z261" s="190"/>
      <c r="AA261" s="189"/>
      <c r="AB261" s="189"/>
    </row>
    <row r="262" spans="13:28">
      <c r="M262" s="189"/>
      <c r="N262" s="190"/>
      <c r="O262" s="189"/>
      <c r="P262" s="189"/>
      <c r="Q262" s="190"/>
      <c r="R262" s="189"/>
      <c r="S262" s="189"/>
      <c r="T262" s="190"/>
      <c r="U262" s="189"/>
      <c r="V262" s="189"/>
      <c r="W262" s="190"/>
      <c r="X262" s="189"/>
      <c r="Y262" s="189"/>
      <c r="Z262" s="190"/>
      <c r="AA262" s="189"/>
      <c r="AB262" s="189"/>
    </row>
    <row r="263" spans="13:28">
      <c r="M263" s="189"/>
      <c r="N263" s="190"/>
      <c r="O263" s="189"/>
      <c r="P263" s="189"/>
      <c r="Q263" s="190"/>
      <c r="R263" s="189"/>
      <c r="S263" s="189"/>
      <c r="T263" s="190"/>
      <c r="U263" s="189"/>
      <c r="V263" s="189"/>
      <c r="W263" s="190"/>
      <c r="X263" s="189"/>
      <c r="Y263" s="189"/>
      <c r="Z263" s="190"/>
      <c r="AA263" s="189"/>
      <c r="AB263" s="189"/>
    </row>
    <row r="264" spans="13:28">
      <c r="M264" s="189"/>
      <c r="N264" s="190"/>
      <c r="O264" s="189"/>
      <c r="P264" s="189"/>
      <c r="Q264" s="190"/>
      <c r="R264" s="189"/>
      <c r="S264" s="189"/>
      <c r="T264" s="190"/>
      <c r="U264" s="189"/>
      <c r="V264" s="189"/>
      <c r="W264" s="190"/>
      <c r="X264" s="189"/>
      <c r="Y264" s="189"/>
      <c r="Z264" s="190"/>
      <c r="AA264" s="189"/>
      <c r="AB264" s="189"/>
    </row>
    <row r="265" spans="13:28">
      <c r="M265" s="189"/>
      <c r="N265" s="190"/>
      <c r="O265" s="189"/>
      <c r="P265" s="189"/>
      <c r="Q265" s="190"/>
      <c r="R265" s="189"/>
      <c r="S265" s="189"/>
      <c r="T265" s="190"/>
      <c r="U265" s="189"/>
      <c r="V265" s="189"/>
      <c r="W265" s="190"/>
      <c r="X265" s="189"/>
      <c r="Y265" s="189"/>
      <c r="Z265" s="190"/>
      <c r="AA265" s="189"/>
      <c r="AB265" s="189"/>
    </row>
    <row r="266" spans="13:28">
      <c r="M266" s="189"/>
      <c r="N266" s="190"/>
      <c r="O266" s="189"/>
      <c r="P266" s="189"/>
      <c r="Q266" s="190"/>
      <c r="R266" s="189"/>
      <c r="S266" s="189"/>
      <c r="T266" s="190"/>
      <c r="U266" s="189"/>
      <c r="V266" s="189"/>
      <c r="W266" s="190"/>
      <c r="X266" s="189"/>
      <c r="Y266" s="189"/>
      <c r="Z266" s="190"/>
      <c r="AA266" s="189"/>
      <c r="AB266" s="189"/>
    </row>
    <row r="267" spans="13:28">
      <c r="M267" s="189"/>
      <c r="N267" s="190"/>
      <c r="O267" s="189"/>
      <c r="P267" s="189"/>
      <c r="Q267" s="190"/>
      <c r="R267" s="189"/>
      <c r="S267" s="189"/>
      <c r="T267" s="190"/>
      <c r="U267" s="189"/>
      <c r="V267" s="189"/>
      <c r="W267" s="190"/>
      <c r="X267" s="189"/>
      <c r="Y267" s="189"/>
      <c r="Z267" s="190"/>
      <c r="AA267" s="189"/>
      <c r="AB267" s="189"/>
    </row>
    <row r="268" spans="13:28">
      <c r="M268" s="189"/>
      <c r="N268" s="190"/>
      <c r="O268" s="189"/>
      <c r="P268" s="189"/>
      <c r="Q268" s="190"/>
      <c r="R268" s="189"/>
      <c r="S268" s="189"/>
      <c r="T268" s="190"/>
      <c r="U268" s="189"/>
      <c r="V268" s="189"/>
      <c r="W268" s="190"/>
      <c r="X268" s="189"/>
      <c r="Y268" s="189"/>
      <c r="Z268" s="190"/>
      <c r="AA268" s="189"/>
      <c r="AB268" s="189"/>
    </row>
    <row r="269" spans="13:28">
      <c r="M269" s="189"/>
      <c r="N269" s="190"/>
      <c r="O269" s="189"/>
      <c r="P269" s="189"/>
      <c r="Q269" s="190"/>
      <c r="R269" s="189"/>
      <c r="S269" s="189"/>
      <c r="T269" s="190"/>
      <c r="U269" s="189"/>
      <c r="V269" s="189"/>
      <c r="W269" s="190"/>
      <c r="X269" s="189"/>
      <c r="Y269" s="189"/>
      <c r="Z269" s="190"/>
      <c r="AA269" s="189"/>
      <c r="AB269" s="189"/>
    </row>
    <row r="270" spans="13:28">
      <c r="M270" s="189"/>
      <c r="N270" s="190"/>
      <c r="O270" s="189"/>
      <c r="P270" s="189"/>
      <c r="Q270" s="190"/>
      <c r="R270" s="189"/>
      <c r="S270" s="189"/>
      <c r="T270" s="190"/>
      <c r="U270" s="189"/>
      <c r="V270" s="189"/>
      <c r="W270" s="190"/>
      <c r="X270" s="189"/>
      <c r="Y270" s="189"/>
      <c r="Z270" s="190"/>
      <c r="AA270" s="189"/>
      <c r="AB270" s="189"/>
    </row>
    <row r="271" spans="13:28">
      <c r="M271" s="189"/>
      <c r="N271" s="190"/>
      <c r="O271" s="189"/>
      <c r="P271" s="189"/>
      <c r="Q271" s="190"/>
      <c r="R271" s="189"/>
      <c r="S271" s="189"/>
      <c r="T271" s="190"/>
      <c r="U271" s="189"/>
      <c r="V271" s="189"/>
      <c r="W271" s="190"/>
      <c r="X271" s="189"/>
      <c r="Y271" s="189"/>
      <c r="Z271" s="190"/>
      <c r="AA271" s="189"/>
      <c r="AB271" s="189"/>
    </row>
    <row r="272" spans="13:28">
      <c r="M272" s="189"/>
      <c r="N272" s="190"/>
      <c r="O272" s="189"/>
      <c r="P272" s="189"/>
      <c r="Q272" s="190"/>
      <c r="R272" s="189"/>
      <c r="S272" s="189"/>
      <c r="T272" s="190"/>
      <c r="U272" s="189"/>
      <c r="V272" s="189"/>
      <c r="W272" s="190"/>
      <c r="X272" s="189"/>
      <c r="Y272" s="189"/>
      <c r="Z272" s="190"/>
      <c r="AA272" s="189"/>
      <c r="AB272" s="189"/>
    </row>
    <row r="273" spans="13:28">
      <c r="M273" s="189"/>
      <c r="N273" s="190"/>
      <c r="O273" s="189"/>
      <c r="P273" s="189"/>
      <c r="Q273" s="190"/>
      <c r="R273" s="189"/>
      <c r="S273" s="189"/>
      <c r="T273" s="190"/>
      <c r="U273" s="189"/>
      <c r="V273" s="189"/>
      <c r="W273" s="190"/>
      <c r="X273" s="189"/>
      <c r="Y273" s="189"/>
      <c r="Z273" s="190"/>
      <c r="AA273" s="189"/>
      <c r="AB273" s="189"/>
    </row>
    <row r="274" spans="13:28">
      <c r="M274" s="189"/>
      <c r="N274" s="190"/>
      <c r="O274" s="189"/>
      <c r="P274" s="189"/>
      <c r="Q274" s="190"/>
      <c r="R274" s="189"/>
      <c r="S274" s="189"/>
      <c r="T274" s="190"/>
      <c r="U274" s="189"/>
      <c r="V274" s="189"/>
      <c r="W274" s="190"/>
      <c r="X274" s="189"/>
      <c r="Y274" s="189"/>
      <c r="Z274" s="190"/>
      <c r="AA274" s="189"/>
      <c r="AB274" s="189"/>
    </row>
    <row r="275" spans="13:28">
      <c r="M275" s="189"/>
      <c r="N275" s="190"/>
      <c r="O275" s="189"/>
      <c r="P275" s="189"/>
      <c r="Q275" s="190"/>
      <c r="R275" s="189"/>
      <c r="S275" s="189"/>
      <c r="T275" s="190"/>
      <c r="U275" s="189"/>
      <c r="V275" s="189"/>
      <c r="W275" s="190"/>
      <c r="X275" s="189"/>
      <c r="Y275" s="189"/>
      <c r="Z275" s="190"/>
      <c r="AA275" s="189"/>
      <c r="AB275" s="189"/>
    </row>
    <row r="276" spans="13:28">
      <c r="M276" s="189"/>
      <c r="N276" s="190"/>
      <c r="O276" s="189"/>
      <c r="P276" s="189"/>
      <c r="Q276" s="190"/>
      <c r="R276" s="189"/>
      <c r="S276" s="189"/>
      <c r="T276" s="190"/>
      <c r="U276" s="189"/>
      <c r="V276" s="189"/>
      <c r="W276" s="190"/>
      <c r="X276" s="189"/>
      <c r="Y276" s="189"/>
      <c r="Z276" s="190"/>
      <c r="AA276" s="189"/>
      <c r="AB276" s="189"/>
    </row>
    <row r="277" spans="13:28">
      <c r="M277" s="189"/>
      <c r="N277" s="190"/>
      <c r="O277" s="189"/>
      <c r="P277" s="189"/>
      <c r="Q277" s="190"/>
      <c r="R277" s="189"/>
      <c r="S277" s="189"/>
      <c r="T277" s="190"/>
      <c r="U277" s="189"/>
      <c r="V277" s="189"/>
      <c r="W277" s="190"/>
      <c r="X277" s="189"/>
      <c r="Y277" s="189"/>
      <c r="Z277" s="190"/>
      <c r="AA277" s="189"/>
      <c r="AB277" s="189"/>
    </row>
    <row r="278" spans="13:28">
      <c r="M278" s="189"/>
      <c r="N278" s="190"/>
      <c r="O278" s="189"/>
      <c r="P278" s="189"/>
      <c r="Q278" s="190"/>
      <c r="R278" s="189"/>
      <c r="S278" s="189"/>
      <c r="T278" s="190"/>
      <c r="U278" s="189"/>
      <c r="V278" s="189"/>
      <c r="W278" s="190"/>
      <c r="X278" s="189"/>
      <c r="Y278" s="189"/>
      <c r="Z278" s="190"/>
      <c r="AA278" s="189"/>
      <c r="AB278" s="189"/>
    </row>
    <row r="279" spans="13:28">
      <c r="M279" s="189"/>
      <c r="N279" s="190"/>
      <c r="O279" s="189"/>
      <c r="P279" s="189"/>
      <c r="Q279" s="190"/>
      <c r="R279" s="189"/>
      <c r="S279" s="189"/>
      <c r="T279" s="190"/>
      <c r="U279" s="189"/>
      <c r="V279" s="189"/>
      <c r="W279" s="190"/>
      <c r="X279" s="189"/>
      <c r="Y279" s="189"/>
      <c r="Z279" s="190"/>
      <c r="AA279" s="189"/>
      <c r="AB279" s="189"/>
    </row>
    <row r="280" spans="13:28">
      <c r="M280" s="189"/>
      <c r="N280" s="190"/>
      <c r="O280" s="189"/>
      <c r="P280" s="189"/>
      <c r="Q280" s="190"/>
      <c r="R280" s="189"/>
      <c r="S280" s="189"/>
      <c r="T280" s="190"/>
      <c r="U280" s="189"/>
      <c r="V280" s="189"/>
      <c r="W280" s="190"/>
      <c r="X280" s="189"/>
      <c r="Y280" s="189"/>
      <c r="Z280" s="190"/>
      <c r="AA280" s="189"/>
      <c r="AB280" s="189"/>
    </row>
    <row r="281" spans="13:28">
      <c r="M281" s="189"/>
      <c r="N281" s="190"/>
      <c r="O281" s="189"/>
      <c r="P281" s="189"/>
      <c r="Q281" s="190"/>
      <c r="R281" s="189"/>
      <c r="S281" s="189"/>
      <c r="T281" s="190"/>
      <c r="U281" s="189"/>
      <c r="V281" s="189"/>
      <c r="W281" s="190"/>
      <c r="X281" s="189"/>
      <c r="Y281" s="189"/>
      <c r="Z281" s="190"/>
      <c r="AA281" s="189"/>
      <c r="AB281" s="189"/>
    </row>
    <row r="282" spans="13:28">
      <c r="M282" s="189"/>
      <c r="N282" s="190"/>
      <c r="O282" s="189"/>
      <c r="P282" s="189"/>
      <c r="Q282" s="190"/>
      <c r="R282" s="189"/>
      <c r="S282" s="189"/>
      <c r="T282" s="190"/>
      <c r="U282" s="189"/>
      <c r="V282" s="189"/>
      <c r="W282" s="190"/>
      <c r="X282" s="189"/>
      <c r="Y282" s="189"/>
      <c r="Z282" s="190"/>
      <c r="AA282" s="189"/>
      <c r="AB282" s="189"/>
    </row>
    <row r="283" spans="13:28">
      <c r="M283" s="189"/>
      <c r="N283" s="190"/>
      <c r="O283" s="189"/>
      <c r="P283" s="189"/>
      <c r="Q283" s="190"/>
      <c r="R283" s="189"/>
      <c r="S283" s="189"/>
      <c r="T283" s="190"/>
      <c r="U283" s="189"/>
      <c r="V283" s="189"/>
      <c r="W283" s="190"/>
      <c r="X283" s="189"/>
      <c r="Y283" s="189"/>
      <c r="Z283" s="190"/>
      <c r="AA283" s="189"/>
      <c r="AB283" s="189"/>
    </row>
    <row r="284" spans="13:28">
      <c r="M284" s="189"/>
      <c r="N284" s="190"/>
      <c r="O284" s="189"/>
      <c r="P284" s="189"/>
      <c r="Q284" s="190"/>
      <c r="R284" s="189"/>
      <c r="S284" s="189"/>
      <c r="T284" s="190"/>
      <c r="U284" s="189"/>
      <c r="V284" s="189"/>
      <c r="W284" s="190"/>
      <c r="X284" s="189"/>
      <c r="Y284" s="189"/>
      <c r="Z284" s="190"/>
      <c r="AA284" s="189"/>
      <c r="AB284" s="189"/>
    </row>
    <row r="285" spans="13:28">
      <c r="M285" s="189"/>
      <c r="N285" s="190"/>
      <c r="O285" s="189"/>
      <c r="P285" s="189"/>
      <c r="Q285" s="190"/>
      <c r="R285" s="189"/>
      <c r="S285" s="189"/>
      <c r="T285" s="190"/>
      <c r="U285" s="189"/>
      <c r="V285" s="189"/>
      <c r="W285" s="190"/>
      <c r="X285" s="189"/>
      <c r="Y285" s="189"/>
      <c r="Z285" s="190"/>
      <c r="AA285" s="189"/>
      <c r="AB285" s="189"/>
    </row>
    <row r="286" spans="13:28">
      <c r="M286" s="189"/>
      <c r="N286" s="190"/>
      <c r="O286" s="189"/>
      <c r="P286" s="189"/>
      <c r="Q286" s="190"/>
      <c r="R286" s="189"/>
      <c r="S286" s="189"/>
      <c r="T286" s="190"/>
      <c r="U286" s="189"/>
      <c r="V286" s="189"/>
      <c r="W286" s="190"/>
      <c r="X286" s="189"/>
      <c r="Y286" s="189"/>
      <c r="Z286" s="190"/>
      <c r="AA286" s="189"/>
      <c r="AB286" s="189"/>
    </row>
    <row r="287" spans="13:28">
      <c r="M287" s="189"/>
      <c r="N287" s="190"/>
      <c r="O287" s="189"/>
      <c r="P287" s="189"/>
      <c r="Q287" s="190"/>
      <c r="R287" s="189"/>
      <c r="S287" s="189"/>
      <c r="T287" s="190"/>
      <c r="U287" s="189"/>
      <c r="V287" s="189"/>
      <c r="W287" s="190"/>
      <c r="X287" s="189"/>
      <c r="Y287" s="189"/>
      <c r="Z287" s="190"/>
      <c r="AA287" s="189"/>
      <c r="AB287" s="189"/>
    </row>
    <row r="288" spans="13:28">
      <c r="M288" s="189"/>
      <c r="N288" s="190"/>
      <c r="O288" s="189"/>
      <c r="P288" s="189"/>
      <c r="Q288" s="190"/>
      <c r="R288" s="189"/>
      <c r="S288" s="189"/>
      <c r="T288" s="190"/>
      <c r="U288" s="189"/>
      <c r="V288" s="189"/>
      <c r="W288" s="190"/>
      <c r="X288" s="189"/>
      <c r="Y288" s="189"/>
      <c r="Z288" s="190"/>
      <c r="AA288" s="189"/>
      <c r="AB288" s="189"/>
    </row>
    <row r="289" spans="13:28">
      <c r="M289" s="189"/>
      <c r="N289" s="190"/>
      <c r="O289" s="189"/>
      <c r="P289" s="189"/>
      <c r="Q289" s="190"/>
      <c r="R289" s="189"/>
      <c r="S289" s="189"/>
      <c r="T289" s="190"/>
      <c r="U289" s="189"/>
      <c r="V289" s="189"/>
      <c r="W289" s="190"/>
      <c r="X289" s="189"/>
      <c r="Y289" s="189"/>
      <c r="Z289" s="190"/>
      <c r="AA289" s="189"/>
      <c r="AB289" s="189"/>
    </row>
    <row r="290" spans="13:28">
      <c r="M290" s="189"/>
      <c r="N290" s="190"/>
      <c r="O290" s="189"/>
      <c r="P290" s="189"/>
      <c r="Q290" s="190"/>
      <c r="R290" s="189"/>
      <c r="S290" s="189"/>
      <c r="T290" s="190"/>
      <c r="U290" s="189"/>
      <c r="V290" s="189"/>
      <c r="W290" s="190"/>
      <c r="X290" s="189"/>
      <c r="Y290" s="189"/>
      <c r="Z290" s="190"/>
      <c r="AA290" s="189"/>
      <c r="AB290" s="189"/>
    </row>
    <row r="291" spans="13:28">
      <c r="M291" s="189"/>
      <c r="N291" s="190"/>
      <c r="O291" s="189"/>
      <c r="P291" s="189"/>
      <c r="Q291" s="190"/>
      <c r="R291" s="189"/>
      <c r="S291" s="189"/>
      <c r="T291" s="190"/>
      <c r="U291" s="189"/>
      <c r="V291" s="189"/>
      <c r="W291" s="190"/>
      <c r="X291" s="189"/>
      <c r="Y291" s="189"/>
      <c r="Z291" s="190"/>
      <c r="AA291" s="189"/>
      <c r="AB291" s="189"/>
    </row>
    <row r="292" spans="13:28">
      <c r="M292" s="189"/>
      <c r="N292" s="190"/>
      <c r="O292" s="189"/>
      <c r="P292" s="189"/>
      <c r="Q292" s="190"/>
      <c r="R292" s="189"/>
      <c r="S292" s="189"/>
      <c r="T292" s="190"/>
      <c r="U292" s="189"/>
      <c r="V292" s="189"/>
      <c r="W292" s="190"/>
      <c r="X292" s="189"/>
      <c r="Y292" s="189"/>
      <c r="Z292" s="190"/>
      <c r="AA292" s="189"/>
      <c r="AB292" s="189"/>
    </row>
    <row r="293" spans="13:28">
      <c r="M293" s="189"/>
      <c r="N293" s="190"/>
      <c r="O293" s="189"/>
      <c r="P293" s="189"/>
      <c r="Q293" s="190"/>
      <c r="R293" s="189"/>
      <c r="S293" s="189"/>
      <c r="T293" s="190"/>
      <c r="U293" s="189"/>
      <c r="V293" s="189"/>
      <c r="W293" s="190"/>
      <c r="X293" s="189"/>
      <c r="Y293" s="189"/>
      <c r="Z293" s="190"/>
      <c r="AA293" s="189"/>
      <c r="AB293" s="189"/>
    </row>
    <row r="294" spans="13:28">
      <c r="M294" s="189"/>
      <c r="N294" s="190"/>
      <c r="O294" s="189"/>
      <c r="P294" s="189"/>
      <c r="Q294" s="190"/>
      <c r="R294" s="189"/>
      <c r="S294" s="189"/>
      <c r="T294" s="190"/>
      <c r="U294" s="189"/>
      <c r="V294" s="189"/>
      <c r="W294" s="190"/>
      <c r="X294" s="189"/>
      <c r="Y294" s="189"/>
      <c r="Z294" s="190"/>
      <c r="AA294" s="189"/>
      <c r="AB294" s="189"/>
    </row>
    <row r="295" spans="13:28">
      <c r="M295" s="189"/>
      <c r="N295" s="190"/>
      <c r="O295" s="189"/>
      <c r="P295" s="189"/>
      <c r="Q295" s="190"/>
      <c r="R295" s="189"/>
      <c r="S295" s="189"/>
      <c r="T295" s="190"/>
      <c r="U295" s="189"/>
      <c r="V295" s="189"/>
      <c r="W295" s="190"/>
      <c r="X295" s="189"/>
      <c r="Y295" s="189"/>
      <c r="Z295" s="190"/>
      <c r="AA295" s="189"/>
      <c r="AB295" s="189"/>
    </row>
    <row r="296" spans="13:28">
      <c r="M296" s="189"/>
      <c r="N296" s="190"/>
      <c r="O296" s="189"/>
      <c r="P296" s="189"/>
      <c r="Q296" s="190"/>
      <c r="R296" s="189"/>
      <c r="S296" s="189"/>
      <c r="T296" s="190"/>
      <c r="U296" s="189"/>
      <c r="V296" s="189"/>
      <c r="W296" s="190"/>
      <c r="X296" s="189"/>
      <c r="Y296" s="189"/>
      <c r="Z296" s="190"/>
      <c r="AA296" s="189"/>
      <c r="AB296" s="189"/>
    </row>
    <row r="297" spans="13:28">
      <c r="M297" s="189"/>
      <c r="N297" s="190"/>
      <c r="O297" s="189"/>
      <c r="P297" s="189"/>
      <c r="Q297" s="190"/>
      <c r="R297" s="189"/>
      <c r="S297" s="189"/>
      <c r="T297" s="190"/>
      <c r="U297" s="189"/>
      <c r="V297" s="189"/>
      <c r="W297" s="190"/>
      <c r="X297" s="189"/>
      <c r="Y297" s="189"/>
      <c r="Z297" s="190"/>
      <c r="AA297" s="189"/>
      <c r="AB297" s="189"/>
    </row>
    <row r="298" spans="13:28">
      <c r="M298" s="189"/>
      <c r="N298" s="190"/>
      <c r="O298" s="189"/>
      <c r="P298" s="189"/>
      <c r="Q298" s="190"/>
      <c r="R298" s="189"/>
      <c r="S298" s="189"/>
      <c r="T298" s="190"/>
      <c r="U298" s="189"/>
      <c r="V298" s="189"/>
      <c r="W298" s="190"/>
      <c r="X298" s="189"/>
      <c r="Y298" s="189"/>
      <c r="Z298" s="190"/>
      <c r="AA298" s="189"/>
      <c r="AB298" s="189"/>
    </row>
    <row r="299" spans="13:28">
      <c r="M299" s="189"/>
      <c r="N299" s="190"/>
      <c r="O299" s="189"/>
      <c r="P299" s="189"/>
      <c r="Q299" s="190"/>
      <c r="R299" s="189"/>
      <c r="S299" s="189"/>
      <c r="T299" s="190"/>
      <c r="U299" s="189"/>
      <c r="V299" s="189"/>
      <c r="W299" s="190"/>
      <c r="X299" s="189"/>
      <c r="Y299" s="189"/>
      <c r="Z299" s="190"/>
      <c r="AA299" s="189"/>
      <c r="AB299" s="189"/>
    </row>
    <row r="300" spans="13:28">
      <c r="M300" s="189"/>
      <c r="N300" s="190"/>
      <c r="O300" s="189"/>
      <c r="P300" s="189"/>
      <c r="Q300" s="190"/>
      <c r="R300" s="189"/>
      <c r="S300" s="189"/>
      <c r="T300" s="190"/>
      <c r="U300" s="189"/>
      <c r="V300" s="189"/>
      <c r="W300" s="190"/>
      <c r="X300" s="189"/>
      <c r="Y300" s="189"/>
      <c r="Z300" s="190"/>
      <c r="AA300" s="189"/>
      <c r="AB300" s="189"/>
    </row>
    <row r="301" spans="13:28">
      <c r="M301" s="189"/>
      <c r="N301" s="190"/>
      <c r="O301" s="189"/>
      <c r="P301" s="189"/>
      <c r="Q301" s="190"/>
      <c r="R301" s="189"/>
      <c r="S301" s="189"/>
      <c r="T301" s="190"/>
      <c r="U301" s="189"/>
      <c r="V301" s="189"/>
      <c r="W301" s="190"/>
      <c r="X301" s="189"/>
      <c r="Y301" s="189"/>
      <c r="Z301" s="190"/>
      <c r="AA301" s="189"/>
      <c r="AB301" s="189"/>
    </row>
    <row r="302" spans="13:28">
      <c r="M302" s="189"/>
      <c r="N302" s="190"/>
      <c r="O302" s="189"/>
      <c r="P302" s="189"/>
      <c r="Q302" s="190"/>
      <c r="R302" s="189"/>
      <c r="S302" s="189"/>
      <c r="T302" s="190"/>
      <c r="U302" s="189"/>
      <c r="V302" s="189"/>
      <c r="W302" s="190"/>
      <c r="X302" s="189"/>
      <c r="Y302" s="189"/>
      <c r="Z302" s="190"/>
      <c r="AA302" s="189"/>
      <c r="AB302" s="189"/>
    </row>
    <row r="303" spans="13:28">
      <c r="M303" s="189"/>
      <c r="N303" s="190"/>
      <c r="O303" s="189"/>
      <c r="P303" s="189"/>
      <c r="Q303" s="190"/>
      <c r="R303" s="189"/>
      <c r="S303" s="189"/>
      <c r="T303" s="190"/>
      <c r="U303" s="189"/>
      <c r="V303" s="189"/>
      <c r="W303" s="190"/>
      <c r="X303" s="189"/>
      <c r="Y303" s="189"/>
      <c r="Z303" s="190"/>
      <c r="AA303" s="189"/>
      <c r="AB303" s="189"/>
    </row>
    <row r="304" spans="13:28">
      <c r="M304" s="189"/>
      <c r="N304" s="190"/>
      <c r="O304" s="189"/>
      <c r="P304" s="189"/>
      <c r="Q304" s="190"/>
      <c r="R304" s="189"/>
      <c r="S304" s="189"/>
      <c r="T304" s="190"/>
      <c r="U304" s="189"/>
      <c r="V304" s="189"/>
      <c r="W304" s="190"/>
      <c r="X304" s="189"/>
      <c r="Y304" s="189"/>
      <c r="Z304" s="190"/>
      <c r="AA304" s="189"/>
      <c r="AB304" s="189"/>
    </row>
    <row r="305" spans="13:28">
      <c r="M305" s="189"/>
      <c r="N305" s="190"/>
      <c r="O305" s="189"/>
      <c r="P305" s="189"/>
      <c r="Q305" s="190"/>
      <c r="R305" s="189"/>
      <c r="S305" s="189"/>
      <c r="T305" s="190"/>
      <c r="U305" s="189"/>
      <c r="V305" s="189"/>
      <c r="W305" s="190"/>
      <c r="X305" s="189"/>
      <c r="Y305" s="189"/>
      <c r="Z305" s="190"/>
      <c r="AA305" s="189"/>
      <c r="AB305" s="189"/>
    </row>
    <row r="306" spans="13:28">
      <c r="M306" s="189"/>
      <c r="N306" s="190"/>
      <c r="O306" s="189"/>
      <c r="P306" s="189"/>
      <c r="Q306" s="190"/>
      <c r="R306" s="189"/>
      <c r="S306" s="189"/>
      <c r="T306" s="190"/>
      <c r="U306" s="189"/>
      <c r="V306" s="189"/>
      <c r="W306" s="190"/>
      <c r="X306" s="189"/>
      <c r="Y306" s="189"/>
      <c r="Z306" s="190"/>
      <c r="AA306" s="189"/>
      <c r="AB306" s="189"/>
    </row>
    <row r="307" spans="13:28">
      <c r="M307" s="189"/>
      <c r="N307" s="190"/>
      <c r="O307" s="189"/>
      <c r="P307" s="189"/>
      <c r="Q307" s="190"/>
      <c r="R307" s="189"/>
      <c r="S307" s="189"/>
      <c r="T307" s="190"/>
      <c r="U307" s="189"/>
      <c r="V307" s="189"/>
      <c r="W307" s="190"/>
      <c r="X307" s="189"/>
      <c r="Y307" s="189"/>
      <c r="Z307" s="190"/>
      <c r="AA307" s="189"/>
      <c r="AB307" s="189"/>
    </row>
    <row r="308" spans="13:28">
      <c r="M308" s="189"/>
      <c r="N308" s="190"/>
      <c r="O308" s="189"/>
      <c r="P308" s="189"/>
      <c r="Q308" s="190"/>
      <c r="R308" s="189"/>
      <c r="S308" s="189"/>
      <c r="T308" s="190"/>
      <c r="U308" s="189"/>
      <c r="V308" s="189"/>
      <c r="W308" s="190"/>
      <c r="X308" s="189"/>
      <c r="Y308" s="189"/>
      <c r="Z308" s="190"/>
      <c r="AA308" s="189"/>
      <c r="AB308" s="189"/>
    </row>
    <row r="309" spans="13:28">
      <c r="M309" s="189"/>
      <c r="N309" s="190"/>
      <c r="O309" s="189"/>
      <c r="P309" s="189"/>
      <c r="Q309" s="190"/>
      <c r="R309" s="189"/>
      <c r="S309" s="189"/>
      <c r="T309" s="190"/>
      <c r="U309" s="189"/>
      <c r="V309" s="189"/>
      <c r="W309" s="190"/>
      <c r="X309" s="189"/>
      <c r="Y309" s="189"/>
      <c r="Z309" s="190"/>
      <c r="AA309" s="189"/>
      <c r="AB309" s="189"/>
    </row>
    <row r="310" spans="13:28">
      <c r="M310" s="189"/>
      <c r="N310" s="190"/>
      <c r="O310" s="189"/>
      <c r="P310" s="189"/>
      <c r="Q310" s="190"/>
      <c r="R310" s="189"/>
      <c r="S310" s="189"/>
      <c r="T310" s="190"/>
      <c r="U310" s="189"/>
      <c r="V310" s="189"/>
      <c r="W310" s="190"/>
      <c r="X310" s="189"/>
      <c r="Y310" s="189"/>
      <c r="Z310" s="190"/>
      <c r="AA310" s="189"/>
      <c r="AB310" s="189"/>
    </row>
    <row r="311" spans="13:28">
      <c r="M311" s="189"/>
      <c r="N311" s="190"/>
      <c r="O311" s="189"/>
      <c r="P311" s="189"/>
      <c r="Q311" s="190"/>
      <c r="R311" s="189"/>
      <c r="S311" s="189"/>
      <c r="T311" s="190"/>
      <c r="U311" s="189"/>
      <c r="V311" s="189"/>
      <c r="W311" s="190"/>
      <c r="X311" s="189"/>
      <c r="Y311" s="189"/>
      <c r="Z311" s="190"/>
      <c r="AA311" s="189"/>
      <c r="AB311" s="189"/>
    </row>
    <row r="312" spans="13:28">
      <c r="M312" s="189"/>
      <c r="N312" s="190"/>
      <c r="O312" s="189"/>
      <c r="P312" s="189"/>
      <c r="Q312" s="190"/>
      <c r="R312" s="189"/>
      <c r="S312" s="189"/>
      <c r="T312" s="190"/>
      <c r="U312" s="189"/>
      <c r="V312" s="189"/>
      <c r="W312" s="190"/>
      <c r="X312" s="189"/>
      <c r="Y312" s="189"/>
      <c r="Z312" s="190"/>
      <c r="AA312" s="189"/>
      <c r="AB312" s="189"/>
    </row>
    <row r="313" spans="13:28">
      <c r="M313" s="189"/>
      <c r="N313" s="190"/>
      <c r="O313" s="189"/>
      <c r="P313" s="189"/>
      <c r="Q313" s="190"/>
      <c r="R313" s="189"/>
      <c r="S313" s="189"/>
      <c r="T313" s="190"/>
      <c r="U313" s="189"/>
      <c r="V313" s="189"/>
      <c r="W313" s="190"/>
      <c r="X313" s="189"/>
      <c r="Y313" s="189"/>
      <c r="Z313" s="190"/>
      <c r="AA313" s="189"/>
      <c r="AB313" s="189"/>
    </row>
    <row r="314" spans="13:28">
      <c r="M314" s="189"/>
      <c r="N314" s="190"/>
      <c r="O314" s="189"/>
      <c r="P314" s="189"/>
      <c r="Q314" s="190"/>
      <c r="R314" s="189"/>
      <c r="S314" s="189"/>
      <c r="T314" s="190"/>
      <c r="U314" s="189"/>
      <c r="V314" s="189"/>
      <c r="W314" s="190"/>
      <c r="X314" s="189"/>
      <c r="Y314" s="189"/>
      <c r="Z314" s="190"/>
      <c r="AA314" s="189"/>
      <c r="AB314" s="189"/>
    </row>
    <row r="315" spans="13:28">
      <c r="M315" s="189"/>
      <c r="N315" s="190"/>
      <c r="O315" s="189"/>
      <c r="P315" s="189"/>
      <c r="Q315" s="190"/>
      <c r="R315" s="189"/>
      <c r="S315" s="189"/>
      <c r="T315" s="190"/>
      <c r="U315" s="189"/>
      <c r="V315" s="189"/>
      <c r="W315" s="190"/>
      <c r="X315" s="189"/>
      <c r="Y315" s="189"/>
      <c r="Z315" s="190"/>
      <c r="AA315" s="189"/>
      <c r="AB315" s="189"/>
    </row>
    <row r="316" spans="13:28">
      <c r="M316" s="189"/>
      <c r="N316" s="190"/>
      <c r="O316" s="189"/>
      <c r="P316" s="189"/>
      <c r="Q316" s="190"/>
      <c r="R316" s="189"/>
      <c r="S316" s="189"/>
      <c r="T316" s="190"/>
      <c r="U316" s="189"/>
      <c r="V316" s="189"/>
      <c r="W316" s="190"/>
      <c r="X316" s="189"/>
      <c r="Y316" s="189"/>
      <c r="Z316" s="190"/>
      <c r="AA316" s="189"/>
      <c r="AB316" s="189"/>
    </row>
    <row r="317" spans="13:28">
      <c r="M317" s="189"/>
      <c r="N317" s="190"/>
      <c r="O317" s="189"/>
      <c r="P317" s="189"/>
      <c r="Q317" s="190"/>
      <c r="R317" s="189"/>
      <c r="S317" s="189"/>
      <c r="T317" s="190"/>
      <c r="U317" s="189"/>
      <c r="V317" s="189"/>
      <c r="W317" s="190"/>
      <c r="X317" s="189"/>
      <c r="Y317" s="189"/>
      <c r="Z317" s="190"/>
      <c r="AA317" s="189"/>
      <c r="AB317" s="189"/>
    </row>
    <row r="318" spans="13:28">
      <c r="M318" s="189"/>
      <c r="N318" s="190"/>
      <c r="O318" s="189"/>
      <c r="P318" s="189"/>
      <c r="Q318" s="190"/>
      <c r="R318" s="189"/>
      <c r="S318" s="189"/>
      <c r="T318" s="190"/>
      <c r="U318" s="189"/>
      <c r="V318" s="189"/>
      <c r="W318" s="190"/>
      <c r="X318" s="189"/>
      <c r="Y318" s="189"/>
      <c r="Z318" s="190"/>
      <c r="AA318" s="189"/>
      <c r="AB318" s="189"/>
    </row>
    <row r="319" spans="13:28">
      <c r="M319" s="189"/>
      <c r="N319" s="190"/>
      <c r="O319" s="189"/>
      <c r="P319" s="189"/>
      <c r="Q319" s="190"/>
      <c r="R319" s="189"/>
      <c r="S319" s="189"/>
      <c r="T319" s="190"/>
      <c r="U319" s="189"/>
      <c r="V319" s="189"/>
      <c r="W319" s="190"/>
      <c r="X319" s="189"/>
      <c r="Y319" s="189"/>
      <c r="Z319" s="190"/>
      <c r="AA319" s="189"/>
      <c r="AB319" s="189"/>
    </row>
    <row r="320" spans="13:28">
      <c r="M320" s="189"/>
      <c r="N320" s="190"/>
      <c r="O320" s="189"/>
      <c r="P320" s="189"/>
      <c r="Q320" s="190"/>
      <c r="R320" s="189"/>
      <c r="S320" s="189"/>
      <c r="T320" s="190"/>
      <c r="U320" s="189"/>
      <c r="V320" s="189"/>
      <c r="W320" s="190"/>
      <c r="X320" s="189"/>
      <c r="Y320" s="189"/>
      <c r="Z320" s="190"/>
      <c r="AA320" s="189"/>
      <c r="AB320" s="189"/>
    </row>
    <row r="321" spans="13:28">
      <c r="M321" s="189"/>
      <c r="N321" s="190"/>
      <c r="O321" s="189"/>
      <c r="P321" s="189"/>
      <c r="Q321" s="190"/>
      <c r="R321" s="189"/>
      <c r="S321" s="189"/>
      <c r="T321" s="190"/>
      <c r="U321" s="189"/>
      <c r="V321" s="189"/>
      <c r="W321" s="190"/>
      <c r="X321" s="189"/>
      <c r="Y321" s="189"/>
      <c r="Z321" s="190"/>
      <c r="AA321" s="189"/>
      <c r="AB321" s="189"/>
    </row>
    <row r="322" spans="13:28">
      <c r="M322" s="189"/>
      <c r="N322" s="190"/>
      <c r="O322" s="189"/>
      <c r="P322" s="189"/>
      <c r="Q322" s="190"/>
      <c r="R322" s="189"/>
      <c r="S322" s="189"/>
      <c r="T322" s="190"/>
      <c r="U322" s="189"/>
      <c r="V322" s="189"/>
      <c r="W322" s="190"/>
      <c r="X322" s="189"/>
      <c r="Y322" s="189"/>
      <c r="Z322" s="190"/>
      <c r="AA322" s="189"/>
      <c r="AB322" s="189"/>
    </row>
    <row r="323" spans="13:28">
      <c r="M323" s="189"/>
      <c r="N323" s="190"/>
      <c r="O323" s="189"/>
      <c r="P323" s="189"/>
      <c r="Q323" s="190"/>
      <c r="R323" s="189"/>
      <c r="S323" s="189"/>
      <c r="T323" s="190"/>
      <c r="U323" s="189"/>
      <c r="V323" s="189"/>
      <c r="W323" s="190"/>
      <c r="X323" s="189"/>
      <c r="Y323" s="189"/>
      <c r="Z323" s="190"/>
      <c r="AA323" s="189"/>
      <c r="AB323" s="189"/>
    </row>
    <row r="324" spans="13:28">
      <c r="M324" s="189"/>
      <c r="N324" s="190"/>
      <c r="O324" s="189"/>
      <c r="P324" s="189"/>
      <c r="Q324" s="190"/>
      <c r="R324" s="189"/>
      <c r="S324" s="189"/>
      <c r="T324" s="190"/>
      <c r="U324" s="189"/>
      <c r="V324" s="189"/>
      <c r="W324" s="190"/>
      <c r="X324" s="189"/>
      <c r="Y324" s="189"/>
      <c r="Z324" s="190"/>
      <c r="AA324" s="189"/>
      <c r="AB324" s="189"/>
    </row>
    <row r="325" spans="13:28">
      <c r="M325" s="189"/>
      <c r="N325" s="190"/>
      <c r="O325" s="189"/>
      <c r="P325" s="189"/>
      <c r="Q325" s="190"/>
      <c r="R325" s="189"/>
      <c r="S325" s="189"/>
      <c r="T325" s="190"/>
      <c r="U325" s="189"/>
      <c r="V325" s="189"/>
      <c r="W325" s="190"/>
      <c r="X325" s="189"/>
      <c r="Y325" s="189"/>
      <c r="Z325" s="190"/>
      <c r="AA325" s="189"/>
      <c r="AB325" s="189"/>
    </row>
    <row r="326" spans="13:28">
      <c r="M326" s="189"/>
      <c r="N326" s="190"/>
      <c r="O326" s="189"/>
      <c r="P326" s="189"/>
      <c r="Q326" s="190"/>
      <c r="R326" s="189"/>
      <c r="S326" s="189"/>
      <c r="T326" s="190"/>
      <c r="U326" s="189"/>
      <c r="V326" s="189"/>
      <c r="W326" s="190"/>
      <c r="X326" s="189"/>
      <c r="Y326" s="189"/>
      <c r="Z326" s="190"/>
      <c r="AA326" s="189"/>
      <c r="AB326" s="189"/>
    </row>
    <row r="327" spans="13:28">
      <c r="M327" s="189"/>
      <c r="N327" s="190"/>
      <c r="O327" s="189"/>
      <c r="P327" s="189"/>
      <c r="Q327" s="190"/>
      <c r="R327" s="189"/>
      <c r="S327" s="189"/>
      <c r="T327" s="190"/>
      <c r="U327" s="189"/>
      <c r="V327" s="189"/>
      <c r="W327" s="190"/>
      <c r="X327" s="189"/>
      <c r="Y327" s="189"/>
      <c r="Z327" s="190"/>
      <c r="AA327" s="189"/>
      <c r="AB327" s="189"/>
    </row>
    <row r="328" spans="13:28">
      <c r="M328" s="189"/>
      <c r="N328" s="190"/>
      <c r="O328" s="189"/>
      <c r="P328" s="189"/>
      <c r="Q328" s="190"/>
      <c r="R328" s="189"/>
      <c r="S328" s="189"/>
      <c r="T328" s="190"/>
      <c r="U328" s="189"/>
      <c r="V328" s="189"/>
      <c r="W328" s="190"/>
      <c r="X328" s="189"/>
      <c r="Y328" s="189"/>
      <c r="Z328" s="190"/>
      <c r="AA328" s="189"/>
      <c r="AB328" s="189"/>
    </row>
    <row r="329" spans="13:28">
      <c r="M329" s="189"/>
      <c r="N329" s="190"/>
      <c r="O329" s="189"/>
      <c r="P329" s="189"/>
      <c r="Q329" s="190"/>
      <c r="R329" s="189"/>
      <c r="S329" s="189"/>
      <c r="T329" s="190"/>
      <c r="U329" s="189"/>
      <c r="V329" s="189"/>
      <c r="W329" s="190"/>
      <c r="X329" s="189"/>
      <c r="Y329" s="189"/>
      <c r="Z329" s="190"/>
      <c r="AA329" s="189"/>
      <c r="AB329" s="189"/>
    </row>
    <row r="330" spans="13:28">
      <c r="M330" s="189"/>
      <c r="N330" s="190"/>
      <c r="O330" s="189"/>
      <c r="P330" s="189"/>
      <c r="Q330" s="190"/>
      <c r="R330" s="189"/>
      <c r="S330" s="189"/>
      <c r="T330" s="190"/>
      <c r="U330" s="189"/>
      <c r="V330" s="189"/>
      <c r="W330" s="190"/>
      <c r="X330" s="189"/>
      <c r="Y330" s="189"/>
      <c r="Z330" s="190"/>
      <c r="AA330" s="189"/>
      <c r="AB330" s="189"/>
    </row>
    <row r="331" spans="13:28">
      <c r="M331" s="189"/>
      <c r="N331" s="190"/>
      <c r="O331" s="189"/>
      <c r="P331" s="189"/>
      <c r="Q331" s="190"/>
      <c r="R331" s="189"/>
      <c r="S331" s="189"/>
      <c r="T331" s="190"/>
      <c r="U331" s="189"/>
      <c r="V331" s="189"/>
      <c r="W331" s="190"/>
      <c r="X331" s="189"/>
      <c r="Y331" s="189"/>
      <c r="Z331" s="190"/>
      <c r="AA331" s="189"/>
      <c r="AB331" s="189"/>
    </row>
    <row r="332" spans="13:28">
      <c r="M332" s="189"/>
      <c r="N332" s="190"/>
      <c r="O332" s="189"/>
      <c r="P332" s="189"/>
      <c r="Q332" s="190"/>
      <c r="R332" s="189"/>
      <c r="S332" s="189"/>
      <c r="T332" s="190"/>
      <c r="U332" s="189"/>
      <c r="V332" s="189"/>
      <c r="W332" s="190"/>
      <c r="X332" s="189"/>
      <c r="Y332" s="189"/>
      <c r="Z332" s="190"/>
      <c r="AA332" s="189"/>
      <c r="AB332" s="189"/>
    </row>
    <row r="333" spans="13:28">
      <c r="M333" s="189"/>
      <c r="N333" s="190"/>
      <c r="O333" s="189"/>
      <c r="P333" s="189"/>
      <c r="Q333" s="190"/>
      <c r="R333" s="189"/>
      <c r="S333" s="189"/>
      <c r="T333" s="190"/>
      <c r="U333" s="189"/>
      <c r="V333" s="189"/>
      <c r="W333" s="190"/>
      <c r="X333" s="189"/>
      <c r="Y333" s="189"/>
      <c r="Z333" s="190"/>
      <c r="AA333" s="189"/>
      <c r="AB333" s="189"/>
    </row>
    <row r="334" spans="13:28">
      <c r="M334" s="189"/>
      <c r="N334" s="190"/>
      <c r="O334" s="189"/>
      <c r="P334" s="189"/>
      <c r="Q334" s="190"/>
      <c r="R334" s="189"/>
      <c r="S334" s="189"/>
      <c r="T334" s="190"/>
      <c r="U334" s="189"/>
      <c r="V334" s="189"/>
      <c r="W334" s="190"/>
      <c r="X334" s="189"/>
      <c r="Y334" s="189"/>
      <c r="Z334" s="190"/>
      <c r="AA334" s="189"/>
      <c r="AB334" s="189"/>
    </row>
    <row r="335" spans="13:28">
      <c r="M335" s="189"/>
      <c r="N335" s="190"/>
      <c r="O335" s="189"/>
      <c r="P335" s="189"/>
      <c r="Q335" s="190"/>
      <c r="R335" s="189"/>
      <c r="S335" s="189"/>
      <c r="T335" s="190"/>
      <c r="U335" s="189"/>
      <c r="V335" s="189"/>
      <c r="W335" s="190"/>
      <c r="X335" s="189"/>
      <c r="Y335" s="189"/>
      <c r="Z335" s="190"/>
      <c r="AA335" s="189"/>
      <c r="AB335" s="189"/>
    </row>
    <row r="336" spans="13:28">
      <c r="M336" s="189"/>
      <c r="N336" s="190"/>
      <c r="O336" s="189"/>
      <c r="P336" s="189"/>
      <c r="Q336" s="190"/>
      <c r="R336" s="189"/>
      <c r="S336" s="189"/>
      <c r="T336" s="190"/>
      <c r="U336" s="189"/>
      <c r="V336" s="189"/>
      <c r="W336" s="190"/>
      <c r="X336" s="189"/>
      <c r="Y336" s="189"/>
      <c r="Z336" s="190"/>
      <c r="AA336" s="189"/>
      <c r="AB336" s="189"/>
    </row>
    <row r="337" spans="13:28">
      <c r="M337" s="189"/>
      <c r="N337" s="190"/>
      <c r="O337" s="189"/>
      <c r="P337" s="189"/>
      <c r="Q337" s="190"/>
      <c r="R337" s="189"/>
      <c r="S337" s="189"/>
      <c r="T337" s="190"/>
      <c r="U337" s="189"/>
      <c r="V337" s="189"/>
      <c r="W337" s="190"/>
      <c r="X337" s="189"/>
      <c r="Y337" s="189"/>
      <c r="Z337" s="190"/>
      <c r="AA337" s="189"/>
      <c r="AB337" s="189"/>
    </row>
    <row r="338" spans="13:28">
      <c r="M338" s="189"/>
      <c r="N338" s="190"/>
      <c r="O338" s="189"/>
      <c r="P338" s="189"/>
      <c r="Q338" s="190"/>
      <c r="R338" s="189"/>
      <c r="S338" s="189"/>
      <c r="T338" s="190"/>
      <c r="U338" s="189"/>
      <c r="V338" s="189"/>
      <c r="W338" s="190"/>
      <c r="X338" s="189"/>
      <c r="Y338" s="189"/>
      <c r="Z338" s="190"/>
      <c r="AA338" s="189"/>
      <c r="AB338" s="189"/>
    </row>
    <row r="339" spans="13:28">
      <c r="M339" s="189"/>
      <c r="N339" s="190"/>
      <c r="O339" s="189"/>
      <c r="P339" s="189"/>
      <c r="Q339" s="190"/>
      <c r="R339" s="189"/>
      <c r="S339" s="189"/>
      <c r="T339" s="190"/>
      <c r="U339" s="189"/>
      <c r="V339" s="189"/>
      <c r="W339" s="190"/>
      <c r="X339" s="189"/>
      <c r="Y339" s="189"/>
      <c r="Z339" s="190"/>
      <c r="AA339" s="189"/>
      <c r="AB339" s="189"/>
    </row>
    <row r="340" spans="13:28">
      <c r="M340" s="189"/>
      <c r="N340" s="190"/>
      <c r="O340" s="189"/>
      <c r="P340" s="189"/>
      <c r="Q340" s="190"/>
      <c r="R340" s="189"/>
      <c r="S340" s="189"/>
      <c r="T340" s="190"/>
      <c r="U340" s="189"/>
      <c r="V340" s="189"/>
      <c r="W340" s="190"/>
      <c r="X340" s="189"/>
      <c r="Y340" s="189"/>
      <c r="Z340" s="190"/>
      <c r="AA340" s="189"/>
      <c r="AB340" s="189"/>
    </row>
    <row r="341" spans="13:28">
      <c r="M341" s="189"/>
      <c r="N341" s="190"/>
      <c r="O341" s="189"/>
      <c r="P341" s="189"/>
      <c r="Q341" s="190"/>
      <c r="R341" s="189"/>
      <c r="S341" s="189"/>
      <c r="T341" s="190"/>
      <c r="U341" s="189"/>
      <c r="V341" s="189"/>
      <c r="W341" s="190"/>
      <c r="X341" s="189"/>
      <c r="Y341" s="189"/>
      <c r="Z341" s="190"/>
      <c r="AA341" s="189"/>
      <c r="AB341" s="189"/>
    </row>
    <row r="342" spans="13:28">
      <c r="M342" s="189"/>
      <c r="N342" s="190"/>
      <c r="O342" s="189"/>
      <c r="P342" s="189"/>
      <c r="Q342" s="190"/>
      <c r="R342" s="189"/>
      <c r="S342" s="189"/>
      <c r="T342" s="190"/>
      <c r="U342" s="189"/>
      <c r="V342" s="189"/>
      <c r="W342" s="190"/>
      <c r="X342" s="189"/>
      <c r="Y342" s="189"/>
      <c r="Z342" s="190"/>
      <c r="AA342" s="189"/>
      <c r="AB342" s="189"/>
    </row>
    <row r="343" spans="13:28">
      <c r="M343" s="189"/>
      <c r="N343" s="190"/>
      <c r="O343" s="189"/>
      <c r="P343" s="189"/>
      <c r="Q343" s="190"/>
      <c r="R343" s="189"/>
      <c r="S343" s="189"/>
      <c r="T343" s="190"/>
      <c r="U343" s="189"/>
      <c r="V343" s="189"/>
      <c r="W343" s="190"/>
      <c r="X343" s="189"/>
      <c r="Y343" s="189"/>
      <c r="Z343" s="190"/>
      <c r="AA343" s="189"/>
      <c r="AB343" s="189"/>
    </row>
    <row r="344" spans="13:28">
      <c r="M344" s="189"/>
      <c r="N344" s="190"/>
      <c r="O344" s="189"/>
      <c r="P344" s="189"/>
      <c r="Q344" s="190"/>
      <c r="R344" s="189"/>
      <c r="S344" s="189"/>
      <c r="T344" s="190"/>
      <c r="U344" s="189"/>
      <c r="V344" s="189"/>
      <c r="W344" s="190"/>
      <c r="X344" s="189"/>
      <c r="Y344" s="189"/>
      <c r="Z344" s="190"/>
      <c r="AA344" s="189"/>
      <c r="AB344" s="189"/>
    </row>
    <row r="345" spans="13:28">
      <c r="M345" s="189"/>
      <c r="N345" s="190"/>
      <c r="O345" s="189"/>
      <c r="P345" s="189"/>
      <c r="Q345" s="190"/>
      <c r="R345" s="189"/>
      <c r="S345" s="189"/>
      <c r="T345" s="190"/>
      <c r="U345" s="189"/>
      <c r="V345" s="189"/>
      <c r="W345" s="190"/>
      <c r="X345" s="189"/>
      <c r="Y345" s="189"/>
      <c r="Z345" s="190"/>
      <c r="AA345" s="189"/>
      <c r="AB345" s="189"/>
    </row>
    <row r="346" spans="13:28">
      <c r="M346" s="189"/>
      <c r="N346" s="190"/>
      <c r="O346" s="189"/>
      <c r="P346" s="189"/>
      <c r="Q346" s="190"/>
      <c r="R346" s="189"/>
      <c r="S346" s="189"/>
      <c r="T346" s="190"/>
      <c r="U346" s="189"/>
      <c r="V346" s="189"/>
      <c r="W346" s="190"/>
      <c r="X346" s="189"/>
      <c r="Y346" s="189"/>
      <c r="Z346" s="190"/>
      <c r="AA346" s="189"/>
      <c r="AB346" s="189"/>
    </row>
    <row r="347" spans="13:28">
      <c r="M347" s="189"/>
      <c r="N347" s="190"/>
      <c r="O347" s="189"/>
      <c r="P347" s="189"/>
      <c r="Q347" s="190"/>
      <c r="R347" s="189"/>
      <c r="S347" s="189"/>
      <c r="T347" s="190"/>
      <c r="U347" s="189"/>
      <c r="V347" s="189"/>
      <c r="W347" s="190"/>
      <c r="X347" s="189"/>
      <c r="Y347" s="189"/>
      <c r="Z347" s="190"/>
      <c r="AA347" s="189"/>
      <c r="AB347" s="189"/>
    </row>
    <row r="348" spans="13:28">
      <c r="M348" s="189"/>
      <c r="N348" s="190"/>
      <c r="O348" s="189"/>
      <c r="P348" s="189"/>
      <c r="Q348" s="190"/>
      <c r="R348" s="189"/>
      <c r="S348" s="189"/>
      <c r="T348" s="190"/>
      <c r="U348" s="189"/>
      <c r="V348" s="189"/>
      <c r="W348" s="190"/>
      <c r="X348" s="189"/>
      <c r="Y348" s="189"/>
      <c r="Z348" s="190"/>
      <c r="AA348" s="189"/>
      <c r="AB348" s="189"/>
    </row>
    <row r="349" spans="13:28">
      <c r="M349" s="189"/>
      <c r="N349" s="190"/>
      <c r="O349" s="189"/>
      <c r="P349" s="189"/>
      <c r="Q349" s="190"/>
      <c r="R349" s="189"/>
      <c r="S349" s="189"/>
      <c r="T349" s="190"/>
      <c r="U349" s="189"/>
      <c r="V349" s="189"/>
      <c r="W349" s="190"/>
      <c r="X349" s="189"/>
      <c r="Y349" s="189"/>
      <c r="Z349" s="190"/>
      <c r="AA349" s="189"/>
      <c r="AB349" s="189"/>
    </row>
    <row r="350" spans="13:28">
      <c r="M350" s="189"/>
      <c r="N350" s="190"/>
      <c r="O350" s="189"/>
      <c r="P350" s="189"/>
      <c r="Q350" s="190"/>
      <c r="R350" s="189"/>
      <c r="S350" s="189"/>
      <c r="T350" s="190"/>
      <c r="U350" s="189"/>
      <c r="V350" s="189"/>
      <c r="W350" s="190"/>
      <c r="X350" s="189"/>
      <c r="Y350" s="189"/>
      <c r="Z350" s="190"/>
      <c r="AA350" s="189"/>
      <c r="AB350" s="189"/>
    </row>
    <row r="351" spans="13:28">
      <c r="M351" s="189"/>
      <c r="N351" s="190"/>
      <c r="O351" s="189"/>
      <c r="P351" s="189"/>
      <c r="Q351" s="190"/>
      <c r="R351" s="189"/>
      <c r="S351" s="189"/>
      <c r="T351" s="190"/>
      <c r="U351" s="189"/>
      <c r="V351" s="189"/>
      <c r="W351" s="190"/>
      <c r="X351" s="189"/>
      <c r="Y351" s="189"/>
      <c r="Z351" s="190"/>
      <c r="AA351" s="189"/>
      <c r="AB351" s="189"/>
    </row>
    <row r="352" spans="13:28">
      <c r="M352" s="189"/>
      <c r="N352" s="190"/>
      <c r="O352" s="189"/>
      <c r="P352" s="189"/>
      <c r="Q352" s="190"/>
      <c r="R352" s="189"/>
      <c r="S352" s="189"/>
      <c r="T352" s="190"/>
      <c r="U352" s="189"/>
      <c r="V352" s="189"/>
      <c r="W352" s="190"/>
      <c r="X352" s="189"/>
      <c r="Y352" s="189"/>
      <c r="Z352" s="190"/>
      <c r="AA352" s="189"/>
      <c r="AB352" s="189"/>
    </row>
    <row r="353" spans="13:28">
      <c r="M353" s="189"/>
      <c r="N353" s="190"/>
      <c r="O353" s="189"/>
      <c r="P353" s="189"/>
      <c r="Q353" s="190"/>
      <c r="R353" s="189"/>
      <c r="S353" s="189"/>
      <c r="T353" s="190"/>
      <c r="U353" s="189"/>
      <c r="V353" s="189"/>
      <c r="W353" s="190"/>
      <c r="X353" s="189"/>
      <c r="Y353" s="189"/>
      <c r="Z353" s="190"/>
      <c r="AA353" s="189"/>
      <c r="AB353" s="189"/>
    </row>
    <row r="354" spans="13:28">
      <c r="M354" s="189"/>
      <c r="N354" s="190"/>
      <c r="O354" s="189"/>
      <c r="P354" s="189"/>
      <c r="Q354" s="190"/>
      <c r="R354" s="189"/>
      <c r="S354" s="189"/>
      <c r="T354" s="190"/>
      <c r="U354" s="189"/>
      <c r="V354" s="189"/>
      <c r="W354" s="190"/>
      <c r="X354" s="189"/>
      <c r="Y354" s="189"/>
      <c r="Z354" s="190"/>
      <c r="AA354" s="189"/>
      <c r="AB354" s="189"/>
    </row>
    <row r="355" spans="13:28">
      <c r="M355" s="189"/>
      <c r="N355" s="190"/>
      <c r="O355" s="189"/>
      <c r="P355" s="189"/>
      <c r="Q355" s="190"/>
      <c r="R355" s="189"/>
      <c r="S355" s="189"/>
      <c r="T355" s="190"/>
      <c r="U355" s="189"/>
      <c r="V355" s="189"/>
      <c r="W355" s="190"/>
      <c r="X355" s="189"/>
      <c r="Y355" s="189"/>
      <c r="Z355" s="190"/>
      <c r="AA355" s="189"/>
      <c r="AB355" s="189"/>
    </row>
    <row r="356" spans="13:28">
      <c r="M356" s="189"/>
      <c r="N356" s="190"/>
      <c r="O356" s="189"/>
      <c r="P356" s="189"/>
      <c r="Q356" s="190"/>
      <c r="R356" s="189"/>
      <c r="S356" s="189"/>
      <c r="T356" s="190"/>
      <c r="U356" s="189"/>
      <c r="V356" s="189"/>
      <c r="W356" s="190"/>
      <c r="X356" s="189"/>
      <c r="Y356" s="189"/>
      <c r="Z356" s="190"/>
      <c r="AA356" s="189"/>
      <c r="AB356" s="189"/>
    </row>
    <row r="357" spans="13:28">
      <c r="M357" s="189"/>
      <c r="N357" s="190"/>
      <c r="O357" s="189"/>
      <c r="P357" s="189"/>
      <c r="Q357" s="190"/>
      <c r="R357" s="189"/>
      <c r="S357" s="189"/>
      <c r="T357" s="190"/>
      <c r="U357" s="189"/>
      <c r="V357" s="189"/>
      <c r="W357" s="190"/>
      <c r="X357" s="189"/>
      <c r="Y357" s="189"/>
      <c r="Z357" s="190"/>
      <c r="AA357" s="189"/>
      <c r="AB357" s="189"/>
    </row>
    <row r="358" spans="13:28">
      <c r="M358" s="189"/>
      <c r="N358" s="190"/>
      <c r="O358" s="189"/>
      <c r="P358" s="189"/>
      <c r="Q358" s="190"/>
      <c r="R358" s="189"/>
      <c r="S358" s="189"/>
      <c r="T358" s="190"/>
      <c r="U358" s="189"/>
      <c r="V358" s="189"/>
      <c r="W358" s="190"/>
      <c r="X358" s="189"/>
      <c r="Y358" s="189"/>
      <c r="Z358" s="190"/>
      <c r="AA358" s="189"/>
      <c r="AB358" s="189"/>
    </row>
    <row r="359" spans="13:28">
      <c r="M359" s="189"/>
      <c r="N359" s="190"/>
      <c r="O359" s="189"/>
      <c r="P359" s="189"/>
      <c r="Q359" s="190"/>
      <c r="R359" s="189"/>
      <c r="S359" s="189"/>
      <c r="T359" s="190"/>
      <c r="U359" s="189"/>
      <c r="V359" s="189"/>
      <c r="W359" s="190"/>
      <c r="X359" s="189"/>
      <c r="Y359" s="189"/>
      <c r="Z359" s="190"/>
      <c r="AA359" s="189"/>
      <c r="AB359" s="189"/>
    </row>
    <row r="360" spans="13:28">
      <c r="M360" s="189"/>
      <c r="N360" s="190"/>
      <c r="O360" s="189"/>
      <c r="P360" s="189"/>
      <c r="Q360" s="190"/>
      <c r="R360" s="189"/>
      <c r="S360" s="189"/>
      <c r="T360" s="190"/>
      <c r="U360" s="189"/>
      <c r="V360" s="189"/>
      <c r="W360" s="190"/>
      <c r="X360" s="189"/>
      <c r="Y360" s="189"/>
      <c r="Z360" s="190"/>
      <c r="AA360" s="189"/>
      <c r="AB360" s="189"/>
    </row>
    <row r="361" spans="13:28">
      <c r="M361" s="189"/>
      <c r="N361" s="190"/>
      <c r="O361" s="189"/>
      <c r="P361" s="189"/>
      <c r="Q361" s="190"/>
      <c r="R361" s="189"/>
      <c r="S361" s="189"/>
      <c r="T361" s="190"/>
      <c r="U361" s="189"/>
      <c r="V361" s="189"/>
      <c r="W361" s="190"/>
      <c r="X361" s="189"/>
      <c r="Y361" s="189"/>
      <c r="Z361" s="190"/>
      <c r="AA361" s="189"/>
      <c r="AB361" s="189"/>
    </row>
    <row r="362" spans="13:28">
      <c r="M362" s="189"/>
      <c r="N362" s="190"/>
      <c r="O362" s="189"/>
      <c r="P362" s="189"/>
      <c r="Q362" s="190"/>
      <c r="R362" s="189"/>
      <c r="S362" s="189"/>
      <c r="T362" s="190"/>
      <c r="U362" s="189"/>
      <c r="V362" s="189"/>
      <c r="W362" s="190"/>
      <c r="X362" s="189"/>
      <c r="Y362" s="189"/>
      <c r="Z362" s="190"/>
      <c r="AA362" s="189"/>
      <c r="AB362" s="189"/>
    </row>
    <row r="363" spans="13:28">
      <c r="M363" s="189"/>
      <c r="N363" s="190"/>
      <c r="O363" s="189"/>
      <c r="P363" s="189"/>
      <c r="Q363" s="190"/>
      <c r="R363" s="189"/>
      <c r="S363" s="189"/>
      <c r="T363" s="190"/>
      <c r="U363" s="189"/>
      <c r="V363" s="189"/>
      <c r="W363" s="190"/>
      <c r="X363" s="189"/>
      <c r="Y363" s="189"/>
      <c r="Z363" s="190"/>
      <c r="AA363" s="189"/>
      <c r="AB363" s="189"/>
    </row>
    <row r="364" spans="13:28">
      <c r="M364" s="189"/>
      <c r="N364" s="190"/>
      <c r="O364" s="189"/>
      <c r="P364" s="189"/>
      <c r="Q364" s="190"/>
      <c r="R364" s="189"/>
      <c r="S364" s="189"/>
      <c r="T364" s="190"/>
      <c r="U364" s="189"/>
      <c r="V364" s="189"/>
      <c r="W364" s="190"/>
      <c r="X364" s="189"/>
      <c r="Y364" s="189"/>
      <c r="Z364" s="190"/>
      <c r="AA364" s="189"/>
      <c r="AB364" s="189"/>
    </row>
    <row r="365" spans="13:28">
      <c r="M365" s="189"/>
      <c r="N365" s="190"/>
      <c r="O365" s="189"/>
      <c r="P365" s="189"/>
      <c r="Q365" s="190"/>
      <c r="R365" s="189"/>
      <c r="S365" s="189"/>
      <c r="T365" s="190"/>
      <c r="U365" s="189"/>
      <c r="V365" s="189"/>
      <c r="W365" s="190"/>
      <c r="X365" s="189"/>
      <c r="Y365" s="189"/>
      <c r="Z365" s="190"/>
      <c r="AA365" s="189"/>
      <c r="AB365" s="189"/>
    </row>
    <row r="366" spans="13:28">
      <c r="M366" s="189"/>
      <c r="N366" s="190"/>
      <c r="O366" s="189"/>
      <c r="P366" s="189"/>
      <c r="Q366" s="190"/>
      <c r="R366" s="189"/>
      <c r="S366" s="189"/>
      <c r="T366" s="190"/>
      <c r="U366" s="189"/>
      <c r="V366" s="189"/>
      <c r="W366" s="190"/>
      <c r="X366" s="189"/>
      <c r="Y366" s="189"/>
      <c r="Z366" s="190"/>
      <c r="AA366" s="189"/>
      <c r="AB366" s="189"/>
    </row>
    <row r="367" spans="13:28">
      <c r="M367" s="189"/>
      <c r="N367" s="190"/>
      <c r="O367" s="189"/>
      <c r="P367" s="189"/>
      <c r="Q367" s="190"/>
      <c r="R367" s="189"/>
      <c r="S367" s="189"/>
      <c r="T367" s="190"/>
      <c r="U367" s="189"/>
      <c r="V367" s="189"/>
      <c r="W367" s="190"/>
      <c r="X367" s="189"/>
      <c r="Y367" s="189"/>
      <c r="Z367" s="190"/>
      <c r="AA367" s="189"/>
      <c r="AB367" s="189"/>
    </row>
    <row r="368" spans="13:28">
      <c r="M368" s="189"/>
      <c r="N368" s="190"/>
      <c r="O368" s="189"/>
      <c r="P368" s="189"/>
      <c r="Q368" s="190"/>
      <c r="R368" s="189"/>
      <c r="S368" s="189"/>
      <c r="T368" s="190"/>
      <c r="U368" s="189"/>
      <c r="V368" s="189"/>
      <c r="W368" s="190"/>
      <c r="X368" s="189"/>
      <c r="Y368" s="189"/>
      <c r="Z368" s="190"/>
      <c r="AA368" s="189"/>
      <c r="AB368" s="189"/>
    </row>
    <row r="369" spans="13:28">
      <c r="M369" s="189"/>
      <c r="N369" s="190"/>
      <c r="O369" s="189"/>
      <c r="P369" s="189"/>
      <c r="Q369" s="190"/>
      <c r="R369" s="189"/>
      <c r="S369" s="189"/>
      <c r="T369" s="190"/>
      <c r="U369" s="189"/>
      <c r="V369" s="189"/>
      <c r="W369" s="190"/>
      <c r="X369" s="189"/>
      <c r="Y369" s="189"/>
      <c r="Z369" s="190"/>
      <c r="AA369" s="189"/>
      <c r="AB369" s="189"/>
    </row>
    <row r="370" spans="13:28">
      <c r="M370" s="189"/>
      <c r="N370" s="190"/>
      <c r="O370" s="189"/>
      <c r="P370" s="189"/>
      <c r="Q370" s="190"/>
      <c r="R370" s="189"/>
      <c r="S370" s="189"/>
      <c r="T370" s="190"/>
      <c r="U370" s="189"/>
      <c r="V370" s="189"/>
      <c r="W370" s="190"/>
      <c r="X370" s="189"/>
      <c r="Y370" s="189"/>
      <c r="Z370" s="190"/>
      <c r="AA370" s="189"/>
      <c r="AB370" s="189"/>
    </row>
    <row r="371" spans="13:28">
      <c r="M371" s="189"/>
      <c r="N371" s="190"/>
      <c r="O371" s="189"/>
      <c r="P371" s="189"/>
      <c r="Q371" s="190"/>
      <c r="R371" s="189"/>
      <c r="S371" s="189"/>
      <c r="T371" s="190"/>
      <c r="U371" s="189"/>
      <c r="V371" s="189"/>
      <c r="W371" s="190"/>
      <c r="X371" s="189"/>
      <c r="Y371" s="189"/>
      <c r="Z371" s="190"/>
      <c r="AA371" s="189"/>
      <c r="AB371" s="189"/>
    </row>
    <row r="372" spans="13:28">
      <c r="M372" s="189"/>
      <c r="N372" s="190"/>
      <c r="O372" s="189"/>
      <c r="P372" s="189"/>
      <c r="Q372" s="190"/>
      <c r="R372" s="189"/>
      <c r="S372" s="189"/>
      <c r="T372" s="190"/>
      <c r="U372" s="189"/>
      <c r="V372" s="189"/>
      <c r="W372" s="190"/>
      <c r="X372" s="189"/>
      <c r="Y372" s="189"/>
      <c r="Z372" s="190"/>
      <c r="AA372" s="189"/>
      <c r="AB372" s="189"/>
    </row>
    <row r="373" spans="13:28">
      <c r="M373" s="189"/>
      <c r="N373" s="190"/>
      <c r="O373" s="189"/>
      <c r="P373" s="189"/>
      <c r="Q373" s="190"/>
      <c r="R373" s="189"/>
      <c r="S373" s="189"/>
      <c r="T373" s="190"/>
      <c r="U373" s="189"/>
      <c r="V373" s="189"/>
      <c r="W373" s="190"/>
      <c r="X373" s="189"/>
      <c r="Y373" s="189"/>
      <c r="Z373" s="190"/>
      <c r="AA373" s="189"/>
      <c r="AB373" s="189"/>
    </row>
    <row r="374" spans="13:28">
      <c r="M374" s="189"/>
      <c r="N374" s="190"/>
      <c r="O374" s="189"/>
      <c r="P374" s="189"/>
      <c r="Q374" s="190"/>
      <c r="R374" s="189"/>
      <c r="S374" s="189"/>
      <c r="T374" s="190"/>
      <c r="U374" s="189"/>
      <c r="V374" s="189"/>
      <c r="W374" s="190"/>
      <c r="X374" s="189"/>
      <c r="Y374" s="189"/>
      <c r="Z374" s="190"/>
      <c r="AA374" s="189"/>
      <c r="AB374" s="189"/>
    </row>
    <row r="375" spans="13:28">
      <c r="M375" s="189"/>
      <c r="N375" s="190"/>
      <c r="O375" s="189"/>
      <c r="P375" s="189"/>
      <c r="Q375" s="190"/>
      <c r="R375" s="189"/>
      <c r="S375" s="189"/>
      <c r="T375" s="190"/>
      <c r="U375" s="189"/>
      <c r="V375" s="189"/>
      <c r="W375" s="190"/>
      <c r="X375" s="189"/>
      <c r="Y375" s="189"/>
      <c r="Z375" s="190"/>
      <c r="AA375" s="189"/>
      <c r="AB375" s="189"/>
    </row>
    <row r="376" spans="13:28">
      <c r="M376" s="189"/>
      <c r="N376" s="190"/>
      <c r="O376" s="189"/>
      <c r="P376" s="189"/>
      <c r="Q376" s="190"/>
      <c r="R376" s="189"/>
      <c r="S376" s="189"/>
      <c r="T376" s="190"/>
      <c r="U376" s="189"/>
      <c r="V376" s="189"/>
      <c r="W376" s="190"/>
      <c r="X376" s="189"/>
      <c r="Y376" s="189"/>
      <c r="Z376" s="190"/>
      <c r="AA376" s="189"/>
      <c r="AB376" s="189"/>
    </row>
    <row r="377" spans="13:28">
      <c r="M377" s="189"/>
      <c r="N377" s="190"/>
      <c r="O377" s="189"/>
      <c r="P377" s="189"/>
      <c r="Q377" s="190"/>
      <c r="R377" s="189"/>
      <c r="S377" s="189"/>
      <c r="T377" s="190"/>
      <c r="U377" s="189"/>
      <c r="V377" s="189"/>
      <c r="W377" s="190"/>
      <c r="X377" s="189"/>
      <c r="Y377" s="189"/>
      <c r="Z377" s="190"/>
      <c r="AA377" s="189"/>
      <c r="AB377" s="189"/>
    </row>
    <row r="378" spans="13:28">
      <c r="M378" s="189"/>
      <c r="N378" s="190"/>
      <c r="O378" s="189"/>
      <c r="P378" s="189"/>
      <c r="Q378" s="190"/>
      <c r="R378" s="189"/>
      <c r="S378" s="189"/>
      <c r="T378" s="190"/>
      <c r="U378" s="189"/>
      <c r="V378" s="189"/>
      <c r="W378" s="190"/>
      <c r="X378" s="189"/>
      <c r="Y378" s="189"/>
      <c r="Z378" s="190"/>
      <c r="AA378" s="189"/>
      <c r="AB378" s="189"/>
    </row>
    <row r="379" spans="13:28">
      <c r="M379" s="189"/>
      <c r="N379" s="190"/>
      <c r="O379" s="189"/>
      <c r="P379" s="189"/>
      <c r="Q379" s="190"/>
      <c r="R379" s="189"/>
      <c r="S379" s="189"/>
      <c r="T379" s="190"/>
      <c r="U379" s="189"/>
      <c r="V379" s="189"/>
      <c r="W379" s="190"/>
      <c r="X379" s="189"/>
      <c r="Y379" s="189"/>
      <c r="Z379" s="190"/>
      <c r="AA379" s="189"/>
      <c r="AB379" s="189"/>
    </row>
    <row r="380" spans="13:28">
      <c r="M380" s="189"/>
      <c r="N380" s="190"/>
      <c r="O380" s="189"/>
      <c r="P380" s="189"/>
      <c r="Q380" s="190"/>
      <c r="R380" s="189"/>
      <c r="S380" s="189"/>
      <c r="T380" s="190"/>
      <c r="U380" s="189"/>
      <c r="V380" s="189"/>
      <c r="W380" s="190"/>
      <c r="X380" s="189"/>
      <c r="Y380" s="189"/>
      <c r="Z380" s="190"/>
      <c r="AA380" s="189"/>
      <c r="AB380" s="189"/>
    </row>
    <row r="381" spans="13:28">
      <c r="M381" s="189"/>
      <c r="N381" s="190"/>
      <c r="O381" s="189"/>
      <c r="P381" s="189"/>
      <c r="Q381" s="190"/>
      <c r="R381" s="189"/>
      <c r="S381" s="189"/>
      <c r="T381" s="190"/>
      <c r="U381" s="189"/>
      <c r="V381" s="189"/>
      <c r="W381" s="190"/>
      <c r="X381" s="189"/>
      <c r="Y381" s="189"/>
      <c r="Z381" s="190"/>
      <c r="AA381" s="189"/>
      <c r="AB381" s="189"/>
    </row>
    <row r="382" spans="13:28">
      <c r="M382" s="189"/>
      <c r="N382" s="190"/>
      <c r="O382" s="189"/>
      <c r="P382" s="189"/>
      <c r="Q382" s="190"/>
      <c r="R382" s="189"/>
      <c r="S382" s="189"/>
      <c r="T382" s="190"/>
      <c r="U382" s="189"/>
      <c r="V382" s="189"/>
      <c r="W382" s="190"/>
      <c r="X382" s="189"/>
      <c r="Y382" s="189"/>
      <c r="Z382" s="190"/>
      <c r="AA382" s="189"/>
      <c r="AB382" s="189"/>
    </row>
    <row r="383" spans="13:28">
      <c r="M383" s="189"/>
      <c r="N383" s="190"/>
      <c r="O383" s="189"/>
      <c r="P383" s="189"/>
      <c r="Q383" s="190"/>
      <c r="R383" s="189"/>
      <c r="S383" s="189"/>
      <c r="T383" s="190"/>
      <c r="U383" s="189"/>
      <c r="V383" s="189"/>
      <c r="W383" s="190"/>
      <c r="X383" s="189"/>
      <c r="Y383" s="189"/>
      <c r="Z383" s="190"/>
      <c r="AA383" s="189"/>
      <c r="AB383" s="189"/>
    </row>
    <row r="384" spans="13:28">
      <c r="M384" s="189"/>
      <c r="N384" s="190"/>
      <c r="O384" s="189"/>
      <c r="P384" s="189"/>
      <c r="Q384" s="190"/>
      <c r="R384" s="189"/>
      <c r="S384" s="189"/>
      <c r="T384" s="190"/>
      <c r="U384" s="189"/>
      <c r="V384" s="189"/>
      <c r="W384" s="190"/>
      <c r="X384" s="189"/>
      <c r="Y384" s="189"/>
      <c r="Z384" s="190"/>
      <c r="AA384" s="189"/>
      <c r="AB384" s="189"/>
    </row>
    <row r="385" spans="13:28">
      <c r="M385" s="189"/>
      <c r="N385" s="190"/>
      <c r="O385" s="189"/>
      <c r="P385" s="189"/>
      <c r="Q385" s="190"/>
      <c r="R385" s="189"/>
      <c r="S385" s="189"/>
      <c r="T385" s="190"/>
      <c r="U385" s="189"/>
      <c r="V385" s="189"/>
      <c r="W385" s="190"/>
      <c r="X385" s="189"/>
      <c r="Y385" s="189"/>
      <c r="Z385" s="190"/>
      <c r="AA385" s="189"/>
      <c r="AB385" s="189"/>
    </row>
    <row r="386" spans="13:28">
      <c r="M386" s="189"/>
      <c r="N386" s="190"/>
      <c r="O386" s="189"/>
      <c r="P386" s="189"/>
      <c r="Q386" s="190"/>
      <c r="R386" s="189"/>
      <c r="S386" s="189"/>
      <c r="T386" s="190"/>
      <c r="U386" s="189"/>
      <c r="V386" s="189"/>
      <c r="W386" s="190"/>
      <c r="X386" s="189"/>
      <c r="Y386" s="189"/>
      <c r="Z386" s="190"/>
      <c r="AA386" s="189"/>
      <c r="AB386" s="189"/>
    </row>
    <row r="387" spans="13:28">
      <c r="M387" s="189"/>
      <c r="N387" s="190"/>
      <c r="O387" s="189"/>
      <c r="P387" s="189"/>
      <c r="Q387" s="190"/>
      <c r="R387" s="189"/>
      <c r="S387" s="189"/>
      <c r="T387" s="190"/>
      <c r="U387" s="189"/>
      <c r="V387" s="189"/>
      <c r="W387" s="190"/>
      <c r="X387" s="189"/>
      <c r="Y387" s="189"/>
      <c r="Z387" s="190"/>
      <c r="AA387" s="189"/>
      <c r="AB387" s="189"/>
    </row>
    <row r="388" spans="13:28">
      <c r="M388" s="189"/>
      <c r="N388" s="190"/>
      <c r="O388" s="189"/>
      <c r="P388" s="189"/>
      <c r="Q388" s="190"/>
      <c r="R388" s="189"/>
      <c r="S388" s="189"/>
      <c r="T388" s="190"/>
      <c r="U388" s="189"/>
      <c r="V388" s="189"/>
      <c r="W388" s="190"/>
      <c r="X388" s="189"/>
      <c r="Y388" s="189"/>
      <c r="Z388" s="190"/>
      <c r="AA388" s="189"/>
      <c r="AB388" s="189"/>
    </row>
    <row r="389" spans="13:28">
      <c r="M389" s="189"/>
      <c r="N389" s="190"/>
      <c r="O389" s="189"/>
      <c r="P389" s="189"/>
      <c r="Q389" s="190"/>
      <c r="R389" s="189"/>
      <c r="S389" s="189"/>
      <c r="T389" s="190"/>
      <c r="U389" s="189"/>
      <c r="V389" s="189"/>
      <c r="W389" s="190"/>
      <c r="X389" s="189"/>
      <c r="Y389" s="189"/>
      <c r="Z389" s="190"/>
      <c r="AA389" s="189"/>
      <c r="AB389" s="189"/>
    </row>
    <row r="390" spans="13:28">
      <c r="M390" s="189"/>
      <c r="N390" s="190"/>
      <c r="O390" s="189"/>
      <c r="P390" s="189"/>
      <c r="Q390" s="190"/>
      <c r="R390" s="189"/>
      <c r="S390" s="189"/>
      <c r="T390" s="190"/>
      <c r="U390" s="189"/>
      <c r="V390" s="189"/>
      <c r="W390" s="190"/>
      <c r="X390" s="189"/>
      <c r="Y390" s="189"/>
      <c r="Z390" s="190"/>
      <c r="AA390" s="189"/>
      <c r="AB390" s="189"/>
    </row>
    <row r="391" spans="13:28">
      <c r="M391" s="189"/>
      <c r="N391" s="190"/>
      <c r="O391" s="189"/>
      <c r="P391" s="189"/>
      <c r="Q391" s="190"/>
      <c r="R391" s="189"/>
      <c r="S391" s="189"/>
      <c r="T391" s="190"/>
      <c r="U391" s="189"/>
      <c r="V391" s="189"/>
      <c r="W391" s="190"/>
      <c r="X391" s="189"/>
      <c r="Y391" s="189"/>
      <c r="Z391" s="190"/>
      <c r="AA391" s="189"/>
      <c r="AB391" s="189"/>
    </row>
    <row r="392" spans="13:28">
      <c r="M392" s="189"/>
      <c r="N392" s="190"/>
      <c r="O392" s="189"/>
      <c r="P392" s="189"/>
      <c r="Q392" s="190"/>
      <c r="R392" s="189"/>
      <c r="S392" s="189"/>
      <c r="T392" s="190"/>
      <c r="U392" s="189"/>
      <c r="V392" s="189"/>
      <c r="W392" s="190"/>
      <c r="X392" s="189"/>
      <c r="Y392" s="189"/>
      <c r="Z392" s="190"/>
      <c r="AA392" s="189"/>
      <c r="AB392" s="189"/>
    </row>
    <row r="393" spans="13:28">
      <c r="M393" s="189"/>
      <c r="N393" s="190"/>
      <c r="O393" s="189"/>
      <c r="P393" s="189"/>
      <c r="Q393" s="190"/>
      <c r="R393" s="189"/>
      <c r="S393" s="189"/>
      <c r="T393" s="190"/>
      <c r="U393" s="189"/>
      <c r="V393" s="189"/>
      <c r="W393" s="190"/>
      <c r="X393" s="189"/>
      <c r="Y393" s="189"/>
      <c r="Z393" s="190"/>
      <c r="AA393" s="189"/>
      <c r="AB393" s="189"/>
    </row>
    <row r="394" spans="13:28">
      <c r="M394" s="189"/>
      <c r="N394" s="190"/>
      <c r="O394" s="189"/>
      <c r="P394" s="189"/>
      <c r="Q394" s="190"/>
      <c r="R394" s="189"/>
      <c r="S394" s="189"/>
      <c r="T394" s="190"/>
      <c r="U394" s="189"/>
      <c r="V394" s="189"/>
      <c r="W394" s="190"/>
      <c r="X394" s="189"/>
      <c r="Y394" s="189"/>
      <c r="Z394" s="190"/>
      <c r="AA394" s="189"/>
      <c r="AB394" s="189"/>
    </row>
    <row r="395" spans="13:28">
      <c r="M395" s="189"/>
      <c r="N395" s="190"/>
      <c r="O395" s="189"/>
      <c r="P395" s="189"/>
      <c r="Q395" s="190"/>
      <c r="R395" s="189"/>
      <c r="S395" s="189"/>
      <c r="T395" s="190"/>
      <c r="U395" s="189"/>
      <c r="V395" s="189"/>
      <c r="W395" s="190"/>
      <c r="X395" s="189"/>
      <c r="Y395" s="189"/>
      <c r="Z395" s="190"/>
      <c r="AA395" s="189"/>
      <c r="AB395" s="189"/>
    </row>
    <row r="396" spans="13:28">
      <c r="M396" s="189"/>
      <c r="N396" s="190"/>
      <c r="O396" s="189"/>
      <c r="P396" s="189"/>
      <c r="Q396" s="190"/>
      <c r="R396" s="189"/>
      <c r="S396" s="189"/>
      <c r="T396" s="190"/>
      <c r="U396" s="189"/>
      <c r="V396" s="189"/>
      <c r="W396" s="190"/>
      <c r="X396" s="189"/>
      <c r="Y396" s="189"/>
      <c r="Z396" s="190"/>
      <c r="AA396" s="189"/>
      <c r="AB396" s="189"/>
    </row>
    <row r="397" spans="13:28">
      <c r="M397" s="189"/>
      <c r="N397" s="190"/>
      <c r="O397" s="189"/>
      <c r="P397" s="189"/>
      <c r="Q397" s="190"/>
      <c r="R397" s="189"/>
      <c r="S397" s="189"/>
      <c r="T397" s="190"/>
      <c r="U397" s="189"/>
      <c r="V397" s="189"/>
      <c r="W397" s="190"/>
      <c r="X397" s="189"/>
      <c r="Y397" s="189"/>
      <c r="Z397" s="190"/>
      <c r="AA397" s="189"/>
      <c r="AB397" s="189"/>
    </row>
    <row r="398" spans="13:28">
      <c r="M398" s="189"/>
      <c r="N398" s="190"/>
      <c r="O398" s="189"/>
      <c r="P398" s="189"/>
      <c r="Q398" s="190"/>
      <c r="R398" s="189"/>
      <c r="S398" s="189"/>
      <c r="T398" s="190"/>
      <c r="U398" s="189"/>
      <c r="V398" s="189"/>
      <c r="W398" s="190"/>
      <c r="X398" s="189"/>
      <c r="Y398" s="189"/>
      <c r="Z398" s="190"/>
      <c r="AA398" s="189"/>
      <c r="AB398" s="189"/>
    </row>
    <row r="399" spans="13:28">
      <c r="M399" s="189"/>
      <c r="N399" s="190"/>
      <c r="O399" s="189"/>
      <c r="P399" s="189"/>
      <c r="Q399" s="190"/>
      <c r="R399" s="189"/>
      <c r="S399" s="189"/>
      <c r="T399" s="190"/>
      <c r="U399" s="189"/>
      <c r="V399" s="189"/>
      <c r="W399" s="190"/>
      <c r="X399" s="189"/>
      <c r="Y399" s="189"/>
      <c r="Z399" s="190"/>
      <c r="AA399" s="189"/>
      <c r="AB399" s="189"/>
    </row>
    <row r="400" spans="13:28">
      <c r="M400" s="189"/>
      <c r="N400" s="190"/>
      <c r="O400" s="189"/>
      <c r="P400" s="189"/>
      <c r="Q400" s="190"/>
      <c r="R400" s="189"/>
      <c r="S400" s="189"/>
      <c r="T400" s="190"/>
      <c r="U400" s="189"/>
      <c r="V400" s="189"/>
      <c r="W400" s="190"/>
      <c r="X400" s="189"/>
      <c r="Y400" s="189"/>
      <c r="Z400" s="190"/>
      <c r="AA400" s="189"/>
      <c r="AB400" s="189"/>
    </row>
    <row r="401" spans="13:28">
      <c r="M401" s="189"/>
      <c r="N401" s="190"/>
      <c r="O401" s="189"/>
      <c r="P401" s="189"/>
      <c r="Q401" s="190"/>
      <c r="R401" s="189"/>
      <c r="S401" s="189"/>
      <c r="T401" s="190"/>
      <c r="U401" s="189"/>
      <c r="V401" s="189"/>
      <c r="W401" s="190"/>
      <c r="X401" s="189"/>
      <c r="Y401" s="189"/>
      <c r="Z401" s="190"/>
      <c r="AA401" s="189"/>
      <c r="AB401" s="189"/>
    </row>
    <row r="402" spans="13:28">
      <c r="M402" s="189"/>
      <c r="N402" s="190"/>
      <c r="O402" s="189"/>
      <c r="P402" s="189"/>
      <c r="Q402" s="190"/>
      <c r="R402" s="189"/>
      <c r="S402" s="189"/>
      <c r="T402" s="190"/>
      <c r="U402" s="189"/>
      <c r="V402" s="189"/>
      <c r="W402" s="190"/>
      <c r="X402" s="189"/>
      <c r="Y402" s="189"/>
      <c r="Z402" s="190"/>
      <c r="AA402" s="189"/>
      <c r="AB402" s="189"/>
    </row>
    <row r="403" spans="13:28">
      <c r="M403" s="189"/>
      <c r="N403" s="190"/>
      <c r="O403" s="189"/>
      <c r="P403" s="189"/>
      <c r="Q403" s="190"/>
      <c r="R403" s="189"/>
      <c r="S403" s="189"/>
      <c r="T403" s="190"/>
      <c r="U403" s="189"/>
      <c r="V403" s="189"/>
      <c r="W403" s="190"/>
      <c r="X403" s="189"/>
      <c r="Y403" s="189"/>
      <c r="Z403" s="190"/>
      <c r="AA403" s="189"/>
      <c r="AB403" s="189"/>
    </row>
    <row r="404" spans="13:28">
      <c r="M404" s="189"/>
      <c r="N404" s="190"/>
      <c r="O404" s="189"/>
      <c r="P404" s="189"/>
      <c r="Q404" s="190"/>
      <c r="R404" s="189"/>
      <c r="S404" s="189"/>
      <c r="T404" s="190"/>
      <c r="U404" s="189"/>
      <c r="V404" s="189"/>
      <c r="W404" s="190"/>
      <c r="X404" s="189"/>
      <c r="Y404" s="189"/>
      <c r="Z404" s="190"/>
      <c r="AA404" s="189"/>
      <c r="AB404" s="189"/>
    </row>
    <row r="405" spans="13:28">
      <c r="M405" s="189"/>
      <c r="N405" s="190"/>
      <c r="O405" s="189"/>
      <c r="P405" s="189"/>
      <c r="Q405" s="190"/>
      <c r="R405" s="189"/>
      <c r="S405" s="189"/>
      <c r="T405" s="190"/>
      <c r="U405" s="189"/>
      <c r="V405" s="189"/>
      <c r="W405" s="190"/>
      <c r="X405" s="189"/>
      <c r="Y405" s="189"/>
      <c r="Z405" s="190"/>
      <c r="AA405" s="189"/>
      <c r="AB405" s="189"/>
    </row>
    <row r="406" spans="13:28">
      <c r="M406" s="189"/>
      <c r="N406" s="190"/>
      <c r="O406" s="189"/>
      <c r="P406" s="189"/>
      <c r="Q406" s="190"/>
      <c r="R406" s="189"/>
      <c r="S406" s="189"/>
      <c r="T406" s="190"/>
      <c r="U406" s="189"/>
      <c r="V406" s="189"/>
      <c r="W406" s="190"/>
      <c r="X406" s="189"/>
      <c r="Y406" s="189"/>
      <c r="Z406" s="190"/>
      <c r="AA406" s="189"/>
      <c r="AB406" s="189"/>
    </row>
    <row r="407" spans="13:28">
      <c r="M407" s="189"/>
      <c r="N407" s="190"/>
      <c r="O407" s="189"/>
      <c r="P407" s="189"/>
      <c r="Q407" s="190"/>
      <c r="R407" s="189"/>
      <c r="S407" s="189"/>
      <c r="T407" s="190"/>
      <c r="U407" s="189"/>
      <c r="V407" s="189"/>
      <c r="W407" s="190"/>
      <c r="X407" s="189"/>
      <c r="Y407" s="189"/>
      <c r="Z407" s="190"/>
      <c r="AA407" s="189"/>
      <c r="AB407" s="189"/>
    </row>
    <row r="408" spans="13:28">
      <c r="M408" s="189"/>
      <c r="N408" s="190"/>
      <c r="O408" s="189"/>
      <c r="P408" s="189"/>
      <c r="Q408" s="190"/>
      <c r="R408" s="189"/>
      <c r="S408" s="189"/>
      <c r="T408" s="190"/>
      <c r="U408" s="189"/>
      <c r="V408" s="189"/>
      <c r="W408" s="190"/>
      <c r="X408" s="189"/>
      <c r="Y408" s="189"/>
      <c r="Z408" s="190"/>
      <c r="AA408" s="189"/>
      <c r="AB408" s="189"/>
    </row>
    <row r="409" spans="13:28">
      <c r="M409" s="189"/>
      <c r="N409" s="190"/>
      <c r="O409" s="189"/>
      <c r="P409" s="189"/>
      <c r="Q409" s="190"/>
      <c r="R409" s="189"/>
      <c r="S409" s="189"/>
      <c r="T409" s="190"/>
      <c r="U409" s="189"/>
      <c r="V409" s="189"/>
      <c r="W409" s="190"/>
      <c r="X409" s="189"/>
      <c r="Y409" s="189"/>
      <c r="Z409" s="190"/>
      <c r="AA409" s="189"/>
      <c r="AB409" s="189"/>
    </row>
    <row r="410" spans="13:28">
      <c r="M410" s="189"/>
      <c r="N410" s="190"/>
      <c r="O410" s="189"/>
      <c r="P410" s="189"/>
      <c r="Q410" s="190"/>
      <c r="R410" s="189"/>
      <c r="S410" s="189"/>
      <c r="T410" s="190"/>
      <c r="U410" s="189"/>
      <c r="V410" s="189"/>
      <c r="W410" s="190"/>
      <c r="X410" s="189"/>
      <c r="Y410" s="189"/>
      <c r="Z410" s="190"/>
      <c r="AA410" s="189"/>
      <c r="AB410" s="189"/>
    </row>
    <row r="411" spans="13:28">
      <c r="M411" s="189"/>
      <c r="N411" s="190"/>
      <c r="O411" s="189"/>
      <c r="P411" s="189"/>
      <c r="Q411" s="190"/>
      <c r="R411" s="189"/>
      <c r="S411" s="189"/>
      <c r="T411" s="190"/>
      <c r="U411" s="189"/>
      <c r="V411" s="189"/>
      <c r="W411" s="190"/>
      <c r="X411" s="189"/>
      <c r="Y411" s="189"/>
      <c r="Z411" s="190"/>
      <c r="AA411" s="189"/>
      <c r="AB411" s="189"/>
    </row>
    <row r="412" spans="13:28">
      <c r="M412" s="189"/>
      <c r="N412" s="190"/>
      <c r="O412" s="189"/>
      <c r="P412" s="189"/>
      <c r="Q412" s="190"/>
      <c r="R412" s="189"/>
      <c r="S412" s="189"/>
      <c r="T412" s="190"/>
      <c r="U412" s="189"/>
      <c r="V412" s="189"/>
      <c r="W412" s="190"/>
      <c r="X412" s="189"/>
      <c r="Y412" s="189"/>
      <c r="Z412" s="190"/>
      <c r="AA412" s="189"/>
      <c r="AB412" s="189"/>
    </row>
    <row r="413" spans="13:28">
      <c r="M413" s="189"/>
      <c r="N413" s="190"/>
      <c r="O413" s="189"/>
      <c r="P413" s="189"/>
      <c r="Q413" s="190"/>
      <c r="R413" s="189"/>
      <c r="S413" s="189"/>
      <c r="T413" s="190"/>
      <c r="U413" s="189"/>
      <c r="V413" s="189"/>
      <c r="W413" s="190"/>
      <c r="X413" s="189"/>
      <c r="Y413" s="189"/>
      <c r="Z413" s="190"/>
      <c r="AA413" s="189"/>
      <c r="AB413" s="189"/>
    </row>
    <row r="414" spans="13:28">
      <c r="M414" s="189"/>
      <c r="N414" s="190"/>
      <c r="O414" s="189"/>
      <c r="P414" s="189"/>
      <c r="Q414" s="190"/>
      <c r="R414" s="189"/>
      <c r="S414" s="189"/>
      <c r="T414" s="190"/>
      <c r="U414" s="189"/>
      <c r="V414" s="189"/>
      <c r="W414" s="190"/>
      <c r="X414" s="189"/>
      <c r="Y414" s="189"/>
      <c r="Z414" s="190"/>
      <c r="AA414" s="189"/>
      <c r="AB414" s="189"/>
    </row>
    <row r="415" spans="13:28">
      <c r="M415" s="189"/>
      <c r="N415" s="190"/>
      <c r="O415" s="189"/>
      <c r="P415" s="189"/>
      <c r="Q415" s="190"/>
      <c r="R415" s="189"/>
      <c r="S415" s="189"/>
      <c r="T415" s="190"/>
      <c r="U415" s="189"/>
      <c r="V415" s="189"/>
      <c r="W415" s="190"/>
      <c r="X415" s="189"/>
      <c r="Y415" s="189"/>
      <c r="Z415" s="190"/>
      <c r="AA415" s="189"/>
      <c r="AB415" s="189"/>
    </row>
    <row r="416" spans="13:28">
      <c r="M416" s="189"/>
      <c r="N416" s="190"/>
      <c r="O416" s="189"/>
      <c r="P416" s="189"/>
      <c r="Q416" s="190"/>
      <c r="R416" s="189"/>
      <c r="S416" s="189"/>
      <c r="T416" s="190"/>
      <c r="U416" s="189"/>
      <c r="V416" s="189"/>
      <c r="W416" s="190"/>
      <c r="X416" s="189"/>
      <c r="Y416" s="189"/>
      <c r="Z416" s="190"/>
      <c r="AA416" s="189"/>
      <c r="AB416" s="189"/>
    </row>
    <row r="417" spans="13:28">
      <c r="M417" s="189"/>
      <c r="N417" s="190"/>
      <c r="O417" s="189"/>
      <c r="P417" s="189"/>
      <c r="Q417" s="190"/>
      <c r="R417" s="189"/>
      <c r="S417" s="189"/>
      <c r="T417" s="190"/>
      <c r="U417" s="189"/>
      <c r="V417" s="189"/>
      <c r="W417" s="190"/>
      <c r="X417" s="189"/>
      <c r="Y417" s="189"/>
      <c r="Z417" s="190"/>
      <c r="AA417" s="189"/>
      <c r="AB417" s="189"/>
    </row>
    <row r="418" spans="13:28">
      <c r="M418" s="189"/>
      <c r="N418" s="190"/>
      <c r="O418" s="189"/>
      <c r="P418" s="189"/>
      <c r="Q418" s="190"/>
      <c r="R418" s="189"/>
      <c r="S418" s="189"/>
      <c r="T418" s="190"/>
      <c r="U418" s="189"/>
      <c r="V418" s="189"/>
      <c r="W418" s="190"/>
      <c r="X418" s="189"/>
      <c r="Y418" s="189"/>
      <c r="Z418" s="190"/>
      <c r="AA418" s="189"/>
      <c r="AB418" s="189"/>
    </row>
    <row r="419" spans="13:28">
      <c r="M419" s="189"/>
      <c r="N419" s="190"/>
      <c r="O419" s="189"/>
      <c r="P419" s="189"/>
      <c r="Q419" s="190"/>
      <c r="R419" s="189"/>
      <c r="S419" s="189"/>
      <c r="T419" s="190"/>
      <c r="U419" s="189"/>
      <c r="V419" s="189"/>
      <c r="W419" s="190"/>
      <c r="X419" s="189"/>
      <c r="Y419" s="189"/>
      <c r="Z419" s="190"/>
      <c r="AA419" s="189"/>
      <c r="AB419" s="189"/>
    </row>
    <row r="420" spans="13:28">
      <c r="M420" s="189"/>
      <c r="N420" s="190"/>
      <c r="O420" s="189"/>
      <c r="P420" s="189"/>
      <c r="Q420" s="190"/>
      <c r="R420" s="189"/>
      <c r="S420" s="189"/>
      <c r="T420" s="190"/>
      <c r="U420" s="189"/>
      <c r="V420" s="189"/>
      <c r="W420" s="190"/>
      <c r="X420" s="189"/>
      <c r="Y420" s="189"/>
      <c r="Z420" s="190"/>
      <c r="AA420" s="189"/>
      <c r="AB420" s="189"/>
    </row>
    <row r="421" spans="13:28">
      <c r="M421" s="189"/>
      <c r="N421" s="190"/>
      <c r="O421" s="189"/>
      <c r="P421" s="189"/>
      <c r="Q421" s="190"/>
      <c r="R421" s="189"/>
      <c r="S421" s="189"/>
      <c r="T421" s="190"/>
      <c r="U421" s="189"/>
      <c r="V421" s="189"/>
      <c r="W421" s="190"/>
      <c r="X421" s="189"/>
      <c r="Y421" s="189"/>
      <c r="Z421" s="190"/>
      <c r="AA421" s="189"/>
      <c r="AB421" s="189"/>
    </row>
    <row r="422" spans="13:28">
      <c r="M422" s="189"/>
      <c r="N422" s="190"/>
      <c r="O422" s="189"/>
      <c r="P422" s="189"/>
      <c r="Q422" s="190"/>
      <c r="R422" s="189"/>
      <c r="S422" s="189"/>
      <c r="T422" s="190"/>
      <c r="U422" s="189"/>
      <c r="V422" s="189"/>
      <c r="W422" s="190"/>
      <c r="X422" s="189"/>
      <c r="Y422" s="189"/>
      <c r="Z422" s="190"/>
      <c r="AA422" s="189"/>
      <c r="AB422" s="189"/>
    </row>
    <row r="423" spans="13:28">
      <c r="M423" s="189"/>
      <c r="N423" s="190"/>
      <c r="O423" s="189"/>
      <c r="P423" s="189"/>
      <c r="Q423" s="190"/>
      <c r="R423" s="189"/>
      <c r="S423" s="189"/>
      <c r="T423" s="190"/>
      <c r="U423" s="189"/>
      <c r="V423" s="189"/>
      <c r="W423" s="190"/>
      <c r="X423" s="189"/>
      <c r="Y423" s="189"/>
      <c r="Z423" s="190"/>
      <c r="AA423" s="189"/>
      <c r="AB423" s="189"/>
    </row>
    <row r="424" spans="13:28">
      <c r="M424" s="189"/>
      <c r="N424" s="190"/>
      <c r="O424" s="189"/>
      <c r="P424" s="189"/>
      <c r="Q424" s="190"/>
      <c r="R424" s="189"/>
      <c r="S424" s="189"/>
      <c r="T424" s="190"/>
      <c r="U424" s="189"/>
      <c r="V424" s="189"/>
      <c r="W424" s="190"/>
      <c r="X424" s="189"/>
      <c r="Y424" s="189"/>
      <c r="Z424" s="190"/>
      <c r="AA424" s="189"/>
      <c r="AB424" s="189"/>
    </row>
    <row r="425" spans="13:28">
      <c r="M425" s="189"/>
      <c r="N425" s="190"/>
      <c r="O425" s="189"/>
      <c r="P425" s="189"/>
      <c r="Q425" s="190"/>
      <c r="R425" s="189"/>
      <c r="S425" s="189"/>
      <c r="T425" s="190"/>
      <c r="U425" s="189"/>
      <c r="V425" s="189"/>
      <c r="W425" s="190"/>
      <c r="X425" s="189"/>
      <c r="Y425" s="189"/>
      <c r="Z425" s="190"/>
      <c r="AA425" s="189"/>
      <c r="AB425" s="189"/>
    </row>
    <row r="426" spans="13:28">
      <c r="M426" s="189"/>
      <c r="N426" s="190"/>
      <c r="O426" s="189"/>
      <c r="P426" s="189"/>
      <c r="Q426" s="190"/>
      <c r="R426" s="189"/>
      <c r="S426" s="189"/>
      <c r="T426" s="190"/>
      <c r="U426" s="189"/>
      <c r="V426" s="189"/>
      <c r="W426" s="190"/>
      <c r="X426" s="189"/>
      <c r="Y426" s="189"/>
      <c r="Z426" s="190"/>
      <c r="AA426" s="189"/>
      <c r="AB426" s="189"/>
    </row>
    <row r="427" spans="13:28">
      <c r="M427" s="189"/>
      <c r="N427" s="190"/>
      <c r="O427" s="189"/>
      <c r="P427" s="189"/>
      <c r="Q427" s="190"/>
      <c r="R427" s="189"/>
      <c r="S427" s="189"/>
      <c r="T427" s="190"/>
      <c r="U427" s="189"/>
      <c r="V427" s="189"/>
      <c r="W427" s="190"/>
      <c r="X427" s="189"/>
      <c r="Y427" s="189"/>
      <c r="Z427" s="190"/>
      <c r="AA427" s="189"/>
      <c r="AB427" s="189"/>
    </row>
    <row r="428" spans="13:28">
      <c r="M428" s="189"/>
      <c r="N428" s="190"/>
      <c r="O428" s="189"/>
      <c r="P428" s="189"/>
      <c r="Q428" s="190"/>
      <c r="R428" s="189"/>
      <c r="S428" s="189"/>
      <c r="T428" s="190"/>
      <c r="U428" s="189"/>
      <c r="V428" s="189"/>
      <c r="W428" s="190"/>
      <c r="X428" s="189"/>
      <c r="Y428" s="189"/>
      <c r="Z428" s="190"/>
      <c r="AA428" s="189"/>
      <c r="AB428" s="189"/>
    </row>
    <row r="429" spans="13:28">
      <c r="M429" s="189"/>
      <c r="N429" s="190"/>
      <c r="O429" s="189"/>
      <c r="P429" s="189"/>
      <c r="Q429" s="190"/>
      <c r="R429" s="189"/>
      <c r="S429" s="189"/>
      <c r="T429" s="190"/>
      <c r="U429" s="189"/>
      <c r="V429" s="189"/>
      <c r="W429" s="190"/>
      <c r="X429" s="189"/>
      <c r="Y429" s="189"/>
      <c r="Z429" s="190"/>
      <c r="AA429" s="189"/>
      <c r="AB429" s="189"/>
    </row>
    <row r="430" spans="13:28">
      <c r="M430" s="189"/>
      <c r="N430" s="190"/>
      <c r="O430" s="189"/>
      <c r="P430" s="189"/>
      <c r="Q430" s="190"/>
      <c r="R430" s="189"/>
      <c r="S430" s="189"/>
      <c r="T430" s="190"/>
      <c r="U430" s="189"/>
      <c r="V430" s="189"/>
      <c r="W430" s="190"/>
      <c r="X430" s="189"/>
      <c r="Y430" s="189"/>
      <c r="Z430" s="190"/>
      <c r="AA430" s="189"/>
      <c r="AB430" s="189"/>
    </row>
    <row r="431" spans="13:28">
      <c r="M431" s="189"/>
      <c r="N431" s="190"/>
      <c r="O431" s="189"/>
      <c r="P431" s="189"/>
      <c r="Q431" s="190"/>
      <c r="R431" s="189"/>
      <c r="S431" s="189"/>
      <c r="T431" s="190"/>
      <c r="U431" s="189"/>
      <c r="V431" s="189"/>
      <c r="W431" s="190"/>
      <c r="X431" s="189"/>
      <c r="Y431" s="189"/>
      <c r="Z431" s="190"/>
      <c r="AA431" s="189"/>
      <c r="AB431" s="189"/>
    </row>
    <row r="432" spans="13:28">
      <c r="M432" s="189"/>
      <c r="N432" s="190"/>
      <c r="O432" s="189"/>
      <c r="P432" s="189"/>
      <c r="Q432" s="190"/>
      <c r="R432" s="189"/>
      <c r="S432" s="189"/>
      <c r="T432" s="190"/>
      <c r="U432" s="189"/>
      <c r="V432" s="189"/>
      <c r="W432" s="190"/>
      <c r="X432" s="189"/>
      <c r="Y432" s="189"/>
      <c r="Z432" s="190"/>
      <c r="AA432" s="189"/>
      <c r="AB432" s="189"/>
    </row>
    <row r="433" spans="13:28">
      <c r="M433" s="189"/>
      <c r="N433" s="190"/>
      <c r="O433" s="189"/>
      <c r="P433" s="189"/>
      <c r="Q433" s="190"/>
      <c r="R433" s="189"/>
      <c r="S433" s="189"/>
      <c r="T433" s="190"/>
      <c r="U433" s="189"/>
      <c r="V433" s="189"/>
      <c r="W433" s="190"/>
      <c r="X433" s="189"/>
      <c r="Y433" s="189"/>
      <c r="Z433" s="190"/>
      <c r="AA433" s="189"/>
      <c r="AB433" s="189"/>
    </row>
    <row r="434" spans="13:28">
      <c r="M434" s="189"/>
      <c r="N434" s="190"/>
      <c r="O434" s="189"/>
      <c r="P434" s="189"/>
      <c r="Q434" s="190"/>
      <c r="R434" s="189"/>
      <c r="S434" s="189"/>
      <c r="T434" s="190"/>
      <c r="U434" s="189"/>
      <c r="V434" s="189"/>
      <c r="W434" s="190"/>
      <c r="X434" s="189"/>
      <c r="Y434" s="189"/>
      <c r="Z434" s="190"/>
      <c r="AA434" s="189"/>
      <c r="AB434" s="189"/>
    </row>
    <row r="435" spans="13:28">
      <c r="M435" s="189"/>
      <c r="N435" s="190"/>
      <c r="O435" s="189"/>
      <c r="P435" s="189"/>
      <c r="Q435" s="190"/>
      <c r="R435" s="189"/>
      <c r="S435" s="189"/>
      <c r="T435" s="190"/>
      <c r="U435" s="189"/>
      <c r="V435" s="189"/>
      <c r="W435" s="190"/>
      <c r="X435" s="189"/>
      <c r="Y435" s="189"/>
      <c r="Z435" s="190"/>
      <c r="AA435" s="189"/>
      <c r="AB435" s="189"/>
    </row>
    <row r="436" spans="13:28">
      <c r="M436" s="189"/>
      <c r="N436" s="190"/>
      <c r="O436" s="189"/>
      <c r="P436" s="189"/>
      <c r="Q436" s="190"/>
      <c r="R436" s="189"/>
      <c r="S436" s="189"/>
      <c r="T436" s="190"/>
      <c r="U436" s="189"/>
      <c r="V436" s="189"/>
      <c r="W436" s="190"/>
      <c r="X436" s="189"/>
      <c r="Y436" s="189"/>
      <c r="Z436" s="190"/>
      <c r="AA436" s="189"/>
      <c r="AB436" s="189"/>
    </row>
    <row r="437" spans="13:28">
      <c r="M437" s="189"/>
      <c r="N437" s="190"/>
      <c r="O437" s="189"/>
      <c r="P437" s="189"/>
      <c r="Q437" s="190"/>
      <c r="R437" s="189"/>
      <c r="S437" s="189"/>
      <c r="T437" s="190"/>
      <c r="U437" s="189"/>
      <c r="V437" s="189"/>
      <c r="W437" s="190"/>
      <c r="X437" s="189"/>
      <c r="Y437" s="189"/>
      <c r="Z437" s="190"/>
      <c r="AA437" s="189"/>
      <c r="AB437" s="189"/>
    </row>
    <row r="438" spans="13:28">
      <c r="M438" s="189"/>
      <c r="N438" s="190"/>
      <c r="O438" s="189"/>
      <c r="P438" s="189"/>
      <c r="Q438" s="190"/>
      <c r="R438" s="189"/>
      <c r="S438" s="189"/>
      <c r="T438" s="190"/>
      <c r="U438" s="189"/>
      <c r="V438" s="189"/>
      <c r="W438" s="190"/>
      <c r="X438" s="189"/>
      <c r="Y438" s="189"/>
      <c r="Z438" s="190"/>
      <c r="AA438" s="189"/>
      <c r="AB438" s="189"/>
    </row>
    <row r="439" spans="13:28">
      <c r="M439" s="189"/>
      <c r="N439" s="190"/>
      <c r="O439" s="189"/>
      <c r="P439" s="189"/>
      <c r="Q439" s="190"/>
      <c r="R439" s="189"/>
      <c r="S439" s="189"/>
      <c r="T439" s="190"/>
      <c r="U439" s="189"/>
      <c r="V439" s="189"/>
      <c r="W439" s="190"/>
      <c r="X439" s="189"/>
      <c r="Y439" s="189"/>
      <c r="Z439" s="190"/>
      <c r="AA439" s="189"/>
      <c r="AB439" s="189"/>
    </row>
    <row r="440" spans="13:28">
      <c r="M440" s="189"/>
      <c r="N440" s="190"/>
      <c r="O440" s="189"/>
      <c r="P440" s="189"/>
      <c r="Q440" s="190"/>
      <c r="R440" s="189"/>
      <c r="S440" s="189"/>
      <c r="T440" s="190"/>
      <c r="U440" s="189"/>
      <c r="V440" s="189"/>
      <c r="W440" s="190"/>
      <c r="X440" s="189"/>
      <c r="Y440" s="189"/>
      <c r="Z440" s="190"/>
      <c r="AA440" s="189"/>
      <c r="AB440" s="189"/>
    </row>
    <row r="441" spans="13:28">
      <c r="M441" s="189"/>
      <c r="N441" s="190"/>
      <c r="O441" s="189"/>
      <c r="P441" s="189"/>
      <c r="Q441" s="190"/>
      <c r="R441" s="189"/>
      <c r="S441" s="189"/>
      <c r="T441" s="190"/>
      <c r="U441" s="189"/>
      <c r="V441" s="189"/>
      <c r="W441" s="190"/>
      <c r="X441" s="189"/>
      <c r="Y441" s="189"/>
      <c r="Z441" s="190"/>
      <c r="AA441" s="189"/>
      <c r="AB441" s="189"/>
    </row>
    <row r="442" spans="13:28">
      <c r="M442" s="189"/>
      <c r="N442" s="190"/>
      <c r="O442" s="189"/>
      <c r="P442" s="189"/>
      <c r="Q442" s="190"/>
      <c r="R442" s="189"/>
      <c r="S442" s="189"/>
      <c r="T442" s="190"/>
      <c r="U442" s="189"/>
      <c r="V442" s="189"/>
      <c r="W442" s="190"/>
      <c r="X442" s="189"/>
      <c r="Y442" s="189"/>
      <c r="Z442" s="190"/>
      <c r="AA442" s="189"/>
      <c r="AB442" s="189"/>
    </row>
    <row r="443" spans="13:28">
      <c r="M443" s="189"/>
      <c r="N443" s="190"/>
      <c r="O443" s="189"/>
      <c r="P443" s="189"/>
      <c r="Q443" s="190"/>
      <c r="R443" s="189"/>
      <c r="S443" s="189"/>
      <c r="T443" s="190"/>
      <c r="U443" s="189"/>
      <c r="V443" s="189"/>
      <c r="W443" s="190"/>
      <c r="X443" s="189"/>
      <c r="Y443" s="189"/>
      <c r="Z443" s="190"/>
      <c r="AA443" s="189"/>
      <c r="AB443" s="189"/>
    </row>
    <row r="444" spans="13:28">
      <c r="M444" s="189"/>
      <c r="N444" s="190"/>
      <c r="O444" s="189"/>
      <c r="P444" s="189"/>
      <c r="Q444" s="190"/>
      <c r="R444" s="189"/>
      <c r="S444" s="189"/>
      <c r="T444" s="190"/>
      <c r="U444" s="189"/>
      <c r="V444" s="189"/>
      <c r="W444" s="190"/>
      <c r="X444" s="189"/>
      <c r="Y444" s="189"/>
      <c r="Z444" s="190"/>
      <c r="AA444" s="189"/>
      <c r="AB444" s="189"/>
    </row>
    <row r="445" spans="13:28">
      <c r="M445" s="189"/>
      <c r="N445" s="190"/>
      <c r="O445" s="189"/>
      <c r="P445" s="189"/>
      <c r="Q445" s="190"/>
      <c r="R445" s="189"/>
      <c r="S445" s="189"/>
      <c r="T445" s="190"/>
      <c r="U445" s="189"/>
      <c r="V445" s="189"/>
      <c r="W445" s="190"/>
      <c r="X445" s="189"/>
      <c r="Y445" s="189"/>
      <c r="Z445" s="190"/>
      <c r="AA445" s="189"/>
      <c r="AB445" s="189"/>
    </row>
    <row r="446" spans="13:28">
      <c r="M446" s="189"/>
      <c r="N446" s="190"/>
      <c r="O446" s="189"/>
      <c r="P446" s="189"/>
      <c r="Q446" s="190"/>
      <c r="R446" s="189"/>
      <c r="S446" s="189"/>
      <c r="T446" s="190"/>
      <c r="U446" s="189"/>
      <c r="V446" s="189"/>
      <c r="W446" s="190"/>
      <c r="X446" s="189"/>
      <c r="Y446" s="189"/>
      <c r="Z446" s="190"/>
      <c r="AA446" s="189"/>
      <c r="AB446" s="189"/>
    </row>
    <row r="447" spans="13:28">
      <c r="M447" s="189"/>
      <c r="N447" s="190"/>
      <c r="O447" s="189"/>
      <c r="P447" s="189"/>
      <c r="Q447" s="190"/>
      <c r="R447" s="189"/>
      <c r="S447" s="189"/>
      <c r="T447" s="190"/>
      <c r="U447" s="189"/>
      <c r="V447" s="189"/>
      <c r="W447" s="190"/>
      <c r="X447" s="189"/>
      <c r="Y447" s="189"/>
      <c r="Z447" s="190"/>
      <c r="AA447" s="189"/>
      <c r="AB447" s="189"/>
    </row>
    <row r="448" spans="13:28">
      <c r="M448" s="189"/>
      <c r="N448" s="190"/>
      <c r="O448" s="189"/>
      <c r="P448" s="189"/>
      <c r="Q448" s="190"/>
      <c r="R448" s="189"/>
      <c r="S448" s="189"/>
      <c r="T448" s="190"/>
      <c r="U448" s="189"/>
      <c r="V448" s="189"/>
      <c r="W448" s="190"/>
      <c r="X448" s="189"/>
      <c r="Y448" s="189"/>
      <c r="Z448" s="190"/>
      <c r="AA448" s="189"/>
      <c r="AB448" s="189"/>
    </row>
    <row r="449" spans="13:28">
      <c r="M449" s="189"/>
      <c r="N449" s="190"/>
      <c r="O449" s="189"/>
      <c r="P449" s="189"/>
      <c r="Q449" s="190"/>
      <c r="R449" s="189"/>
      <c r="S449" s="189"/>
      <c r="T449" s="190"/>
      <c r="U449" s="189"/>
      <c r="V449" s="189"/>
      <c r="W449" s="190"/>
      <c r="X449" s="189"/>
      <c r="Y449" s="189"/>
      <c r="Z449" s="190"/>
      <c r="AA449" s="189"/>
      <c r="AB449" s="189"/>
    </row>
    <row r="450" spans="13:28">
      <c r="M450" s="189"/>
      <c r="N450" s="190"/>
      <c r="O450" s="189"/>
      <c r="P450" s="189"/>
      <c r="Q450" s="190"/>
      <c r="R450" s="189"/>
      <c r="S450" s="189"/>
      <c r="T450" s="190"/>
      <c r="U450" s="189"/>
      <c r="V450" s="189"/>
      <c r="W450" s="190"/>
      <c r="X450" s="189"/>
      <c r="Y450" s="189"/>
      <c r="Z450" s="190"/>
      <c r="AA450" s="189"/>
      <c r="AB450" s="189"/>
    </row>
    <row r="451" spans="13:28">
      <c r="M451" s="189"/>
      <c r="N451" s="190"/>
      <c r="O451" s="189"/>
      <c r="P451" s="189"/>
      <c r="Q451" s="190"/>
      <c r="R451" s="189"/>
      <c r="S451" s="189"/>
      <c r="T451" s="190"/>
      <c r="U451" s="189"/>
      <c r="V451" s="189"/>
      <c r="W451" s="190"/>
      <c r="X451" s="189"/>
      <c r="Y451" s="189"/>
      <c r="Z451" s="190"/>
      <c r="AA451" s="189"/>
      <c r="AB451" s="189"/>
    </row>
    <row r="452" spans="13:28">
      <c r="M452" s="189"/>
      <c r="N452" s="190"/>
      <c r="O452" s="189"/>
      <c r="P452" s="189"/>
      <c r="Q452" s="190"/>
      <c r="R452" s="189"/>
      <c r="S452" s="189"/>
      <c r="T452" s="190"/>
      <c r="U452" s="189"/>
      <c r="V452" s="189"/>
      <c r="W452" s="190"/>
      <c r="X452" s="189"/>
      <c r="Y452" s="189"/>
      <c r="Z452" s="190"/>
      <c r="AA452" s="189"/>
      <c r="AB452" s="189"/>
    </row>
    <row r="453" spans="13:28">
      <c r="M453" s="189"/>
      <c r="N453" s="190"/>
      <c r="O453" s="189"/>
      <c r="P453" s="189"/>
      <c r="Q453" s="190"/>
      <c r="R453" s="189"/>
      <c r="S453" s="189"/>
      <c r="T453" s="190"/>
      <c r="U453" s="189"/>
      <c r="V453" s="189"/>
      <c r="W453" s="190"/>
      <c r="X453" s="189"/>
      <c r="Y453" s="189"/>
      <c r="Z453" s="190"/>
      <c r="AA453" s="189"/>
      <c r="AB453" s="189"/>
    </row>
    <row r="454" spans="13:28">
      <c r="M454" s="189"/>
      <c r="N454" s="190"/>
      <c r="O454" s="189"/>
      <c r="P454" s="189"/>
      <c r="Q454" s="190"/>
      <c r="R454" s="189"/>
      <c r="S454" s="189"/>
      <c r="T454" s="190"/>
      <c r="U454" s="189"/>
      <c r="V454" s="189"/>
      <c r="W454" s="190"/>
      <c r="X454" s="189"/>
      <c r="Y454" s="189"/>
      <c r="Z454" s="190"/>
      <c r="AA454" s="189"/>
      <c r="AB454" s="189"/>
    </row>
    <row r="455" spans="13:28">
      <c r="M455" s="189"/>
      <c r="N455" s="190"/>
      <c r="O455" s="189"/>
      <c r="P455" s="189"/>
      <c r="Q455" s="190"/>
      <c r="R455" s="189"/>
      <c r="S455" s="189"/>
      <c r="T455" s="190"/>
      <c r="U455" s="189"/>
      <c r="V455" s="189"/>
      <c r="W455" s="190"/>
      <c r="X455" s="189"/>
      <c r="Y455" s="189"/>
      <c r="Z455" s="190"/>
      <c r="AA455" s="189"/>
      <c r="AB455" s="189"/>
    </row>
    <row r="456" spans="13:28">
      <c r="M456" s="189"/>
      <c r="N456" s="190"/>
      <c r="O456" s="189"/>
      <c r="P456" s="189"/>
      <c r="Q456" s="190"/>
      <c r="R456" s="189"/>
      <c r="S456" s="189"/>
      <c r="T456" s="190"/>
      <c r="U456" s="189"/>
      <c r="V456" s="189"/>
      <c r="W456" s="190"/>
      <c r="X456" s="189"/>
      <c r="Y456" s="189"/>
      <c r="Z456" s="190"/>
      <c r="AA456" s="189"/>
      <c r="AB456" s="189"/>
    </row>
    <row r="457" spans="13:28">
      <c r="M457" s="189"/>
      <c r="N457" s="190"/>
      <c r="O457" s="189"/>
      <c r="P457" s="189"/>
      <c r="Q457" s="190"/>
      <c r="R457" s="189"/>
      <c r="S457" s="189"/>
      <c r="T457" s="190"/>
      <c r="U457" s="189"/>
      <c r="V457" s="189"/>
      <c r="W457" s="190"/>
      <c r="X457" s="189"/>
      <c r="Y457" s="189"/>
      <c r="Z457" s="190"/>
      <c r="AA457" s="189"/>
      <c r="AB457" s="189"/>
    </row>
    <row r="458" spans="13:28">
      <c r="M458" s="189"/>
      <c r="N458" s="190"/>
      <c r="O458" s="189"/>
      <c r="P458" s="189"/>
      <c r="Q458" s="190"/>
      <c r="R458" s="189"/>
      <c r="S458" s="189"/>
      <c r="T458" s="190"/>
      <c r="U458" s="189"/>
      <c r="V458" s="189"/>
      <c r="W458" s="190"/>
      <c r="X458" s="189"/>
      <c r="Y458" s="189"/>
      <c r="Z458" s="190"/>
      <c r="AA458" s="189"/>
      <c r="AB458" s="189"/>
    </row>
    <row r="459" spans="13:28">
      <c r="M459" s="189"/>
      <c r="N459" s="190"/>
      <c r="O459" s="189"/>
      <c r="P459" s="189"/>
      <c r="Q459" s="190"/>
      <c r="R459" s="189"/>
      <c r="S459" s="189"/>
      <c r="T459" s="190"/>
      <c r="U459" s="189"/>
      <c r="V459" s="189"/>
      <c r="W459" s="190"/>
      <c r="X459" s="189"/>
      <c r="Y459" s="189"/>
      <c r="Z459" s="190"/>
      <c r="AA459" s="189"/>
      <c r="AB459" s="189"/>
    </row>
    <row r="460" spans="13:28">
      <c r="M460" s="189"/>
      <c r="N460" s="190"/>
      <c r="O460" s="189"/>
      <c r="P460" s="189"/>
      <c r="Q460" s="190"/>
      <c r="R460" s="189"/>
      <c r="S460" s="189"/>
      <c r="T460" s="190"/>
      <c r="U460" s="189"/>
      <c r="V460" s="189"/>
      <c r="W460" s="190"/>
      <c r="X460" s="189"/>
      <c r="Y460" s="189"/>
      <c r="Z460" s="190"/>
      <c r="AA460" s="189"/>
      <c r="AB460" s="189"/>
    </row>
    <row r="461" spans="13:28">
      <c r="M461" s="189"/>
      <c r="N461" s="190"/>
      <c r="O461" s="189"/>
      <c r="P461" s="189"/>
      <c r="Q461" s="190"/>
      <c r="R461" s="189"/>
      <c r="S461" s="189"/>
      <c r="T461" s="190"/>
      <c r="U461" s="189"/>
      <c r="V461" s="189"/>
      <c r="W461" s="190"/>
      <c r="X461" s="189"/>
      <c r="Y461" s="189"/>
      <c r="Z461" s="190"/>
      <c r="AA461" s="189"/>
      <c r="AB461" s="189"/>
    </row>
    <row r="462" spans="13:28">
      <c r="M462" s="189"/>
      <c r="N462" s="190"/>
      <c r="O462" s="189"/>
      <c r="P462" s="189"/>
      <c r="Q462" s="190"/>
      <c r="R462" s="189"/>
      <c r="S462" s="189"/>
      <c r="T462" s="190"/>
      <c r="U462" s="189"/>
      <c r="V462" s="189"/>
      <c r="W462" s="190"/>
      <c r="X462" s="189"/>
      <c r="Y462" s="189"/>
      <c r="Z462" s="190"/>
      <c r="AA462" s="189"/>
      <c r="AB462" s="189"/>
    </row>
    <row r="463" spans="13:28">
      <c r="M463" s="189"/>
      <c r="N463" s="190"/>
      <c r="O463" s="189"/>
      <c r="P463" s="189"/>
      <c r="Q463" s="190"/>
      <c r="R463" s="189"/>
      <c r="S463" s="189"/>
      <c r="T463" s="190"/>
      <c r="U463" s="189"/>
      <c r="V463" s="189"/>
      <c r="W463" s="190"/>
      <c r="X463" s="189"/>
      <c r="Y463" s="189"/>
      <c r="Z463" s="190"/>
      <c r="AA463" s="189"/>
      <c r="AB463" s="189"/>
    </row>
    <row r="464" spans="13:28">
      <c r="M464" s="189"/>
      <c r="N464" s="190"/>
      <c r="O464" s="189"/>
      <c r="P464" s="189"/>
      <c r="Q464" s="190"/>
      <c r="R464" s="189"/>
      <c r="S464" s="189"/>
      <c r="T464" s="190"/>
      <c r="U464" s="189"/>
      <c r="V464" s="189"/>
      <c r="W464" s="190"/>
      <c r="X464" s="189"/>
      <c r="Y464" s="189"/>
      <c r="Z464" s="190"/>
      <c r="AA464" s="189"/>
      <c r="AB464" s="189"/>
    </row>
    <row r="465" spans="13:28">
      <c r="M465" s="189"/>
      <c r="N465" s="190"/>
      <c r="O465" s="189"/>
      <c r="P465" s="189"/>
      <c r="Q465" s="190"/>
      <c r="R465" s="189"/>
      <c r="S465" s="189"/>
      <c r="T465" s="190"/>
      <c r="U465" s="189"/>
      <c r="V465" s="189"/>
      <c r="W465" s="190"/>
      <c r="X465" s="189"/>
      <c r="Y465" s="189"/>
      <c r="Z465" s="190"/>
      <c r="AA465" s="189"/>
      <c r="AB465" s="189"/>
    </row>
    <row r="466" spans="13:28">
      <c r="M466" s="189"/>
      <c r="N466" s="190"/>
      <c r="O466" s="189"/>
      <c r="P466" s="189"/>
      <c r="Q466" s="190"/>
      <c r="R466" s="189"/>
      <c r="S466" s="189"/>
      <c r="T466" s="190"/>
      <c r="U466" s="189"/>
      <c r="V466" s="189"/>
      <c r="W466" s="190"/>
      <c r="X466" s="189"/>
      <c r="Y466" s="189"/>
      <c r="Z466" s="190"/>
      <c r="AA466" s="189"/>
      <c r="AB466" s="189"/>
    </row>
    <row r="467" spans="13:28">
      <c r="M467" s="189"/>
      <c r="N467" s="190"/>
      <c r="O467" s="189"/>
      <c r="P467" s="189"/>
      <c r="Q467" s="190"/>
      <c r="R467" s="189"/>
      <c r="S467" s="189"/>
      <c r="T467" s="190"/>
      <c r="U467" s="189"/>
      <c r="V467" s="189"/>
      <c r="W467" s="190"/>
      <c r="X467" s="189"/>
      <c r="Y467" s="189"/>
      <c r="Z467" s="190"/>
      <c r="AA467" s="189"/>
      <c r="AB467" s="189"/>
    </row>
    <row r="468" spans="13:28">
      <c r="M468" s="189"/>
      <c r="N468" s="190"/>
      <c r="O468" s="189"/>
      <c r="P468" s="189"/>
      <c r="Q468" s="190"/>
      <c r="R468" s="189"/>
      <c r="S468" s="189"/>
      <c r="T468" s="190"/>
      <c r="U468" s="189"/>
      <c r="V468" s="189"/>
      <c r="W468" s="190"/>
      <c r="X468" s="189"/>
      <c r="Y468" s="189"/>
      <c r="Z468" s="190"/>
      <c r="AA468" s="189"/>
      <c r="AB468" s="189"/>
    </row>
    <row r="469" spans="13:28">
      <c r="M469" s="189"/>
      <c r="N469" s="190"/>
      <c r="O469" s="189"/>
      <c r="P469" s="189"/>
      <c r="Q469" s="190"/>
      <c r="R469" s="189"/>
      <c r="S469" s="189"/>
      <c r="T469" s="190"/>
      <c r="U469" s="189"/>
      <c r="V469" s="189"/>
      <c r="W469" s="190"/>
      <c r="X469" s="189"/>
      <c r="Y469" s="189"/>
      <c r="Z469" s="190"/>
      <c r="AA469" s="189"/>
      <c r="AB469" s="189"/>
    </row>
    <row r="470" spans="13:28">
      <c r="M470" s="189"/>
      <c r="N470" s="190"/>
      <c r="O470" s="189"/>
      <c r="P470" s="189"/>
      <c r="Q470" s="190"/>
      <c r="R470" s="189"/>
      <c r="S470" s="189"/>
      <c r="T470" s="190"/>
      <c r="U470" s="189"/>
      <c r="V470" s="189"/>
      <c r="W470" s="190"/>
      <c r="X470" s="189"/>
      <c r="Y470" s="189"/>
      <c r="Z470" s="190"/>
      <c r="AA470" s="189"/>
      <c r="AB470" s="189"/>
    </row>
    <row r="471" spans="13:28">
      <c r="M471" s="189"/>
      <c r="N471" s="190"/>
      <c r="O471" s="189"/>
      <c r="P471" s="189"/>
      <c r="Q471" s="190"/>
      <c r="R471" s="189"/>
      <c r="S471" s="189"/>
      <c r="T471" s="190"/>
      <c r="U471" s="189"/>
      <c r="V471" s="189"/>
      <c r="W471" s="190"/>
      <c r="X471" s="189"/>
      <c r="Y471" s="189"/>
      <c r="Z471" s="190"/>
      <c r="AA471" s="189"/>
      <c r="AB471" s="189"/>
    </row>
    <row r="472" spans="13:28">
      <c r="M472" s="189"/>
      <c r="N472" s="190"/>
      <c r="O472" s="189"/>
      <c r="P472" s="189"/>
      <c r="Q472" s="190"/>
      <c r="R472" s="189"/>
      <c r="S472" s="189"/>
      <c r="T472" s="190"/>
      <c r="U472" s="189"/>
      <c r="V472" s="189"/>
      <c r="W472" s="190"/>
      <c r="X472" s="189"/>
      <c r="Y472" s="189"/>
      <c r="Z472" s="190"/>
      <c r="AA472" s="189"/>
      <c r="AB472" s="189"/>
    </row>
    <row r="473" spans="13:28">
      <c r="M473" s="189"/>
      <c r="N473" s="190"/>
      <c r="O473" s="189"/>
      <c r="P473" s="189"/>
      <c r="Q473" s="190"/>
      <c r="R473" s="189"/>
      <c r="S473" s="189"/>
      <c r="T473" s="190"/>
      <c r="U473" s="189"/>
      <c r="V473" s="189"/>
      <c r="W473" s="190"/>
      <c r="X473" s="189"/>
      <c r="Y473" s="189"/>
      <c r="Z473" s="190"/>
      <c r="AA473" s="189"/>
      <c r="AB473" s="189"/>
    </row>
    <row r="474" spans="13:28">
      <c r="M474" s="189"/>
      <c r="N474" s="190"/>
      <c r="O474" s="189"/>
      <c r="P474" s="189"/>
      <c r="Q474" s="190"/>
      <c r="R474" s="189"/>
      <c r="S474" s="189"/>
      <c r="T474" s="190"/>
      <c r="U474" s="189"/>
      <c r="V474" s="189"/>
      <c r="W474" s="190"/>
      <c r="X474" s="189"/>
      <c r="Y474" s="189"/>
      <c r="Z474" s="190"/>
      <c r="AA474" s="189"/>
      <c r="AB474" s="189"/>
    </row>
    <row r="475" spans="13:28">
      <c r="M475" s="189"/>
      <c r="N475" s="190"/>
      <c r="O475" s="189"/>
      <c r="P475" s="189"/>
      <c r="Q475" s="190"/>
      <c r="R475" s="189"/>
      <c r="S475" s="189"/>
      <c r="T475" s="190"/>
      <c r="U475" s="189"/>
      <c r="V475" s="189"/>
      <c r="W475" s="190"/>
      <c r="X475" s="189"/>
      <c r="Y475" s="189"/>
      <c r="Z475" s="190"/>
      <c r="AA475" s="189"/>
      <c r="AB475" s="189"/>
    </row>
    <row r="476" spans="13:28">
      <c r="M476" s="189"/>
      <c r="N476" s="190"/>
      <c r="O476" s="189"/>
      <c r="P476" s="189"/>
      <c r="Q476" s="190"/>
      <c r="R476" s="189"/>
      <c r="S476" s="189"/>
      <c r="T476" s="190"/>
      <c r="U476" s="189"/>
      <c r="V476" s="189"/>
      <c r="W476" s="190"/>
      <c r="X476" s="189"/>
      <c r="Y476" s="189"/>
      <c r="Z476" s="190"/>
      <c r="AA476" s="189"/>
      <c r="AB476" s="189"/>
    </row>
    <row r="477" spans="13:28">
      <c r="M477" s="189"/>
      <c r="N477" s="190"/>
      <c r="O477" s="189"/>
      <c r="P477" s="189"/>
      <c r="Q477" s="190"/>
      <c r="R477" s="189"/>
      <c r="S477" s="189"/>
      <c r="T477" s="190"/>
      <c r="U477" s="189"/>
      <c r="V477" s="189"/>
      <c r="W477" s="190"/>
      <c r="X477" s="189"/>
      <c r="Y477" s="189"/>
      <c r="Z477" s="190"/>
      <c r="AA477" s="189"/>
      <c r="AB477" s="189"/>
    </row>
    <row r="478" spans="13:28">
      <c r="M478" s="189"/>
      <c r="N478" s="190"/>
      <c r="O478" s="189"/>
      <c r="P478" s="189"/>
      <c r="Q478" s="190"/>
      <c r="R478" s="189"/>
      <c r="S478" s="189"/>
      <c r="T478" s="190"/>
      <c r="U478" s="189"/>
      <c r="V478" s="189"/>
      <c r="W478" s="190"/>
      <c r="X478" s="189"/>
      <c r="Y478" s="189"/>
      <c r="Z478" s="190"/>
      <c r="AA478" s="189"/>
      <c r="AB478" s="189"/>
    </row>
    <row r="479" spans="13:28">
      <c r="M479" s="189"/>
      <c r="N479" s="190"/>
      <c r="O479" s="189"/>
      <c r="P479" s="189"/>
      <c r="Q479" s="190"/>
      <c r="R479" s="189"/>
      <c r="S479" s="189"/>
      <c r="T479" s="190"/>
      <c r="U479" s="189"/>
      <c r="V479" s="189"/>
      <c r="W479" s="190"/>
      <c r="X479" s="189"/>
      <c r="Y479" s="189"/>
      <c r="Z479" s="190"/>
      <c r="AA479" s="189"/>
      <c r="AB479" s="189"/>
    </row>
    <row r="480" spans="13:28">
      <c r="M480" s="189"/>
      <c r="N480" s="190"/>
      <c r="O480" s="189"/>
      <c r="P480" s="189"/>
      <c r="Q480" s="190"/>
      <c r="R480" s="189"/>
      <c r="S480" s="189"/>
      <c r="T480" s="190"/>
      <c r="U480" s="189"/>
      <c r="V480" s="189"/>
      <c r="W480" s="190"/>
      <c r="X480" s="189"/>
      <c r="Y480" s="189"/>
      <c r="Z480" s="190"/>
      <c r="AA480" s="189"/>
      <c r="AB480" s="189"/>
    </row>
    <row r="481" spans="13:28">
      <c r="M481" s="189"/>
      <c r="N481" s="190"/>
      <c r="O481" s="189"/>
      <c r="P481" s="189"/>
      <c r="Q481" s="190"/>
      <c r="R481" s="189"/>
      <c r="S481" s="189"/>
      <c r="T481" s="190"/>
      <c r="U481" s="189"/>
      <c r="V481" s="189"/>
      <c r="W481" s="190"/>
      <c r="X481" s="189"/>
      <c r="Y481" s="189"/>
      <c r="Z481" s="190"/>
      <c r="AA481" s="189"/>
      <c r="AB481" s="189"/>
    </row>
    <row r="482" spans="13:28">
      <c r="M482" s="189"/>
      <c r="N482" s="190"/>
      <c r="O482" s="189"/>
      <c r="P482" s="189"/>
      <c r="Q482" s="190"/>
      <c r="R482" s="189"/>
      <c r="S482" s="189"/>
      <c r="T482" s="190"/>
      <c r="U482" s="189"/>
      <c r="V482" s="189"/>
      <c r="W482" s="190"/>
      <c r="X482" s="189"/>
      <c r="Y482" s="189"/>
      <c r="Z482" s="190"/>
      <c r="AA482" s="189"/>
      <c r="AB482" s="189"/>
    </row>
    <row r="483" spans="13:28">
      <c r="M483" s="189"/>
      <c r="N483" s="190"/>
      <c r="O483" s="189"/>
      <c r="P483" s="189"/>
      <c r="Q483" s="190"/>
      <c r="R483" s="189"/>
      <c r="S483" s="189"/>
      <c r="T483" s="190"/>
      <c r="U483" s="189"/>
      <c r="V483" s="189"/>
      <c r="W483" s="190"/>
      <c r="X483" s="189"/>
      <c r="Y483" s="189"/>
      <c r="Z483" s="190"/>
      <c r="AA483" s="189"/>
      <c r="AB483" s="189"/>
    </row>
    <row r="484" spans="13:28">
      <c r="M484" s="189"/>
      <c r="N484" s="190"/>
      <c r="O484" s="189"/>
      <c r="P484" s="189"/>
      <c r="Q484" s="190"/>
      <c r="R484" s="189"/>
      <c r="S484" s="189"/>
      <c r="T484" s="190"/>
      <c r="U484" s="189"/>
      <c r="V484" s="189"/>
      <c r="W484" s="190"/>
      <c r="X484" s="189"/>
      <c r="Y484" s="189"/>
      <c r="Z484" s="190"/>
      <c r="AA484" s="189"/>
      <c r="AB484" s="189"/>
    </row>
    <row r="485" spans="13:28">
      <c r="M485" s="189"/>
      <c r="N485" s="190"/>
      <c r="O485" s="189"/>
      <c r="P485" s="189"/>
      <c r="Q485" s="190"/>
      <c r="R485" s="189"/>
      <c r="S485" s="189"/>
      <c r="T485" s="190"/>
      <c r="U485" s="189"/>
      <c r="V485" s="189"/>
      <c r="W485" s="190"/>
      <c r="X485" s="189"/>
      <c r="Y485" s="189"/>
      <c r="Z485" s="190"/>
      <c r="AA485" s="189"/>
      <c r="AB485" s="189"/>
    </row>
    <row r="486" spans="13:28">
      <c r="M486" s="189"/>
      <c r="N486" s="190"/>
      <c r="O486" s="189"/>
      <c r="P486" s="189"/>
      <c r="Q486" s="190"/>
      <c r="R486" s="189"/>
      <c r="S486" s="189"/>
      <c r="T486" s="190"/>
      <c r="U486" s="189"/>
      <c r="V486" s="189"/>
      <c r="W486" s="190"/>
      <c r="X486" s="189"/>
      <c r="Y486" s="189"/>
      <c r="Z486" s="190"/>
      <c r="AA486" s="189"/>
      <c r="AB486" s="189"/>
    </row>
    <row r="487" spans="13:28">
      <c r="M487" s="189"/>
      <c r="N487" s="190"/>
      <c r="O487" s="189"/>
      <c r="P487" s="189"/>
      <c r="Q487" s="190"/>
      <c r="R487" s="189"/>
      <c r="S487" s="189"/>
      <c r="T487" s="190"/>
      <c r="U487" s="189"/>
      <c r="V487" s="189"/>
      <c r="W487" s="190"/>
      <c r="X487" s="189"/>
      <c r="Y487" s="189"/>
      <c r="Z487" s="190"/>
      <c r="AA487" s="189"/>
      <c r="AB487" s="189"/>
    </row>
    <row r="488" spans="13:28">
      <c r="M488" s="189"/>
      <c r="N488" s="190"/>
      <c r="O488" s="189"/>
      <c r="P488" s="189"/>
      <c r="Q488" s="190"/>
      <c r="R488" s="189"/>
      <c r="S488" s="189"/>
      <c r="T488" s="190"/>
      <c r="U488" s="189"/>
      <c r="V488" s="189"/>
      <c r="W488" s="190"/>
      <c r="X488" s="189"/>
      <c r="Y488" s="189"/>
      <c r="Z488" s="190"/>
      <c r="AA488" s="189"/>
      <c r="AB488" s="189"/>
    </row>
    <row r="489" spans="13:28">
      <c r="M489" s="189"/>
      <c r="N489" s="190"/>
      <c r="O489" s="189"/>
      <c r="P489" s="189"/>
      <c r="Q489" s="190"/>
      <c r="R489" s="189"/>
      <c r="S489" s="189"/>
      <c r="T489" s="190"/>
      <c r="U489" s="189"/>
      <c r="V489" s="189"/>
      <c r="W489" s="190"/>
      <c r="X489" s="189"/>
      <c r="Y489" s="189"/>
      <c r="Z489" s="190"/>
      <c r="AA489" s="189"/>
      <c r="AB489" s="189"/>
    </row>
    <row r="490" spans="13:28">
      <c r="M490" s="189"/>
      <c r="N490" s="190"/>
      <c r="O490" s="189"/>
      <c r="P490" s="189"/>
      <c r="Q490" s="190"/>
      <c r="R490" s="189"/>
      <c r="S490" s="189"/>
      <c r="T490" s="190"/>
      <c r="U490" s="189"/>
      <c r="V490" s="189"/>
      <c r="W490" s="190"/>
      <c r="X490" s="189"/>
      <c r="Y490" s="189"/>
      <c r="Z490" s="190"/>
      <c r="AA490" s="189"/>
      <c r="AB490" s="189"/>
    </row>
    <row r="491" spans="13:28">
      <c r="M491" s="189"/>
      <c r="N491" s="190"/>
      <c r="O491" s="189"/>
      <c r="P491" s="189"/>
      <c r="Q491" s="190"/>
      <c r="R491" s="189"/>
      <c r="S491" s="189"/>
      <c r="T491" s="190"/>
      <c r="U491" s="189"/>
      <c r="V491" s="189"/>
      <c r="W491" s="190"/>
      <c r="X491" s="189"/>
      <c r="Y491" s="189"/>
      <c r="Z491" s="190"/>
      <c r="AA491" s="189"/>
      <c r="AB491" s="189"/>
    </row>
    <row r="492" spans="13:28">
      <c r="M492" s="189"/>
      <c r="N492" s="190"/>
      <c r="O492" s="189"/>
      <c r="P492" s="189"/>
      <c r="Q492" s="190"/>
      <c r="R492" s="189"/>
      <c r="S492" s="189"/>
      <c r="T492" s="190"/>
      <c r="U492" s="189"/>
      <c r="V492" s="189"/>
      <c r="W492" s="190"/>
      <c r="X492" s="189"/>
      <c r="Y492" s="189"/>
      <c r="Z492" s="190"/>
      <c r="AA492" s="189"/>
      <c r="AB492" s="189"/>
    </row>
    <row r="493" spans="13:28">
      <c r="M493" s="189"/>
      <c r="N493" s="190"/>
      <c r="O493" s="189"/>
      <c r="P493" s="189"/>
      <c r="Q493" s="190"/>
      <c r="R493" s="189"/>
      <c r="S493" s="189"/>
      <c r="T493" s="190"/>
      <c r="U493" s="189"/>
      <c r="V493" s="189"/>
      <c r="W493" s="190"/>
      <c r="X493" s="189"/>
      <c r="Y493" s="189"/>
      <c r="Z493" s="190"/>
      <c r="AA493" s="189"/>
      <c r="AB493" s="189"/>
    </row>
    <row r="494" spans="13:28">
      <c r="M494" s="189"/>
      <c r="N494" s="190"/>
      <c r="O494" s="189"/>
      <c r="P494" s="189"/>
      <c r="Q494" s="190"/>
      <c r="R494" s="189"/>
      <c r="S494" s="189"/>
      <c r="T494" s="190"/>
      <c r="U494" s="189"/>
      <c r="V494" s="189"/>
      <c r="W494" s="190"/>
      <c r="X494" s="189"/>
      <c r="Y494" s="189"/>
      <c r="Z494" s="190"/>
      <c r="AA494" s="189"/>
      <c r="AB494" s="189"/>
    </row>
    <row r="495" spans="13:28">
      <c r="M495" s="189"/>
      <c r="N495" s="190"/>
      <c r="O495" s="189"/>
      <c r="P495" s="189"/>
      <c r="Q495" s="190"/>
      <c r="R495" s="189"/>
      <c r="S495" s="189"/>
      <c r="T495" s="190"/>
      <c r="U495" s="189"/>
      <c r="V495" s="189"/>
      <c r="W495" s="190"/>
      <c r="X495" s="189"/>
      <c r="Y495" s="189"/>
      <c r="Z495" s="190"/>
      <c r="AA495" s="189"/>
      <c r="AB495" s="189"/>
    </row>
    <row r="496" spans="13:28">
      <c r="M496" s="189"/>
      <c r="N496" s="190"/>
      <c r="O496" s="189"/>
      <c r="P496" s="189"/>
      <c r="Q496" s="190"/>
      <c r="R496" s="189"/>
      <c r="S496" s="189"/>
      <c r="T496" s="190"/>
      <c r="U496" s="189"/>
      <c r="V496" s="189"/>
      <c r="W496" s="190"/>
      <c r="X496" s="189"/>
      <c r="Y496" s="189"/>
      <c r="Z496" s="190"/>
      <c r="AA496" s="189"/>
      <c r="AB496" s="189"/>
    </row>
    <row r="497" spans="13:28">
      <c r="M497" s="189"/>
      <c r="N497" s="190"/>
      <c r="O497" s="189"/>
      <c r="P497" s="189"/>
      <c r="Q497" s="190"/>
      <c r="R497" s="189"/>
      <c r="S497" s="189"/>
      <c r="T497" s="190"/>
      <c r="U497" s="189"/>
      <c r="V497" s="189"/>
      <c r="W497" s="190"/>
      <c r="X497" s="189"/>
      <c r="Y497" s="189"/>
      <c r="Z497" s="190"/>
      <c r="AA497" s="189"/>
      <c r="AB497" s="189"/>
    </row>
    <row r="498" spans="13:28">
      <c r="M498" s="189"/>
      <c r="N498" s="190"/>
      <c r="O498" s="189"/>
      <c r="P498" s="189"/>
      <c r="Q498" s="190"/>
      <c r="R498" s="189"/>
      <c r="S498" s="189"/>
      <c r="T498" s="190"/>
      <c r="U498" s="189"/>
      <c r="V498" s="189"/>
      <c r="W498" s="190"/>
      <c r="X498" s="189"/>
      <c r="Y498" s="189"/>
      <c r="Z498" s="190"/>
      <c r="AA498" s="189"/>
      <c r="AB498" s="189"/>
    </row>
    <row r="499" spans="13:28">
      <c r="M499" s="189"/>
      <c r="N499" s="190"/>
      <c r="O499" s="189"/>
      <c r="P499" s="189"/>
      <c r="Q499" s="190"/>
      <c r="R499" s="189"/>
      <c r="S499" s="189"/>
      <c r="T499" s="190"/>
      <c r="U499" s="189"/>
      <c r="V499" s="189"/>
      <c r="W499" s="190"/>
      <c r="X499" s="189"/>
      <c r="Y499" s="189"/>
      <c r="Z499" s="190"/>
      <c r="AA499" s="189"/>
      <c r="AB499" s="189"/>
    </row>
    <row r="500" spans="13:28">
      <c r="M500" s="189"/>
      <c r="N500" s="190"/>
      <c r="O500" s="189"/>
      <c r="P500" s="189"/>
      <c r="Q500" s="190"/>
      <c r="R500" s="189"/>
      <c r="S500" s="189"/>
      <c r="T500" s="190"/>
      <c r="U500" s="189"/>
      <c r="V500" s="189"/>
      <c r="W500" s="190"/>
      <c r="X500" s="189"/>
      <c r="Y500" s="189"/>
      <c r="Z500" s="190"/>
      <c r="AA500" s="189"/>
      <c r="AB500" s="189"/>
    </row>
    <row r="501" spans="13:28">
      <c r="M501" s="189"/>
      <c r="N501" s="190"/>
      <c r="O501" s="189"/>
      <c r="P501" s="189"/>
      <c r="Q501" s="190"/>
      <c r="R501" s="189"/>
      <c r="S501" s="189"/>
      <c r="T501" s="190"/>
      <c r="U501" s="189"/>
      <c r="V501" s="189"/>
      <c r="W501" s="190"/>
      <c r="X501" s="189"/>
      <c r="Y501" s="189"/>
      <c r="Z501" s="190"/>
      <c r="AA501" s="189"/>
      <c r="AB501" s="189"/>
    </row>
    <row r="502" spans="13:28">
      <c r="M502" s="189"/>
      <c r="N502" s="190"/>
      <c r="O502" s="189"/>
      <c r="P502" s="189"/>
      <c r="Q502" s="190"/>
      <c r="R502" s="189"/>
      <c r="S502" s="189"/>
      <c r="T502" s="190"/>
      <c r="U502" s="189"/>
      <c r="V502" s="189"/>
      <c r="W502" s="190"/>
      <c r="X502" s="189"/>
      <c r="Y502" s="189"/>
      <c r="Z502" s="190"/>
      <c r="AA502" s="189"/>
      <c r="AB502" s="189"/>
    </row>
    <row r="503" spans="13:28">
      <c r="M503" s="189"/>
      <c r="N503" s="190"/>
      <c r="O503" s="189"/>
      <c r="P503" s="189"/>
      <c r="Q503" s="190"/>
      <c r="R503" s="189"/>
      <c r="S503" s="189"/>
      <c r="T503" s="190"/>
      <c r="U503" s="189"/>
      <c r="V503" s="189"/>
      <c r="W503" s="190"/>
      <c r="X503" s="189"/>
      <c r="Y503" s="189"/>
      <c r="Z503" s="190"/>
      <c r="AA503" s="189"/>
      <c r="AB503" s="189"/>
    </row>
    <row r="504" spans="13:28">
      <c r="M504" s="189"/>
      <c r="N504" s="190"/>
      <c r="O504" s="189"/>
      <c r="P504" s="189"/>
      <c r="Q504" s="190"/>
      <c r="R504" s="189"/>
      <c r="S504" s="189"/>
      <c r="T504" s="190"/>
      <c r="U504" s="189"/>
      <c r="V504" s="189"/>
      <c r="W504" s="190"/>
      <c r="X504" s="189"/>
      <c r="Y504" s="189"/>
      <c r="Z504" s="190"/>
      <c r="AA504" s="189"/>
      <c r="AB504" s="189"/>
    </row>
    <row r="505" spans="13:28">
      <c r="M505" s="189"/>
      <c r="N505" s="190"/>
      <c r="O505" s="189"/>
      <c r="P505" s="189"/>
      <c r="Q505" s="190"/>
      <c r="R505" s="189"/>
      <c r="S505" s="189"/>
      <c r="T505" s="190"/>
      <c r="U505" s="189"/>
      <c r="V505" s="189"/>
      <c r="W505" s="190"/>
      <c r="X505" s="189"/>
      <c r="Y505" s="189"/>
      <c r="Z505" s="190"/>
      <c r="AA505" s="189"/>
      <c r="AB505" s="189"/>
    </row>
    <row r="506" spans="13:28">
      <c r="M506" s="189"/>
      <c r="N506" s="190"/>
      <c r="O506" s="189"/>
      <c r="P506" s="189"/>
      <c r="Q506" s="190"/>
      <c r="R506" s="189"/>
      <c r="S506" s="189"/>
      <c r="T506" s="190"/>
      <c r="U506" s="189"/>
      <c r="V506" s="189"/>
      <c r="W506" s="190"/>
      <c r="X506" s="189"/>
      <c r="Y506" s="189"/>
      <c r="Z506" s="190"/>
      <c r="AA506" s="189"/>
      <c r="AB506" s="189"/>
    </row>
    <row r="507" spans="13:28">
      <c r="M507" s="189"/>
      <c r="N507" s="190"/>
      <c r="O507" s="189"/>
      <c r="P507" s="189"/>
      <c r="Q507" s="190"/>
      <c r="R507" s="189"/>
      <c r="S507" s="189"/>
      <c r="T507" s="190"/>
      <c r="U507" s="189"/>
      <c r="V507" s="189"/>
      <c r="W507" s="190"/>
      <c r="X507" s="189"/>
      <c r="Y507" s="189"/>
      <c r="Z507" s="190"/>
      <c r="AA507" s="189"/>
      <c r="AB507" s="189"/>
    </row>
    <row r="508" spans="13:28">
      <c r="M508" s="189"/>
      <c r="N508" s="190"/>
      <c r="O508" s="189"/>
      <c r="P508" s="189"/>
      <c r="Q508" s="190"/>
      <c r="R508" s="189"/>
      <c r="S508" s="189"/>
      <c r="T508" s="190"/>
      <c r="U508" s="189"/>
      <c r="V508" s="189"/>
      <c r="W508" s="190"/>
      <c r="X508" s="189"/>
      <c r="Y508" s="189"/>
      <c r="Z508" s="190"/>
      <c r="AA508" s="189"/>
      <c r="AB508" s="189"/>
    </row>
    <row r="509" spans="13:28">
      <c r="M509" s="189"/>
      <c r="N509" s="190"/>
      <c r="O509" s="189"/>
      <c r="P509" s="189"/>
      <c r="Q509" s="190"/>
      <c r="R509" s="189"/>
      <c r="S509" s="189"/>
      <c r="T509" s="190"/>
      <c r="U509" s="189"/>
      <c r="V509" s="189"/>
      <c r="W509" s="190"/>
      <c r="X509" s="189"/>
      <c r="Y509" s="189"/>
      <c r="Z509" s="190"/>
      <c r="AA509" s="189"/>
      <c r="AB509" s="189"/>
    </row>
    <row r="510" spans="13:28">
      <c r="M510" s="189"/>
      <c r="N510" s="190"/>
      <c r="O510" s="189"/>
      <c r="P510" s="189"/>
      <c r="Q510" s="190"/>
      <c r="R510" s="189"/>
      <c r="S510" s="189"/>
      <c r="T510" s="190"/>
      <c r="U510" s="189"/>
      <c r="V510" s="189"/>
      <c r="W510" s="190"/>
      <c r="X510" s="189"/>
      <c r="Y510" s="189"/>
      <c r="Z510" s="190"/>
      <c r="AA510" s="189"/>
      <c r="AB510" s="189"/>
    </row>
    <row r="511" spans="13:28">
      <c r="M511" s="189"/>
      <c r="N511" s="190"/>
      <c r="O511" s="189"/>
      <c r="P511" s="189"/>
      <c r="Q511" s="190"/>
      <c r="R511" s="189"/>
      <c r="S511" s="189"/>
      <c r="T511" s="190"/>
      <c r="U511" s="189"/>
      <c r="V511" s="189"/>
      <c r="W511" s="190"/>
      <c r="X511" s="189"/>
      <c r="Y511" s="189"/>
      <c r="Z511" s="190"/>
      <c r="AA511" s="189"/>
      <c r="AB511" s="189"/>
    </row>
    <row r="512" spans="13:28">
      <c r="M512" s="189"/>
      <c r="N512" s="190"/>
      <c r="O512" s="189"/>
      <c r="P512" s="189"/>
      <c r="Q512" s="190"/>
      <c r="R512" s="189"/>
      <c r="S512" s="189"/>
      <c r="T512" s="190"/>
      <c r="U512" s="189"/>
      <c r="V512" s="189"/>
      <c r="W512" s="190"/>
      <c r="X512" s="189"/>
      <c r="Y512" s="189"/>
      <c r="Z512" s="190"/>
      <c r="AA512" s="189"/>
      <c r="AB512" s="189"/>
    </row>
    <row r="513" spans="13:28">
      <c r="M513" s="189"/>
      <c r="N513" s="190"/>
      <c r="O513" s="189"/>
      <c r="P513" s="189"/>
      <c r="Q513" s="190"/>
      <c r="R513" s="189"/>
      <c r="S513" s="189"/>
      <c r="T513" s="190"/>
      <c r="U513" s="189"/>
      <c r="V513" s="189"/>
      <c r="W513" s="190"/>
      <c r="X513" s="189"/>
      <c r="Y513" s="189"/>
      <c r="Z513" s="190"/>
      <c r="AA513" s="189"/>
      <c r="AB513" s="189"/>
    </row>
    <row r="514" spans="13:28">
      <c r="M514" s="189"/>
      <c r="N514" s="190"/>
      <c r="O514" s="189"/>
      <c r="P514" s="189"/>
      <c r="Q514" s="190"/>
      <c r="R514" s="189"/>
      <c r="S514" s="189"/>
      <c r="T514" s="190"/>
      <c r="U514" s="189"/>
      <c r="V514" s="189"/>
      <c r="W514" s="190"/>
      <c r="X514" s="189"/>
      <c r="Y514" s="189"/>
      <c r="Z514" s="190"/>
      <c r="AA514" s="189"/>
      <c r="AB514" s="189"/>
    </row>
    <row r="515" spans="13:28">
      <c r="M515" s="189"/>
      <c r="N515" s="190"/>
      <c r="O515" s="189"/>
      <c r="P515" s="189"/>
      <c r="Q515" s="190"/>
      <c r="R515" s="189"/>
      <c r="S515" s="189"/>
      <c r="T515" s="190"/>
      <c r="U515" s="189"/>
      <c r="V515" s="189"/>
      <c r="W515" s="190"/>
      <c r="X515" s="189"/>
      <c r="Y515" s="189"/>
      <c r="Z515" s="190"/>
      <c r="AA515" s="189"/>
      <c r="AB515" s="189"/>
    </row>
    <row r="516" spans="13:28">
      <c r="M516" s="189"/>
      <c r="N516" s="190"/>
      <c r="O516" s="189"/>
      <c r="P516" s="189"/>
      <c r="Q516" s="190"/>
      <c r="R516" s="189"/>
      <c r="S516" s="189"/>
      <c r="T516" s="190"/>
      <c r="U516" s="189"/>
      <c r="V516" s="189"/>
      <c r="W516" s="190"/>
      <c r="X516" s="189"/>
      <c r="Y516" s="189"/>
      <c r="Z516" s="190"/>
      <c r="AA516" s="189"/>
      <c r="AB516" s="189"/>
    </row>
    <row r="517" spans="13:28">
      <c r="M517" s="189"/>
      <c r="N517" s="190"/>
      <c r="O517" s="189"/>
      <c r="P517" s="189"/>
      <c r="Q517" s="190"/>
      <c r="R517" s="189"/>
      <c r="S517" s="189"/>
      <c r="T517" s="190"/>
      <c r="U517" s="189"/>
      <c r="V517" s="189"/>
      <c r="W517" s="190"/>
      <c r="X517" s="189"/>
      <c r="Y517" s="189"/>
      <c r="Z517" s="190"/>
      <c r="AA517" s="189"/>
      <c r="AB517" s="189"/>
    </row>
    <row r="518" spans="13:28">
      <c r="M518" s="189"/>
      <c r="N518" s="190"/>
      <c r="O518" s="189"/>
      <c r="P518" s="189"/>
      <c r="Q518" s="190"/>
      <c r="R518" s="189"/>
      <c r="S518" s="189"/>
      <c r="T518" s="190"/>
      <c r="U518" s="189"/>
      <c r="V518" s="189"/>
      <c r="W518" s="190"/>
      <c r="X518" s="189"/>
      <c r="Y518" s="189"/>
      <c r="Z518" s="190"/>
      <c r="AA518" s="189"/>
      <c r="AB518" s="189"/>
    </row>
    <row r="519" spans="13:28">
      <c r="M519" s="189"/>
      <c r="N519" s="190"/>
      <c r="O519" s="189"/>
      <c r="P519" s="189"/>
      <c r="Q519" s="190"/>
      <c r="R519" s="189"/>
      <c r="S519" s="189"/>
      <c r="T519" s="190"/>
      <c r="U519" s="189"/>
      <c r="V519" s="189"/>
      <c r="W519" s="190"/>
      <c r="X519" s="189"/>
      <c r="Y519" s="189"/>
      <c r="Z519" s="190"/>
      <c r="AA519" s="189"/>
      <c r="AB519" s="189"/>
    </row>
    <row r="520" spans="13:28">
      <c r="M520" s="189"/>
      <c r="N520" s="190"/>
      <c r="O520" s="189"/>
      <c r="P520" s="189"/>
      <c r="Q520" s="190"/>
      <c r="R520" s="189"/>
      <c r="S520" s="189"/>
      <c r="T520" s="190"/>
      <c r="U520" s="189"/>
      <c r="V520" s="189"/>
      <c r="W520" s="190"/>
      <c r="X520" s="189"/>
      <c r="Y520" s="189"/>
      <c r="Z520" s="190"/>
      <c r="AA520" s="189"/>
      <c r="AB520" s="189"/>
    </row>
    <row r="521" spans="13:28">
      <c r="M521" s="189"/>
      <c r="N521" s="190"/>
      <c r="O521" s="189"/>
      <c r="P521" s="189"/>
      <c r="Q521" s="190"/>
      <c r="R521" s="189"/>
      <c r="S521" s="189"/>
      <c r="T521" s="190"/>
      <c r="U521" s="189"/>
      <c r="V521" s="189"/>
      <c r="W521" s="190"/>
      <c r="X521" s="189"/>
      <c r="Y521" s="189"/>
      <c r="Z521" s="190"/>
      <c r="AA521" s="189"/>
      <c r="AB521" s="189"/>
    </row>
    <row r="522" spans="13:28">
      <c r="M522" s="189"/>
      <c r="N522" s="190"/>
      <c r="O522" s="189"/>
      <c r="P522" s="189"/>
      <c r="Q522" s="190"/>
      <c r="R522" s="189"/>
      <c r="S522" s="189"/>
      <c r="T522" s="190"/>
      <c r="U522" s="189"/>
      <c r="V522" s="189"/>
      <c r="W522" s="190"/>
      <c r="X522" s="189"/>
      <c r="Y522" s="189"/>
      <c r="Z522" s="190"/>
      <c r="AA522" s="189"/>
      <c r="AB522" s="189"/>
    </row>
    <row r="523" spans="13:28">
      <c r="M523" s="189"/>
      <c r="N523" s="190"/>
      <c r="O523" s="189"/>
      <c r="P523" s="189"/>
      <c r="Q523" s="190"/>
      <c r="R523" s="189"/>
      <c r="S523" s="189"/>
      <c r="T523" s="190"/>
      <c r="U523" s="189"/>
      <c r="V523" s="189"/>
      <c r="W523" s="190"/>
      <c r="X523" s="189"/>
      <c r="Y523" s="189"/>
      <c r="Z523" s="190"/>
      <c r="AA523" s="189"/>
      <c r="AB523" s="189"/>
    </row>
    <row r="524" spans="13:28">
      <c r="M524" s="189"/>
      <c r="N524" s="190"/>
      <c r="O524" s="189"/>
      <c r="P524" s="189"/>
      <c r="Q524" s="190"/>
      <c r="R524" s="189"/>
      <c r="S524" s="189"/>
      <c r="T524" s="190"/>
      <c r="U524" s="189"/>
      <c r="V524" s="189"/>
      <c r="W524" s="190"/>
      <c r="X524" s="189"/>
      <c r="Y524" s="189"/>
      <c r="Z524" s="190"/>
      <c r="AA524" s="189"/>
      <c r="AB524" s="189"/>
    </row>
    <row r="525" spans="13:28">
      <c r="M525" s="189"/>
      <c r="N525" s="190"/>
      <c r="O525" s="189"/>
      <c r="P525" s="189"/>
      <c r="Q525" s="190"/>
      <c r="R525" s="189"/>
      <c r="S525" s="189"/>
      <c r="T525" s="190"/>
      <c r="U525" s="189"/>
      <c r="V525" s="189"/>
      <c r="W525" s="190"/>
      <c r="X525" s="189"/>
      <c r="Y525" s="189"/>
      <c r="Z525" s="190"/>
      <c r="AA525" s="189"/>
      <c r="AB525" s="189"/>
    </row>
    <row r="526" spans="13:28">
      <c r="M526" s="189"/>
      <c r="N526" s="190"/>
      <c r="O526" s="189"/>
      <c r="P526" s="189"/>
      <c r="Q526" s="190"/>
      <c r="R526" s="189"/>
      <c r="S526" s="189"/>
      <c r="T526" s="190"/>
      <c r="U526" s="189"/>
      <c r="V526" s="189"/>
      <c r="W526" s="190"/>
      <c r="X526" s="189"/>
      <c r="Y526" s="189"/>
      <c r="Z526" s="190"/>
      <c r="AA526" s="189"/>
      <c r="AB526" s="189"/>
    </row>
    <row r="527" spans="13:28">
      <c r="M527" s="189"/>
      <c r="N527" s="190"/>
      <c r="O527" s="189"/>
      <c r="P527" s="189"/>
      <c r="Q527" s="190"/>
      <c r="R527" s="189"/>
      <c r="S527" s="189"/>
      <c r="T527" s="190"/>
      <c r="U527" s="189"/>
      <c r="V527" s="189"/>
      <c r="W527" s="190"/>
      <c r="X527" s="189"/>
      <c r="Y527" s="189"/>
      <c r="Z527" s="190"/>
      <c r="AA527" s="189"/>
      <c r="AB527" s="189"/>
    </row>
    <row r="528" spans="13:28">
      <c r="M528" s="189"/>
      <c r="N528" s="190"/>
      <c r="O528" s="189"/>
      <c r="P528" s="189"/>
      <c r="Q528" s="190"/>
      <c r="R528" s="189"/>
      <c r="S528" s="189"/>
      <c r="T528" s="190"/>
      <c r="U528" s="189"/>
      <c r="V528" s="189"/>
      <c r="W528" s="190"/>
      <c r="X528" s="189"/>
      <c r="Y528" s="189"/>
      <c r="Z528" s="190"/>
      <c r="AA528" s="189"/>
      <c r="AB528" s="189"/>
    </row>
    <row r="529" spans="13:28">
      <c r="M529" s="189"/>
      <c r="N529" s="190"/>
      <c r="O529" s="189"/>
      <c r="P529" s="189"/>
      <c r="Q529" s="190"/>
      <c r="R529" s="189"/>
      <c r="S529" s="189"/>
      <c r="T529" s="190"/>
      <c r="U529" s="189"/>
      <c r="V529" s="189"/>
      <c r="W529" s="190"/>
      <c r="X529" s="189"/>
      <c r="Y529" s="189"/>
      <c r="Z529" s="190"/>
      <c r="AA529" s="189"/>
      <c r="AB529" s="189"/>
    </row>
    <row r="530" spans="13:28">
      <c r="M530" s="189"/>
      <c r="N530" s="190"/>
      <c r="O530" s="189"/>
      <c r="P530" s="189"/>
      <c r="Q530" s="190"/>
      <c r="R530" s="189"/>
      <c r="S530" s="189"/>
      <c r="T530" s="190"/>
      <c r="U530" s="189"/>
      <c r="V530" s="189"/>
      <c r="W530" s="190"/>
      <c r="X530" s="189"/>
      <c r="Y530" s="189"/>
      <c r="Z530" s="190"/>
      <c r="AA530" s="189"/>
      <c r="AB530" s="189"/>
    </row>
    <row r="531" spans="13:28">
      <c r="M531" s="189"/>
      <c r="N531" s="190"/>
      <c r="O531" s="189"/>
      <c r="P531" s="189"/>
      <c r="Q531" s="190"/>
      <c r="R531" s="189"/>
      <c r="S531" s="189"/>
      <c r="T531" s="190"/>
      <c r="U531" s="189"/>
      <c r="V531" s="189"/>
      <c r="W531" s="190"/>
      <c r="X531" s="189"/>
      <c r="Y531" s="189"/>
      <c r="Z531" s="190"/>
      <c r="AA531" s="189"/>
      <c r="AB531" s="189"/>
    </row>
    <row r="532" spans="13:28">
      <c r="M532" s="189"/>
      <c r="N532" s="190"/>
      <c r="O532" s="189"/>
      <c r="P532" s="189"/>
      <c r="Q532" s="190"/>
      <c r="R532" s="189"/>
      <c r="S532" s="189"/>
      <c r="T532" s="190"/>
      <c r="U532" s="189"/>
      <c r="V532" s="189"/>
      <c r="W532" s="190"/>
      <c r="X532" s="189"/>
      <c r="Y532" s="189"/>
      <c r="Z532" s="190"/>
      <c r="AA532" s="189"/>
      <c r="AB532" s="189"/>
    </row>
    <row r="533" spans="13:28">
      <c r="M533" s="189"/>
      <c r="N533" s="190"/>
      <c r="O533" s="189"/>
      <c r="P533" s="189"/>
      <c r="Q533" s="190"/>
      <c r="R533" s="189"/>
      <c r="S533" s="189"/>
      <c r="T533" s="190"/>
      <c r="U533" s="189"/>
      <c r="V533" s="189"/>
      <c r="W533" s="190"/>
      <c r="X533" s="189"/>
      <c r="Y533" s="189"/>
      <c r="Z533" s="190"/>
      <c r="AA533" s="189"/>
      <c r="AB533" s="189"/>
    </row>
    <row r="534" spans="13:28">
      <c r="M534" s="189"/>
      <c r="N534" s="190"/>
      <c r="O534" s="189"/>
      <c r="P534" s="189"/>
      <c r="Q534" s="190"/>
      <c r="R534" s="189"/>
      <c r="S534" s="189"/>
      <c r="T534" s="190"/>
      <c r="U534" s="189"/>
      <c r="V534" s="189"/>
      <c r="W534" s="190"/>
      <c r="X534" s="189"/>
      <c r="Y534" s="189"/>
      <c r="Z534" s="190"/>
      <c r="AA534" s="189"/>
      <c r="AB534" s="189"/>
    </row>
    <row r="535" spans="13:28">
      <c r="M535" s="189"/>
      <c r="N535" s="190"/>
      <c r="O535" s="189"/>
      <c r="P535" s="189"/>
      <c r="Q535" s="190"/>
      <c r="R535" s="189"/>
      <c r="S535" s="189"/>
      <c r="T535" s="190"/>
      <c r="U535" s="189"/>
      <c r="V535" s="189"/>
      <c r="W535" s="190"/>
      <c r="X535" s="189"/>
      <c r="Y535" s="189"/>
      <c r="Z535" s="190"/>
      <c r="AA535" s="189"/>
      <c r="AB535" s="189"/>
    </row>
    <row r="536" spans="13:28">
      <c r="M536" s="189"/>
      <c r="N536" s="190"/>
      <c r="O536" s="189"/>
      <c r="P536" s="189"/>
      <c r="Q536" s="190"/>
      <c r="R536" s="189"/>
      <c r="S536" s="189"/>
      <c r="T536" s="190"/>
      <c r="U536" s="189"/>
      <c r="V536" s="189"/>
      <c r="W536" s="190"/>
      <c r="X536" s="189"/>
      <c r="Y536" s="189"/>
      <c r="Z536" s="190"/>
      <c r="AA536" s="189"/>
      <c r="AB536" s="189"/>
    </row>
    <row r="537" spans="13:28">
      <c r="M537" s="189"/>
      <c r="N537" s="190"/>
      <c r="O537" s="189"/>
      <c r="P537" s="189"/>
      <c r="Q537" s="190"/>
      <c r="R537" s="189"/>
      <c r="S537" s="189"/>
      <c r="T537" s="190"/>
      <c r="U537" s="189"/>
      <c r="V537" s="189"/>
      <c r="W537" s="190"/>
      <c r="X537" s="189"/>
      <c r="Y537" s="189"/>
      <c r="Z537" s="190"/>
      <c r="AA537" s="189"/>
      <c r="AB537" s="189"/>
    </row>
    <row r="538" spans="13:28">
      <c r="M538" s="189"/>
      <c r="N538" s="190"/>
      <c r="O538" s="189"/>
      <c r="P538" s="189"/>
      <c r="Q538" s="190"/>
      <c r="R538" s="189"/>
      <c r="S538" s="189"/>
      <c r="T538" s="190"/>
      <c r="U538" s="189"/>
      <c r="V538" s="189"/>
      <c r="W538" s="190"/>
      <c r="X538" s="189"/>
      <c r="Y538" s="189"/>
      <c r="Z538" s="190"/>
      <c r="AA538" s="189"/>
      <c r="AB538" s="189"/>
    </row>
    <row r="539" spans="13:28">
      <c r="M539" s="189"/>
      <c r="N539" s="190"/>
      <c r="O539" s="189"/>
      <c r="P539" s="189"/>
      <c r="Q539" s="190"/>
      <c r="R539" s="189"/>
      <c r="S539" s="189"/>
      <c r="T539" s="190"/>
      <c r="U539" s="189"/>
      <c r="V539" s="189"/>
      <c r="W539" s="190"/>
      <c r="X539" s="189"/>
      <c r="Y539" s="189"/>
      <c r="Z539" s="190"/>
      <c r="AA539" s="189"/>
      <c r="AB539" s="189"/>
    </row>
    <row r="540" spans="13:28">
      <c r="M540" s="189"/>
      <c r="N540" s="190"/>
      <c r="O540" s="189"/>
      <c r="P540" s="189"/>
      <c r="Q540" s="190"/>
      <c r="R540" s="189"/>
      <c r="S540" s="189"/>
      <c r="T540" s="190"/>
      <c r="U540" s="189"/>
      <c r="V540" s="189"/>
      <c r="W540" s="190"/>
      <c r="X540" s="189"/>
      <c r="Y540" s="189"/>
      <c r="Z540" s="190"/>
      <c r="AA540" s="189"/>
      <c r="AB540" s="189"/>
    </row>
    <row r="541" spans="13:28">
      <c r="M541" s="189"/>
      <c r="N541" s="190"/>
      <c r="O541" s="189"/>
      <c r="P541" s="189"/>
      <c r="Q541" s="190"/>
      <c r="R541" s="189"/>
      <c r="S541" s="189"/>
      <c r="T541" s="190"/>
      <c r="U541" s="189"/>
      <c r="V541" s="189"/>
      <c r="W541" s="190"/>
      <c r="X541" s="189"/>
      <c r="Y541" s="189"/>
      <c r="Z541" s="190"/>
      <c r="AA541" s="189"/>
      <c r="AB541" s="189"/>
    </row>
    <row r="542" spans="13:28">
      <c r="M542" s="189"/>
      <c r="N542" s="190"/>
      <c r="O542" s="189"/>
      <c r="P542" s="189"/>
      <c r="Q542" s="190"/>
      <c r="R542" s="189"/>
      <c r="S542" s="189"/>
      <c r="T542" s="190"/>
      <c r="U542" s="189"/>
      <c r="V542" s="189"/>
      <c r="W542" s="190"/>
      <c r="X542" s="189"/>
      <c r="Y542" s="189"/>
      <c r="Z542" s="190"/>
      <c r="AA542" s="189"/>
      <c r="AB542" s="189"/>
    </row>
    <row r="543" spans="13:28">
      <c r="M543" s="189"/>
      <c r="N543" s="190"/>
      <c r="O543" s="189"/>
      <c r="P543" s="189"/>
      <c r="Q543" s="190"/>
      <c r="R543" s="189"/>
      <c r="S543" s="189"/>
      <c r="T543" s="190"/>
      <c r="U543" s="189"/>
      <c r="V543" s="189"/>
      <c r="W543" s="190"/>
      <c r="X543" s="189"/>
      <c r="Y543" s="189"/>
      <c r="Z543" s="190"/>
      <c r="AA543" s="189"/>
      <c r="AB543" s="189"/>
    </row>
    <row r="544" spans="13:28">
      <c r="M544" s="189"/>
      <c r="N544" s="190"/>
      <c r="O544" s="189"/>
      <c r="P544" s="189"/>
      <c r="Q544" s="190"/>
      <c r="R544" s="189"/>
      <c r="S544" s="189"/>
      <c r="T544" s="190"/>
      <c r="U544" s="189"/>
      <c r="V544" s="189"/>
      <c r="W544" s="190"/>
      <c r="X544" s="189"/>
      <c r="Y544" s="189"/>
      <c r="Z544" s="190"/>
      <c r="AA544" s="189"/>
      <c r="AB544" s="189"/>
    </row>
    <row r="545" spans="13:28">
      <c r="M545" s="189"/>
      <c r="N545" s="190"/>
      <c r="O545" s="189"/>
      <c r="P545" s="189"/>
      <c r="Q545" s="190"/>
      <c r="R545" s="189"/>
      <c r="S545" s="189"/>
      <c r="T545" s="190"/>
      <c r="U545" s="189"/>
      <c r="V545" s="189"/>
      <c r="W545" s="190"/>
      <c r="X545" s="189"/>
      <c r="Y545" s="189"/>
      <c r="Z545" s="190"/>
      <c r="AA545" s="189"/>
      <c r="AB545" s="189"/>
    </row>
    <row r="546" spans="13:28">
      <c r="M546" s="189"/>
      <c r="N546" s="190"/>
      <c r="O546" s="189"/>
      <c r="P546" s="189"/>
      <c r="Q546" s="190"/>
      <c r="R546" s="189"/>
      <c r="S546" s="189"/>
      <c r="T546" s="190"/>
      <c r="U546" s="189"/>
      <c r="V546" s="189"/>
      <c r="W546" s="190"/>
      <c r="X546" s="189"/>
      <c r="Y546" s="189"/>
      <c r="Z546" s="190"/>
      <c r="AA546" s="189"/>
      <c r="AB546" s="189"/>
    </row>
    <row r="547" spans="13:28">
      <c r="M547" s="189"/>
      <c r="N547" s="190"/>
      <c r="O547" s="189"/>
      <c r="P547" s="189"/>
      <c r="Q547" s="190"/>
      <c r="R547" s="189"/>
      <c r="S547" s="189"/>
      <c r="T547" s="190"/>
      <c r="U547" s="189"/>
      <c r="V547" s="189"/>
      <c r="W547" s="190"/>
      <c r="X547" s="189"/>
      <c r="Y547" s="189"/>
      <c r="Z547" s="190"/>
      <c r="AA547" s="189"/>
      <c r="AB547" s="189"/>
    </row>
    <row r="548" spans="13:28">
      <c r="M548" s="189"/>
      <c r="N548" s="190"/>
      <c r="O548" s="189"/>
      <c r="P548" s="189"/>
      <c r="Q548" s="190"/>
      <c r="R548" s="189"/>
      <c r="S548" s="189"/>
      <c r="T548" s="190"/>
      <c r="U548" s="189"/>
      <c r="V548" s="189"/>
      <c r="W548" s="190"/>
      <c r="X548" s="189"/>
      <c r="Y548" s="189"/>
      <c r="Z548" s="190"/>
      <c r="AA548" s="189"/>
      <c r="AB548" s="189"/>
    </row>
    <row r="549" spans="13:28">
      <c r="M549" s="189"/>
      <c r="N549" s="190"/>
      <c r="O549" s="189"/>
      <c r="P549" s="189"/>
      <c r="Q549" s="190"/>
      <c r="R549" s="189"/>
      <c r="S549" s="189"/>
      <c r="T549" s="190"/>
      <c r="U549" s="189"/>
      <c r="V549" s="189"/>
      <c r="W549" s="190"/>
      <c r="X549" s="189"/>
      <c r="Y549" s="189"/>
      <c r="Z549" s="190"/>
      <c r="AA549" s="189"/>
      <c r="AB549" s="189"/>
    </row>
    <row r="550" spans="13:28">
      <c r="M550" s="189"/>
      <c r="N550" s="190"/>
      <c r="O550" s="189"/>
      <c r="P550" s="189"/>
      <c r="Q550" s="190"/>
      <c r="R550" s="189"/>
      <c r="S550" s="189"/>
      <c r="T550" s="190"/>
      <c r="U550" s="189"/>
      <c r="V550" s="189"/>
      <c r="W550" s="190"/>
      <c r="X550" s="189"/>
      <c r="Y550" s="189"/>
      <c r="Z550" s="190"/>
      <c r="AA550" s="189"/>
      <c r="AB550" s="189"/>
    </row>
    <row r="551" spans="13:28">
      <c r="M551" s="189"/>
      <c r="N551" s="190"/>
      <c r="O551" s="189"/>
      <c r="P551" s="189"/>
      <c r="Q551" s="190"/>
      <c r="R551" s="189"/>
      <c r="S551" s="189"/>
      <c r="T551" s="190"/>
      <c r="U551" s="189"/>
      <c r="V551" s="189"/>
      <c r="W551" s="190"/>
      <c r="X551" s="189"/>
      <c r="Y551" s="189"/>
      <c r="Z551" s="190"/>
      <c r="AA551" s="189"/>
      <c r="AB551" s="189"/>
    </row>
    <row r="552" spans="13:28">
      <c r="M552" s="189"/>
      <c r="N552" s="190"/>
      <c r="O552" s="189"/>
      <c r="P552" s="189"/>
      <c r="Q552" s="190"/>
      <c r="R552" s="189"/>
      <c r="S552" s="189"/>
      <c r="T552" s="190"/>
      <c r="U552" s="189"/>
      <c r="V552" s="189"/>
      <c r="W552" s="190"/>
      <c r="X552" s="189"/>
      <c r="Y552" s="189"/>
      <c r="Z552" s="190"/>
      <c r="AA552" s="189"/>
      <c r="AB552" s="189"/>
    </row>
    <row r="553" spans="13:28">
      <c r="M553" s="189"/>
      <c r="N553" s="190"/>
      <c r="O553" s="189"/>
      <c r="P553" s="189"/>
      <c r="Q553" s="190"/>
      <c r="R553" s="189"/>
      <c r="S553" s="189"/>
      <c r="T553" s="190"/>
      <c r="U553" s="189"/>
      <c r="V553" s="189"/>
      <c r="W553" s="190"/>
      <c r="X553" s="189"/>
      <c r="Y553" s="189"/>
      <c r="Z553" s="190"/>
      <c r="AA553" s="189"/>
      <c r="AB553" s="189"/>
    </row>
    <row r="554" spans="13:28">
      <c r="M554" s="189"/>
      <c r="N554" s="190"/>
      <c r="O554" s="189"/>
      <c r="P554" s="189"/>
      <c r="Q554" s="190"/>
      <c r="R554" s="189"/>
      <c r="S554" s="189"/>
      <c r="T554" s="190"/>
      <c r="U554" s="189"/>
      <c r="V554" s="189"/>
      <c r="W554" s="190"/>
      <c r="X554" s="189"/>
      <c r="Y554" s="189"/>
      <c r="Z554" s="190"/>
      <c r="AA554" s="189"/>
      <c r="AB554" s="189"/>
    </row>
    <row r="555" spans="13:28">
      <c r="M555" s="189"/>
      <c r="N555" s="190"/>
      <c r="O555" s="189"/>
      <c r="P555" s="189"/>
      <c r="Q555" s="190"/>
      <c r="R555" s="189"/>
      <c r="S555" s="189"/>
      <c r="T555" s="190"/>
      <c r="U555" s="189"/>
      <c r="V555" s="189"/>
      <c r="W555" s="190"/>
      <c r="X555" s="189"/>
      <c r="Y555" s="189"/>
      <c r="Z555" s="190"/>
      <c r="AA555" s="189"/>
      <c r="AB555" s="189"/>
    </row>
    <row r="556" spans="13:28">
      <c r="M556" s="189"/>
      <c r="N556" s="190"/>
      <c r="O556" s="189"/>
      <c r="P556" s="189"/>
      <c r="Q556" s="190"/>
      <c r="R556" s="189"/>
      <c r="S556" s="189"/>
      <c r="T556" s="190"/>
      <c r="U556" s="189"/>
      <c r="V556" s="189"/>
      <c r="W556" s="190"/>
      <c r="X556" s="189"/>
      <c r="Y556" s="189"/>
      <c r="Z556" s="190"/>
      <c r="AA556" s="189"/>
      <c r="AB556" s="189"/>
    </row>
    <row r="557" spans="13:28">
      <c r="M557" s="189"/>
      <c r="N557" s="190"/>
      <c r="O557" s="189"/>
      <c r="P557" s="189"/>
      <c r="Q557" s="190"/>
      <c r="R557" s="189"/>
      <c r="S557" s="189"/>
      <c r="T557" s="190"/>
      <c r="U557" s="189"/>
      <c r="V557" s="189"/>
      <c r="W557" s="190"/>
      <c r="X557" s="189"/>
      <c r="Y557" s="189"/>
      <c r="Z557" s="190"/>
      <c r="AA557" s="189"/>
      <c r="AB557" s="189"/>
    </row>
    <row r="558" spans="13:28">
      <c r="M558" s="189"/>
      <c r="N558" s="190"/>
      <c r="O558" s="189"/>
      <c r="P558" s="189"/>
      <c r="Q558" s="190"/>
      <c r="R558" s="189"/>
      <c r="S558" s="189"/>
      <c r="T558" s="190"/>
      <c r="U558" s="189"/>
      <c r="V558" s="189"/>
      <c r="W558" s="190"/>
      <c r="X558" s="189"/>
      <c r="Y558" s="189"/>
      <c r="Z558" s="190"/>
      <c r="AA558" s="189"/>
      <c r="AB558" s="189"/>
    </row>
    <row r="559" spans="13:28">
      <c r="M559" s="189"/>
      <c r="N559" s="190"/>
      <c r="O559" s="189"/>
      <c r="P559" s="189"/>
      <c r="Q559" s="190"/>
      <c r="R559" s="189"/>
      <c r="S559" s="189"/>
      <c r="T559" s="190"/>
      <c r="U559" s="189"/>
      <c r="V559" s="189"/>
      <c r="W559" s="190"/>
      <c r="X559" s="189"/>
      <c r="Y559" s="189"/>
      <c r="Z559" s="190"/>
      <c r="AA559" s="189"/>
      <c r="AB559" s="189"/>
    </row>
    <row r="560" spans="13:28">
      <c r="M560" s="189"/>
      <c r="N560" s="190"/>
      <c r="O560" s="189"/>
      <c r="P560" s="189"/>
      <c r="Q560" s="190"/>
      <c r="R560" s="189"/>
      <c r="S560" s="189"/>
      <c r="T560" s="190"/>
      <c r="U560" s="189"/>
      <c r="V560" s="189"/>
      <c r="W560" s="190"/>
      <c r="X560" s="189"/>
      <c r="Y560" s="189"/>
      <c r="Z560" s="190"/>
      <c r="AA560" s="189"/>
      <c r="AB560" s="189"/>
    </row>
    <row r="561" spans="13:28">
      <c r="M561" s="189"/>
      <c r="N561" s="190"/>
      <c r="O561" s="189"/>
      <c r="P561" s="189"/>
      <c r="Q561" s="190"/>
      <c r="R561" s="189"/>
      <c r="S561" s="189"/>
      <c r="T561" s="190"/>
      <c r="U561" s="189"/>
      <c r="V561" s="189"/>
      <c r="W561" s="190"/>
      <c r="X561" s="189"/>
      <c r="Y561" s="189"/>
      <c r="Z561" s="190"/>
      <c r="AA561" s="189"/>
      <c r="AB561" s="189"/>
    </row>
    <row r="562" spans="13:28">
      <c r="M562" s="189"/>
      <c r="N562" s="190"/>
      <c r="O562" s="189"/>
      <c r="P562" s="189"/>
      <c r="Q562" s="190"/>
      <c r="R562" s="189"/>
      <c r="S562" s="189"/>
      <c r="T562" s="190"/>
      <c r="U562" s="189"/>
      <c r="V562" s="189"/>
      <c r="W562" s="190"/>
      <c r="X562" s="189"/>
      <c r="Y562" s="189"/>
      <c r="Z562" s="190"/>
      <c r="AA562" s="189"/>
      <c r="AB562" s="189"/>
    </row>
    <row r="563" spans="13:28">
      <c r="M563" s="189"/>
      <c r="N563" s="190"/>
      <c r="O563" s="189"/>
      <c r="P563" s="189"/>
      <c r="Q563" s="190"/>
      <c r="R563" s="189"/>
      <c r="S563" s="189"/>
      <c r="T563" s="190"/>
      <c r="U563" s="189"/>
      <c r="V563" s="189"/>
      <c r="W563" s="190"/>
      <c r="X563" s="189"/>
      <c r="Y563" s="189"/>
      <c r="Z563" s="190"/>
      <c r="AA563" s="189"/>
      <c r="AB563" s="189"/>
    </row>
    <row r="564" spans="13:28">
      <c r="M564" s="189"/>
      <c r="N564" s="190"/>
      <c r="O564" s="189"/>
      <c r="P564" s="189"/>
      <c r="Q564" s="190"/>
      <c r="R564" s="189"/>
      <c r="S564" s="189"/>
      <c r="T564" s="190"/>
      <c r="U564" s="189"/>
      <c r="V564" s="189"/>
      <c r="W564" s="190"/>
      <c r="X564" s="189"/>
      <c r="Y564" s="189"/>
      <c r="Z564" s="190"/>
      <c r="AA564" s="189"/>
      <c r="AB564" s="189"/>
    </row>
    <row r="565" spans="13:28">
      <c r="M565" s="189"/>
      <c r="N565" s="190"/>
      <c r="O565" s="189"/>
      <c r="P565" s="189"/>
      <c r="Q565" s="190"/>
      <c r="R565" s="189"/>
      <c r="S565" s="189"/>
      <c r="T565" s="190"/>
      <c r="U565" s="189"/>
      <c r="V565" s="189"/>
      <c r="W565" s="190"/>
      <c r="X565" s="189"/>
      <c r="Y565" s="189"/>
      <c r="Z565" s="190"/>
      <c r="AA565" s="189"/>
      <c r="AB565" s="189"/>
    </row>
    <row r="566" spans="13:28">
      <c r="M566" s="189"/>
      <c r="N566" s="190"/>
      <c r="O566" s="189"/>
      <c r="P566" s="189"/>
      <c r="Q566" s="190"/>
      <c r="R566" s="189"/>
      <c r="S566" s="189"/>
      <c r="T566" s="190"/>
      <c r="U566" s="189"/>
      <c r="V566" s="189"/>
      <c r="W566" s="190"/>
      <c r="X566" s="189"/>
      <c r="Y566" s="189"/>
      <c r="Z566" s="190"/>
      <c r="AA566" s="189"/>
      <c r="AB566" s="189"/>
    </row>
    <row r="567" spans="13:28">
      <c r="M567" s="189"/>
      <c r="N567" s="190"/>
      <c r="O567" s="189"/>
      <c r="P567" s="189"/>
      <c r="Q567" s="190"/>
      <c r="R567" s="189"/>
      <c r="S567" s="189"/>
      <c r="T567" s="190"/>
      <c r="U567" s="189"/>
      <c r="V567" s="189"/>
      <c r="W567" s="190"/>
      <c r="X567" s="189"/>
      <c r="Y567" s="189"/>
      <c r="Z567" s="190"/>
      <c r="AA567" s="189"/>
      <c r="AB567" s="189"/>
    </row>
    <row r="568" spans="13:28">
      <c r="M568" s="189"/>
      <c r="N568" s="190"/>
      <c r="O568" s="189"/>
      <c r="P568" s="189"/>
      <c r="Q568" s="190"/>
      <c r="R568" s="189"/>
      <c r="S568" s="189"/>
      <c r="T568" s="190"/>
      <c r="U568" s="189"/>
      <c r="V568" s="189"/>
      <c r="W568" s="190"/>
      <c r="X568" s="189"/>
      <c r="Y568" s="189"/>
      <c r="Z568" s="190"/>
      <c r="AA568" s="189"/>
      <c r="AB568" s="189"/>
    </row>
    <row r="569" spans="13:28">
      <c r="M569" s="189"/>
      <c r="N569" s="190"/>
      <c r="O569" s="189"/>
      <c r="P569" s="189"/>
      <c r="Q569" s="190"/>
      <c r="R569" s="189"/>
      <c r="S569" s="189"/>
      <c r="T569" s="190"/>
      <c r="U569" s="189"/>
      <c r="V569" s="189"/>
      <c r="W569" s="190"/>
      <c r="X569" s="189"/>
      <c r="Y569" s="189"/>
      <c r="Z569" s="190"/>
      <c r="AA569" s="189"/>
      <c r="AB569" s="189"/>
    </row>
    <row r="570" spans="13:28">
      <c r="M570" s="189"/>
      <c r="N570" s="190"/>
      <c r="O570" s="189"/>
      <c r="P570" s="189"/>
      <c r="Q570" s="190"/>
      <c r="R570" s="189"/>
      <c r="S570" s="189"/>
      <c r="T570" s="190"/>
      <c r="U570" s="189"/>
      <c r="V570" s="189"/>
      <c r="W570" s="190"/>
      <c r="X570" s="189"/>
      <c r="Y570" s="189"/>
      <c r="Z570" s="190"/>
      <c r="AA570" s="189"/>
      <c r="AB570" s="189"/>
    </row>
    <row r="571" spans="13:28">
      <c r="M571" s="189"/>
      <c r="N571" s="190"/>
      <c r="O571" s="189"/>
      <c r="P571" s="189"/>
      <c r="Q571" s="190"/>
      <c r="R571" s="189"/>
      <c r="S571" s="189"/>
      <c r="T571" s="190"/>
      <c r="U571" s="189"/>
      <c r="V571" s="189"/>
      <c r="W571" s="190"/>
      <c r="X571" s="189"/>
      <c r="Y571" s="189"/>
      <c r="Z571" s="190"/>
      <c r="AA571" s="189"/>
      <c r="AB571" s="189"/>
    </row>
    <row r="572" spans="13:28">
      <c r="M572" s="189"/>
      <c r="N572" s="190"/>
      <c r="O572" s="189"/>
      <c r="P572" s="189"/>
      <c r="Q572" s="190"/>
      <c r="R572" s="189"/>
      <c r="S572" s="189"/>
      <c r="T572" s="190"/>
      <c r="U572" s="189"/>
      <c r="V572" s="189"/>
      <c r="W572" s="190"/>
      <c r="X572" s="189"/>
      <c r="Y572" s="189"/>
      <c r="Z572" s="190"/>
      <c r="AA572" s="189"/>
      <c r="AB572" s="189"/>
    </row>
    <row r="573" spans="13:28">
      <c r="M573" s="189"/>
      <c r="N573" s="190"/>
      <c r="O573" s="189"/>
      <c r="P573" s="189"/>
      <c r="Q573" s="190"/>
      <c r="R573" s="189"/>
      <c r="S573" s="189"/>
      <c r="T573" s="190"/>
      <c r="U573" s="189"/>
      <c r="V573" s="189"/>
      <c r="W573" s="190"/>
      <c r="X573" s="189"/>
      <c r="Y573" s="189"/>
      <c r="Z573" s="190"/>
      <c r="AA573" s="189"/>
      <c r="AB573" s="189"/>
    </row>
    <row r="574" spans="13:28">
      <c r="M574" s="189"/>
      <c r="N574" s="190"/>
      <c r="O574" s="189"/>
      <c r="P574" s="189"/>
      <c r="Q574" s="190"/>
      <c r="R574" s="189"/>
      <c r="S574" s="189"/>
      <c r="T574" s="190"/>
      <c r="U574" s="189"/>
      <c r="V574" s="189"/>
      <c r="W574" s="190"/>
      <c r="X574" s="189"/>
      <c r="Y574" s="189"/>
      <c r="Z574" s="190"/>
      <c r="AA574" s="189"/>
      <c r="AB574" s="189"/>
    </row>
    <row r="575" spans="13:28">
      <c r="M575" s="189"/>
      <c r="N575" s="190"/>
      <c r="O575" s="189"/>
      <c r="P575" s="189"/>
      <c r="Q575" s="190"/>
      <c r="R575" s="189"/>
      <c r="S575" s="189"/>
      <c r="T575" s="190"/>
      <c r="U575" s="189"/>
      <c r="V575" s="189"/>
      <c r="W575" s="190"/>
      <c r="X575" s="189"/>
      <c r="Y575" s="189"/>
      <c r="Z575" s="190"/>
      <c r="AA575" s="189"/>
      <c r="AB575" s="189"/>
    </row>
    <row r="576" spans="13:28">
      <c r="M576" s="189"/>
      <c r="N576" s="190"/>
      <c r="O576" s="189"/>
      <c r="P576" s="189"/>
      <c r="Q576" s="190"/>
      <c r="R576" s="189"/>
      <c r="S576" s="189"/>
      <c r="T576" s="190"/>
      <c r="U576" s="189"/>
      <c r="V576" s="189"/>
      <c r="W576" s="190"/>
      <c r="X576" s="189"/>
      <c r="Y576" s="189"/>
      <c r="Z576" s="190"/>
      <c r="AA576" s="189"/>
      <c r="AB576" s="189"/>
    </row>
    <row r="577" spans="13:28">
      <c r="M577" s="189"/>
      <c r="N577" s="190"/>
      <c r="O577" s="189"/>
      <c r="P577" s="189"/>
      <c r="Q577" s="190"/>
      <c r="R577" s="189"/>
      <c r="S577" s="189"/>
      <c r="T577" s="190"/>
      <c r="U577" s="189"/>
      <c r="V577" s="189"/>
      <c r="W577" s="190"/>
      <c r="X577" s="189"/>
      <c r="Y577" s="189"/>
      <c r="Z577" s="190"/>
      <c r="AA577" s="189"/>
      <c r="AB577" s="189"/>
    </row>
    <row r="578" spans="13:28">
      <c r="M578" s="189"/>
      <c r="N578" s="190"/>
      <c r="O578" s="189"/>
      <c r="P578" s="189"/>
      <c r="Q578" s="190"/>
      <c r="R578" s="189"/>
      <c r="S578" s="189"/>
      <c r="T578" s="190"/>
      <c r="U578" s="189"/>
      <c r="V578" s="189"/>
      <c r="W578" s="190"/>
      <c r="X578" s="189"/>
      <c r="Y578" s="189"/>
      <c r="Z578" s="190"/>
      <c r="AA578" s="189"/>
      <c r="AB578" s="189"/>
    </row>
    <row r="579" spans="13:28">
      <c r="M579" s="189"/>
      <c r="N579" s="190"/>
      <c r="O579" s="189"/>
      <c r="P579" s="189"/>
      <c r="Q579" s="190"/>
      <c r="R579" s="189"/>
      <c r="S579" s="189"/>
      <c r="T579" s="190"/>
      <c r="U579" s="189"/>
      <c r="V579" s="189"/>
      <c r="W579" s="190"/>
      <c r="X579" s="189"/>
      <c r="Y579" s="189"/>
      <c r="Z579" s="190"/>
      <c r="AA579" s="189"/>
      <c r="AB579" s="189"/>
    </row>
    <row r="580" spans="13:28">
      <c r="M580" s="189"/>
      <c r="N580" s="190"/>
      <c r="O580" s="189"/>
      <c r="P580" s="189"/>
      <c r="Q580" s="190"/>
      <c r="R580" s="189"/>
      <c r="S580" s="189"/>
      <c r="T580" s="190"/>
      <c r="U580" s="189"/>
      <c r="V580" s="189"/>
      <c r="W580" s="190"/>
      <c r="X580" s="189"/>
      <c r="Y580" s="189"/>
      <c r="Z580" s="190"/>
      <c r="AA580" s="189"/>
      <c r="AB580" s="189"/>
    </row>
    <row r="581" spans="13:28">
      <c r="M581" s="189"/>
      <c r="N581" s="190"/>
      <c r="O581" s="189"/>
      <c r="P581" s="189"/>
      <c r="Q581" s="190"/>
      <c r="R581" s="189"/>
      <c r="S581" s="189"/>
      <c r="T581" s="190"/>
      <c r="U581" s="189"/>
      <c r="V581" s="189"/>
      <c r="W581" s="190"/>
      <c r="X581" s="189"/>
      <c r="Y581" s="189"/>
      <c r="Z581" s="190"/>
      <c r="AA581" s="189"/>
      <c r="AB581" s="189"/>
    </row>
    <row r="582" spans="13:28">
      <c r="M582" s="189"/>
      <c r="N582" s="190"/>
      <c r="O582" s="189"/>
      <c r="P582" s="189"/>
      <c r="Q582" s="190"/>
      <c r="R582" s="189"/>
      <c r="S582" s="189"/>
      <c r="T582" s="190"/>
      <c r="U582" s="189"/>
      <c r="V582" s="189"/>
      <c r="W582" s="190"/>
      <c r="X582" s="189"/>
      <c r="Y582" s="189"/>
      <c r="Z582" s="190"/>
      <c r="AA582" s="189"/>
      <c r="AB582" s="189"/>
    </row>
    <row r="583" spans="13:28">
      <c r="M583" s="189"/>
      <c r="N583" s="190"/>
      <c r="O583" s="189"/>
      <c r="P583" s="189"/>
      <c r="Q583" s="190"/>
      <c r="R583" s="189"/>
      <c r="S583" s="189"/>
      <c r="T583" s="190"/>
      <c r="U583" s="189"/>
      <c r="V583" s="189"/>
      <c r="W583" s="190"/>
      <c r="X583" s="189"/>
      <c r="Y583" s="189"/>
      <c r="Z583" s="190"/>
      <c r="AA583" s="189"/>
      <c r="AB583" s="189"/>
    </row>
    <row r="584" spans="13:28">
      <c r="M584" s="189"/>
      <c r="N584" s="190"/>
      <c r="O584" s="189"/>
      <c r="P584" s="189"/>
      <c r="Q584" s="190"/>
      <c r="R584" s="189"/>
      <c r="S584" s="189"/>
      <c r="T584" s="190"/>
      <c r="U584" s="189"/>
      <c r="V584" s="189"/>
      <c r="W584" s="190"/>
      <c r="X584" s="189"/>
      <c r="Y584" s="189"/>
      <c r="Z584" s="190"/>
      <c r="AA584" s="189"/>
      <c r="AB584" s="189"/>
    </row>
    <row r="585" spans="13:28">
      <c r="M585" s="189"/>
      <c r="N585" s="190"/>
      <c r="O585" s="189"/>
      <c r="P585" s="189"/>
      <c r="Q585" s="190"/>
      <c r="R585" s="189"/>
      <c r="S585" s="189"/>
      <c r="T585" s="190"/>
      <c r="U585" s="189"/>
      <c r="V585" s="189"/>
      <c r="W585" s="190"/>
      <c r="X585" s="189"/>
      <c r="Y585" s="189"/>
      <c r="Z585" s="190"/>
      <c r="AA585" s="189"/>
      <c r="AB585" s="189"/>
    </row>
    <row r="586" spans="13:28">
      <c r="M586" s="189"/>
      <c r="N586" s="190"/>
      <c r="O586" s="189"/>
      <c r="P586" s="189"/>
      <c r="Q586" s="190"/>
      <c r="R586" s="189"/>
      <c r="S586" s="189"/>
      <c r="T586" s="190"/>
      <c r="U586" s="189"/>
      <c r="V586" s="189"/>
      <c r="W586" s="190"/>
      <c r="X586" s="189"/>
      <c r="Y586" s="189"/>
      <c r="Z586" s="190"/>
      <c r="AA586" s="189"/>
      <c r="AB586" s="189"/>
    </row>
    <row r="587" spans="13:28">
      <c r="M587" s="189"/>
      <c r="N587" s="190"/>
      <c r="O587" s="189"/>
      <c r="P587" s="189"/>
      <c r="Q587" s="190"/>
      <c r="R587" s="189"/>
      <c r="S587" s="189"/>
      <c r="T587" s="190"/>
      <c r="U587" s="189"/>
      <c r="V587" s="189"/>
      <c r="W587" s="190"/>
      <c r="X587" s="189"/>
      <c r="Y587" s="189"/>
      <c r="Z587" s="190"/>
      <c r="AA587" s="189"/>
      <c r="AB587" s="189"/>
    </row>
    <row r="588" spans="13:28">
      <c r="M588" s="189"/>
      <c r="N588" s="190"/>
      <c r="O588" s="189"/>
      <c r="P588" s="189"/>
      <c r="Q588" s="190"/>
      <c r="R588" s="189"/>
      <c r="S588" s="189"/>
      <c r="T588" s="190"/>
      <c r="U588" s="189"/>
      <c r="V588" s="189"/>
      <c r="W588" s="190"/>
      <c r="X588" s="189"/>
      <c r="Y588" s="189"/>
      <c r="Z588" s="190"/>
      <c r="AA588" s="189"/>
      <c r="AB588" s="189"/>
    </row>
    <row r="589" spans="13:28">
      <c r="M589" s="189"/>
      <c r="N589" s="190"/>
      <c r="O589" s="189"/>
      <c r="P589" s="189"/>
      <c r="Q589" s="190"/>
      <c r="R589" s="189"/>
      <c r="S589" s="189"/>
      <c r="T589" s="190"/>
      <c r="U589" s="189"/>
      <c r="V589" s="189"/>
      <c r="W589" s="190"/>
      <c r="X589" s="189"/>
      <c r="Y589" s="189"/>
      <c r="Z589" s="190"/>
      <c r="AA589" s="189"/>
      <c r="AB589" s="189"/>
    </row>
    <row r="590" spans="13:28">
      <c r="M590" s="189"/>
      <c r="N590" s="190"/>
      <c r="O590" s="189"/>
      <c r="P590" s="189"/>
      <c r="Q590" s="190"/>
      <c r="R590" s="189"/>
      <c r="S590" s="189"/>
      <c r="T590" s="190"/>
      <c r="U590" s="189"/>
      <c r="V590" s="189"/>
      <c r="W590" s="190"/>
      <c r="X590" s="189"/>
      <c r="Y590" s="189"/>
      <c r="Z590" s="190"/>
      <c r="AA590" s="189"/>
      <c r="AB590" s="189"/>
    </row>
    <row r="591" spans="13:28">
      <c r="M591" s="189"/>
      <c r="N591" s="190"/>
      <c r="O591" s="189"/>
      <c r="P591" s="189"/>
      <c r="Q591" s="190"/>
      <c r="R591" s="189"/>
      <c r="S591" s="189"/>
      <c r="T591" s="190"/>
      <c r="U591" s="189"/>
      <c r="V591" s="189"/>
      <c r="W591" s="190"/>
      <c r="X591" s="189"/>
      <c r="Y591" s="189"/>
      <c r="Z591" s="190"/>
      <c r="AA591" s="189"/>
      <c r="AB591" s="189"/>
    </row>
    <row r="592" spans="13:28">
      <c r="M592" s="189"/>
      <c r="N592" s="190"/>
      <c r="O592" s="189"/>
      <c r="P592" s="189"/>
      <c r="Q592" s="190"/>
      <c r="R592" s="189"/>
      <c r="S592" s="189"/>
      <c r="T592" s="190"/>
      <c r="U592" s="189"/>
      <c r="V592" s="189"/>
      <c r="W592" s="190"/>
      <c r="X592" s="189"/>
      <c r="Y592" s="189"/>
      <c r="Z592" s="190"/>
      <c r="AA592" s="189"/>
      <c r="AB592" s="189"/>
    </row>
    <row r="593" spans="13:28">
      <c r="M593" s="189"/>
      <c r="N593" s="190"/>
      <c r="O593" s="189"/>
      <c r="P593" s="189"/>
      <c r="Q593" s="190"/>
      <c r="R593" s="189"/>
      <c r="S593" s="189"/>
      <c r="T593" s="190"/>
      <c r="U593" s="189"/>
      <c r="V593" s="189"/>
      <c r="W593" s="190"/>
      <c r="X593" s="189"/>
      <c r="Y593" s="189"/>
      <c r="Z593" s="190"/>
      <c r="AA593" s="189"/>
      <c r="AB593" s="189"/>
    </row>
    <row r="594" spans="13:28">
      <c r="M594" s="189"/>
      <c r="N594" s="190"/>
      <c r="O594" s="189"/>
      <c r="P594" s="189"/>
      <c r="Q594" s="190"/>
      <c r="R594" s="189"/>
      <c r="S594" s="189"/>
      <c r="T594" s="190"/>
      <c r="U594" s="189"/>
      <c r="V594" s="189"/>
      <c r="W594" s="190"/>
      <c r="X594" s="189"/>
      <c r="Y594" s="189"/>
      <c r="Z594" s="190"/>
      <c r="AA594" s="189"/>
      <c r="AB594" s="189"/>
    </row>
    <row r="595" spans="13:28">
      <c r="M595" s="189"/>
      <c r="N595" s="190"/>
      <c r="O595" s="189"/>
      <c r="P595" s="189"/>
      <c r="Q595" s="190"/>
      <c r="R595" s="189"/>
      <c r="S595" s="189"/>
      <c r="T595" s="190"/>
      <c r="U595" s="189"/>
      <c r="V595" s="189"/>
      <c r="W595" s="190"/>
      <c r="X595" s="189"/>
      <c r="Y595" s="189"/>
      <c r="Z595" s="190"/>
      <c r="AA595" s="189"/>
      <c r="AB595" s="189"/>
    </row>
    <row r="596" spans="13:28">
      <c r="M596" s="189"/>
      <c r="N596" s="190"/>
      <c r="O596" s="189"/>
      <c r="P596" s="189"/>
      <c r="Q596" s="190"/>
      <c r="R596" s="189"/>
      <c r="S596" s="189"/>
      <c r="T596" s="190"/>
      <c r="U596" s="189"/>
      <c r="V596" s="189"/>
      <c r="W596" s="190"/>
      <c r="X596" s="189"/>
      <c r="Y596" s="189"/>
      <c r="Z596" s="190"/>
      <c r="AA596" s="189"/>
      <c r="AB596" s="189"/>
    </row>
    <row r="597" spans="13:28">
      <c r="M597" s="189"/>
      <c r="N597" s="190"/>
      <c r="O597" s="189"/>
      <c r="P597" s="189"/>
      <c r="Q597" s="190"/>
      <c r="R597" s="189"/>
      <c r="S597" s="189"/>
      <c r="T597" s="190"/>
      <c r="U597" s="189"/>
      <c r="V597" s="189"/>
      <c r="W597" s="190"/>
      <c r="X597" s="189"/>
      <c r="Y597" s="189"/>
      <c r="Z597" s="190"/>
      <c r="AA597" s="189"/>
      <c r="AB597" s="189"/>
    </row>
    <row r="598" spans="13:28">
      <c r="M598" s="189"/>
      <c r="N598" s="190"/>
      <c r="O598" s="189"/>
      <c r="P598" s="189"/>
      <c r="Q598" s="190"/>
      <c r="R598" s="189"/>
      <c r="S598" s="189"/>
      <c r="T598" s="190"/>
      <c r="U598" s="189"/>
      <c r="V598" s="189"/>
      <c r="W598" s="190"/>
      <c r="X598" s="189"/>
      <c r="Y598" s="189"/>
      <c r="Z598" s="190"/>
      <c r="AA598" s="189"/>
      <c r="AB598" s="189"/>
    </row>
    <row r="599" spans="13:28">
      <c r="M599" s="189"/>
      <c r="N599" s="190"/>
      <c r="O599" s="189"/>
      <c r="P599" s="189"/>
      <c r="Q599" s="190"/>
      <c r="R599" s="189"/>
      <c r="S599" s="189"/>
      <c r="T599" s="190"/>
      <c r="U599" s="189"/>
      <c r="V599" s="189"/>
      <c r="W599" s="190"/>
      <c r="X599" s="189"/>
      <c r="Y599" s="189"/>
      <c r="Z599" s="190"/>
      <c r="AA599" s="189"/>
      <c r="AB599" s="189"/>
    </row>
    <row r="600" spans="13:28">
      <c r="M600" s="189"/>
      <c r="N600" s="190"/>
      <c r="O600" s="189"/>
      <c r="P600" s="189"/>
      <c r="Q600" s="190"/>
      <c r="R600" s="189"/>
      <c r="S600" s="189"/>
      <c r="T600" s="190"/>
      <c r="U600" s="189"/>
      <c r="V600" s="189"/>
      <c r="W600" s="190"/>
      <c r="X600" s="189"/>
      <c r="Y600" s="189"/>
      <c r="Z600" s="190"/>
      <c r="AA600" s="189"/>
      <c r="AB600" s="189"/>
    </row>
    <row r="601" spans="13:28">
      <c r="M601" s="189"/>
      <c r="N601" s="190"/>
      <c r="O601" s="189"/>
      <c r="P601" s="189"/>
      <c r="Q601" s="190"/>
      <c r="R601" s="189"/>
      <c r="S601" s="189"/>
      <c r="T601" s="190"/>
      <c r="U601" s="189"/>
      <c r="V601" s="189"/>
      <c r="W601" s="190"/>
      <c r="X601" s="189"/>
      <c r="Y601" s="189"/>
      <c r="Z601" s="190"/>
      <c r="AA601" s="189"/>
      <c r="AB601" s="189"/>
    </row>
    <row r="602" spans="13:28">
      <c r="M602" s="189"/>
      <c r="N602" s="190"/>
      <c r="O602" s="189"/>
      <c r="P602" s="189"/>
      <c r="Q602" s="190"/>
      <c r="R602" s="189"/>
      <c r="S602" s="189"/>
      <c r="T602" s="190"/>
      <c r="U602" s="189"/>
      <c r="V602" s="189"/>
      <c r="W602" s="190"/>
      <c r="X602" s="189"/>
      <c r="Y602" s="189"/>
      <c r="Z602" s="190"/>
      <c r="AA602" s="189"/>
      <c r="AB602" s="189"/>
    </row>
    <row r="603" spans="13:28">
      <c r="M603" s="189"/>
      <c r="N603" s="190"/>
      <c r="O603" s="189"/>
      <c r="P603" s="189"/>
      <c r="Q603" s="190"/>
      <c r="R603" s="189"/>
      <c r="S603" s="189"/>
      <c r="T603" s="190"/>
      <c r="U603" s="189"/>
      <c r="V603" s="189"/>
      <c r="W603" s="190"/>
      <c r="X603" s="189"/>
      <c r="Y603" s="189"/>
      <c r="Z603" s="190"/>
      <c r="AA603" s="189"/>
      <c r="AB603" s="189"/>
    </row>
    <row r="604" spans="13:28">
      <c r="M604" s="189"/>
      <c r="N604" s="190"/>
      <c r="O604" s="189"/>
      <c r="P604" s="189"/>
      <c r="Q604" s="190"/>
      <c r="R604" s="189"/>
      <c r="S604" s="189"/>
      <c r="T604" s="190"/>
      <c r="U604" s="189"/>
      <c r="V604" s="189"/>
      <c r="W604" s="190"/>
      <c r="X604" s="189"/>
      <c r="Y604" s="189"/>
      <c r="Z604" s="190"/>
      <c r="AA604" s="189"/>
      <c r="AB604" s="189"/>
    </row>
    <row r="605" spans="13:28">
      <c r="M605" s="189"/>
      <c r="N605" s="190"/>
      <c r="O605" s="189"/>
      <c r="P605" s="189"/>
      <c r="Q605" s="190"/>
      <c r="R605" s="189"/>
      <c r="S605" s="189"/>
      <c r="T605" s="190"/>
      <c r="U605" s="189"/>
      <c r="V605" s="189"/>
      <c r="W605" s="190"/>
      <c r="X605" s="189"/>
      <c r="Y605" s="189"/>
      <c r="Z605" s="190"/>
      <c r="AA605" s="189"/>
      <c r="AB605" s="189"/>
    </row>
    <row r="606" spans="13:28">
      <c r="M606" s="189"/>
      <c r="N606" s="190"/>
      <c r="O606" s="189"/>
      <c r="P606" s="189"/>
      <c r="Q606" s="190"/>
      <c r="R606" s="189"/>
      <c r="S606" s="189"/>
      <c r="T606" s="190"/>
      <c r="U606" s="189"/>
      <c r="V606" s="189"/>
      <c r="W606" s="190"/>
      <c r="X606" s="189"/>
      <c r="Y606" s="189"/>
      <c r="Z606" s="190"/>
      <c r="AA606" s="189"/>
      <c r="AB606" s="189"/>
    </row>
    <row r="607" spans="13:28">
      <c r="M607" s="189"/>
      <c r="N607" s="190"/>
      <c r="O607" s="189"/>
      <c r="P607" s="189"/>
      <c r="Q607" s="190"/>
      <c r="R607" s="189"/>
      <c r="S607" s="189"/>
      <c r="T607" s="190"/>
      <c r="U607" s="189"/>
      <c r="V607" s="189"/>
      <c r="W607" s="190"/>
      <c r="X607" s="189"/>
      <c r="Y607" s="189"/>
      <c r="Z607" s="190"/>
      <c r="AA607" s="189"/>
      <c r="AB607" s="189"/>
    </row>
    <row r="608" spans="13:28">
      <c r="M608" s="189"/>
      <c r="N608" s="190"/>
      <c r="O608" s="189"/>
      <c r="P608" s="189"/>
      <c r="Q608" s="190"/>
      <c r="R608" s="189"/>
      <c r="S608" s="189"/>
      <c r="T608" s="190"/>
      <c r="U608" s="189"/>
      <c r="V608" s="189"/>
      <c r="W608" s="190"/>
      <c r="X608" s="189"/>
      <c r="Y608" s="189"/>
      <c r="Z608" s="190"/>
      <c r="AA608" s="189"/>
      <c r="AB608" s="189"/>
    </row>
    <row r="609" spans="13:28">
      <c r="M609" s="189"/>
      <c r="N609" s="190"/>
      <c r="O609" s="189"/>
      <c r="P609" s="189"/>
      <c r="Q609" s="190"/>
      <c r="R609" s="189"/>
      <c r="S609" s="189"/>
      <c r="T609" s="190"/>
      <c r="U609" s="189"/>
      <c r="V609" s="189"/>
      <c r="W609" s="190"/>
      <c r="X609" s="189"/>
      <c r="Y609" s="189"/>
      <c r="Z609" s="190"/>
      <c r="AA609" s="189"/>
      <c r="AB609" s="189"/>
    </row>
    <row r="610" spans="13:28">
      <c r="M610" s="189"/>
      <c r="N610" s="190"/>
      <c r="O610" s="189"/>
      <c r="P610" s="189"/>
      <c r="Q610" s="190"/>
      <c r="R610" s="189"/>
      <c r="S610" s="189"/>
      <c r="T610" s="190"/>
      <c r="U610" s="189"/>
      <c r="V610" s="189"/>
      <c r="W610" s="190"/>
      <c r="X610" s="189"/>
      <c r="Y610" s="189"/>
      <c r="Z610" s="190"/>
      <c r="AA610" s="189"/>
      <c r="AB610" s="189"/>
    </row>
    <row r="611" spans="13:28">
      <c r="M611" s="189"/>
      <c r="N611" s="190"/>
      <c r="O611" s="189"/>
      <c r="P611" s="189"/>
      <c r="Q611" s="190"/>
      <c r="R611" s="189"/>
      <c r="S611" s="189"/>
      <c r="T611" s="190"/>
      <c r="U611" s="189"/>
      <c r="V611" s="189"/>
      <c r="W611" s="190"/>
      <c r="X611" s="189"/>
      <c r="Y611" s="189"/>
      <c r="Z611" s="190"/>
      <c r="AA611" s="189"/>
      <c r="AB611" s="189"/>
    </row>
    <row r="612" spans="13:28">
      <c r="M612" s="189"/>
      <c r="N612" s="190"/>
      <c r="O612" s="189"/>
      <c r="P612" s="189"/>
      <c r="Q612" s="190"/>
      <c r="R612" s="189"/>
      <c r="S612" s="189"/>
      <c r="T612" s="190"/>
      <c r="U612" s="189"/>
      <c r="V612" s="189"/>
      <c r="W612" s="190"/>
      <c r="X612" s="189"/>
      <c r="Y612" s="189"/>
      <c r="Z612" s="190"/>
      <c r="AA612" s="189"/>
      <c r="AB612" s="189"/>
    </row>
    <row r="613" spans="13:28">
      <c r="M613" s="189"/>
      <c r="N613" s="190"/>
      <c r="O613" s="189"/>
      <c r="P613" s="189"/>
      <c r="Q613" s="190"/>
      <c r="R613" s="189"/>
      <c r="S613" s="189"/>
      <c r="T613" s="190"/>
      <c r="U613" s="189"/>
      <c r="V613" s="189"/>
      <c r="W613" s="190"/>
      <c r="X613" s="189"/>
      <c r="Y613" s="189"/>
      <c r="Z613" s="190"/>
      <c r="AA613" s="189"/>
      <c r="AB613" s="189"/>
    </row>
    <row r="614" spans="13:28">
      <c r="M614" s="189"/>
      <c r="N614" s="190"/>
      <c r="O614" s="189"/>
      <c r="P614" s="189"/>
      <c r="Q614" s="190"/>
      <c r="R614" s="189"/>
      <c r="S614" s="189"/>
      <c r="T614" s="190"/>
      <c r="U614" s="189"/>
      <c r="V614" s="189"/>
      <c r="W614" s="190"/>
      <c r="X614" s="189"/>
      <c r="Y614" s="189"/>
      <c r="Z614" s="190"/>
      <c r="AA614" s="189"/>
      <c r="AB614" s="189"/>
    </row>
    <row r="615" spans="13:28">
      <c r="M615" s="189"/>
      <c r="N615" s="190"/>
      <c r="O615" s="189"/>
      <c r="P615" s="189"/>
      <c r="Q615" s="190"/>
      <c r="R615" s="189"/>
      <c r="S615" s="189"/>
      <c r="T615" s="190"/>
      <c r="U615" s="189"/>
      <c r="V615" s="189"/>
      <c r="W615" s="190"/>
      <c r="X615" s="189"/>
      <c r="Y615" s="189"/>
      <c r="Z615" s="190"/>
      <c r="AA615" s="189"/>
      <c r="AB615" s="189"/>
    </row>
    <row r="616" spans="13:28">
      <c r="M616" s="189"/>
      <c r="N616" s="190"/>
      <c r="O616" s="189"/>
      <c r="P616" s="189"/>
      <c r="Q616" s="190"/>
      <c r="R616" s="189"/>
      <c r="S616" s="189"/>
      <c r="T616" s="190"/>
      <c r="U616" s="189"/>
      <c r="V616" s="189"/>
      <c r="W616" s="190"/>
      <c r="X616" s="189"/>
      <c r="Y616" s="189"/>
      <c r="Z616" s="190"/>
      <c r="AA616" s="189"/>
      <c r="AB616" s="189"/>
    </row>
    <row r="617" spans="13:28">
      <c r="M617" s="189"/>
      <c r="N617" s="190"/>
      <c r="O617" s="189"/>
      <c r="P617" s="189"/>
      <c r="Q617" s="190"/>
      <c r="R617" s="189"/>
      <c r="S617" s="189"/>
      <c r="T617" s="190"/>
      <c r="U617" s="189"/>
      <c r="V617" s="189"/>
      <c r="W617" s="190"/>
      <c r="X617" s="189"/>
      <c r="Y617" s="189"/>
      <c r="Z617" s="190"/>
      <c r="AA617" s="189"/>
      <c r="AB617" s="189"/>
    </row>
    <row r="618" spans="13:28">
      <c r="M618" s="189"/>
      <c r="N618" s="190"/>
      <c r="O618" s="189"/>
      <c r="P618" s="189"/>
      <c r="Q618" s="190"/>
      <c r="R618" s="189"/>
      <c r="S618" s="189"/>
      <c r="T618" s="190"/>
      <c r="U618" s="189"/>
      <c r="V618" s="189"/>
      <c r="W618" s="190"/>
      <c r="X618" s="189"/>
      <c r="Y618" s="189"/>
      <c r="Z618" s="190"/>
      <c r="AA618" s="189"/>
      <c r="AB618" s="189"/>
    </row>
    <row r="619" spans="13:28">
      <c r="M619" s="189"/>
      <c r="N619" s="190"/>
      <c r="O619" s="189"/>
      <c r="P619" s="189"/>
      <c r="Q619" s="190"/>
      <c r="R619" s="189"/>
      <c r="S619" s="189"/>
      <c r="T619" s="190"/>
      <c r="U619" s="189"/>
      <c r="V619" s="189"/>
      <c r="W619" s="190"/>
      <c r="X619" s="189"/>
      <c r="Y619" s="189"/>
      <c r="Z619" s="190"/>
      <c r="AA619" s="189"/>
      <c r="AB619" s="189"/>
    </row>
    <row r="620" spans="13:28">
      <c r="M620" s="189"/>
      <c r="N620" s="190"/>
      <c r="O620" s="189"/>
      <c r="P620" s="189"/>
      <c r="Q620" s="190"/>
      <c r="R620" s="189"/>
      <c r="S620" s="189"/>
      <c r="T620" s="190"/>
      <c r="U620" s="189"/>
      <c r="V620" s="189"/>
      <c r="W620" s="190"/>
      <c r="X620" s="189"/>
      <c r="Y620" s="189"/>
      <c r="Z620" s="190"/>
      <c r="AA620" s="189"/>
      <c r="AB620" s="189"/>
    </row>
    <row r="621" spans="13:28">
      <c r="M621" s="189"/>
      <c r="N621" s="190"/>
      <c r="O621" s="189"/>
      <c r="P621" s="189"/>
      <c r="Q621" s="190"/>
      <c r="R621" s="189"/>
      <c r="S621" s="189"/>
      <c r="T621" s="190"/>
      <c r="U621" s="189"/>
      <c r="V621" s="189"/>
      <c r="W621" s="190"/>
      <c r="X621" s="189"/>
      <c r="Y621" s="189"/>
      <c r="Z621" s="190"/>
      <c r="AA621" s="189"/>
      <c r="AB621" s="189"/>
    </row>
    <row r="622" spans="13:28">
      <c r="M622" s="189"/>
      <c r="N622" s="190"/>
      <c r="O622" s="189"/>
      <c r="P622" s="189"/>
      <c r="Q622" s="190"/>
      <c r="R622" s="189"/>
      <c r="S622" s="189"/>
      <c r="T622" s="190"/>
      <c r="U622" s="189"/>
      <c r="V622" s="189"/>
      <c r="W622" s="190"/>
      <c r="X622" s="189"/>
      <c r="Y622" s="189"/>
      <c r="Z622" s="190"/>
      <c r="AA622" s="189"/>
      <c r="AB622" s="189"/>
    </row>
    <row r="623" spans="13:28">
      <c r="M623" s="189"/>
      <c r="N623" s="190"/>
      <c r="O623" s="189"/>
      <c r="P623" s="189"/>
      <c r="Q623" s="190"/>
      <c r="R623" s="189"/>
      <c r="S623" s="189"/>
      <c r="T623" s="190"/>
      <c r="U623" s="189"/>
      <c r="V623" s="189"/>
      <c r="W623" s="190"/>
      <c r="X623" s="189"/>
      <c r="Y623" s="189"/>
      <c r="Z623" s="190"/>
      <c r="AA623" s="189"/>
      <c r="AB623" s="189"/>
    </row>
    <row r="624" spans="13:28">
      <c r="M624" s="189"/>
      <c r="N624" s="190"/>
      <c r="O624" s="189"/>
      <c r="P624" s="189"/>
      <c r="Q624" s="190"/>
      <c r="R624" s="189"/>
      <c r="S624" s="189"/>
      <c r="T624" s="190"/>
      <c r="U624" s="189"/>
      <c r="V624" s="189"/>
      <c r="W624" s="190"/>
      <c r="X624" s="189"/>
      <c r="Y624" s="189"/>
      <c r="Z624" s="190"/>
      <c r="AA624" s="189"/>
      <c r="AB624" s="189"/>
    </row>
    <row r="625" spans="13:28">
      <c r="M625" s="189"/>
      <c r="N625" s="190"/>
      <c r="O625" s="189"/>
      <c r="P625" s="189"/>
      <c r="Q625" s="190"/>
      <c r="R625" s="189"/>
      <c r="S625" s="189"/>
      <c r="T625" s="190"/>
      <c r="U625" s="189"/>
      <c r="V625" s="189"/>
      <c r="W625" s="190"/>
      <c r="X625" s="189"/>
      <c r="Y625" s="189"/>
      <c r="Z625" s="190"/>
      <c r="AA625" s="189"/>
      <c r="AB625" s="189"/>
    </row>
    <row r="626" spans="13:28">
      <c r="M626" s="189"/>
      <c r="N626" s="190"/>
      <c r="O626" s="189"/>
      <c r="P626" s="189"/>
      <c r="Q626" s="190"/>
      <c r="R626" s="189"/>
      <c r="S626" s="189"/>
      <c r="T626" s="190"/>
      <c r="U626" s="189"/>
      <c r="V626" s="189"/>
      <c r="W626" s="190"/>
      <c r="X626" s="189"/>
      <c r="Y626" s="189"/>
      <c r="Z626" s="190"/>
      <c r="AA626" s="189"/>
      <c r="AB626" s="189"/>
    </row>
    <row r="627" spans="13:28">
      <c r="M627" s="189"/>
      <c r="N627" s="190"/>
      <c r="O627" s="189"/>
      <c r="P627" s="189"/>
      <c r="Q627" s="190"/>
      <c r="R627" s="189"/>
      <c r="S627" s="189"/>
      <c r="T627" s="190"/>
      <c r="U627" s="189"/>
      <c r="V627" s="189"/>
      <c r="W627" s="190"/>
      <c r="X627" s="189"/>
      <c r="Y627" s="189"/>
      <c r="Z627" s="190"/>
      <c r="AA627" s="189"/>
      <c r="AB627" s="189"/>
    </row>
    <row r="628" spans="13:28">
      <c r="M628" s="189"/>
      <c r="N628" s="190"/>
      <c r="O628" s="189"/>
      <c r="P628" s="189"/>
      <c r="Q628" s="190"/>
      <c r="R628" s="189"/>
      <c r="S628" s="189"/>
      <c r="T628" s="190"/>
      <c r="U628" s="189"/>
      <c r="V628" s="189"/>
      <c r="W628" s="190"/>
      <c r="X628" s="189"/>
      <c r="Y628" s="189"/>
      <c r="Z628" s="190"/>
      <c r="AA628" s="189"/>
      <c r="AB628" s="189"/>
    </row>
    <row r="629" spans="13:28">
      <c r="M629" s="189"/>
      <c r="N629" s="190"/>
      <c r="O629" s="189"/>
      <c r="P629" s="189"/>
      <c r="Q629" s="190"/>
      <c r="R629" s="189"/>
      <c r="S629" s="189"/>
      <c r="T629" s="190"/>
      <c r="U629" s="189"/>
      <c r="V629" s="189"/>
      <c r="W629" s="190"/>
      <c r="X629" s="189"/>
      <c r="Y629" s="189"/>
      <c r="Z629" s="190"/>
      <c r="AA629" s="189"/>
      <c r="AB629" s="189"/>
    </row>
    <row r="630" spans="13:28">
      <c r="M630" s="189"/>
      <c r="N630" s="190"/>
      <c r="O630" s="189"/>
      <c r="P630" s="189"/>
      <c r="Q630" s="190"/>
      <c r="R630" s="189"/>
      <c r="S630" s="189"/>
      <c r="T630" s="190"/>
      <c r="U630" s="189"/>
      <c r="V630" s="189"/>
      <c r="W630" s="190"/>
      <c r="X630" s="189"/>
      <c r="Y630" s="189"/>
      <c r="Z630" s="190"/>
      <c r="AA630" s="189"/>
      <c r="AB630" s="189"/>
    </row>
    <row r="631" spans="13:28">
      <c r="M631" s="189"/>
      <c r="N631" s="190"/>
      <c r="O631" s="189"/>
      <c r="P631" s="189"/>
      <c r="Q631" s="190"/>
      <c r="R631" s="189"/>
      <c r="S631" s="189"/>
      <c r="T631" s="190"/>
      <c r="U631" s="189"/>
      <c r="V631" s="189"/>
      <c r="W631" s="190"/>
      <c r="X631" s="189"/>
      <c r="Y631" s="189"/>
      <c r="Z631" s="190"/>
      <c r="AA631" s="189"/>
      <c r="AB631" s="189"/>
    </row>
    <row r="632" spans="13:28">
      <c r="M632" s="189"/>
      <c r="N632" s="190"/>
      <c r="O632" s="189"/>
      <c r="P632" s="189"/>
      <c r="Q632" s="190"/>
      <c r="R632" s="189"/>
      <c r="S632" s="189"/>
      <c r="T632" s="190"/>
      <c r="U632" s="189"/>
      <c r="V632" s="189"/>
      <c r="W632" s="190"/>
      <c r="X632" s="189"/>
      <c r="Y632" s="189"/>
      <c r="Z632" s="190"/>
      <c r="AA632" s="189"/>
      <c r="AB632" s="189"/>
    </row>
    <row r="633" spans="13:28">
      <c r="M633" s="189"/>
      <c r="N633" s="190"/>
      <c r="O633" s="189"/>
      <c r="P633" s="189"/>
      <c r="Q633" s="190"/>
      <c r="R633" s="189"/>
      <c r="S633" s="189"/>
      <c r="T633" s="190"/>
      <c r="U633" s="189"/>
      <c r="V633" s="189"/>
      <c r="W633" s="190"/>
      <c r="X633" s="189"/>
      <c r="Y633" s="189"/>
      <c r="Z633" s="190"/>
      <c r="AA633" s="189"/>
      <c r="AB633" s="189"/>
    </row>
    <row r="634" spans="13:28">
      <c r="M634" s="189"/>
      <c r="N634" s="190"/>
      <c r="O634" s="189"/>
      <c r="P634" s="189"/>
      <c r="Q634" s="190"/>
      <c r="R634" s="189"/>
      <c r="S634" s="189"/>
      <c r="T634" s="190"/>
      <c r="U634" s="189"/>
      <c r="V634" s="189"/>
      <c r="W634" s="190"/>
      <c r="X634" s="189"/>
      <c r="Y634" s="189"/>
      <c r="Z634" s="190"/>
      <c r="AA634" s="189"/>
      <c r="AB634" s="189"/>
    </row>
    <row r="635" spans="13:28">
      <c r="M635" s="189"/>
      <c r="N635" s="190"/>
      <c r="O635" s="189"/>
      <c r="P635" s="189"/>
      <c r="Q635" s="190"/>
      <c r="R635" s="189"/>
      <c r="S635" s="189"/>
      <c r="T635" s="190"/>
      <c r="U635" s="189"/>
      <c r="V635" s="189"/>
      <c r="W635" s="190"/>
      <c r="X635" s="189"/>
      <c r="Y635" s="189"/>
      <c r="Z635" s="190"/>
      <c r="AA635" s="189"/>
      <c r="AB635" s="189"/>
    </row>
    <row r="636" spans="13:28">
      <c r="M636" s="189"/>
      <c r="N636" s="190"/>
      <c r="O636" s="189"/>
      <c r="P636" s="189"/>
      <c r="Q636" s="190"/>
      <c r="R636" s="189"/>
      <c r="S636" s="189"/>
      <c r="T636" s="190"/>
      <c r="U636" s="189"/>
      <c r="V636" s="189"/>
      <c r="W636" s="190"/>
      <c r="X636" s="189"/>
      <c r="Y636" s="189"/>
      <c r="Z636" s="190"/>
      <c r="AA636" s="189"/>
      <c r="AB636" s="189"/>
    </row>
    <row r="637" spans="13:28">
      <c r="M637" s="189"/>
      <c r="N637" s="190"/>
      <c r="O637" s="189"/>
      <c r="P637" s="189"/>
      <c r="Q637" s="190"/>
      <c r="R637" s="189"/>
      <c r="S637" s="189"/>
      <c r="T637" s="190"/>
      <c r="U637" s="189"/>
      <c r="V637" s="189"/>
      <c r="W637" s="190"/>
      <c r="X637" s="189"/>
      <c r="Y637" s="189"/>
      <c r="Z637" s="190"/>
      <c r="AA637" s="189"/>
      <c r="AB637" s="189"/>
    </row>
    <row r="638" spans="13:28">
      <c r="M638" s="189"/>
      <c r="N638" s="190"/>
      <c r="O638" s="189"/>
      <c r="P638" s="189"/>
      <c r="Q638" s="190"/>
      <c r="R638" s="189"/>
      <c r="S638" s="189"/>
      <c r="T638" s="190"/>
      <c r="U638" s="189"/>
      <c r="V638" s="189"/>
      <c r="W638" s="190"/>
      <c r="X638" s="189"/>
      <c r="Y638" s="189"/>
      <c r="Z638" s="190"/>
      <c r="AA638" s="189"/>
      <c r="AB638" s="189"/>
    </row>
    <row r="639" spans="13:28">
      <c r="M639" s="189"/>
      <c r="N639" s="190"/>
      <c r="O639" s="189"/>
      <c r="P639" s="189"/>
      <c r="Q639" s="190"/>
      <c r="R639" s="189"/>
      <c r="S639" s="189"/>
      <c r="T639" s="190"/>
      <c r="U639" s="189"/>
      <c r="V639" s="189"/>
      <c r="W639" s="190"/>
      <c r="X639" s="189"/>
      <c r="Y639" s="189"/>
      <c r="Z639" s="190"/>
      <c r="AA639" s="189"/>
      <c r="AB639" s="189"/>
    </row>
    <row r="640" spans="13:28">
      <c r="M640" s="189"/>
      <c r="N640" s="190"/>
      <c r="O640" s="189"/>
      <c r="P640" s="189"/>
      <c r="Q640" s="190"/>
      <c r="R640" s="189"/>
      <c r="S640" s="189"/>
      <c r="T640" s="190"/>
      <c r="U640" s="189"/>
      <c r="V640" s="189"/>
      <c r="W640" s="190"/>
      <c r="X640" s="189"/>
      <c r="Y640" s="189"/>
      <c r="Z640" s="190"/>
      <c r="AA640" s="189"/>
      <c r="AB640" s="189"/>
    </row>
    <row r="641" spans="13:28">
      <c r="M641" s="189"/>
      <c r="N641" s="190"/>
      <c r="O641" s="189"/>
      <c r="P641" s="189"/>
      <c r="Q641" s="190"/>
      <c r="R641" s="189"/>
      <c r="S641" s="189"/>
      <c r="T641" s="190"/>
      <c r="U641" s="189"/>
      <c r="V641" s="189"/>
      <c r="W641" s="190"/>
      <c r="X641" s="189"/>
      <c r="Y641" s="189"/>
      <c r="Z641" s="190"/>
      <c r="AA641" s="189"/>
      <c r="AB641" s="189"/>
    </row>
    <row r="642" spans="13:28">
      <c r="M642" s="189"/>
      <c r="N642" s="190"/>
      <c r="O642" s="189"/>
      <c r="P642" s="189"/>
      <c r="Q642" s="190"/>
      <c r="R642" s="189"/>
      <c r="S642" s="189"/>
      <c r="T642" s="190"/>
      <c r="U642" s="189"/>
      <c r="V642" s="189"/>
      <c r="W642" s="190"/>
      <c r="X642" s="189"/>
      <c r="Y642" s="189"/>
      <c r="Z642" s="190"/>
      <c r="AA642" s="189"/>
      <c r="AB642" s="189"/>
    </row>
    <row r="643" spans="13:28">
      <c r="M643" s="189"/>
      <c r="N643" s="190"/>
      <c r="O643" s="189"/>
      <c r="P643" s="189"/>
      <c r="Q643" s="190"/>
      <c r="R643" s="189"/>
      <c r="S643" s="189"/>
      <c r="T643" s="190"/>
      <c r="U643" s="189"/>
      <c r="V643" s="189"/>
      <c r="W643" s="190"/>
      <c r="X643" s="189"/>
      <c r="Y643" s="189"/>
      <c r="Z643" s="190"/>
      <c r="AA643" s="189"/>
      <c r="AB643" s="189"/>
    </row>
    <row r="644" spans="13:28">
      <c r="M644" s="189"/>
      <c r="N644" s="190"/>
      <c r="O644" s="189"/>
      <c r="P644" s="189"/>
      <c r="Q644" s="190"/>
      <c r="R644" s="189"/>
      <c r="S644" s="189"/>
      <c r="T644" s="190"/>
      <c r="U644" s="189"/>
      <c r="V644" s="189"/>
      <c r="W644" s="190"/>
      <c r="X644" s="189"/>
      <c r="Y644" s="189"/>
      <c r="Z644" s="190"/>
      <c r="AA644" s="189"/>
      <c r="AB644" s="189"/>
    </row>
    <row r="645" spans="13:28">
      <c r="M645" s="189"/>
      <c r="N645" s="190"/>
      <c r="O645" s="189"/>
      <c r="P645" s="189"/>
      <c r="Q645" s="190"/>
      <c r="R645" s="189"/>
      <c r="S645" s="189"/>
      <c r="T645" s="190"/>
      <c r="U645" s="189"/>
      <c r="V645" s="189"/>
      <c r="W645" s="190"/>
      <c r="X645" s="189"/>
      <c r="Y645" s="189"/>
      <c r="Z645" s="190"/>
      <c r="AA645" s="189"/>
      <c r="AB645" s="189"/>
    </row>
    <row r="646" spans="13:28">
      <c r="M646" s="189"/>
      <c r="N646" s="190"/>
      <c r="O646" s="189"/>
      <c r="P646" s="189"/>
      <c r="Q646" s="190"/>
      <c r="R646" s="189"/>
      <c r="S646" s="189"/>
      <c r="T646" s="190"/>
      <c r="U646" s="189"/>
      <c r="V646" s="189"/>
      <c r="W646" s="190"/>
      <c r="X646" s="189"/>
      <c r="Y646" s="189"/>
      <c r="Z646" s="190"/>
      <c r="AA646" s="189"/>
      <c r="AB646" s="189"/>
    </row>
    <row r="647" spans="13:28">
      <c r="M647" s="189"/>
      <c r="N647" s="190"/>
      <c r="O647" s="189"/>
      <c r="P647" s="189"/>
      <c r="Q647" s="190"/>
      <c r="R647" s="189"/>
      <c r="S647" s="189"/>
      <c r="T647" s="190"/>
      <c r="U647" s="189"/>
      <c r="V647" s="189"/>
      <c r="W647" s="190"/>
      <c r="X647" s="189"/>
      <c r="Y647" s="189"/>
      <c r="Z647" s="190"/>
      <c r="AA647" s="189"/>
      <c r="AB647" s="189"/>
    </row>
    <row r="648" spans="13:28">
      <c r="M648" s="189"/>
      <c r="N648" s="190"/>
      <c r="O648" s="189"/>
      <c r="P648" s="189"/>
      <c r="Q648" s="190"/>
      <c r="R648" s="189"/>
      <c r="S648" s="189"/>
      <c r="T648" s="190"/>
      <c r="U648" s="189"/>
      <c r="V648" s="189"/>
      <c r="W648" s="190"/>
      <c r="X648" s="189"/>
      <c r="Y648" s="189"/>
      <c r="Z648" s="190"/>
      <c r="AA648" s="189"/>
      <c r="AB648" s="189"/>
    </row>
    <row r="649" spans="13:28">
      <c r="M649" s="189"/>
      <c r="N649" s="190"/>
      <c r="O649" s="189"/>
      <c r="P649" s="189"/>
      <c r="Q649" s="190"/>
      <c r="R649" s="189"/>
      <c r="S649" s="189"/>
      <c r="T649" s="190"/>
      <c r="U649" s="189"/>
      <c r="V649" s="189"/>
      <c r="W649" s="190"/>
      <c r="X649" s="189"/>
      <c r="Y649" s="189"/>
      <c r="Z649" s="190"/>
      <c r="AA649" s="189"/>
      <c r="AB649" s="189"/>
    </row>
    <row r="650" spans="13:28">
      <c r="M650" s="189"/>
      <c r="N650" s="190"/>
      <c r="O650" s="189"/>
      <c r="P650" s="189"/>
      <c r="Q650" s="190"/>
      <c r="R650" s="189"/>
      <c r="S650" s="189"/>
      <c r="T650" s="190"/>
      <c r="U650" s="189"/>
      <c r="V650" s="189"/>
      <c r="W650" s="190"/>
      <c r="X650" s="189"/>
      <c r="Y650" s="189"/>
      <c r="Z650" s="190"/>
      <c r="AA650" s="189"/>
      <c r="AB650" s="189"/>
    </row>
    <row r="651" spans="13:28">
      <c r="M651" s="189"/>
      <c r="N651" s="190"/>
      <c r="O651" s="189"/>
      <c r="P651" s="189"/>
      <c r="Q651" s="190"/>
      <c r="R651" s="189"/>
      <c r="S651" s="189"/>
      <c r="T651" s="190"/>
      <c r="U651" s="189"/>
      <c r="V651" s="189"/>
      <c r="W651" s="190"/>
      <c r="X651" s="189"/>
      <c r="Y651" s="189"/>
      <c r="Z651" s="190"/>
      <c r="AA651" s="189"/>
      <c r="AB651" s="189"/>
    </row>
    <row r="652" spans="13:28">
      <c r="M652" s="189"/>
      <c r="N652" s="190"/>
      <c r="O652" s="189"/>
      <c r="P652" s="189"/>
      <c r="Q652" s="190"/>
      <c r="R652" s="189"/>
      <c r="S652" s="189"/>
      <c r="T652" s="190"/>
      <c r="U652" s="189"/>
      <c r="V652" s="189"/>
      <c r="W652" s="190"/>
      <c r="X652" s="189"/>
      <c r="Y652" s="189"/>
      <c r="Z652" s="190"/>
      <c r="AA652" s="189"/>
      <c r="AB652" s="189"/>
    </row>
    <row r="653" spans="13:28">
      <c r="M653" s="189"/>
      <c r="N653" s="190"/>
      <c r="O653" s="189"/>
      <c r="P653" s="189"/>
      <c r="Q653" s="190"/>
      <c r="R653" s="189"/>
      <c r="S653" s="189"/>
      <c r="T653" s="190"/>
      <c r="U653" s="189"/>
      <c r="V653" s="189"/>
      <c r="W653" s="190"/>
      <c r="X653" s="189"/>
      <c r="Y653" s="189"/>
      <c r="Z653" s="190"/>
      <c r="AA653" s="189"/>
      <c r="AB653" s="189"/>
    </row>
    <row r="654" spans="13:28">
      <c r="M654" s="189"/>
      <c r="N654" s="190"/>
      <c r="O654" s="189"/>
      <c r="P654" s="189"/>
      <c r="Q654" s="190"/>
      <c r="R654" s="189"/>
      <c r="S654" s="189"/>
      <c r="T654" s="190"/>
      <c r="U654" s="189"/>
      <c r="V654" s="189"/>
      <c r="W654" s="190"/>
      <c r="X654" s="189"/>
      <c r="Y654" s="189"/>
      <c r="Z654" s="190"/>
      <c r="AA654" s="189"/>
      <c r="AB654" s="189"/>
    </row>
    <row r="655" spans="13:28">
      <c r="M655" s="189"/>
      <c r="N655" s="190"/>
      <c r="O655" s="189"/>
      <c r="P655" s="189"/>
      <c r="Q655" s="190"/>
      <c r="R655" s="189"/>
      <c r="S655" s="189"/>
      <c r="T655" s="190"/>
      <c r="U655" s="189"/>
      <c r="V655" s="189"/>
      <c r="W655" s="190"/>
      <c r="X655" s="189"/>
      <c r="Y655" s="189"/>
      <c r="Z655" s="190"/>
      <c r="AA655" s="189"/>
      <c r="AB655" s="189"/>
    </row>
    <row r="656" spans="13:28">
      <c r="M656" s="189"/>
      <c r="N656" s="190"/>
      <c r="O656" s="189"/>
      <c r="P656" s="189"/>
      <c r="Q656" s="190"/>
      <c r="R656" s="189"/>
      <c r="S656" s="189"/>
      <c r="T656" s="190"/>
      <c r="U656" s="189"/>
      <c r="V656" s="189"/>
      <c r="W656" s="190"/>
      <c r="X656" s="189"/>
      <c r="Y656" s="189"/>
      <c r="Z656" s="190"/>
      <c r="AA656" s="189"/>
      <c r="AB656" s="189"/>
    </row>
    <row r="657" spans="13:28">
      <c r="M657" s="189"/>
      <c r="N657" s="190"/>
      <c r="O657" s="189"/>
      <c r="P657" s="189"/>
      <c r="Q657" s="190"/>
      <c r="R657" s="189"/>
      <c r="S657" s="189"/>
      <c r="T657" s="190"/>
      <c r="U657" s="189"/>
      <c r="V657" s="189"/>
      <c r="W657" s="190"/>
      <c r="X657" s="189"/>
      <c r="Y657" s="189"/>
      <c r="Z657" s="190"/>
      <c r="AA657" s="189"/>
      <c r="AB657" s="189"/>
    </row>
    <row r="658" spans="13:28">
      <c r="M658" s="189"/>
      <c r="N658" s="190"/>
      <c r="O658" s="189"/>
      <c r="P658" s="189"/>
      <c r="Q658" s="190"/>
      <c r="R658" s="189"/>
      <c r="S658" s="189"/>
      <c r="T658" s="190"/>
      <c r="U658" s="189"/>
      <c r="V658" s="189"/>
      <c r="W658" s="190"/>
      <c r="X658" s="189"/>
      <c r="Y658" s="189"/>
      <c r="Z658" s="190"/>
      <c r="AA658" s="189"/>
      <c r="AB658" s="189"/>
    </row>
    <row r="659" spans="13:28">
      <c r="M659" s="189"/>
      <c r="N659" s="190"/>
      <c r="O659" s="189"/>
      <c r="P659" s="189"/>
      <c r="Q659" s="190"/>
      <c r="R659" s="189"/>
      <c r="S659" s="189"/>
      <c r="T659" s="190"/>
      <c r="U659" s="189"/>
      <c r="V659" s="189"/>
      <c r="W659" s="190"/>
      <c r="X659" s="189"/>
      <c r="Y659" s="189"/>
      <c r="Z659" s="190"/>
      <c r="AA659" s="189"/>
      <c r="AB659" s="189"/>
    </row>
    <row r="660" spans="13:28">
      <c r="M660" s="189"/>
      <c r="N660" s="190"/>
      <c r="O660" s="189"/>
      <c r="P660" s="189"/>
      <c r="Q660" s="190"/>
      <c r="R660" s="189"/>
      <c r="S660" s="189"/>
      <c r="T660" s="190"/>
      <c r="U660" s="189"/>
      <c r="V660" s="189"/>
      <c r="W660" s="190"/>
      <c r="X660" s="189"/>
      <c r="Y660" s="189"/>
      <c r="Z660" s="190"/>
      <c r="AA660" s="189"/>
      <c r="AB660" s="189"/>
    </row>
    <row r="661" spans="13:28">
      <c r="M661" s="189"/>
      <c r="N661" s="190"/>
      <c r="O661" s="189"/>
      <c r="P661" s="189"/>
      <c r="Q661" s="190"/>
      <c r="R661" s="189"/>
      <c r="S661" s="189"/>
      <c r="T661" s="190"/>
      <c r="U661" s="189"/>
      <c r="V661" s="189"/>
      <c r="W661" s="190"/>
      <c r="X661" s="189"/>
      <c r="Y661" s="189"/>
      <c r="Z661" s="190"/>
      <c r="AA661" s="189"/>
      <c r="AB661" s="189"/>
    </row>
    <row r="662" spans="13:28">
      <c r="M662" s="189"/>
      <c r="N662" s="190"/>
      <c r="O662" s="189"/>
      <c r="P662" s="189"/>
      <c r="Q662" s="190"/>
      <c r="R662" s="189"/>
      <c r="S662" s="189"/>
      <c r="T662" s="190"/>
      <c r="U662" s="189"/>
      <c r="V662" s="189"/>
      <c r="W662" s="190"/>
      <c r="X662" s="189"/>
      <c r="Y662" s="189"/>
      <c r="Z662" s="190"/>
      <c r="AA662" s="189"/>
      <c r="AB662" s="189"/>
    </row>
    <row r="663" spans="13:28">
      <c r="M663" s="189"/>
      <c r="N663" s="190"/>
      <c r="O663" s="189"/>
      <c r="P663" s="189"/>
      <c r="Q663" s="190"/>
      <c r="R663" s="189"/>
      <c r="S663" s="189"/>
      <c r="T663" s="190"/>
      <c r="U663" s="189"/>
      <c r="V663" s="189"/>
      <c r="W663" s="190"/>
      <c r="X663" s="189"/>
      <c r="Y663" s="189"/>
      <c r="Z663" s="190"/>
      <c r="AA663" s="189"/>
      <c r="AB663" s="189"/>
    </row>
    <row r="664" spans="13:28">
      <c r="M664" s="189"/>
      <c r="N664" s="190"/>
      <c r="O664" s="189"/>
      <c r="P664" s="189"/>
      <c r="Q664" s="190"/>
      <c r="R664" s="189"/>
      <c r="S664" s="189"/>
      <c r="T664" s="190"/>
      <c r="U664" s="189"/>
      <c r="V664" s="189"/>
      <c r="W664" s="190"/>
      <c r="X664" s="189"/>
      <c r="Y664" s="189"/>
      <c r="Z664" s="190"/>
      <c r="AA664" s="189"/>
      <c r="AB664" s="189"/>
    </row>
    <row r="665" spans="13:28">
      <c r="M665" s="189"/>
      <c r="N665" s="190"/>
      <c r="O665" s="189"/>
      <c r="P665" s="189"/>
      <c r="Q665" s="190"/>
      <c r="R665" s="189"/>
      <c r="S665" s="189"/>
      <c r="T665" s="190"/>
      <c r="U665" s="189"/>
      <c r="V665" s="189"/>
      <c r="W665" s="190"/>
      <c r="X665" s="189"/>
      <c r="Y665" s="189"/>
      <c r="Z665" s="190"/>
      <c r="AA665" s="189"/>
      <c r="AB665" s="189"/>
    </row>
    <row r="666" spans="13:28">
      <c r="M666" s="189"/>
      <c r="N666" s="190"/>
      <c r="O666" s="189"/>
      <c r="P666" s="189"/>
      <c r="Q666" s="190"/>
      <c r="R666" s="189"/>
      <c r="S666" s="189"/>
      <c r="T666" s="190"/>
      <c r="U666" s="189"/>
      <c r="V666" s="189"/>
      <c r="W666" s="190"/>
      <c r="X666" s="189"/>
      <c r="Y666" s="189"/>
      <c r="Z666" s="190"/>
      <c r="AA666" s="189"/>
      <c r="AB666" s="189"/>
    </row>
    <row r="667" spans="13:28">
      <c r="M667" s="189"/>
      <c r="N667" s="190"/>
      <c r="O667" s="189"/>
      <c r="P667" s="189"/>
      <c r="Q667" s="190"/>
      <c r="R667" s="189"/>
      <c r="S667" s="189"/>
      <c r="T667" s="190"/>
      <c r="U667" s="189"/>
      <c r="V667" s="189"/>
      <c r="W667" s="190"/>
      <c r="X667" s="189"/>
      <c r="Y667" s="189"/>
      <c r="Z667" s="190"/>
      <c r="AA667" s="189"/>
      <c r="AB667" s="189"/>
    </row>
    <row r="668" spans="13:28">
      <c r="M668" s="189"/>
      <c r="N668" s="190"/>
      <c r="O668" s="189"/>
      <c r="P668" s="189"/>
      <c r="Q668" s="190"/>
      <c r="R668" s="189"/>
      <c r="S668" s="189"/>
      <c r="T668" s="190"/>
      <c r="U668" s="189"/>
      <c r="V668" s="189"/>
      <c r="W668" s="190"/>
      <c r="X668" s="189"/>
      <c r="Y668" s="189"/>
      <c r="Z668" s="190"/>
      <c r="AA668" s="189"/>
      <c r="AB668" s="189"/>
    </row>
    <row r="669" spans="13:28">
      <c r="M669" s="189"/>
      <c r="N669" s="190"/>
      <c r="O669" s="189"/>
      <c r="P669" s="189"/>
      <c r="Q669" s="190"/>
      <c r="R669" s="189"/>
      <c r="S669" s="189"/>
      <c r="T669" s="190"/>
      <c r="U669" s="189"/>
      <c r="V669" s="189"/>
      <c r="W669" s="190"/>
      <c r="X669" s="189"/>
      <c r="Y669" s="189"/>
      <c r="Z669" s="190"/>
      <c r="AA669" s="189"/>
      <c r="AB669" s="189"/>
    </row>
    <row r="670" spans="13:28">
      <c r="M670" s="189"/>
      <c r="N670" s="190"/>
      <c r="O670" s="189"/>
      <c r="P670" s="189"/>
      <c r="Q670" s="190"/>
      <c r="R670" s="189"/>
      <c r="S670" s="189"/>
      <c r="T670" s="190"/>
      <c r="U670" s="189"/>
      <c r="V670" s="189"/>
      <c r="W670" s="190"/>
      <c r="X670" s="189"/>
      <c r="Y670" s="189"/>
      <c r="Z670" s="190"/>
      <c r="AA670" s="189"/>
      <c r="AB670" s="189"/>
    </row>
    <row r="671" spans="13:28">
      <c r="M671" s="189"/>
      <c r="N671" s="190"/>
      <c r="O671" s="189"/>
      <c r="P671" s="189"/>
      <c r="Q671" s="190"/>
      <c r="R671" s="189"/>
      <c r="S671" s="189"/>
      <c r="T671" s="190"/>
      <c r="U671" s="189"/>
      <c r="V671" s="189"/>
      <c r="W671" s="190"/>
      <c r="X671" s="189"/>
      <c r="Y671" s="189"/>
      <c r="Z671" s="190"/>
      <c r="AA671" s="189"/>
      <c r="AB671" s="189"/>
    </row>
    <row r="672" spans="13:28">
      <c r="M672" s="189"/>
      <c r="N672" s="190"/>
      <c r="O672" s="189"/>
      <c r="P672" s="189"/>
      <c r="Q672" s="190"/>
      <c r="R672" s="189"/>
      <c r="S672" s="189"/>
      <c r="T672" s="190"/>
      <c r="U672" s="189"/>
      <c r="V672" s="189"/>
      <c r="W672" s="190"/>
      <c r="X672" s="189"/>
      <c r="Y672" s="189"/>
      <c r="Z672" s="190"/>
      <c r="AA672" s="189"/>
      <c r="AB672" s="189"/>
    </row>
    <row r="673" spans="13:28">
      <c r="M673" s="189"/>
      <c r="N673" s="190"/>
      <c r="O673" s="189"/>
      <c r="P673" s="189"/>
      <c r="Q673" s="190"/>
      <c r="R673" s="189"/>
      <c r="S673" s="189"/>
      <c r="T673" s="190"/>
      <c r="U673" s="189"/>
      <c r="V673" s="189"/>
      <c r="W673" s="190"/>
      <c r="X673" s="189"/>
      <c r="Y673" s="189"/>
      <c r="Z673" s="190"/>
      <c r="AA673" s="189"/>
      <c r="AB673" s="189"/>
    </row>
    <row r="674" spans="13:28">
      <c r="M674" s="189"/>
      <c r="N674" s="190"/>
      <c r="O674" s="189"/>
      <c r="P674" s="189"/>
      <c r="Q674" s="190"/>
      <c r="R674" s="189"/>
      <c r="S674" s="189"/>
      <c r="T674" s="190"/>
      <c r="U674" s="189"/>
      <c r="V674" s="189"/>
      <c r="W674" s="190"/>
      <c r="X674" s="189"/>
      <c r="Y674" s="189"/>
      <c r="Z674" s="190"/>
      <c r="AA674" s="189"/>
      <c r="AB674" s="189"/>
    </row>
    <row r="675" spans="13:28">
      <c r="M675" s="189"/>
      <c r="N675" s="190"/>
      <c r="O675" s="189"/>
      <c r="P675" s="189"/>
      <c r="Q675" s="190"/>
      <c r="R675" s="189"/>
      <c r="S675" s="189"/>
      <c r="T675" s="190"/>
      <c r="U675" s="189"/>
      <c r="V675" s="189"/>
      <c r="W675" s="190"/>
      <c r="X675" s="189"/>
      <c r="Y675" s="189"/>
      <c r="Z675" s="190"/>
      <c r="AA675" s="189"/>
      <c r="AB675" s="189"/>
    </row>
    <row r="676" spans="13:28">
      <c r="M676" s="189"/>
      <c r="N676" s="190"/>
      <c r="O676" s="189"/>
      <c r="P676" s="189"/>
      <c r="Q676" s="190"/>
      <c r="R676" s="189"/>
      <c r="S676" s="189"/>
      <c r="T676" s="190"/>
      <c r="U676" s="189"/>
      <c r="V676" s="189"/>
      <c r="W676" s="190"/>
      <c r="X676" s="189"/>
      <c r="Y676" s="189"/>
      <c r="Z676" s="190"/>
      <c r="AA676" s="189"/>
      <c r="AB676" s="189"/>
    </row>
    <row r="677" spans="13:28">
      <c r="M677" s="189"/>
      <c r="N677" s="190"/>
      <c r="O677" s="189"/>
      <c r="P677" s="189"/>
      <c r="Q677" s="190"/>
      <c r="R677" s="189"/>
      <c r="S677" s="189"/>
      <c r="T677" s="190"/>
      <c r="U677" s="189"/>
      <c r="V677" s="189"/>
      <c r="W677" s="190"/>
      <c r="X677" s="189"/>
      <c r="Y677" s="189"/>
      <c r="Z677" s="190"/>
      <c r="AA677" s="189"/>
      <c r="AB677" s="189"/>
    </row>
    <row r="678" spans="13:28">
      <c r="M678" s="189"/>
      <c r="N678" s="190"/>
      <c r="O678" s="189"/>
      <c r="P678" s="189"/>
      <c r="Q678" s="190"/>
      <c r="R678" s="189"/>
      <c r="S678" s="189"/>
      <c r="T678" s="190"/>
      <c r="U678" s="189"/>
      <c r="V678" s="189"/>
      <c r="W678" s="190"/>
      <c r="X678" s="189"/>
      <c r="Y678" s="189"/>
      <c r="Z678" s="190"/>
      <c r="AA678" s="189"/>
      <c r="AB678" s="189"/>
    </row>
    <row r="679" spans="13:28">
      <c r="M679" s="189"/>
      <c r="N679" s="190"/>
      <c r="O679" s="189"/>
      <c r="P679" s="189"/>
      <c r="Q679" s="190"/>
      <c r="R679" s="189"/>
      <c r="S679" s="189"/>
      <c r="T679" s="190"/>
      <c r="U679" s="189"/>
      <c r="V679" s="189"/>
      <c r="W679" s="190"/>
      <c r="X679" s="189"/>
      <c r="Y679" s="189"/>
      <c r="Z679" s="190"/>
      <c r="AA679" s="189"/>
      <c r="AB679" s="189"/>
    </row>
    <row r="680" spans="13:28">
      <c r="M680" s="189"/>
      <c r="N680" s="190"/>
      <c r="O680" s="189"/>
      <c r="P680" s="189"/>
      <c r="Q680" s="190"/>
      <c r="R680" s="189"/>
      <c r="S680" s="189"/>
      <c r="T680" s="190"/>
      <c r="U680" s="189"/>
      <c r="V680" s="189"/>
      <c r="W680" s="190"/>
      <c r="X680" s="189"/>
      <c r="Y680" s="189"/>
      <c r="Z680" s="190"/>
      <c r="AA680" s="189"/>
      <c r="AB680" s="189"/>
    </row>
    <row r="681" spans="13:28">
      <c r="M681" s="189"/>
      <c r="N681" s="190"/>
      <c r="O681" s="189"/>
      <c r="P681" s="189"/>
      <c r="Q681" s="190"/>
      <c r="R681" s="189"/>
      <c r="S681" s="189"/>
      <c r="T681" s="190"/>
      <c r="U681" s="189"/>
      <c r="V681" s="189"/>
      <c r="W681" s="190"/>
      <c r="X681" s="189"/>
      <c r="Y681" s="189"/>
      <c r="Z681" s="190"/>
      <c r="AA681" s="189"/>
      <c r="AB681" s="189"/>
    </row>
    <row r="682" spans="13:28">
      <c r="M682" s="189"/>
      <c r="N682" s="190"/>
      <c r="O682" s="189"/>
      <c r="P682" s="189"/>
      <c r="Q682" s="190"/>
      <c r="R682" s="189"/>
      <c r="S682" s="189"/>
      <c r="T682" s="190"/>
      <c r="U682" s="189"/>
      <c r="V682" s="189"/>
      <c r="W682" s="190"/>
      <c r="X682" s="189"/>
      <c r="Y682" s="189"/>
      <c r="Z682" s="190"/>
      <c r="AA682" s="189"/>
      <c r="AB682" s="189"/>
    </row>
    <row r="683" spans="13:28">
      <c r="M683" s="189"/>
      <c r="N683" s="190"/>
      <c r="O683" s="189"/>
      <c r="P683" s="189"/>
      <c r="Q683" s="190"/>
      <c r="R683" s="189"/>
      <c r="S683" s="189"/>
      <c r="T683" s="190"/>
      <c r="U683" s="189"/>
      <c r="V683" s="189"/>
      <c r="W683" s="190"/>
      <c r="X683" s="189"/>
      <c r="Y683" s="189"/>
      <c r="Z683" s="190"/>
      <c r="AA683" s="189"/>
      <c r="AB683" s="189"/>
    </row>
    <row r="684" spans="13:28">
      <c r="M684" s="189"/>
      <c r="N684" s="190"/>
      <c r="O684" s="189"/>
      <c r="P684" s="189"/>
      <c r="Q684" s="190"/>
      <c r="R684" s="189"/>
      <c r="S684" s="189"/>
      <c r="T684" s="190"/>
      <c r="U684" s="189"/>
      <c r="V684" s="189"/>
      <c r="W684" s="190"/>
      <c r="X684" s="189"/>
      <c r="Y684" s="189"/>
      <c r="Z684" s="190"/>
      <c r="AA684" s="189"/>
      <c r="AB684" s="189"/>
    </row>
    <row r="685" spans="13:28">
      <c r="M685" s="189"/>
      <c r="N685" s="190"/>
      <c r="O685" s="189"/>
      <c r="P685" s="189"/>
      <c r="Q685" s="190"/>
      <c r="R685" s="189"/>
      <c r="S685" s="189"/>
      <c r="T685" s="190"/>
      <c r="U685" s="189"/>
      <c r="V685" s="189"/>
      <c r="W685" s="190"/>
      <c r="X685" s="189"/>
      <c r="Y685" s="189"/>
      <c r="Z685" s="190"/>
      <c r="AA685" s="189"/>
      <c r="AB685" s="189"/>
    </row>
    <row r="686" spans="13:28">
      <c r="M686" s="189"/>
      <c r="N686" s="190"/>
      <c r="O686" s="189"/>
      <c r="P686" s="189"/>
      <c r="Q686" s="190"/>
      <c r="R686" s="189"/>
      <c r="S686" s="189"/>
      <c r="T686" s="190"/>
      <c r="U686" s="189"/>
      <c r="V686" s="189"/>
      <c r="W686" s="190"/>
      <c r="X686" s="189"/>
      <c r="Y686" s="189"/>
      <c r="Z686" s="190"/>
      <c r="AA686" s="189"/>
      <c r="AB686" s="189"/>
    </row>
    <row r="687" spans="13:28">
      <c r="M687" s="189"/>
      <c r="N687" s="190"/>
      <c r="O687" s="189"/>
      <c r="P687" s="189"/>
      <c r="Q687" s="190"/>
      <c r="R687" s="189"/>
      <c r="S687" s="189"/>
      <c r="T687" s="190"/>
      <c r="U687" s="189"/>
      <c r="V687" s="189"/>
      <c r="W687" s="190"/>
      <c r="X687" s="189"/>
      <c r="Y687" s="189"/>
      <c r="Z687" s="190"/>
      <c r="AA687" s="189"/>
      <c r="AB687" s="189"/>
    </row>
    <row r="688" spans="13:28">
      <c r="M688" s="189"/>
      <c r="N688" s="190"/>
      <c r="O688" s="189"/>
      <c r="P688" s="189"/>
      <c r="Q688" s="190"/>
      <c r="R688" s="189"/>
      <c r="S688" s="189"/>
      <c r="T688" s="190"/>
      <c r="U688" s="189"/>
      <c r="V688" s="189"/>
      <c r="W688" s="190"/>
      <c r="X688" s="189"/>
      <c r="Y688" s="189"/>
      <c r="Z688" s="190"/>
      <c r="AA688" s="189"/>
      <c r="AB688" s="189"/>
    </row>
    <row r="689" spans="13:28">
      <c r="M689" s="189"/>
      <c r="N689" s="190"/>
      <c r="O689" s="189"/>
      <c r="P689" s="189"/>
      <c r="Q689" s="190"/>
      <c r="R689" s="189"/>
      <c r="S689" s="189"/>
      <c r="T689" s="190"/>
      <c r="U689" s="189"/>
      <c r="V689" s="189"/>
      <c r="W689" s="190"/>
      <c r="X689" s="189"/>
      <c r="Y689" s="189"/>
      <c r="Z689" s="190"/>
      <c r="AA689" s="189"/>
      <c r="AB689" s="189"/>
    </row>
    <row r="690" spans="13:28">
      <c r="M690" s="189"/>
      <c r="N690" s="190"/>
      <c r="O690" s="189"/>
      <c r="P690" s="189"/>
      <c r="Q690" s="190"/>
      <c r="R690" s="189"/>
      <c r="S690" s="189"/>
      <c r="T690" s="190"/>
      <c r="U690" s="189"/>
      <c r="V690" s="189"/>
      <c r="W690" s="190"/>
      <c r="X690" s="189"/>
      <c r="Y690" s="189"/>
      <c r="Z690" s="190"/>
      <c r="AA690" s="189"/>
      <c r="AB690" s="189"/>
    </row>
    <row r="691" spans="13:28">
      <c r="M691" s="189"/>
      <c r="N691" s="190"/>
      <c r="O691" s="189"/>
      <c r="P691" s="189"/>
      <c r="Q691" s="190"/>
      <c r="R691" s="189"/>
      <c r="S691" s="189"/>
      <c r="T691" s="190"/>
      <c r="U691" s="189"/>
      <c r="V691" s="189"/>
      <c r="W691" s="190"/>
      <c r="X691" s="189"/>
      <c r="Y691" s="189"/>
      <c r="Z691" s="190"/>
      <c r="AA691" s="189"/>
      <c r="AB691" s="189"/>
    </row>
    <row r="692" spans="13:28">
      <c r="M692" s="189"/>
      <c r="N692" s="190"/>
      <c r="O692" s="189"/>
      <c r="P692" s="189"/>
      <c r="Q692" s="190"/>
      <c r="R692" s="189"/>
      <c r="S692" s="189"/>
      <c r="T692" s="190"/>
      <c r="U692" s="189"/>
      <c r="V692" s="189"/>
      <c r="W692" s="190"/>
      <c r="X692" s="189"/>
      <c r="Y692" s="189"/>
      <c r="Z692" s="190"/>
      <c r="AA692" s="189"/>
      <c r="AB692" s="189"/>
    </row>
    <row r="693" spans="13:28">
      <c r="M693" s="189"/>
      <c r="N693" s="190"/>
      <c r="O693" s="189"/>
      <c r="P693" s="189"/>
      <c r="Q693" s="190"/>
      <c r="R693" s="189"/>
      <c r="S693" s="189"/>
      <c r="T693" s="190"/>
      <c r="U693" s="189"/>
      <c r="V693" s="189"/>
      <c r="W693" s="190"/>
      <c r="X693" s="189"/>
      <c r="Y693" s="189"/>
      <c r="Z693" s="190"/>
      <c r="AA693" s="189"/>
      <c r="AB693" s="189"/>
    </row>
    <row r="694" spans="13:28">
      <c r="M694" s="189"/>
      <c r="N694" s="190"/>
      <c r="O694" s="189"/>
      <c r="P694" s="189"/>
      <c r="Q694" s="190"/>
      <c r="R694" s="189"/>
      <c r="S694" s="189"/>
      <c r="T694" s="190"/>
      <c r="U694" s="189"/>
      <c r="V694" s="189"/>
      <c r="W694" s="190"/>
      <c r="X694" s="189"/>
      <c r="Y694" s="189"/>
      <c r="Z694" s="190"/>
      <c r="AA694" s="189"/>
      <c r="AB694" s="189"/>
    </row>
    <row r="695" spans="13:28">
      <c r="M695" s="189"/>
      <c r="N695" s="190"/>
      <c r="O695" s="189"/>
      <c r="P695" s="189"/>
      <c r="Q695" s="190"/>
      <c r="R695" s="189"/>
      <c r="S695" s="189"/>
      <c r="T695" s="190"/>
      <c r="U695" s="189"/>
      <c r="V695" s="189"/>
      <c r="W695" s="190"/>
      <c r="X695" s="189"/>
      <c r="Y695" s="189"/>
      <c r="Z695" s="190"/>
      <c r="AA695" s="189"/>
      <c r="AB695" s="189"/>
    </row>
    <row r="696" spans="13:28">
      <c r="M696" s="189"/>
      <c r="N696" s="190"/>
      <c r="O696" s="189"/>
      <c r="P696" s="189"/>
      <c r="Q696" s="190"/>
      <c r="R696" s="189"/>
      <c r="S696" s="189"/>
      <c r="T696" s="190"/>
      <c r="U696" s="189"/>
      <c r="V696" s="189"/>
      <c r="W696" s="190"/>
      <c r="X696" s="189"/>
      <c r="Y696" s="189"/>
      <c r="Z696" s="190"/>
      <c r="AA696" s="189"/>
      <c r="AB696" s="189"/>
    </row>
    <row r="697" spans="13:28">
      <c r="M697" s="189"/>
      <c r="N697" s="190"/>
      <c r="O697" s="189"/>
      <c r="P697" s="189"/>
      <c r="Q697" s="190"/>
      <c r="R697" s="189"/>
      <c r="S697" s="189"/>
      <c r="T697" s="190"/>
      <c r="U697" s="189"/>
      <c r="V697" s="189"/>
      <c r="W697" s="190"/>
      <c r="X697" s="189"/>
      <c r="Y697" s="189"/>
      <c r="Z697" s="190"/>
      <c r="AA697" s="189"/>
      <c r="AB697" s="189"/>
    </row>
    <row r="698" spans="13:28">
      <c r="M698" s="189"/>
      <c r="N698" s="190"/>
      <c r="O698" s="189"/>
      <c r="P698" s="189"/>
      <c r="Q698" s="190"/>
      <c r="R698" s="189"/>
      <c r="S698" s="189"/>
      <c r="T698" s="190"/>
      <c r="U698" s="189"/>
      <c r="V698" s="189"/>
      <c r="W698" s="190"/>
      <c r="X698" s="189"/>
      <c r="Y698" s="189"/>
      <c r="Z698" s="190"/>
      <c r="AA698" s="189"/>
      <c r="AB698" s="189"/>
    </row>
    <row r="699" spans="13:28">
      <c r="M699" s="189"/>
      <c r="N699" s="190"/>
      <c r="O699" s="189"/>
      <c r="P699" s="189"/>
      <c r="Q699" s="190"/>
      <c r="R699" s="189"/>
      <c r="S699" s="189"/>
      <c r="T699" s="190"/>
      <c r="U699" s="189"/>
      <c r="V699" s="189"/>
      <c r="W699" s="190"/>
      <c r="X699" s="189"/>
      <c r="Y699" s="189"/>
      <c r="Z699" s="190"/>
      <c r="AA699" s="189"/>
      <c r="AB699" s="189"/>
    </row>
    <row r="700" spans="13:28">
      <c r="M700" s="189"/>
      <c r="N700" s="190"/>
      <c r="O700" s="189"/>
      <c r="P700" s="189"/>
      <c r="Q700" s="190"/>
      <c r="R700" s="189"/>
      <c r="S700" s="189"/>
      <c r="T700" s="190"/>
      <c r="U700" s="189"/>
      <c r="V700" s="189"/>
      <c r="W700" s="190"/>
      <c r="X700" s="189"/>
      <c r="Y700" s="189"/>
      <c r="Z700" s="190"/>
      <c r="AA700" s="189"/>
      <c r="AB700" s="189"/>
    </row>
    <row r="701" spans="13:28">
      <c r="M701" s="189"/>
      <c r="N701" s="190"/>
      <c r="O701" s="189"/>
      <c r="P701" s="189"/>
      <c r="Q701" s="190"/>
      <c r="R701" s="189"/>
      <c r="S701" s="189"/>
      <c r="T701" s="190"/>
      <c r="U701" s="189"/>
      <c r="V701" s="189"/>
      <c r="W701" s="190"/>
      <c r="X701" s="189"/>
      <c r="Y701" s="189"/>
      <c r="Z701" s="190"/>
      <c r="AA701" s="189"/>
      <c r="AB701" s="189"/>
    </row>
    <row r="702" spans="13:28">
      <c r="M702" s="189"/>
      <c r="N702" s="190"/>
      <c r="O702" s="189"/>
      <c r="P702" s="189"/>
      <c r="Q702" s="190"/>
      <c r="R702" s="189"/>
      <c r="S702" s="189"/>
      <c r="T702" s="190"/>
      <c r="U702" s="189"/>
      <c r="V702" s="189"/>
      <c r="W702" s="190"/>
      <c r="X702" s="189"/>
      <c r="Y702" s="189"/>
      <c r="Z702" s="190"/>
      <c r="AA702" s="189"/>
      <c r="AB702" s="189"/>
    </row>
    <row r="703" spans="13:28">
      <c r="M703" s="189"/>
      <c r="N703" s="190"/>
      <c r="O703" s="189"/>
      <c r="P703" s="189"/>
      <c r="Q703" s="190"/>
      <c r="R703" s="189"/>
      <c r="S703" s="189"/>
      <c r="T703" s="190"/>
      <c r="U703" s="189"/>
      <c r="V703" s="189"/>
      <c r="W703" s="190"/>
      <c r="X703" s="189"/>
      <c r="Y703" s="189"/>
      <c r="Z703" s="190"/>
      <c r="AA703" s="189"/>
      <c r="AB703" s="189"/>
    </row>
    <row r="704" spans="13:28">
      <c r="M704" s="189"/>
      <c r="N704" s="190"/>
      <c r="O704" s="189"/>
      <c r="P704" s="189"/>
      <c r="Q704" s="190"/>
      <c r="R704" s="189"/>
      <c r="S704" s="189"/>
      <c r="T704" s="190"/>
      <c r="U704" s="189"/>
      <c r="V704" s="189"/>
      <c r="W704" s="190"/>
      <c r="X704" s="189"/>
      <c r="Y704" s="189"/>
      <c r="Z704" s="190"/>
      <c r="AA704" s="189"/>
      <c r="AB704" s="189"/>
    </row>
    <row r="705" spans="13:28">
      <c r="M705" s="189"/>
      <c r="N705" s="190"/>
      <c r="O705" s="189"/>
      <c r="P705" s="189"/>
      <c r="Q705" s="190"/>
      <c r="R705" s="189"/>
      <c r="S705" s="189"/>
      <c r="T705" s="190"/>
      <c r="U705" s="189"/>
      <c r="V705" s="189"/>
      <c r="W705" s="190"/>
      <c r="X705" s="189"/>
      <c r="Y705" s="189"/>
      <c r="Z705" s="190"/>
      <c r="AA705" s="189"/>
      <c r="AB705" s="189"/>
    </row>
    <row r="706" spans="13:28">
      <c r="M706" s="189"/>
      <c r="N706" s="190"/>
      <c r="O706" s="189"/>
      <c r="P706" s="189"/>
      <c r="Q706" s="190"/>
      <c r="R706" s="189"/>
      <c r="S706" s="189"/>
      <c r="T706" s="190"/>
      <c r="U706" s="189"/>
      <c r="V706" s="189"/>
      <c r="W706" s="190"/>
      <c r="X706" s="189"/>
      <c r="Y706" s="189"/>
      <c r="Z706" s="190"/>
      <c r="AA706" s="189"/>
      <c r="AB706" s="189"/>
    </row>
    <row r="707" spans="13:28">
      <c r="M707" s="189"/>
      <c r="N707" s="190"/>
      <c r="O707" s="189"/>
      <c r="P707" s="189"/>
      <c r="Q707" s="190"/>
      <c r="R707" s="189"/>
      <c r="S707" s="189"/>
      <c r="T707" s="190"/>
      <c r="U707" s="189"/>
      <c r="V707" s="189"/>
      <c r="W707" s="190"/>
      <c r="X707" s="189"/>
      <c r="Y707" s="189"/>
      <c r="Z707" s="190"/>
      <c r="AA707" s="189"/>
      <c r="AB707" s="189"/>
    </row>
    <row r="708" spans="13:28">
      <c r="M708" s="189"/>
      <c r="N708" s="190"/>
      <c r="O708" s="189"/>
      <c r="P708" s="189"/>
      <c r="Q708" s="190"/>
      <c r="R708" s="189"/>
      <c r="S708" s="189"/>
      <c r="T708" s="190"/>
      <c r="U708" s="189"/>
      <c r="V708" s="189"/>
      <c r="W708" s="190"/>
      <c r="X708" s="189"/>
      <c r="Y708" s="189"/>
      <c r="Z708" s="190"/>
      <c r="AA708" s="189"/>
      <c r="AB708" s="189"/>
    </row>
    <row r="709" spans="13:28">
      <c r="M709" s="189"/>
      <c r="N709" s="190"/>
      <c r="O709" s="189"/>
      <c r="P709" s="189"/>
      <c r="Q709" s="190"/>
      <c r="R709" s="189"/>
      <c r="S709" s="189"/>
      <c r="T709" s="190"/>
      <c r="U709" s="189"/>
      <c r="V709" s="189"/>
      <c r="W709" s="190"/>
      <c r="X709" s="189"/>
      <c r="Y709" s="189"/>
      <c r="Z709" s="190"/>
      <c r="AA709" s="189"/>
      <c r="AB709" s="189"/>
    </row>
    <row r="710" spans="13:28">
      <c r="M710" s="189"/>
      <c r="N710" s="190"/>
      <c r="O710" s="189"/>
      <c r="P710" s="189"/>
      <c r="Q710" s="190"/>
      <c r="R710" s="189"/>
      <c r="S710" s="189"/>
      <c r="T710" s="190"/>
      <c r="U710" s="189"/>
      <c r="V710" s="189"/>
      <c r="W710" s="190"/>
      <c r="X710" s="189"/>
      <c r="Y710" s="189"/>
      <c r="Z710" s="190"/>
      <c r="AA710" s="189"/>
      <c r="AB710" s="189"/>
    </row>
    <row r="711" spans="13:28">
      <c r="M711" s="189"/>
      <c r="N711" s="190"/>
      <c r="O711" s="189"/>
      <c r="P711" s="189"/>
      <c r="Q711" s="190"/>
      <c r="R711" s="189"/>
      <c r="S711" s="189"/>
      <c r="T711" s="190"/>
      <c r="U711" s="189"/>
      <c r="V711" s="189"/>
      <c r="W711" s="190"/>
      <c r="X711" s="189"/>
      <c r="Y711" s="189"/>
      <c r="Z711" s="190"/>
      <c r="AA711" s="189"/>
      <c r="AB711" s="189"/>
    </row>
    <row r="712" spans="13:28">
      <c r="M712" s="189"/>
      <c r="N712" s="190"/>
      <c r="O712" s="189"/>
      <c r="P712" s="189"/>
      <c r="Q712" s="190"/>
      <c r="R712" s="189"/>
      <c r="S712" s="189"/>
      <c r="T712" s="190"/>
      <c r="U712" s="189"/>
      <c r="V712" s="189"/>
      <c r="W712" s="190"/>
      <c r="X712" s="189"/>
      <c r="Y712" s="189"/>
      <c r="Z712" s="190"/>
      <c r="AA712" s="189"/>
      <c r="AB712" s="189"/>
    </row>
    <row r="713" spans="13:28">
      <c r="M713" s="189"/>
      <c r="N713" s="190"/>
      <c r="O713" s="189"/>
      <c r="P713" s="189"/>
      <c r="Q713" s="190"/>
      <c r="R713" s="189"/>
      <c r="S713" s="189"/>
      <c r="T713" s="190"/>
      <c r="U713" s="189"/>
      <c r="V713" s="189"/>
      <c r="W713" s="190"/>
      <c r="X713" s="189"/>
      <c r="Y713" s="189"/>
      <c r="Z713" s="190"/>
      <c r="AA713" s="189"/>
      <c r="AB713" s="189"/>
    </row>
    <row r="714" spans="13:28">
      <c r="M714" s="189"/>
      <c r="N714" s="190"/>
      <c r="O714" s="189"/>
      <c r="P714" s="189"/>
      <c r="Q714" s="190"/>
      <c r="R714" s="189"/>
      <c r="S714" s="189"/>
      <c r="T714" s="190"/>
      <c r="U714" s="189"/>
      <c r="V714" s="189"/>
      <c r="W714" s="190"/>
      <c r="X714" s="189"/>
      <c r="Y714" s="189"/>
      <c r="Z714" s="190"/>
      <c r="AA714" s="189"/>
      <c r="AB714" s="189"/>
    </row>
    <row r="715" spans="13:28">
      <c r="M715" s="189"/>
      <c r="N715" s="190"/>
      <c r="O715" s="189"/>
      <c r="P715" s="189"/>
      <c r="Q715" s="190"/>
      <c r="R715" s="189"/>
      <c r="S715" s="189"/>
      <c r="T715" s="190"/>
      <c r="U715" s="189"/>
      <c r="V715" s="189"/>
      <c r="W715" s="190"/>
      <c r="X715" s="189"/>
      <c r="Y715" s="189"/>
      <c r="Z715" s="190"/>
      <c r="AA715" s="189"/>
      <c r="AB715" s="189"/>
    </row>
    <row r="716" spans="13:28">
      <c r="M716" s="189"/>
      <c r="N716" s="190"/>
      <c r="O716" s="189"/>
      <c r="P716" s="189"/>
      <c r="Q716" s="190"/>
      <c r="R716" s="189"/>
      <c r="S716" s="189"/>
      <c r="T716" s="190"/>
      <c r="U716" s="189"/>
      <c r="V716" s="189"/>
      <c r="W716" s="190"/>
      <c r="X716" s="189"/>
      <c r="Y716" s="189"/>
      <c r="Z716" s="190"/>
      <c r="AA716" s="189"/>
      <c r="AB716" s="189"/>
    </row>
    <row r="717" spans="13:28">
      <c r="M717" s="189"/>
      <c r="N717" s="190"/>
      <c r="O717" s="189"/>
      <c r="P717" s="189"/>
      <c r="Q717" s="190"/>
      <c r="R717" s="189"/>
      <c r="S717" s="189"/>
      <c r="T717" s="190"/>
      <c r="U717" s="189"/>
      <c r="V717" s="189"/>
      <c r="W717" s="190"/>
      <c r="X717" s="189"/>
      <c r="Y717" s="189"/>
      <c r="Z717" s="190"/>
      <c r="AA717" s="189"/>
      <c r="AB717" s="189"/>
    </row>
    <row r="718" spans="13:28">
      <c r="M718" s="189"/>
      <c r="N718" s="190"/>
      <c r="O718" s="189"/>
      <c r="P718" s="189"/>
      <c r="Q718" s="190"/>
      <c r="R718" s="189"/>
      <c r="S718" s="189"/>
      <c r="T718" s="190"/>
      <c r="U718" s="189"/>
      <c r="V718" s="189"/>
      <c r="W718" s="190"/>
      <c r="X718" s="189"/>
      <c r="Y718" s="189"/>
      <c r="Z718" s="190"/>
      <c r="AA718" s="189"/>
      <c r="AB718" s="189"/>
    </row>
    <row r="719" spans="13:28">
      <c r="M719" s="189"/>
      <c r="N719" s="190"/>
      <c r="O719" s="189"/>
      <c r="P719" s="189"/>
      <c r="Q719" s="190"/>
      <c r="R719" s="189"/>
      <c r="S719" s="189"/>
      <c r="T719" s="190"/>
      <c r="U719" s="189"/>
      <c r="V719" s="189"/>
      <c r="W719" s="190"/>
      <c r="X719" s="189"/>
      <c r="Y719" s="189"/>
      <c r="Z719" s="190"/>
      <c r="AA719" s="189"/>
      <c r="AB719" s="189"/>
    </row>
    <row r="720" spans="13:28">
      <c r="M720" s="189"/>
      <c r="N720" s="190"/>
      <c r="O720" s="189"/>
      <c r="P720" s="189"/>
      <c r="Q720" s="190"/>
      <c r="R720" s="189"/>
      <c r="S720" s="189"/>
      <c r="T720" s="190"/>
      <c r="U720" s="189"/>
      <c r="V720" s="189"/>
      <c r="W720" s="190"/>
      <c r="X720" s="189"/>
      <c r="Y720" s="189"/>
      <c r="Z720" s="190"/>
      <c r="AA720" s="189"/>
      <c r="AB720" s="189"/>
    </row>
    <row r="721" spans="13:28">
      <c r="M721" s="189"/>
      <c r="N721" s="190"/>
      <c r="O721" s="189"/>
      <c r="P721" s="189"/>
      <c r="Q721" s="190"/>
      <c r="R721" s="189"/>
      <c r="S721" s="189"/>
      <c r="T721" s="190"/>
      <c r="U721" s="189"/>
      <c r="V721" s="189"/>
      <c r="W721" s="190"/>
      <c r="X721" s="189"/>
      <c r="Y721" s="189"/>
      <c r="Z721" s="190"/>
      <c r="AA721" s="189"/>
      <c r="AB721" s="189"/>
    </row>
    <row r="722" spans="13:28">
      <c r="M722" s="189"/>
      <c r="N722" s="190"/>
      <c r="O722" s="189"/>
      <c r="P722" s="189"/>
      <c r="Q722" s="190"/>
      <c r="R722" s="189"/>
      <c r="S722" s="189"/>
      <c r="T722" s="190"/>
      <c r="U722" s="189"/>
      <c r="V722" s="189"/>
      <c r="W722" s="190"/>
      <c r="X722" s="189"/>
      <c r="Y722" s="189"/>
      <c r="Z722" s="190"/>
      <c r="AA722" s="189"/>
      <c r="AB722" s="189"/>
    </row>
    <row r="723" spans="13:28">
      <c r="M723" s="189"/>
      <c r="N723" s="190"/>
      <c r="O723" s="189"/>
      <c r="P723" s="189"/>
      <c r="Q723" s="190"/>
      <c r="R723" s="189"/>
      <c r="S723" s="189"/>
      <c r="T723" s="190"/>
      <c r="U723" s="189"/>
      <c r="V723" s="189"/>
      <c r="W723" s="190"/>
      <c r="X723" s="189"/>
      <c r="Y723" s="189"/>
      <c r="Z723" s="190"/>
      <c r="AA723" s="189"/>
      <c r="AB723" s="189"/>
    </row>
    <row r="724" spans="13:28">
      <c r="M724" s="189"/>
      <c r="N724" s="190"/>
      <c r="O724" s="189"/>
      <c r="P724" s="189"/>
      <c r="Q724" s="190"/>
      <c r="R724" s="189"/>
      <c r="S724" s="189"/>
      <c r="T724" s="190"/>
      <c r="U724" s="189"/>
      <c r="V724" s="189"/>
      <c r="W724" s="190"/>
      <c r="X724" s="189"/>
      <c r="Y724" s="189"/>
      <c r="Z724" s="190"/>
      <c r="AA724" s="189"/>
      <c r="AB724" s="189"/>
    </row>
    <row r="725" spans="13:28">
      <c r="M725" s="189"/>
      <c r="N725" s="190"/>
      <c r="O725" s="189"/>
      <c r="P725" s="189"/>
      <c r="Q725" s="190"/>
      <c r="R725" s="189"/>
      <c r="S725" s="189"/>
      <c r="T725" s="190"/>
      <c r="U725" s="189"/>
      <c r="V725" s="189"/>
      <c r="W725" s="190"/>
      <c r="X725" s="189"/>
      <c r="Y725" s="189"/>
      <c r="Z725" s="190"/>
      <c r="AA725" s="189"/>
      <c r="AB725" s="189"/>
    </row>
    <row r="726" spans="13:28">
      <c r="M726" s="189"/>
      <c r="N726" s="190"/>
      <c r="O726" s="189"/>
      <c r="P726" s="189"/>
      <c r="Q726" s="190"/>
      <c r="R726" s="189"/>
      <c r="S726" s="189"/>
      <c r="T726" s="190"/>
      <c r="U726" s="189"/>
      <c r="V726" s="189"/>
      <c r="W726" s="190"/>
      <c r="X726" s="189"/>
      <c r="Y726" s="189"/>
      <c r="Z726" s="190"/>
      <c r="AA726" s="189"/>
      <c r="AB726" s="189"/>
    </row>
    <row r="727" spans="13:28">
      <c r="M727" s="189"/>
      <c r="N727" s="190"/>
      <c r="O727" s="189"/>
      <c r="P727" s="189"/>
      <c r="Q727" s="190"/>
      <c r="R727" s="189"/>
      <c r="S727" s="189"/>
      <c r="T727" s="190"/>
      <c r="U727" s="189"/>
      <c r="V727" s="189"/>
      <c r="W727" s="190"/>
      <c r="X727" s="189"/>
      <c r="Y727" s="189"/>
      <c r="Z727" s="190"/>
      <c r="AA727" s="189"/>
      <c r="AB727" s="189"/>
    </row>
    <row r="728" spans="13:28">
      <c r="M728" s="189"/>
      <c r="N728" s="190"/>
      <c r="O728" s="189"/>
      <c r="P728" s="189"/>
      <c r="Q728" s="190"/>
      <c r="R728" s="189"/>
      <c r="S728" s="189"/>
      <c r="T728" s="190"/>
      <c r="U728" s="189"/>
      <c r="V728" s="189"/>
      <c r="W728" s="190"/>
      <c r="X728" s="189"/>
      <c r="Y728" s="189"/>
      <c r="Z728" s="190"/>
      <c r="AA728" s="189"/>
      <c r="AB728" s="189"/>
    </row>
    <row r="729" spans="13:28">
      <c r="M729" s="189"/>
      <c r="N729" s="190"/>
      <c r="O729" s="189"/>
      <c r="P729" s="189"/>
      <c r="Q729" s="190"/>
      <c r="R729" s="189"/>
      <c r="S729" s="189"/>
      <c r="T729" s="190"/>
      <c r="U729" s="189"/>
      <c r="V729" s="189"/>
      <c r="W729" s="190"/>
      <c r="X729" s="189"/>
      <c r="Y729" s="189"/>
      <c r="Z729" s="190"/>
      <c r="AA729" s="189"/>
      <c r="AB729" s="189"/>
    </row>
    <row r="730" spans="13:28">
      <c r="M730" s="189"/>
      <c r="N730" s="190"/>
      <c r="O730" s="189"/>
      <c r="P730" s="189"/>
      <c r="Q730" s="190"/>
      <c r="R730" s="189"/>
      <c r="S730" s="189"/>
      <c r="T730" s="190"/>
      <c r="U730" s="189"/>
      <c r="V730" s="189"/>
      <c r="W730" s="190"/>
      <c r="X730" s="189"/>
      <c r="Y730" s="189"/>
      <c r="Z730" s="190"/>
      <c r="AA730" s="189"/>
      <c r="AB730" s="189"/>
    </row>
    <row r="731" spans="13:28">
      <c r="M731" s="189"/>
      <c r="N731" s="190"/>
      <c r="O731" s="189"/>
      <c r="P731" s="189"/>
      <c r="Q731" s="190"/>
      <c r="R731" s="189"/>
      <c r="S731" s="189"/>
      <c r="T731" s="190"/>
      <c r="U731" s="189"/>
      <c r="V731" s="189"/>
      <c r="W731" s="190"/>
      <c r="X731" s="189"/>
      <c r="Y731" s="189"/>
      <c r="Z731" s="190"/>
      <c r="AA731" s="189"/>
      <c r="AB731" s="189"/>
    </row>
    <row r="732" spans="13:28">
      <c r="M732" s="189"/>
      <c r="N732" s="190"/>
      <c r="O732" s="189"/>
      <c r="P732" s="189"/>
      <c r="Q732" s="190"/>
      <c r="R732" s="189"/>
      <c r="S732" s="189"/>
      <c r="T732" s="190"/>
      <c r="U732" s="189"/>
      <c r="V732" s="189"/>
      <c r="W732" s="190"/>
      <c r="X732" s="189"/>
      <c r="Y732" s="189"/>
      <c r="Z732" s="190"/>
      <c r="AA732" s="189"/>
      <c r="AB732" s="189"/>
    </row>
    <row r="733" spans="13:28">
      <c r="M733" s="189"/>
      <c r="N733" s="190"/>
      <c r="O733" s="189"/>
      <c r="P733" s="189"/>
      <c r="Q733" s="190"/>
      <c r="R733" s="189"/>
      <c r="S733" s="189"/>
      <c r="T733" s="190"/>
      <c r="U733" s="189"/>
      <c r="V733" s="189"/>
      <c r="W733" s="190"/>
      <c r="X733" s="189"/>
      <c r="Y733" s="189"/>
      <c r="Z733" s="190"/>
      <c r="AA733" s="189"/>
      <c r="AB733" s="189"/>
    </row>
    <row r="734" spans="13:28">
      <c r="M734" s="189"/>
      <c r="N734" s="190"/>
      <c r="O734" s="189"/>
      <c r="P734" s="189"/>
      <c r="Q734" s="190"/>
      <c r="R734" s="189"/>
      <c r="S734" s="189"/>
      <c r="T734" s="190"/>
      <c r="U734" s="189"/>
      <c r="V734" s="189"/>
      <c r="W734" s="190"/>
      <c r="X734" s="189"/>
      <c r="Y734" s="189"/>
      <c r="Z734" s="190"/>
      <c r="AA734" s="189"/>
      <c r="AB734" s="189"/>
    </row>
    <row r="735" spans="13:28">
      <c r="M735" s="189"/>
      <c r="N735" s="190"/>
      <c r="O735" s="189"/>
      <c r="P735" s="189"/>
      <c r="Q735" s="190"/>
      <c r="R735" s="189"/>
      <c r="S735" s="189"/>
      <c r="T735" s="190"/>
      <c r="U735" s="189"/>
      <c r="V735" s="189"/>
      <c r="W735" s="190"/>
      <c r="X735" s="189"/>
      <c r="Y735" s="189"/>
      <c r="Z735" s="190"/>
      <c r="AA735" s="189"/>
      <c r="AB735" s="189"/>
    </row>
    <row r="736" spans="13:28">
      <c r="M736" s="189"/>
      <c r="N736" s="190"/>
      <c r="O736" s="189"/>
      <c r="P736" s="189"/>
      <c r="Q736" s="190"/>
      <c r="R736" s="189"/>
      <c r="S736" s="189"/>
      <c r="T736" s="190"/>
      <c r="U736" s="189"/>
      <c r="V736" s="189"/>
      <c r="W736" s="190"/>
      <c r="X736" s="189"/>
      <c r="Y736" s="189"/>
      <c r="Z736" s="190"/>
      <c r="AA736" s="189"/>
      <c r="AB736" s="189"/>
    </row>
    <row r="737" spans="13:28">
      <c r="M737" s="189"/>
      <c r="N737" s="190"/>
      <c r="O737" s="189"/>
      <c r="P737" s="189"/>
      <c r="Q737" s="190"/>
      <c r="R737" s="189"/>
      <c r="S737" s="189"/>
      <c r="T737" s="190"/>
      <c r="U737" s="189"/>
      <c r="V737" s="189"/>
      <c r="W737" s="190"/>
      <c r="X737" s="189"/>
      <c r="Y737" s="189"/>
      <c r="Z737" s="190"/>
      <c r="AA737" s="189"/>
      <c r="AB737" s="189"/>
    </row>
    <row r="738" spans="13:28">
      <c r="M738" s="189"/>
      <c r="N738" s="190"/>
      <c r="O738" s="189"/>
      <c r="P738" s="189"/>
      <c r="Q738" s="190"/>
      <c r="R738" s="189"/>
      <c r="S738" s="189"/>
      <c r="T738" s="190"/>
      <c r="U738" s="189"/>
      <c r="V738" s="189"/>
      <c r="W738" s="190"/>
      <c r="X738" s="189"/>
      <c r="Y738" s="189"/>
      <c r="Z738" s="190"/>
      <c r="AA738" s="189"/>
      <c r="AB738" s="189"/>
    </row>
    <row r="739" spans="13:28">
      <c r="M739" s="189"/>
      <c r="N739" s="190"/>
      <c r="O739" s="189"/>
      <c r="P739" s="189"/>
      <c r="Q739" s="190"/>
      <c r="R739" s="189"/>
      <c r="S739" s="189"/>
      <c r="T739" s="190"/>
      <c r="U739" s="189"/>
      <c r="V739" s="189"/>
      <c r="W739" s="190"/>
      <c r="X739" s="189"/>
      <c r="Y739" s="189"/>
      <c r="Z739" s="190"/>
      <c r="AA739" s="189"/>
      <c r="AB739" s="189"/>
    </row>
    <row r="740" spans="13:28">
      <c r="M740" s="189"/>
      <c r="N740" s="190"/>
      <c r="O740" s="189"/>
      <c r="P740" s="189"/>
      <c r="Q740" s="190"/>
      <c r="R740" s="189"/>
      <c r="S740" s="189"/>
      <c r="T740" s="190"/>
      <c r="U740" s="189"/>
      <c r="V740" s="189"/>
      <c r="W740" s="190"/>
      <c r="X740" s="189"/>
      <c r="Y740" s="189"/>
      <c r="Z740" s="190"/>
      <c r="AA740" s="189"/>
      <c r="AB740" s="189"/>
    </row>
    <row r="741" spans="13:28">
      <c r="M741" s="189"/>
      <c r="N741" s="190"/>
      <c r="O741" s="189"/>
      <c r="P741" s="189"/>
      <c r="Q741" s="190"/>
      <c r="R741" s="189"/>
      <c r="S741" s="189"/>
      <c r="T741" s="190"/>
      <c r="U741" s="189"/>
      <c r="V741" s="189"/>
      <c r="W741" s="190"/>
      <c r="X741" s="189"/>
      <c r="Y741" s="189"/>
      <c r="Z741" s="190"/>
      <c r="AA741" s="189"/>
      <c r="AB741" s="189"/>
    </row>
    <row r="742" spans="13:28">
      <c r="M742" s="189"/>
      <c r="N742" s="190"/>
      <c r="O742" s="189"/>
      <c r="P742" s="189"/>
      <c r="Q742" s="190"/>
      <c r="R742" s="189"/>
      <c r="S742" s="189"/>
      <c r="T742" s="190"/>
      <c r="U742" s="189"/>
      <c r="V742" s="189"/>
      <c r="W742" s="190"/>
      <c r="X742" s="189"/>
      <c r="Y742" s="189"/>
      <c r="Z742" s="190"/>
      <c r="AA742" s="189"/>
      <c r="AB742" s="189"/>
    </row>
    <row r="743" spans="13:28">
      <c r="M743" s="189"/>
      <c r="N743" s="190"/>
      <c r="O743" s="189"/>
      <c r="P743" s="189"/>
      <c r="Q743" s="190"/>
      <c r="R743" s="189"/>
      <c r="S743" s="189"/>
      <c r="T743" s="190"/>
      <c r="U743" s="189"/>
      <c r="V743" s="189"/>
      <c r="W743" s="190"/>
      <c r="X743" s="189"/>
      <c r="Y743" s="189"/>
      <c r="Z743" s="190"/>
      <c r="AA743" s="189"/>
      <c r="AB743" s="189"/>
    </row>
    <row r="744" spans="13:28">
      <c r="M744" s="189"/>
      <c r="N744" s="190"/>
      <c r="O744" s="189"/>
      <c r="P744" s="189"/>
      <c r="Q744" s="190"/>
      <c r="R744" s="189"/>
      <c r="S744" s="189"/>
      <c r="T744" s="190"/>
      <c r="U744" s="189"/>
      <c r="V744" s="189"/>
      <c r="W744" s="190"/>
      <c r="X744" s="189"/>
      <c r="Y744" s="189"/>
      <c r="Z744" s="190"/>
      <c r="AA744" s="189"/>
      <c r="AB744" s="189"/>
    </row>
    <row r="745" spans="13:28">
      <c r="M745" s="189"/>
      <c r="N745" s="190"/>
      <c r="O745" s="189"/>
      <c r="P745" s="189"/>
      <c r="Q745" s="190"/>
      <c r="R745" s="189"/>
      <c r="S745" s="189"/>
      <c r="T745" s="190"/>
      <c r="U745" s="189"/>
      <c r="V745" s="189"/>
      <c r="W745" s="190"/>
      <c r="X745" s="189"/>
      <c r="Y745" s="189"/>
      <c r="Z745" s="190"/>
      <c r="AA745" s="189"/>
      <c r="AB745" s="189"/>
    </row>
    <row r="746" spans="13:28">
      <c r="M746" s="189"/>
      <c r="N746" s="190"/>
      <c r="O746" s="189"/>
      <c r="P746" s="189"/>
      <c r="Q746" s="190"/>
      <c r="R746" s="189"/>
      <c r="S746" s="189"/>
      <c r="T746" s="190"/>
      <c r="U746" s="189"/>
      <c r="V746" s="189"/>
      <c r="W746" s="190"/>
      <c r="X746" s="189"/>
      <c r="Y746" s="189"/>
      <c r="Z746" s="190"/>
      <c r="AA746" s="189"/>
      <c r="AB746" s="189"/>
    </row>
    <row r="747" spans="13:28">
      <c r="M747" s="189"/>
      <c r="N747" s="190"/>
      <c r="O747" s="189"/>
      <c r="P747" s="189"/>
      <c r="Q747" s="190"/>
      <c r="R747" s="189"/>
      <c r="S747" s="189"/>
      <c r="T747" s="190"/>
      <c r="U747" s="189"/>
      <c r="V747" s="189"/>
      <c r="W747" s="190"/>
      <c r="X747" s="189"/>
      <c r="Y747" s="189"/>
      <c r="Z747" s="190"/>
      <c r="AA747" s="189"/>
      <c r="AB747" s="189"/>
    </row>
    <row r="748" spans="13:28">
      <c r="M748" s="189"/>
      <c r="N748" s="190"/>
      <c r="O748" s="189"/>
      <c r="P748" s="189"/>
      <c r="Q748" s="190"/>
      <c r="R748" s="189"/>
      <c r="S748" s="189"/>
      <c r="T748" s="190"/>
      <c r="U748" s="189"/>
      <c r="V748" s="189"/>
      <c r="W748" s="190"/>
      <c r="X748" s="189"/>
      <c r="Y748" s="189"/>
      <c r="Z748" s="190"/>
      <c r="AA748" s="189"/>
      <c r="AB748" s="189"/>
    </row>
    <row r="749" spans="13:28">
      <c r="M749" s="189"/>
      <c r="N749" s="190"/>
      <c r="O749" s="189"/>
      <c r="P749" s="189"/>
      <c r="Q749" s="190"/>
      <c r="R749" s="189"/>
      <c r="S749" s="189"/>
      <c r="T749" s="190"/>
      <c r="U749" s="189"/>
      <c r="V749" s="189"/>
      <c r="W749" s="190"/>
      <c r="X749" s="189"/>
      <c r="Y749" s="189"/>
      <c r="Z749" s="190"/>
      <c r="AA749" s="189"/>
      <c r="AB749" s="189"/>
    </row>
    <row r="750" spans="13:28">
      <c r="M750" s="189"/>
      <c r="N750" s="190"/>
      <c r="O750" s="189"/>
      <c r="P750" s="189"/>
      <c r="Q750" s="190"/>
      <c r="R750" s="189"/>
      <c r="S750" s="189"/>
      <c r="T750" s="190"/>
      <c r="U750" s="189"/>
      <c r="V750" s="189"/>
      <c r="W750" s="190"/>
      <c r="X750" s="189"/>
      <c r="Y750" s="189"/>
      <c r="Z750" s="190"/>
      <c r="AA750" s="189"/>
      <c r="AB750" s="189"/>
    </row>
    <row r="751" spans="13:28">
      <c r="M751" s="189"/>
      <c r="N751" s="190"/>
      <c r="O751" s="189"/>
      <c r="P751" s="189"/>
      <c r="Q751" s="190"/>
      <c r="R751" s="189"/>
      <c r="S751" s="189"/>
      <c r="T751" s="190"/>
      <c r="U751" s="189"/>
      <c r="V751" s="189"/>
      <c r="W751" s="190"/>
      <c r="X751" s="189"/>
      <c r="Y751" s="189"/>
      <c r="Z751" s="190"/>
      <c r="AA751" s="189"/>
      <c r="AB751" s="189"/>
    </row>
    <row r="752" spans="13:28">
      <c r="M752" s="189"/>
      <c r="N752" s="190"/>
      <c r="O752" s="189"/>
      <c r="P752" s="189"/>
      <c r="Q752" s="190"/>
      <c r="R752" s="189"/>
      <c r="S752" s="189"/>
      <c r="T752" s="190"/>
      <c r="U752" s="189"/>
      <c r="V752" s="189"/>
      <c r="W752" s="190"/>
      <c r="X752" s="189"/>
      <c r="Y752" s="189"/>
      <c r="Z752" s="190"/>
      <c r="AA752" s="189"/>
      <c r="AB752" s="189"/>
    </row>
    <row r="753" spans="13:28">
      <c r="M753" s="189"/>
      <c r="N753" s="190"/>
      <c r="O753" s="189"/>
      <c r="P753" s="189"/>
      <c r="Q753" s="190"/>
      <c r="R753" s="189"/>
      <c r="S753" s="189"/>
      <c r="T753" s="190"/>
      <c r="U753" s="189"/>
      <c r="V753" s="189"/>
      <c r="W753" s="190"/>
      <c r="X753" s="189"/>
      <c r="Y753" s="189"/>
      <c r="Z753" s="190"/>
      <c r="AA753" s="189"/>
      <c r="AB753" s="189"/>
    </row>
    <row r="754" spans="13:28">
      <c r="M754" s="189"/>
      <c r="N754" s="190"/>
      <c r="O754" s="189"/>
      <c r="P754" s="189"/>
      <c r="Q754" s="190"/>
      <c r="R754" s="189"/>
      <c r="S754" s="189"/>
      <c r="T754" s="190"/>
      <c r="U754" s="189"/>
      <c r="V754" s="189"/>
      <c r="W754" s="190"/>
      <c r="X754" s="189"/>
      <c r="Y754" s="189"/>
      <c r="Z754" s="190"/>
      <c r="AA754" s="189"/>
      <c r="AB754" s="189"/>
    </row>
    <row r="755" spans="13:28">
      <c r="M755" s="189"/>
      <c r="N755" s="190"/>
      <c r="O755" s="189"/>
      <c r="P755" s="189"/>
      <c r="Q755" s="190"/>
      <c r="R755" s="189"/>
      <c r="S755" s="189"/>
      <c r="T755" s="190"/>
      <c r="U755" s="189"/>
      <c r="V755" s="189"/>
      <c r="W755" s="190"/>
      <c r="X755" s="189"/>
      <c r="Y755" s="189"/>
      <c r="Z755" s="190"/>
      <c r="AA755" s="189"/>
      <c r="AB755" s="189"/>
    </row>
    <row r="756" spans="13:28">
      <c r="M756" s="189"/>
      <c r="N756" s="190"/>
      <c r="O756" s="189"/>
      <c r="P756" s="189"/>
      <c r="Q756" s="190"/>
      <c r="R756" s="189"/>
      <c r="S756" s="189"/>
      <c r="T756" s="190"/>
      <c r="U756" s="189"/>
      <c r="V756" s="189"/>
      <c r="W756" s="190"/>
      <c r="X756" s="189"/>
      <c r="Y756" s="189"/>
      <c r="Z756" s="190"/>
      <c r="AA756" s="189"/>
      <c r="AB756" s="189"/>
    </row>
    <row r="757" spans="13:28">
      <c r="M757" s="189"/>
      <c r="N757" s="190"/>
      <c r="O757" s="189"/>
      <c r="P757" s="189"/>
      <c r="Q757" s="190"/>
      <c r="R757" s="189"/>
      <c r="S757" s="189"/>
      <c r="T757" s="190"/>
      <c r="U757" s="189"/>
      <c r="V757" s="189"/>
      <c r="W757" s="190"/>
      <c r="X757" s="189"/>
      <c r="Y757" s="189"/>
      <c r="Z757" s="190"/>
      <c r="AA757" s="189"/>
      <c r="AB757" s="189"/>
    </row>
    <row r="758" spans="13:28">
      <c r="M758" s="189"/>
      <c r="N758" s="190"/>
      <c r="O758" s="189"/>
      <c r="P758" s="189"/>
      <c r="Q758" s="190"/>
      <c r="R758" s="189"/>
      <c r="S758" s="189"/>
      <c r="T758" s="190"/>
      <c r="U758" s="189"/>
      <c r="V758" s="189"/>
      <c r="W758" s="190"/>
      <c r="X758" s="189"/>
      <c r="Y758" s="189"/>
      <c r="Z758" s="190"/>
      <c r="AA758" s="189"/>
      <c r="AB758" s="189"/>
    </row>
    <row r="759" spans="13:28">
      <c r="M759" s="189"/>
      <c r="N759" s="190"/>
      <c r="O759" s="189"/>
      <c r="P759" s="189"/>
      <c r="Q759" s="190"/>
      <c r="R759" s="189"/>
      <c r="S759" s="189"/>
      <c r="T759" s="190"/>
      <c r="U759" s="189"/>
      <c r="V759" s="189"/>
      <c r="W759" s="190"/>
      <c r="X759" s="189"/>
      <c r="Y759" s="189"/>
      <c r="Z759" s="190"/>
      <c r="AA759" s="189"/>
      <c r="AB759" s="189"/>
    </row>
    <row r="760" spans="13:28">
      <c r="M760" s="189"/>
      <c r="N760" s="190"/>
      <c r="O760" s="189"/>
      <c r="P760" s="189"/>
      <c r="Q760" s="190"/>
      <c r="R760" s="189"/>
      <c r="S760" s="189"/>
      <c r="T760" s="190"/>
      <c r="U760" s="189"/>
      <c r="V760" s="189"/>
      <c r="W760" s="190"/>
      <c r="X760" s="189"/>
      <c r="Y760" s="189"/>
      <c r="Z760" s="190"/>
      <c r="AA760" s="189"/>
      <c r="AB760" s="189"/>
    </row>
    <row r="761" spans="13:28">
      <c r="M761" s="189"/>
      <c r="N761" s="190"/>
      <c r="O761" s="189"/>
      <c r="P761" s="189"/>
      <c r="Q761" s="190"/>
      <c r="R761" s="189"/>
      <c r="S761" s="189"/>
      <c r="T761" s="190"/>
      <c r="U761" s="189"/>
      <c r="V761" s="189"/>
      <c r="W761" s="190"/>
      <c r="X761" s="189"/>
      <c r="Y761" s="189"/>
      <c r="Z761" s="190"/>
      <c r="AA761" s="189"/>
      <c r="AB761" s="189"/>
    </row>
    <row r="762" spans="13:28">
      <c r="M762" s="189"/>
      <c r="N762" s="190"/>
      <c r="O762" s="189"/>
      <c r="P762" s="189"/>
      <c r="Q762" s="190"/>
      <c r="R762" s="189"/>
      <c r="S762" s="189"/>
      <c r="T762" s="190"/>
      <c r="U762" s="189"/>
      <c r="V762" s="189"/>
      <c r="W762" s="190"/>
      <c r="X762" s="189"/>
      <c r="Y762" s="189"/>
      <c r="Z762" s="190"/>
      <c r="AA762" s="189"/>
      <c r="AB762" s="189"/>
    </row>
    <row r="763" spans="13:28">
      <c r="M763" s="189"/>
      <c r="N763" s="190"/>
      <c r="O763" s="189"/>
      <c r="P763" s="189"/>
      <c r="Q763" s="190"/>
      <c r="R763" s="189"/>
      <c r="S763" s="189"/>
      <c r="T763" s="190"/>
      <c r="U763" s="189"/>
      <c r="V763" s="189"/>
      <c r="W763" s="190"/>
      <c r="X763" s="189"/>
      <c r="Y763" s="189"/>
      <c r="Z763" s="190"/>
      <c r="AA763" s="189"/>
      <c r="AB763" s="189"/>
    </row>
    <row r="764" spans="13:28">
      <c r="M764" s="189"/>
      <c r="N764" s="190"/>
      <c r="O764" s="189"/>
      <c r="P764" s="189"/>
      <c r="Q764" s="190"/>
      <c r="R764" s="189"/>
      <c r="S764" s="189"/>
      <c r="T764" s="190"/>
      <c r="U764" s="189"/>
      <c r="V764" s="189"/>
      <c r="W764" s="190"/>
      <c r="X764" s="189"/>
      <c r="Y764" s="189"/>
      <c r="Z764" s="190"/>
      <c r="AA764" s="189"/>
      <c r="AB764" s="189"/>
    </row>
    <row r="765" spans="13:28">
      <c r="M765" s="189"/>
      <c r="N765" s="190"/>
      <c r="O765" s="189"/>
      <c r="P765" s="189"/>
      <c r="Q765" s="190"/>
      <c r="R765" s="189"/>
      <c r="S765" s="189"/>
      <c r="T765" s="190"/>
      <c r="U765" s="189"/>
      <c r="V765" s="189"/>
      <c r="W765" s="190"/>
      <c r="X765" s="189"/>
      <c r="Y765" s="189"/>
      <c r="Z765" s="190"/>
      <c r="AA765" s="189"/>
      <c r="AB765" s="189"/>
    </row>
    <row r="766" spans="13:28">
      <c r="M766" s="189"/>
      <c r="N766" s="190"/>
      <c r="O766" s="189"/>
      <c r="P766" s="189"/>
      <c r="Q766" s="190"/>
      <c r="R766" s="189"/>
      <c r="S766" s="189"/>
      <c r="T766" s="190"/>
      <c r="U766" s="189"/>
      <c r="V766" s="189"/>
      <c r="W766" s="190"/>
      <c r="X766" s="189"/>
      <c r="Y766" s="189"/>
      <c r="Z766" s="190"/>
      <c r="AA766" s="189"/>
      <c r="AB766" s="189"/>
    </row>
    <row r="767" spans="13:28">
      <c r="M767" s="189"/>
      <c r="N767" s="190"/>
      <c r="O767" s="189"/>
      <c r="P767" s="189"/>
      <c r="Q767" s="190"/>
      <c r="R767" s="189"/>
      <c r="S767" s="189"/>
      <c r="T767" s="190"/>
      <c r="U767" s="189"/>
      <c r="V767" s="189"/>
      <c r="W767" s="190"/>
      <c r="X767" s="189"/>
      <c r="Y767" s="189"/>
      <c r="Z767" s="190"/>
      <c r="AA767" s="189"/>
      <c r="AB767" s="189"/>
    </row>
    <row r="768" spans="13:28">
      <c r="M768" s="189"/>
      <c r="N768" s="190"/>
      <c r="O768" s="189"/>
      <c r="P768" s="189"/>
      <c r="Q768" s="190"/>
      <c r="R768" s="189"/>
      <c r="S768" s="189"/>
      <c r="T768" s="190"/>
      <c r="U768" s="189"/>
      <c r="V768" s="189"/>
      <c r="W768" s="190"/>
      <c r="X768" s="189"/>
      <c r="Y768" s="189"/>
      <c r="Z768" s="190"/>
      <c r="AA768" s="189"/>
      <c r="AB768" s="189"/>
    </row>
    <row r="769" spans="13:28">
      <c r="M769" s="189"/>
      <c r="N769" s="190"/>
      <c r="O769" s="189"/>
      <c r="P769" s="189"/>
      <c r="Q769" s="190"/>
      <c r="R769" s="189"/>
      <c r="S769" s="189"/>
      <c r="T769" s="190"/>
      <c r="U769" s="189"/>
      <c r="V769" s="189"/>
      <c r="W769" s="190"/>
      <c r="X769" s="189"/>
      <c r="Y769" s="189"/>
      <c r="Z769" s="190"/>
      <c r="AA769" s="189"/>
      <c r="AB769" s="189"/>
    </row>
    <row r="770" spans="13:28">
      <c r="M770" s="189"/>
      <c r="N770" s="190"/>
      <c r="O770" s="189"/>
      <c r="P770" s="189"/>
      <c r="Q770" s="190"/>
      <c r="R770" s="189"/>
      <c r="S770" s="189"/>
      <c r="T770" s="190"/>
      <c r="U770" s="189"/>
      <c r="V770" s="189"/>
      <c r="W770" s="190"/>
      <c r="X770" s="189"/>
      <c r="Y770" s="189"/>
      <c r="Z770" s="190"/>
      <c r="AA770" s="189"/>
      <c r="AB770" s="189"/>
    </row>
    <row r="771" spans="13:28">
      <c r="M771" s="189"/>
      <c r="N771" s="190"/>
      <c r="O771" s="189"/>
      <c r="P771" s="189"/>
      <c r="Q771" s="190"/>
      <c r="R771" s="189"/>
      <c r="S771" s="189"/>
      <c r="T771" s="190"/>
      <c r="U771" s="189"/>
      <c r="V771" s="189"/>
      <c r="W771" s="190"/>
      <c r="X771" s="189"/>
      <c r="Y771" s="189"/>
      <c r="Z771" s="190"/>
      <c r="AA771" s="189"/>
      <c r="AB771" s="189"/>
    </row>
    <row r="772" spans="13:28">
      <c r="M772" s="189"/>
      <c r="N772" s="190"/>
      <c r="O772" s="189"/>
      <c r="P772" s="189"/>
      <c r="Q772" s="190"/>
      <c r="R772" s="189"/>
      <c r="S772" s="189"/>
      <c r="T772" s="190"/>
      <c r="U772" s="189"/>
      <c r="V772" s="189"/>
      <c r="W772" s="190"/>
      <c r="X772" s="189"/>
      <c r="Y772" s="189"/>
      <c r="Z772" s="190"/>
      <c r="AA772" s="189"/>
      <c r="AB772" s="189"/>
    </row>
    <row r="773" spans="13:28">
      <c r="M773" s="189"/>
      <c r="N773" s="190"/>
      <c r="O773" s="189"/>
      <c r="P773" s="189"/>
      <c r="Q773" s="190"/>
      <c r="R773" s="189"/>
      <c r="S773" s="189"/>
      <c r="T773" s="190"/>
      <c r="U773" s="189"/>
      <c r="V773" s="189"/>
      <c r="W773" s="190"/>
      <c r="X773" s="189"/>
      <c r="Y773" s="189"/>
      <c r="Z773" s="190"/>
      <c r="AA773" s="189"/>
      <c r="AB773" s="189"/>
    </row>
    <row r="774" spans="13:28">
      <c r="M774" s="189"/>
      <c r="N774" s="190"/>
      <c r="O774" s="189"/>
      <c r="P774" s="189"/>
      <c r="Q774" s="190"/>
      <c r="R774" s="189"/>
      <c r="S774" s="189"/>
      <c r="T774" s="190"/>
      <c r="U774" s="189"/>
      <c r="V774" s="189"/>
      <c r="W774" s="190"/>
      <c r="X774" s="189"/>
      <c r="Y774" s="189"/>
      <c r="Z774" s="190"/>
      <c r="AA774" s="189"/>
      <c r="AB774" s="189"/>
    </row>
    <row r="775" spans="13:28">
      <c r="M775" s="189"/>
      <c r="N775" s="190"/>
      <c r="O775" s="189"/>
      <c r="P775" s="189"/>
      <c r="Q775" s="190"/>
      <c r="R775" s="189"/>
      <c r="S775" s="189"/>
      <c r="T775" s="190"/>
      <c r="U775" s="189"/>
      <c r="V775" s="189"/>
      <c r="W775" s="190"/>
      <c r="X775" s="189"/>
      <c r="Y775" s="189"/>
      <c r="Z775" s="190"/>
      <c r="AA775" s="189"/>
      <c r="AB775" s="189"/>
    </row>
    <row r="776" spans="13:28">
      <c r="M776" s="189"/>
      <c r="N776" s="190"/>
      <c r="O776" s="189"/>
      <c r="P776" s="189"/>
      <c r="Q776" s="190"/>
      <c r="R776" s="189"/>
      <c r="S776" s="189"/>
      <c r="T776" s="190"/>
      <c r="U776" s="189"/>
      <c r="V776" s="189"/>
      <c r="W776" s="190"/>
      <c r="X776" s="189"/>
      <c r="Y776" s="189"/>
      <c r="Z776" s="190"/>
      <c r="AA776" s="189"/>
      <c r="AB776" s="189"/>
    </row>
    <row r="777" spans="13:28">
      <c r="M777" s="189"/>
      <c r="N777" s="190"/>
      <c r="O777" s="189"/>
      <c r="P777" s="189"/>
      <c r="Q777" s="190"/>
      <c r="R777" s="189"/>
      <c r="S777" s="189"/>
      <c r="T777" s="190"/>
      <c r="U777" s="189"/>
      <c r="V777" s="189"/>
      <c r="W777" s="190"/>
      <c r="X777" s="189"/>
      <c r="Y777" s="189"/>
      <c r="Z777" s="190"/>
      <c r="AA777" s="189"/>
      <c r="AB777" s="189"/>
    </row>
    <row r="778" spans="13:28">
      <c r="M778" s="189"/>
      <c r="N778" s="190"/>
      <c r="O778" s="189"/>
      <c r="P778" s="189"/>
      <c r="Q778" s="190"/>
      <c r="R778" s="189"/>
      <c r="S778" s="189"/>
      <c r="T778" s="190"/>
      <c r="U778" s="189"/>
      <c r="V778" s="189"/>
      <c r="W778" s="190"/>
      <c r="X778" s="189"/>
      <c r="Y778" s="189"/>
      <c r="Z778" s="190"/>
      <c r="AA778" s="189"/>
      <c r="AB778" s="189"/>
    </row>
    <row r="779" spans="13:28">
      <c r="M779" s="189"/>
      <c r="N779" s="190"/>
      <c r="O779" s="189"/>
      <c r="P779" s="189"/>
      <c r="Q779" s="190"/>
      <c r="R779" s="189"/>
      <c r="S779" s="189"/>
      <c r="T779" s="190"/>
      <c r="U779" s="189"/>
      <c r="V779" s="189"/>
      <c r="W779" s="190"/>
      <c r="X779" s="189"/>
      <c r="Y779" s="189"/>
      <c r="Z779" s="190"/>
      <c r="AA779" s="189"/>
      <c r="AB779" s="189"/>
    </row>
    <row r="780" spans="13:28">
      <c r="M780" s="189"/>
      <c r="N780" s="190"/>
      <c r="O780" s="189"/>
      <c r="P780" s="189"/>
      <c r="Q780" s="190"/>
      <c r="R780" s="189"/>
      <c r="S780" s="189"/>
      <c r="T780" s="190"/>
      <c r="U780" s="189"/>
      <c r="V780" s="189"/>
      <c r="W780" s="190"/>
      <c r="X780" s="189"/>
      <c r="Y780" s="189"/>
      <c r="Z780" s="190"/>
      <c r="AA780" s="189"/>
      <c r="AB780" s="189"/>
    </row>
    <row r="781" spans="13:28">
      <c r="M781" s="189"/>
      <c r="N781" s="190"/>
      <c r="O781" s="189"/>
      <c r="P781" s="189"/>
      <c r="Q781" s="190"/>
      <c r="R781" s="189"/>
      <c r="S781" s="189"/>
      <c r="T781" s="190"/>
      <c r="U781" s="189"/>
      <c r="V781" s="189"/>
      <c r="W781" s="190"/>
      <c r="X781" s="189"/>
      <c r="Y781" s="189"/>
      <c r="Z781" s="190"/>
      <c r="AA781" s="189"/>
      <c r="AB781" s="189"/>
    </row>
    <row r="782" spans="13:28">
      <c r="M782" s="189"/>
      <c r="N782" s="190"/>
      <c r="O782" s="189"/>
      <c r="P782" s="189"/>
      <c r="Q782" s="190"/>
      <c r="R782" s="189"/>
      <c r="S782" s="189"/>
      <c r="T782" s="190"/>
      <c r="U782" s="189"/>
      <c r="V782" s="189"/>
      <c r="W782" s="190"/>
      <c r="X782" s="189"/>
      <c r="Y782" s="189"/>
      <c r="Z782" s="190"/>
      <c r="AA782" s="189"/>
      <c r="AB782" s="189"/>
    </row>
    <row r="783" spans="13:28">
      <c r="M783" s="189"/>
      <c r="N783" s="190"/>
      <c r="O783" s="189"/>
      <c r="P783" s="189"/>
      <c r="Q783" s="190"/>
      <c r="R783" s="189"/>
      <c r="S783" s="189"/>
      <c r="T783" s="190"/>
      <c r="U783" s="189"/>
      <c r="V783" s="189"/>
      <c r="W783" s="190"/>
      <c r="X783" s="189"/>
      <c r="Y783" s="189"/>
      <c r="Z783" s="190"/>
      <c r="AA783" s="189"/>
      <c r="AB783" s="189"/>
    </row>
    <row r="784" spans="13:28">
      <c r="M784" s="189"/>
      <c r="N784" s="190"/>
      <c r="O784" s="189"/>
      <c r="P784" s="189"/>
      <c r="Q784" s="190"/>
      <c r="R784" s="189"/>
      <c r="S784" s="189"/>
      <c r="T784" s="190"/>
      <c r="U784" s="189"/>
      <c r="V784" s="189"/>
      <c r="W784" s="190"/>
      <c r="X784" s="189"/>
      <c r="Y784" s="189"/>
      <c r="Z784" s="190"/>
      <c r="AA784" s="189"/>
      <c r="AB784" s="189"/>
    </row>
    <row r="785" spans="13:28">
      <c r="M785" s="189"/>
      <c r="N785" s="190"/>
      <c r="O785" s="189"/>
      <c r="P785" s="189"/>
      <c r="Q785" s="190"/>
      <c r="R785" s="189"/>
      <c r="S785" s="189"/>
      <c r="T785" s="190"/>
      <c r="U785" s="189"/>
      <c r="V785" s="189"/>
      <c r="W785" s="190"/>
      <c r="X785" s="189"/>
      <c r="Y785" s="189"/>
      <c r="Z785" s="190"/>
      <c r="AA785" s="189"/>
      <c r="AB785" s="189"/>
    </row>
    <row r="786" spans="13:28">
      <c r="M786" s="189"/>
      <c r="N786" s="190"/>
      <c r="O786" s="189"/>
      <c r="P786" s="189"/>
      <c r="Q786" s="190"/>
      <c r="R786" s="189"/>
      <c r="S786" s="189"/>
      <c r="T786" s="190"/>
      <c r="U786" s="189"/>
      <c r="V786" s="189"/>
      <c r="W786" s="190"/>
      <c r="X786" s="189"/>
      <c r="Y786" s="189"/>
      <c r="Z786" s="190"/>
      <c r="AA786" s="189"/>
      <c r="AB786" s="189"/>
    </row>
    <row r="787" spans="13:28">
      <c r="M787" s="189"/>
      <c r="N787" s="190"/>
      <c r="O787" s="189"/>
      <c r="P787" s="189"/>
      <c r="Q787" s="190"/>
      <c r="R787" s="189"/>
      <c r="S787" s="189"/>
      <c r="T787" s="190"/>
      <c r="U787" s="189"/>
      <c r="V787" s="189"/>
      <c r="W787" s="190"/>
      <c r="X787" s="189"/>
      <c r="Y787" s="189"/>
      <c r="Z787" s="190"/>
      <c r="AA787" s="189"/>
      <c r="AB787" s="189"/>
    </row>
    <row r="788" spans="13:28">
      <c r="M788" s="189"/>
      <c r="N788" s="190"/>
      <c r="O788" s="189"/>
      <c r="P788" s="189"/>
      <c r="Q788" s="190"/>
      <c r="R788" s="189"/>
      <c r="S788" s="189"/>
      <c r="T788" s="190"/>
      <c r="U788" s="189"/>
      <c r="V788" s="189"/>
      <c r="W788" s="190"/>
      <c r="X788" s="189"/>
      <c r="Y788" s="189"/>
      <c r="Z788" s="190"/>
      <c r="AA788" s="189"/>
      <c r="AB788" s="189"/>
    </row>
    <row r="789" spans="13:28">
      <c r="M789" s="189"/>
      <c r="N789" s="190"/>
      <c r="O789" s="189"/>
      <c r="P789" s="189"/>
      <c r="Q789" s="190"/>
      <c r="R789" s="189"/>
      <c r="S789" s="189"/>
      <c r="T789" s="190"/>
      <c r="U789" s="189"/>
      <c r="V789" s="189"/>
      <c r="W789" s="190"/>
      <c r="X789" s="189"/>
      <c r="Y789" s="189"/>
      <c r="Z789" s="190"/>
      <c r="AA789" s="189"/>
      <c r="AB789" s="189"/>
    </row>
    <row r="790" spans="13:28">
      <c r="M790" s="189"/>
      <c r="N790" s="190"/>
      <c r="O790" s="189"/>
      <c r="P790" s="189"/>
      <c r="Q790" s="190"/>
      <c r="R790" s="189"/>
      <c r="S790" s="189"/>
      <c r="T790" s="190"/>
      <c r="U790" s="189"/>
      <c r="V790" s="189"/>
      <c r="W790" s="190"/>
      <c r="X790" s="189"/>
      <c r="Y790" s="189"/>
      <c r="Z790" s="190"/>
      <c r="AA790" s="189"/>
      <c r="AB790" s="189"/>
    </row>
    <row r="791" spans="13:28">
      <c r="M791" s="189"/>
      <c r="N791" s="190"/>
      <c r="O791" s="189"/>
      <c r="P791" s="189"/>
      <c r="Q791" s="190"/>
      <c r="R791" s="189"/>
      <c r="S791" s="189"/>
      <c r="T791" s="190"/>
      <c r="U791" s="189"/>
      <c r="V791" s="189"/>
      <c r="W791" s="190"/>
      <c r="X791" s="189"/>
      <c r="Y791" s="189"/>
      <c r="Z791" s="190"/>
      <c r="AA791" s="189"/>
      <c r="AB791" s="189"/>
    </row>
    <row r="792" spans="13:28">
      <c r="M792" s="189"/>
      <c r="N792" s="190"/>
      <c r="O792" s="189"/>
      <c r="P792" s="189"/>
      <c r="Q792" s="190"/>
      <c r="R792" s="189"/>
      <c r="S792" s="189"/>
      <c r="T792" s="190"/>
      <c r="U792" s="189"/>
      <c r="V792" s="189"/>
      <c r="W792" s="190"/>
      <c r="X792" s="189"/>
      <c r="Y792" s="189"/>
      <c r="Z792" s="190"/>
      <c r="AA792" s="189"/>
      <c r="AB792" s="189"/>
    </row>
    <row r="793" spans="13:28">
      <c r="M793" s="189"/>
      <c r="N793" s="190"/>
      <c r="O793" s="189"/>
      <c r="P793" s="189"/>
      <c r="Q793" s="190"/>
      <c r="R793" s="189"/>
      <c r="S793" s="189"/>
      <c r="T793" s="190"/>
      <c r="U793" s="189"/>
      <c r="V793" s="189"/>
      <c r="W793" s="190"/>
      <c r="X793" s="189"/>
      <c r="Y793" s="189"/>
      <c r="Z793" s="190"/>
      <c r="AA793" s="189"/>
      <c r="AB793" s="189"/>
    </row>
    <row r="794" spans="13:28">
      <c r="M794" s="189"/>
      <c r="N794" s="190"/>
      <c r="O794" s="189"/>
      <c r="P794" s="189"/>
      <c r="Q794" s="190"/>
      <c r="R794" s="189"/>
      <c r="S794" s="189"/>
      <c r="T794" s="190"/>
      <c r="U794" s="189"/>
      <c r="V794" s="189"/>
      <c r="W794" s="190"/>
      <c r="X794" s="189"/>
      <c r="Y794" s="189"/>
      <c r="Z794" s="190"/>
      <c r="AA794" s="189"/>
      <c r="AB794" s="189"/>
    </row>
    <row r="795" spans="13:28">
      <c r="M795" s="189"/>
      <c r="N795" s="190"/>
      <c r="O795" s="189"/>
      <c r="P795" s="189"/>
      <c r="Q795" s="190"/>
      <c r="R795" s="189"/>
      <c r="S795" s="189"/>
      <c r="T795" s="190"/>
      <c r="U795" s="189"/>
      <c r="V795" s="189"/>
      <c r="W795" s="190"/>
      <c r="X795" s="189"/>
      <c r="Y795" s="189"/>
      <c r="Z795" s="190"/>
      <c r="AA795" s="189"/>
      <c r="AB795" s="189"/>
    </row>
    <row r="796" spans="13:28">
      <c r="M796" s="189"/>
      <c r="N796" s="190"/>
      <c r="O796" s="189"/>
      <c r="P796" s="189"/>
      <c r="Q796" s="190"/>
      <c r="R796" s="189"/>
      <c r="S796" s="189"/>
      <c r="T796" s="190"/>
      <c r="U796" s="189"/>
      <c r="V796" s="189"/>
      <c r="W796" s="190"/>
      <c r="X796" s="189"/>
      <c r="Y796" s="189"/>
      <c r="Z796" s="190"/>
      <c r="AA796" s="189"/>
      <c r="AB796" s="189"/>
    </row>
    <row r="797" spans="13:28">
      <c r="M797" s="189"/>
      <c r="N797" s="190"/>
      <c r="O797" s="189"/>
      <c r="P797" s="189"/>
      <c r="Q797" s="190"/>
      <c r="R797" s="189"/>
      <c r="S797" s="189"/>
      <c r="T797" s="190"/>
      <c r="U797" s="189"/>
      <c r="V797" s="189"/>
      <c r="W797" s="190"/>
      <c r="X797" s="189"/>
      <c r="Y797" s="189"/>
      <c r="Z797" s="190"/>
      <c r="AA797" s="189"/>
      <c r="AB797" s="189"/>
    </row>
    <row r="798" spans="13:28">
      <c r="M798" s="189"/>
      <c r="N798" s="190"/>
      <c r="O798" s="189"/>
      <c r="P798" s="189"/>
      <c r="Q798" s="190"/>
      <c r="R798" s="189"/>
      <c r="S798" s="189"/>
      <c r="T798" s="190"/>
      <c r="U798" s="189"/>
      <c r="V798" s="189"/>
      <c r="W798" s="190"/>
      <c r="X798" s="189"/>
      <c r="Y798" s="189"/>
      <c r="Z798" s="190"/>
      <c r="AA798" s="189"/>
      <c r="AB798" s="189"/>
    </row>
    <row r="799" spans="13:28">
      <c r="M799" s="189"/>
      <c r="N799" s="190"/>
      <c r="O799" s="189"/>
      <c r="P799" s="189"/>
      <c r="Q799" s="190"/>
      <c r="R799" s="189"/>
      <c r="S799" s="189"/>
      <c r="T799" s="190"/>
      <c r="U799" s="189"/>
      <c r="V799" s="189"/>
      <c r="W799" s="190"/>
      <c r="X799" s="189"/>
      <c r="Y799" s="189"/>
      <c r="Z799" s="190"/>
      <c r="AA799" s="189"/>
      <c r="AB799" s="189"/>
    </row>
    <row r="800" spans="13:28">
      <c r="M800" s="189"/>
      <c r="N800" s="190"/>
      <c r="O800" s="189"/>
      <c r="P800" s="189"/>
      <c r="Q800" s="190"/>
      <c r="R800" s="189"/>
      <c r="S800" s="189"/>
      <c r="T800" s="190"/>
      <c r="U800" s="189"/>
      <c r="V800" s="189"/>
      <c r="W800" s="190"/>
      <c r="X800" s="189"/>
      <c r="Y800" s="189"/>
      <c r="Z800" s="190"/>
      <c r="AA800" s="189"/>
      <c r="AB800" s="189"/>
    </row>
    <row r="801" spans="13:28">
      <c r="M801" s="189"/>
      <c r="N801" s="190"/>
      <c r="O801" s="189"/>
      <c r="P801" s="189"/>
      <c r="Q801" s="190"/>
      <c r="R801" s="189"/>
      <c r="S801" s="189"/>
      <c r="T801" s="190"/>
      <c r="U801" s="189"/>
      <c r="V801" s="189"/>
      <c r="W801" s="190"/>
      <c r="X801" s="189"/>
      <c r="Y801" s="189"/>
      <c r="Z801" s="190"/>
      <c r="AA801" s="189"/>
      <c r="AB801" s="189"/>
    </row>
    <row r="802" spans="13:28">
      <c r="M802" s="189"/>
      <c r="N802" s="190"/>
      <c r="O802" s="189"/>
      <c r="P802" s="189"/>
      <c r="Q802" s="190"/>
      <c r="R802" s="189"/>
      <c r="S802" s="189"/>
      <c r="T802" s="190"/>
      <c r="U802" s="189"/>
      <c r="V802" s="189"/>
      <c r="W802" s="190"/>
      <c r="X802" s="189"/>
      <c r="Y802" s="189"/>
      <c r="Z802" s="190"/>
      <c r="AA802" s="189"/>
      <c r="AB802" s="189"/>
    </row>
    <row r="803" spans="13:28">
      <c r="M803" s="189"/>
      <c r="N803" s="190"/>
      <c r="O803" s="189"/>
      <c r="P803" s="189"/>
      <c r="Q803" s="190"/>
      <c r="R803" s="189"/>
      <c r="S803" s="189"/>
      <c r="T803" s="190"/>
      <c r="U803" s="189"/>
      <c r="V803" s="189"/>
      <c r="W803" s="190"/>
      <c r="X803" s="189"/>
      <c r="Y803" s="189"/>
      <c r="Z803" s="190"/>
      <c r="AA803" s="189"/>
      <c r="AB803" s="189"/>
    </row>
    <row r="804" spans="13:28">
      <c r="M804" s="189"/>
      <c r="N804" s="190"/>
      <c r="O804" s="189"/>
      <c r="P804" s="189"/>
      <c r="Q804" s="190"/>
      <c r="R804" s="189"/>
      <c r="S804" s="189"/>
      <c r="T804" s="190"/>
      <c r="U804" s="189"/>
      <c r="V804" s="189"/>
      <c r="W804" s="190"/>
      <c r="X804" s="189"/>
      <c r="Y804" s="189"/>
      <c r="Z804" s="190"/>
      <c r="AA804" s="189"/>
      <c r="AB804" s="189"/>
    </row>
    <row r="805" spans="13:28">
      <c r="M805" s="189"/>
      <c r="N805" s="190"/>
      <c r="O805" s="189"/>
      <c r="P805" s="189"/>
      <c r="Q805" s="190"/>
      <c r="R805" s="189"/>
      <c r="S805" s="189"/>
      <c r="T805" s="190"/>
      <c r="U805" s="189"/>
      <c r="V805" s="189"/>
      <c r="W805" s="190"/>
      <c r="X805" s="189"/>
      <c r="Y805" s="189"/>
      <c r="Z805" s="190"/>
      <c r="AA805" s="189"/>
      <c r="AB805" s="189"/>
    </row>
    <row r="806" spans="13:28">
      <c r="M806" s="189"/>
      <c r="N806" s="190"/>
      <c r="O806" s="189"/>
      <c r="P806" s="189"/>
      <c r="Q806" s="190"/>
      <c r="R806" s="189"/>
      <c r="S806" s="189"/>
      <c r="T806" s="190"/>
      <c r="U806" s="189"/>
      <c r="V806" s="189"/>
      <c r="W806" s="190"/>
      <c r="X806" s="189"/>
      <c r="Y806" s="189"/>
      <c r="Z806" s="190"/>
      <c r="AA806" s="189"/>
      <c r="AB806" s="189"/>
    </row>
    <row r="807" spans="13:28">
      <c r="M807" s="189"/>
      <c r="N807" s="190"/>
      <c r="O807" s="189"/>
      <c r="P807" s="189"/>
      <c r="Q807" s="190"/>
      <c r="R807" s="189"/>
      <c r="S807" s="189"/>
      <c r="T807" s="190"/>
      <c r="U807" s="189"/>
      <c r="V807" s="189"/>
      <c r="W807" s="190"/>
      <c r="X807" s="189"/>
      <c r="Y807" s="189"/>
      <c r="Z807" s="190"/>
      <c r="AA807" s="189"/>
      <c r="AB807" s="189"/>
    </row>
  </sheetData>
  <mergeCells count="7">
    <mergeCell ref="P2:R2"/>
    <mergeCell ref="A39:P39"/>
    <mergeCell ref="M2:O2"/>
    <mergeCell ref="Y2:AA2"/>
    <mergeCell ref="A1:AA1"/>
    <mergeCell ref="S2:U2"/>
    <mergeCell ref="V2:X2"/>
  </mergeCells>
  <pageMargins left="0.1" right="0" top="0.25" bottom="0" header="0.3" footer="0.3"/>
  <pageSetup paperSize="9" scale="39" orientation="landscape" r:id="rId1"/>
  <rowBreaks count="1" manualBreakCount="1">
    <brk id="16" max="20"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3"/>
  <dimension ref="A2:R154"/>
  <sheetViews>
    <sheetView topLeftCell="A82" zoomScale="70" zoomScaleNormal="70" workbookViewId="0">
      <selection activeCell="A5" sqref="A5:R5"/>
    </sheetView>
  </sheetViews>
  <sheetFormatPr defaultColWidth="9" defaultRowHeight="15.75" outlineLevelRow="2"/>
  <cols>
    <col min="1" max="1" width="4.85546875" style="32" customWidth="1"/>
    <col min="2" max="2" width="57.85546875" style="32" customWidth="1"/>
    <col min="3" max="3" width="10.28515625" style="32" customWidth="1"/>
    <col min="4" max="4" width="13.28515625" style="32" bestFit="1" customWidth="1"/>
    <col min="5" max="5" width="12.28515625" style="32" customWidth="1"/>
    <col min="6" max="6" width="10.42578125" style="32" bestFit="1" customWidth="1"/>
    <col min="7" max="15" width="8.42578125" style="32" customWidth="1"/>
    <col min="16" max="16" width="9.85546875" style="32" customWidth="1"/>
    <col min="17" max="17" width="10.140625" style="32" customWidth="1"/>
    <col min="18" max="18" width="9.85546875" style="32" customWidth="1"/>
    <col min="19" max="16384" width="9" style="32"/>
  </cols>
  <sheetData>
    <row r="2" spans="1:18" s="59" customFormat="1">
      <c r="A2" s="60"/>
      <c r="B2" s="234" t="s">
        <v>79</v>
      </c>
      <c r="C2" s="234"/>
      <c r="E2" s="60"/>
      <c r="I2" s="60"/>
    </row>
    <row r="3" spans="1:18" s="59" customFormat="1">
      <c r="A3" s="60"/>
      <c r="B3" s="234" t="s">
        <v>80</v>
      </c>
      <c r="C3" s="234"/>
      <c r="E3" s="60"/>
      <c r="I3" s="60"/>
    </row>
    <row r="5" spans="1:18">
      <c r="A5" s="235" t="s">
        <v>156</v>
      </c>
      <c r="B5" s="235"/>
      <c r="C5" s="235"/>
      <c r="D5" s="235"/>
      <c r="E5" s="235"/>
      <c r="F5" s="235"/>
      <c r="G5" s="235"/>
      <c r="H5" s="235"/>
      <c r="I5" s="235"/>
      <c r="J5" s="235"/>
      <c r="K5" s="235"/>
      <c r="L5" s="235"/>
      <c r="M5" s="235"/>
      <c r="N5" s="235"/>
      <c r="O5" s="235"/>
      <c r="P5" s="235"/>
      <c r="Q5" s="235"/>
      <c r="R5" s="235"/>
    </row>
    <row r="6" spans="1:18">
      <c r="A6" s="236" t="s">
        <v>5</v>
      </c>
      <c r="B6" s="236"/>
      <c r="C6" s="236"/>
      <c r="D6" s="236"/>
      <c r="E6" s="236"/>
      <c r="F6" s="236"/>
      <c r="G6" s="236"/>
      <c r="H6" s="236"/>
      <c r="I6" s="236"/>
      <c r="J6" s="236"/>
      <c r="K6" s="236"/>
      <c r="L6" s="236"/>
      <c r="M6" s="236"/>
      <c r="N6" s="236"/>
      <c r="O6" s="236"/>
      <c r="P6" s="236"/>
      <c r="Q6" s="236"/>
      <c r="R6" s="236"/>
    </row>
    <row r="7" spans="1:18" s="33" customFormat="1">
      <c r="A7" s="237" t="s">
        <v>157</v>
      </c>
      <c r="B7" s="237"/>
      <c r="C7" s="237"/>
      <c r="D7" s="237"/>
      <c r="E7" s="237"/>
      <c r="F7" s="237"/>
      <c r="G7" s="237"/>
      <c r="H7" s="237"/>
      <c r="I7" s="237"/>
      <c r="J7" s="237"/>
      <c r="K7" s="237"/>
      <c r="L7" s="237"/>
      <c r="M7" s="237"/>
      <c r="N7" s="237"/>
      <c r="O7" s="237"/>
      <c r="P7" s="237"/>
      <c r="Q7" s="237"/>
      <c r="R7" s="237"/>
    </row>
    <row r="8" spans="1:18">
      <c r="C8" s="34"/>
      <c r="D8" s="34"/>
      <c r="E8" s="34"/>
      <c r="Q8" s="274" t="s">
        <v>158</v>
      </c>
      <c r="R8" s="274"/>
    </row>
    <row r="9" spans="1:18" s="36" customFormat="1" ht="47.25">
      <c r="A9" s="35" t="s">
        <v>7</v>
      </c>
      <c r="B9" s="35" t="s">
        <v>159</v>
      </c>
      <c r="C9" s="35" t="s">
        <v>160</v>
      </c>
      <c r="D9" s="35" t="s">
        <v>161</v>
      </c>
      <c r="E9" s="35" t="s">
        <v>162</v>
      </c>
      <c r="F9" s="35" t="s">
        <v>163</v>
      </c>
      <c r="G9" s="35" t="s">
        <v>164</v>
      </c>
      <c r="H9" s="35" t="s">
        <v>165</v>
      </c>
      <c r="I9" s="35" t="s">
        <v>166</v>
      </c>
      <c r="J9" s="35" t="s">
        <v>167</v>
      </c>
      <c r="K9" s="35" t="s">
        <v>168</v>
      </c>
      <c r="L9" s="35" t="s">
        <v>169</v>
      </c>
      <c r="M9" s="35" t="s">
        <v>170</v>
      </c>
      <c r="N9" s="35" t="s">
        <v>171</v>
      </c>
      <c r="O9" s="35" t="s">
        <v>172</v>
      </c>
      <c r="P9" s="35" t="s">
        <v>173</v>
      </c>
      <c r="Q9" s="35" t="s">
        <v>174</v>
      </c>
      <c r="R9" s="35" t="s">
        <v>175</v>
      </c>
    </row>
    <row r="10" spans="1:18" ht="57" customHeight="1">
      <c r="A10" s="39">
        <v>1</v>
      </c>
      <c r="B10" s="40" t="s">
        <v>176</v>
      </c>
      <c r="C10" s="39">
        <f>E10-D10+1</f>
        <v>365</v>
      </c>
      <c r="D10" s="41">
        <v>44562</v>
      </c>
      <c r="E10" s="41">
        <v>44926</v>
      </c>
      <c r="F10" s="58">
        <f>SUM(G10:R10)</f>
        <v>499.72940218599996</v>
      </c>
      <c r="G10" s="58">
        <f>G11+G34+G58+G73</f>
        <v>36.327450182166672</v>
      </c>
      <c r="H10" s="58">
        <f t="shared" ref="H10:R10" si="0">H11+H34+H58+H73</f>
        <v>32.47745018216667</v>
      </c>
      <c r="I10" s="58">
        <f t="shared" si="0"/>
        <v>50.677450182166673</v>
      </c>
      <c r="J10" s="58">
        <f t="shared" si="0"/>
        <v>32.47745018216667</v>
      </c>
      <c r="K10" s="58">
        <f t="shared" si="0"/>
        <v>40.677450182166673</v>
      </c>
      <c r="L10" s="58">
        <f t="shared" si="0"/>
        <v>32.97745018216667</v>
      </c>
      <c r="M10" s="58">
        <f t="shared" si="0"/>
        <v>63.97745018216667</v>
      </c>
      <c r="N10" s="58">
        <f t="shared" si="0"/>
        <v>62.47745018216667</v>
      </c>
      <c r="O10" s="58">
        <f t="shared" si="0"/>
        <v>32.47745018216667</v>
      </c>
      <c r="P10" s="58">
        <f t="shared" si="0"/>
        <v>43.47745018216667</v>
      </c>
      <c r="Q10" s="58">
        <f t="shared" si="0"/>
        <v>32.47745018216667</v>
      </c>
      <c r="R10" s="58">
        <f t="shared" si="0"/>
        <v>39.22745018216667</v>
      </c>
    </row>
    <row r="11" spans="1:18" outlineLevel="1">
      <c r="A11" s="45" t="s">
        <v>177</v>
      </c>
      <c r="B11" s="46" t="s">
        <v>178</v>
      </c>
      <c r="C11" s="45"/>
      <c r="D11" s="45"/>
      <c r="E11" s="47"/>
      <c r="F11" s="54">
        <f>SUM(G11:R11)</f>
        <v>51.300000000000004</v>
      </c>
      <c r="G11" s="54">
        <f>SUM(G12:G33)</f>
        <v>0.4</v>
      </c>
      <c r="H11" s="54">
        <f t="shared" ref="H11:R11" si="1">SUM(H12:H33)</f>
        <v>0</v>
      </c>
      <c r="I11" s="54">
        <f t="shared" si="1"/>
        <v>14</v>
      </c>
      <c r="J11" s="54">
        <f t="shared" si="1"/>
        <v>0</v>
      </c>
      <c r="K11" s="54">
        <f t="shared" si="1"/>
        <v>5.7</v>
      </c>
      <c r="L11" s="54">
        <f t="shared" si="1"/>
        <v>0.5</v>
      </c>
      <c r="M11" s="54">
        <f t="shared" si="1"/>
        <v>9</v>
      </c>
      <c r="N11" s="54">
        <f t="shared" si="1"/>
        <v>10</v>
      </c>
      <c r="O11" s="54">
        <f t="shared" si="1"/>
        <v>0</v>
      </c>
      <c r="P11" s="54">
        <f t="shared" si="1"/>
        <v>11</v>
      </c>
      <c r="Q11" s="54">
        <f t="shared" si="1"/>
        <v>0</v>
      </c>
      <c r="R11" s="54">
        <f t="shared" si="1"/>
        <v>0.7</v>
      </c>
    </row>
    <row r="12" spans="1:18" s="52" customFormat="1" ht="47.25" outlineLevel="2">
      <c r="A12" s="48" t="s">
        <v>120</v>
      </c>
      <c r="B12" s="49" t="s">
        <v>179</v>
      </c>
      <c r="C12" s="50">
        <f>E12-D12+1</f>
        <v>365</v>
      </c>
      <c r="D12" s="51">
        <v>44562</v>
      </c>
      <c r="E12" s="51">
        <v>44926</v>
      </c>
      <c r="F12" s="55">
        <f>SUM(G12:R12)</f>
        <v>9.7999999999999989</v>
      </c>
      <c r="G12" s="55">
        <v>0.1</v>
      </c>
      <c r="H12" s="55"/>
      <c r="I12" s="55">
        <v>3</v>
      </c>
      <c r="J12" s="55"/>
      <c r="K12" s="55"/>
      <c r="L12" s="55">
        <v>0.5</v>
      </c>
      <c r="M12" s="55"/>
      <c r="N12" s="55">
        <v>5.5</v>
      </c>
      <c r="O12" s="55"/>
      <c r="P12" s="55"/>
      <c r="Q12" s="55"/>
      <c r="R12" s="55">
        <v>0.7</v>
      </c>
    </row>
    <row r="13" spans="1:18" ht="31.5" outlineLevel="2">
      <c r="A13" s="42" t="s">
        <v>180</v>
      </c>
      <c r="B13" s="25" t="s">
        <v>181</v>
      </c>
      <c r="C13" s="37"/>
      <c r="D13" s="37"/>
      <c r="E13" s="38"/>
      <c r="F13" s="55"/>
      <c r="G13" s="55"/>
      <c r="H13" s="55"/>
      <c r="I13" s="55"/>
      <c r="J13" s="55"/>
      <c r="K13" s="55"/>
      <c r="L13" s="55"/>
      <c r="M13" s="55"/>
      <c r="N13" s="55"/>
      <c r="O13" s="55"/>
      <c r="P13" s="55"/>
      <c r="Q13" s="55"/>
      <c r="R13" s="55"/>
    </row>
    <row r="14" spans="1:18" ht="31.5" outlineLevel="2">
      <c r="A14" s="42" t="s">
        <v>180</v>
      </c>
      <c r="B14" s="25" t="s">
        <v>182</v>
      </c>
      <c r="C14" s="37"/>
      <c r="D14" s="37"/>
      <c r="E14" s="38"/>
      <c r="F14" s="55"/>
      <c r="G14" s="55"/>
      <c r="H14" s="55"/>
      <c r="I14" s="55"/>
      <c r="J14" s="55"/>
      <c r="K14" s="55"/>
      <c r="L14" s="55"/>
      <c r="M14" s="55"/>
      <c r="N14" s="55"/>
      <c r="O14" s="55"/>
      <c r="P14" s="55"/>
      <c r="Q14" s="55"/>
      <c r="R14" s="55"/>
    </row>
    <row r="15" spans="1:18" ht="31.5" outlineLevel="2">
      <c r="A15" s="42" t="s">
        <v>180</v>
      </c>
      <c r="B15" s="25" t="s">
        <v>183</v>
      </c>
      <c r="C15" s="37"/>
      <c r="D15" s="37"/>
      <c r="E15" s="38"/>
      <c r="F15" s="55"/>
      <c r="G15" s="55"/>
      <c r="H15" s="55"/>
      <c r="I15" s="55"/>
      <c r="J15" s="55"/>
      <c r="K15" s="55"/>
      <c r="L15" s="55"/>
      <c r="M15" s="55"/>
      <c r="N15" s="55"/>
      <c r="O15" s="55"/>
      <c r="P15" s="55"/>
      <c r="Q15" s="55"/>
      <c r="R15" s="55"/>
    </row>
    <row r="16" spans="1:18" outlineLevel="2">
      <c r="A16" s="42" t="s">
        <v>180</v>
      </c>
      <c r="B16" s="25" t="s">
        <v>184</v>
      </c>
      <c r="C16" s="37"/>
      <c r="D16" s="37"/>
      <c r="E16" s="38"/>
      <c r="F16" s="55"/>
      <c r="G16" s="55"/>
      <c r="H16" s="55"/>
      <c r="I16" s="55"/>
      <c r="J16" s="55"/>
      <c r="K16" s="55"/>
      <c r="L16" s="55"/>
      <c r="M16" s="55"/>
      <c r="N16" s="55"/>
      <c r="O16" s="55"/>
      <c r="P16" s="55"/>
      <c r="Q16" s="55"/>
      <c r="R16" s="55"/>
    </row>
    <row r="17" spans="1:18" s="52" customFormat="1" ht="31.5" outlineLevel="2">
      <c r="A17" s="48" t="s">
        <v>120</v>
      </c>
      <c r="B17" s="53" t="s">
        <v>185</v>
      </c>
      <c r="C17" s="50">
        <f>E17-D17+1</f>
        <v>365</v>
      </c>
      <c r="D17" s="51">
        <v>44562</v>
      </c>
      <c r="E17" s="51">
        <v>44926</v>
      </c>
      <c r="F17" s="55">
        <f>SUM(G17:R17)</f>
        <v>1</v>
      </c>
      <c r="G17" s="55"/>
      <c r="H17" s="55"/>
      <c r="I17" s="55">
        <v>0.5</v>
      </c>
      <c r="J17" s="55"/>
      <c r="K17" s="55"/>
      <c r="L17" s="55"/>
      <c r="M17" s="55"/>
      <c r="N17" s="55">
        <v>0.5</v>
      </c>
      <c r="O17" s="55"/>
      <c r="P17" s="55"/>
      <c r="Q17" s="55"/>
      <c r="R17" s="55"/>
    </row>
    <row r="18" spans="1:18" ht="31.5" outlineLevel="2">
      <c r="A18" s="42" t="s">
        <v>180</v>
      </c>
      <c r="B18" s="27" t="s">
        <v>186</v>
      </c>
      <c r="C18" s="37"/>
      <c r="D18" s="37"/>
      <c r="E18" s="37"/>
      <c r="F18" s="55"/>
      <c r="G18" s="55"/>
      <c r="H18" s="55"/>
      <c r="I18" s="55"/>
      <c r="J18" s="55"/>
      <c r="K18" s="55"/>
      <c r="L18" s="55"/>
      <c r="M18" s="55"/>
      <c r="N18" s="55"/>
      <c r="O18" s="55"/>
      <c r="P18" s="55"/>
      <c r="Q18" s="55"/>
      <c r="R18" s="55"/>
    </row>
    <row r="19" spans="1:18" ht="31.5" outlineLevel="2">
      <c r="A19" s="42" t="s">
        <v>180</v>
      </c>
      <c r="B19" s="27" t="s">
        <v>187</v>
      </c>
      <c r="C19" s="37"/>
      <c r="D19" s="37"/>
      <c r="E19" s="37"/>
      <c r="F19" s="55"/>
      <c r="G19" s="55"/>
      <c r="H19" s="55"/>
      <c r="I19" s="55"/>
      <c r="J19" s="55"/>
      <c r="K19" s="55"/>
      <c r="L19" s="55"/>
      <c r="M19" s="55"/>
      <c r="N19" s="55"/>
      <c r="O19" s="55"/>
      <c r="P19" s="55"/>
      <c r="Q19" s="55"/>
      <c r="R19" s="55"/>
    </row>
    <row r="20" spans="1:18" outlineLevel="2">
      <c r="A20" s="42" t="s">
        <v>180</v>
      </c>
      <c r="B20" s="27" t="s">
        <v>188</v>
      </c>
      <c r="C20" s="37"/>
      <c r="D20" s="37"/>
      <c r="E20" s="37"/>
      <c r="F20" s="55"/>
      <c r="G20" s="55"/>
      <c r="H20" s="55"/>
      <c r="I20" s="55"/>
      <c r="J20" s="55"/>
      <c r="K20" s="55"/>
      <c r="L20" s="55"/>
      <c r="M20" s="55"/>
      <c r="N20" s="55"/>
      <c r="O20" s="55"/>
      <c r="P20" s="55"/>
      <c r="Q20" s="55"/>
      <c r="R20" s="55"/>
    </row>
    <row r="21" spans="1:18" s="52" customFormat="1" ht="31.5" outlineLevel="2">
      <c r="A21" s="48" t="s">
        <v>120</v>
      </c>
      <c r="B21" s="53" t="s">
        <v>189</v>
      </c>
      <c r="C21" s="50">
        <f>E21-D21+1</f>
        <v>365</v>
      </c>
      <c r="D21" s="51">
        <v>44562</v>
      </c>
      <c r="E21" s="51">
        <v>44926</v>
      </c>
      <c r="F21" s="55"/>
      <c r="G21" s="55"/>
      <c r="H21" s="55"/>
      <c r="I21" s="55"/>
      <c r="J21" s="55"/>
      <c r="K21" s="55"/>
      <c r="L21" s="55"/>
      <c r="M21" s="55"/>
      <c r="N21" s="55"/>
      <c r="O21" s="55"/>
      <c r="P21" s="55"/>
      <c r="Q21" s="55"/>
      <c r="R21" s="55"/>
    </row>
    <row r="22" spans="1:18" ht="47.25" outlineLevel="2">
      <c r="A22" s="42" t="s">
        <v>180</v>
      </c>
      <c r="B22" s="27" t="s">
        <v>190</v>
      </c>
      <c r="C22" s="37"/>
      <c r="D22" s="37"/>
      <c r="E22" s="37"/>
      <c r="F22" s="55"/>
      <c r="G22" s="55"/>
      <c r="H22" s="55"/>
      <c r="I22" s="55"/>
      <c r="J22" s="55"/>
      <c r="K22" s="55"/>
      <c r="L22" s="55"/>
      <c r="M22" s="55"/>
      <c r="N22" s="55"/>
      <c r="O22" s="55"/>
      <c r="P22" s="55"/>
      <c r="Q22" s="55"/>
      <c r="R22" s="55"/>
    </row>
    <row r="23" spans="1:18" ht="47.25" outlineLevel="2">
      <c r="A23" s="42" t="s">
        <v>180</v>
      </c>
      <c r="B23" s="27" t="s">
        <v>191</v>
      </c>
      <c r="C23" s="37"/>
      <c r="D23" s="37"/>
      <c r="E23" s="37"/>
      <c r="F23" s="55"/>
      <c r="G23" s="55"/>
      <c r="H23" s="55"/>
      <c r="I23" s="55"/>
      <c r="J23" s="55"/>
      <c r="K23" s="55"/>
      <c r="L23" s="55"/>
      <c r="M23" s="55"/>
      <c r="N23" s="55"/>
      <c r="O23" s="55"/>
      <c r="P23" s="55"/>
      <c r="Q23" s="55"/>
      <c r="R23" s="55"/>
    </row>
    <row r="24" spans="1:18" ht="47.25" outlineLevel="2">
      <c r="A24" s="42" t="s">
        <v>180</v>
      </c>
      <c r="B24" s="27" t="s">
        <v>192</v>
      </c>
      <c r="C24" s="37"/>
      <c r="D24" s="37"/>
      <c r="E24" s="37"/>
      <c r="F24" s="55"/>
      <c r="G24" s="55"/>
      <c r="H24" s="55"/>
      <c r="I24" s="55"/>
      <c r="J24" s="55"/>
      <c r="K24" s="55"/>
      <c r="L24" s="55"/>
      <c r="M24" s="55"/>
      <c r="N24" s="55"/>
      <c r="O24" s="55"/>
      <c r="P24" s="55"/>
      <c r="Q24" s="55"/>
      <c r="R24" s="55"/>
    </row>
    <row r="25" spans="1:18" ht="94.5" outlineLevel="2">
      <c r="A25" s="42" t="s">
        <v>180</v>
      </c>
      <c r="B25" s="27" t="s">
        <v>193</v>
      </c>
      <c r="C25" s="37"/>
      <c r="D25" s="37"/>
      <c r="E25" s="37"/>
      <c r="F25" s="55"/>
      <c r="G25" s="55"/>
      <c r="H25" s="55"/>
      <c r="I25" s="55"/>
      <c r="J25" s="55"/>
      <c r="K25" s="55"/>
      <c r="L25" s="55"/>
      <c r="M25" s="55"/>
      <c r="N25" s="55"/>
      <c r="O25" s="55"/>
      <c r="P25" s="55"/>
      <c r="Q25" s="55"/>
      <c r="R25" s="55"/>
    </row>
    <row r="26" spans="1:18" outlineLevel="2">
      <c r="A26" s="42" t="s">
        <v>180</v>
      </c>
      <c r="B26" s="27" t="s">
        <v>194</v>
      </c>
      <c r="C26" s="37"/>
      <c r="D26" s="37"/>
      <c r="E26" s="37"/>
      <c r="F26" s="55"/>
      <c r="G26" s="55"/>
      <c r="H26" s="55"/>
      <c r="I26" s="55"/>
      <c r="J26" s="55"/>
      <c r="K26" s="55"/>
      <c r="L26" s="55"/>
      <c r="M26" s="55"/>
      <c r="N26" s="55"/>
      <c r="O26" s="55"/>
      <c r="P26" s="55"/>
      <c r="Q26" s="55"/>
      <c r="R26" s="55"/>
    </row>
    <row r="27" spans="1:18" s="52" customFormat="1" ht="63" outlineLevel="2">
      <c r="A27" s="48" t="s">
        <v>120</v>
      </c>
      <c r="B27" s="53" t="s">
        <v>195</v>
      </c>
      <c r="C27" s="50">
        <f>E27-D27+1</f>
        <v>365</v>
      </c>
      <c r="D27" s="51">
        <v>44562</v>
      </c>
      <c r="E27" s="51">
        <v>44926</v>
      </c>
      <c r="F27" s="55"/>
      <c r="G27" s="55"/>
      <c r="H27" s="55"/>
      <c r="I27" s="55"/>
      <c r="J27" s="55"/>
      <c r="K27" s="55"/>
      <c r="L27" s="55"/>
      <c r="M27" s="55"/>
      <c r="N27" s="55"/>
      <c r="O27" s="55"/>
      <c r="P27" s="55"/>
      <c r="Q27" s="55"/>
      <c r="R27" s="55"/>
    </row>
    <row r="28" spans="1:18" ht="31.5" outlineLevel="2">
      <c r="A28" s="42" t="s">
        <v>180</v>
      </c>
      <c r="B28" s="27" t="s">
        <v>196</v>
      </c>
      <c r="C28" s="37"/>
      <c r="D28" s="37"/>
      <c r="E28" s="37"/>
      <c r="F28" s="56">
        <f>SUM(G28:R28)</f>
        <v>9</v>
      </c>
      <c r="G28" s="56"/>
      <c r="H28" s="56"/>
      <c r="I28" s="56"/>
      <c r="J28" s="56"/>
      <c r="K28" s="56"/>
      <c r="L28" s="56"/>
      <c r="M28" s="56">
        <v>9</v>
      </c>
      <c r="N28" s="56"/>
      <c r="O28" s="56"/>
      <c r="P28" s="56"/>
      <c r="Q28" s="56"/>
      <c r="R28" s="56"/>
    </row>
    <row r="29" spans="1:18" ht="31.5" outlineLevel="2">
      <c r="A29" s="42" t="s">
        <v>180</v>
      </c>
      <c r="B29" s="27" t="s">
        <v>197</v>
      </c>
      <c r="C29" s="37"/>
      <c r="D29" s="37"/>
      <c r="E29" s="37"/>
      <c r="F29" s="56">
        <f t="shared" ref="F29:F92" si="2">SUM(G29:R29)</f>
        <v>6</v>
      </c>
      <c r="G29" s="56"/>
      <c r="H29" s="56"/>
      <c r="I29" s="56">
        <v>6</v>
      </c>
      <c r="J29" s="56"/>
      <c r="K29" s="56"/>
      <c r="L29" s="56"/>
      <c r="M29" s="56"/>
      <c r="N29" s="56"/>
      <c r="O29" s="56"/>
      <c r="P29" s="56"/>
      <c r="Q29" s="56"/>
      <c r="R29" s="56"/>
    </row>
    <row r="30" spans="1:18" ht="47.25" outlineLevel="2">
      <c r="A30" s="42" t="s">
        <v>180</v>
      </c>
      <c r="B30" s="27" t="s">
        <v>198</v>
      </c>
      <c r="C30" s="37"/>
      <c r="D30" s="37"/>
      <c r="E30" s="37"/>
      <c r="F30" s="56">
        <f t="shared" si="2"/>
        <v>11</v>
      </c>
      <c r="G30" s="56"/>
      <c r="H30" s="56"/>
      <c r="I30" s="56"/>
      <c r="J30" s="56"/>
      <c r="K30" s="56"/>
      <c r="L30" s="56"/>
      <c r="M30" s="56"/>
      <c r="N30" s="56"/>
      <c r="O30" s="56"/>
      <c r="P30" s="56">
        <v>11</v>
      </c>
      <c r="Q30" s="56"/>
      <c r="R30" s="56"/>
    </row>
    <row r="31" spans="1:18" ht="31.5" outlineLevel="2">
      <c r="A31" s="42" t="s">
        <v>180</v>
      </c>
      <c r="B31" s="27" t="s">
        <v>199</v>
      </c>
      <c r="C31" s="37"/>
      <c r="D31" s="37"/>
      <c r="E31" s="37"/>
      <c r="F31" s="56">
        <f t="shared" si="2"/>
        <v>6</v>
      </c>
      <c r="G31" s="56">
        <v>0.3</v>
      </c>
      <c r="H31" s="56"/>
      <c r="I31" s="56"/>
      <c r="J31" s="56"/>
      <c r="K31" s="56">
        <v>5.7</v>
      </c>
      <c r="L31" s="56"/>
      <c r="M31" s="56"/>
      <c r="N31" s="56"/>
      <c r="O31" s="56"/>
      <c r="P31" s="56"/>
      <c r="Q31" s="56"/>
      <c r="R31" s="56"/>
    </row>
    <row r="32" spans="1:18" ht="31.5" outlineLevel="2">
      <c r="A32" s="42" t="s">
        <v>180</v>
      </c>
      <c r="B32" s="27" t="s">
        <v>200</v>
      </c>
      <c r="C32" s="37"/>
      <c r="D32" s="37"/>
      <c r="E32" s="37"/>
      <c r="F32" s="56">
        <f t="shared" si="2"/>
        <v>4.5</v>
      </c>
      <c r="G32" s="56"/>
      <c r="H32" s="56"/>
      <c r="I32" s="56">
        <v>4.5</v>
      </c>
      <c r="J32" s="56"/>
      <c r="K32" s="56"/>
      <c r="L32" s="56"/>
      <c r="M32" s="56"/>
      <c r="N32" s="56"/>
      <c r="O32" s="56"/>
      <c r="P32" s="56"/>
      <c r="Q32" s="56"/>
      <c r="R32" s="56"/>
    </row>
    <row r="33" spans="1:18" ht="31.5" outlineLevel="2">
      <c r="A33" s="42" t="s">
        <v>180</v>
      </c>
      <c r="B33" s="27" t="s">
        <v>201</v>
      </c>
      <c r="C33" s="37"/>
      <c r="D33" s="37"/>
      <c r="E33" s="37"/>
      <c r="F33" s="56">
        <f t="shared" si="2"/>
        <v>4</v>
      </c>
      <c r="G33" s="56"/>
      <c r="H33" s="56"/>
      <c r="I33" s="56"/>
      <c r="J33" s="56"/>
      <c r="K33" s="56"/>
      <c r="L33" s="56"/>
      <c r="M33" s="56"/>
      <c r="N33" s="56">
        <v>4</v>
      </c>
      <c r="O33" s="56"/>
      <c r="P33" s="56"/>
      <c r="Q33" s="56"/>
      <c r="R33" s="56"/>
    </row>
    <row r="34" spans="1:18" outlineLevel="1">
      <c r="A34" s="45" t="s">
        <v>202</v>
      </c>
      <c r="B34" s="46" t="s">
        <v>203</v>
      </c>
      <c r="C34" s="45"/>
      <c r="D34" s="45"/>
      <c r="E34" s="47"/>
      <c r="F34" s="54">
        <f t="shared" si="2"/>
        <v>389.72940218599996</v>
      </c>
      <c r="G34" s="54">
        <f>389729402186/10^9/12</f>
        <v>32.47745018216667</v>
      </c>
      <c r="H34" s="54">
        <f t="shared" ref="H34:R34" si="3">389729402186/10^9/12</f>
        <v>32.47745018216667</v>
      </c>
      <c r="I34" s="54">
        <f t="shared" si="3"/>
        <v>32.47745018216667</v>
      </c>
      <c r="J34" s="54">
        <f t="shared" si="3"/>
        <v>32.47745018216667</v>
      </c>
      <c r="K34" s="54">
        <f t="shared" si="3"/>
        <v>32.47745018216667</v>
      </c>
      <c r="L34" s="54">
        <f t="shared" si="3"/>
        <v>32.47745018216667</v>
      </c>
      <c r="M34" s="54">
        <f t="shared" si="3"/>
        <v>32.47745018216667</v>
      </c>
      <c r="N34" s="54">
        <f t="shared" si="3"/>
        <v>32.47745018216667</v>
      </c>
      <c r="O34" s="54">
        <f t="shared" si="3"/>
        <v>32.47745018216667</v>
      </c>
      <c r="P34" s="54">
        <f t="shared" si="3"/>
        <v>32.47745018216667</v>
      </c>
      <c r="Q34" s="54">
        <f t="shared" si="3"/>
        <v>32.47745018216667</v>
      </c>
      <c r="R34" s="54">
        <f t="shared" si="3"/>
        <v>32.47745018216667</v>
      </c>
    </row>
    <row r="35" spans="1:18" s="52" customFormat="1" outlineLevel="2">
      <c r="A35" s="48" t="s">
        <v>120</v>
      </c>
      <c r="B35" s="53" t="s">
        <v>204</v>
      </c>
      <c r="C35" s="50">
        <f>E35-D35+1</f>
        <v>365</v>
      </c>
      <c r="D35" s="51">
        <v>44562</v>
      </c>
      <c r="E35" s="51">
        <v>44926</v>
      </c>
      <c r="F35" s="56">
        <f t="shared" si="2"/>
        <v>0</v>
      </c>
      <c r="G35" s="56"/>
      <c r="H35" s="56"/>
      <c r="I35" s="56"/>
      <c r="J35" s="56"/>
      <c r="K35" s="56"/>
      <c r="L35" s="56"/>
      <c r="M35" s="56"/>
      <c r="N35" s="56"/>
      <c r="O35" s="56"/>
      <c r="P35" s="56"/>
      <c r="Q35" s="56"/>
      <c r="R35" s="56"/>
    </row>
    <row r="36" spans="1:18" ht="47.25" outlineLevel="2">
      <c r="A36" s="42" t="s">
        <v>180</v>
      </c>
      <c r="B36" s="27" t="s">
        <v>205</v>
      </c>
      <c r="C36" s="37"/>
      <c r="D36" s="37"/>
      <c r="E36" s="37"/>
      <c r="F36" s="56">
        <f t="shared" si="2"/>
        <v>0</v>
      </c>
      <c r="G36" s="56"/>
      <c r="H36" s="56"/>
      <c r="I36" s="56"/>
      <c r="J36" s="56"/>
      <c r="K36" s="56"/>
      <c r="L36" s="56"/>
      <c r="M36" s="56"/>
      <c r="N36" s="56"/>
      <c r="O36" s="56"/>
      <c r="P36" s="56"/>
      <c r="Q36" s="56"/>
      <c r="R36" s="56"/>
    </row>
    <row r="37" spans="1:18" ht="63" outlineLevel="2">
      <c r="A37" s="42" t="s">
        <v>180</v>
      </c>
      <c r="B37" s="27" t="s">
        <v>206</v>
      </c>
      <c r="C37" s="37"/>
      <c r="D37" s="37"/>
      <c r="E37" s="37"/>
      <c r="F37" s="56">
        <f t="shared" si="2"/>
        <v>0</v>
      </c>
      <c r="G37" s="56"/>
      <c r="H37" s="56"/>
      <c r="I37" s="56"/>
      <c r="J37" s="56"/>
      <c r="K37" s="56"/>
      <c r="L37" s="56"/>
      <c r="M37" s="56"/>
      <c r="N37" s="56"/>
      <c r="O37" s="56"/>
      <c r="P37" s="56"/>
      <c r="Q37" s="56"/>
      <c r="R37" s="56"/>
    </row>
    <row r="38" spans="1:18" ht="31.5" outlineLevel="2">
      <c r="A38" s="42" t="s">
        <v>180</v>
      </c>
      <c r="B38" s="27" t="s">
        <v>207</v>
      </c>
      <c r="C38" s="37"/>
      <c r="D38" s="37"/>
      <c r="E38" s="37"/>
      <c r="F38" s="56">
        <f t="shared" si="2"/>
        <v>0</v>
      </c>
      <c r="G38" s="56"/>
      <c r="H38" s="56"/>
      <c r="I38" s="56"/>
      <c r="J38" s="56"/>
      <c r="K38" s="56"/>
      <c r="L38" s="56"/>
      <c r="M38" s="56"/>
      <c r="N38" s="56"/>
      <c r="O38" s="56"/>
      <c r="P38" s="56"/>
      <c r="Q38" s="56"/>
      <c r="R38" s="56"/>
    </row>
    <row r="39" spans="1:18" ht="31.5" outlineLevel="2">
      <c r="A39" s="42" t="s">
        <v>180</v>
      </c>
      <c r="B39" s="27" t="s">
        <v>208</v>
      </c>
      <c r="C39" s="37"/>
      <c r="D39" s="37"/>
      <c r="E39" s="37"/>
      <c r="F39" s="56">
        <f t="shared" si="2"/>
        <v>0</v>
      </c>
      <c r="G39" s="56"/>
      <c r="H39" s="56"/>
      <c r="I39" s="56"/>
      <c r="J39" s="56"/>
      <c r="K39" s="56"/>
      <c r="L39" s="56"/>
      <c r="M39" s="56"/>
      <c r="N39" s="56"/>
      <c r="O39" s="56"/>
      <c r="P39" s="56"/>
      <c r="Q39" s="56"/>
      <c r="R39" s="56"/>
    </row>
    <row r="40" spans="1:18" ht="31.5" outlineLevel="2">
      <c r="A40" s="42" t="s">
        <v>180</v>
      </c>
      <c r="B40" s="27" t="s">
        <v>209</v>
      </c>
      <c r="C40" s="37"/>
      <c r="D40" s="37"/>
      <c r="E40" s="37"/>
      <c r="F40" s="56">
        <f t="shared" si="2"/>
        <v>0</v>
      </c>
      <c r="G40" s="56"/>
      <c r="H40" s="56"/>
      <c r="I40" s="56"/>
      <c r="J40" s="56"/>
      <c r="K40" s="56"/>
      <c r="L40" s="56"/>
      <c r="M40" s="56"/>
      <c r="N40" s="56"/>
      <c r="O40" s="56"/>
      <c r="P40" s="56"/>
      <c r="Q40" s="56"/>
      <c r="R40" s="56"/>
    </row>
    <row r="41" spans="1:18" ht="31.5" outlineLevel="2">
      <c r="A41" s="42" t="s">
        <v>180</v>
      </c>
      <c r="B41" s="27" t="s">
        <v>210</v>
      </c>
      <c r="C41" s="37"/>
      <c r="D41" s="37"/>
      <c r="E41" s="37"/>
      <c r="F41" s="56">
        <f t="shared" si="2"/>
        <v>0</v>
      </c>
      <c r="G41" s="56"/>
      <c r="H41" s="56"/>
      <c r="I41" s="56"/>
      <c r="J41" s="56"/>
      <c r="K41" s="56"/>
      <c r="L41" s="56"/>
      <c r="M41" s="56"/>
      <c r="N41" s="56"/>
      <c r="O41" s="56"/>
      <c r="P41" s="56"/>
      <c r="Q41" s="56"/>
      <c r="R41" s="56"/>
    </row>
    <row r="42" spans="1:18" outlineLevel="2">
      <c r="A42" s="42" t="s">
        <v>180</v>
      </c>
      <c r="B42" s="27" t="s">
        <v>211</v>
      </c>
      <c r="C42" s="37"/>
      <c r="D42" s="37"/>
      <c r="E42" s="37"/>
      <c r="F42" s="56">
        <f t="shared" si="2"/>
        <v>0</v>
      </c>
      <c r="G42" s="56"/>
      <c r="H42" s="56"/>
      <c r="I42" s="56"/>
      <c r="J42" s="56"/>
      <c r="K42" s="56"/>
      <c r="L42" s="56"/>
      <c r="M42" s="56"/>
      <c r="N42" s="56"/>
      <c r="O42" s="56"/>
      <c r="P42" s="56"/>
      <c r="Q42" s="56"/>
      <c r="R42" s="56"/>
    </row>
    <row r="43" spans="1:18" s="52" customFormat="1" ht="63" outlineLevel="2">
      <c r="A43" s="48" t="s">
        <v>120</v>
      </c>
      <c r="B43" s="53" t="s">
        <v>212</v>
      </c>
      <c r="C43" s="50">
        <f>E43-D43+1</f>
        <v>365</v>
      </c>
      <c r="D43" s="51">
        <v>44562</v>
      </c>
      <c r="E43" s="51">
        <v>44926</v>
      </c>
      <c r="F43" s="56">
        <f t="shared" si="2"/>
        <v>0</v>
      </c>
      <c r="G43" s="56"/>
      <c r="H43" s="56"/>
      <c r="I43" s="56"/>
      <c r="J43" s="56"/>
      <c r="K43" s="56"/>
      <c r="L43" s="56"/>
      <c r="M43" s="56"/>
      <c r="N43" s="56"/>
      <c r="O43" s="56"/>
      <c r="P43" s="56"/>
      <c r="Q43" s="56"/>
      <c r="R43" s="56"/>
    </row>
    <row r="44" spans="1:18" ht="31.5" outlineLevel="2">
      <c r="A44" s="42" t="s">
        <v>180</v>
      </c>
      <c r="B44" s="30" t="s">
        <v>213</v>
      </c>
      <c r="C44" s="37"/>
      <c r="D44" s="37"/>
      <c r="E44" s="37"/>
      <c r="F44" s="56">
        <f t="shared" si="2"/>
        <v>0</v>
      </c>
      <c r="G44" s="56"/>
      <c r="H44" s="56"/>
      <c r="I44" s="56"/>
      <c r="J44" s="56"/>
      <c r="K44" s="56"/>
      <c r="L44" s="56"/>
      <c r="M44" s="56"/>
      <c r="N44" s="56"/>
      <c r="O44" s="56"/>
      <c r="P44" s="56"/>
      <c r="Q44" s="56"/>
      <c r="R44" s="56"/>
    </row>
    <row r="45" spans="1:18" ht="47.25" outlineLevel="2">
      <c r="A45" s="42" t="s">
        <v>180</v>
      </c>
      <c r="B45" s="27" t="s">
        <v>214</v>
      </c>
      <c r="C45" s="37"/>
      <c r="D45" s="37"/>
      <c r="E45" s="37"/>
      <c r="F45" s="56">
        <f t="shared" si="2"/>
        <v>0</v>
      </c>
      <c r="G45" s="56"/>
      <c r="H45" s="56"/>
      <c r="I45" s="56"/>
      <c r="J45" s="56"/>
      <c r="K45" s="56"/>
      <c r="L45" s="56"/>
      <c r="M45" s="56"/>
      <c r="N45" s="56"/>
      <c r="O45" s="56"/>
      <c r="P45" s="56"/>
      <c r="Q45" s="56"/>
      <c r="R45" s="56"/>
    </row>
    <row r="46" spans="1:18" ht="47.25" outlineLevel="2">
      <c r="A46" s="42" t="s">
        <v>180</v>
      </c>
      <c r="B46" s="27" t="s">
        <v>215</v>
      </c>
      <c r="C46" s="37"/>
      <c r="D46" s="37"/>
      <c r="E46" s="37"/>
      <c r="F46" s="56">
        <f t="shared" si="2"/>
        <v>0</v>
      </c>
      <c r="G46" s="56"/>
      <c r="H46" s="56"/>
      <c r="I46" s="56"/>
      <c r="J46" s="56"/>
      <c r="K46" s="56"/>
      <c r="L46" s="56"/>
      <c r="M46" s="56"/>
      <c r="N46" s="56"/>
      <c r="O46" s="56"/>
      <c r="P46" s="56"/>
      <c r="Q46" s="56"/>
      <c r="R46" s="56"/>
    </row>
    <row r="47" spans="1:18" ht="31.5" outlineLevel="2">
      <c r="A47" s="42" t="s">
        <v>180</v>
      </c>
      <c r="B47" s="27" t="s">
        <v>216</v>
      </c>
      <c r="C47" s="37"/>
      <c r="D47" s="37"/>
      <c r="E47" s="37"/>
      <c r="F47" s="56">
        <f t="shared" si="2"/>
        <v>0</v>
      </c>
      <c r="G47" s="56"/>
      <c r="H47" s="56"/>
      <c r="I47" s="56"/>
      <c r="J47" s="56"/>
      <c r="K47" s="56"/>
      <c r="L47" s="56"/>
      <c r="M47" s="56"/>
      <c r="N47" s="56"/>
      <c r="O47" s="56"/>
      <c r="P47" s="56"/>
      <c r="Q47" s="56"/>
      <c r="R47" s="56"/>
    </row>
    <row r="48" spans="1:18" ht="19.5" customHeight="1" outlineLevel="2">
      <c r="A48" s="42" t="s">
        <v>180</v>
      </c>
      <c r="B48" s="27" t="s">
        <v>217</v>
      </c>
      <c r="C48" s="37"/>
      <c r="D48" s="37"/>
      <c r="E48" s="37"/>
      <c r="F48" s="56">
        <f t="shared" si="2"/>
        <v>0</v>
      </c>
      <c r="G48" s="56"/>
      <c r="H48" s="56"/>
      <c r="I48" s="56"/>
      <c r="J48" s="56"/>
      <c r="K48" s="56"/>
      <c r="L48" s="56"/>
      <c r="M48" s="56"/>
      <c r="N48" s="56"/>
      <c r="O48" s="56"/>
      <c r="P48" s="56"/>
      <c r="Q48" s="56"/>
      <c r="R48" s="56"/>
    </row>
    <row r="49" spans="1:18" ht="31.5" outlineLevel="2">
      <c r="A49" s="42" t="s">
        <v>180</v>
      </c>
      <c r="B49" s="27" t="s">
        <v>218</v>
      </c>
      <c r="C49" s="37"/>
      <c r="D49" s="37"/>
      <c r="E49" s="37"/>
      <c r="F49" s="56">
        <f t="shared" si="2"/>
        <v>0</v>
      </c>
      <c r="G49" s="56"/>
      <c r="H49" s="56"/>
      <c r="I49" s="56"/>
      <c r="J49" s="56"/>
      <c r="K49" s="56"/>
      <c r="L49" s="56"/>
      <c r="M49" s="56"/>
      <c r="N49" s="56"/>
      <c r="O49" s="56"/>
      <c r="P49" s="56"/>
      <c r="Q49" s="56"/>
      <c r="R49" s="56"/>
    </row>
    <row r="50" spans="1:18" s="52" customFormat="1" ht="31.5" outlineLevel="2">
      <c r="A50" s="48" t="s">
        <v>120</v>
      </c>
      <c r="B50" s="53" t="s">
        <v>219</v>
      </c>
      <c r="C50" s="50">
        <f>E50-D50+1</f>
        <v>365</v>
      </c>
      <c r="D50" s="51">
        <v>44562</v>
      </c>
      <c r="E50" s="51">
        <v>44926</v>
      </c>
      <c r="F50" s="56">
        <f t="shared" si="2"/>
        <v>0</v>
      </c>
      <c r="G50" s="56"/>
      <c r="H50" s="56"/>
      <c r="I50" s="56"/>
      <c r="J50" s="56"/>
      <c r="K50" s="56"/>
      <c r="L50" s="56"/>
      <c r="M50" s="56"/>
      <c r="N50" s="56"/>
      <c r="O50" s="56"/>
      <c r="P50" s="56"/>
      <c r="Q50" s="56"/>
      <c r="R50" s="56"/>
    </row>
    <row r="51" spans="1:18" ht="47.25" outlineLevel="2">
      <c r="A51" s="42" t="s">
        <v>180</v>
      </c>
      <c r="B51" s="27" t="s">
        <v>220</v>
      </c>
      <c r="C51" s="37"/>
      <c r="D51" s="37"/>
      <c r="E51" s="37"/>
      <c r="F51" s="56">
        <f t="shared" si="2"/>
        <v>0</v>
      </c>
      <c r="G51" s="56"/>
      <c r="H51" s="56"/>
      <c r="I51" s="56"/>
      <c r="J51" s="56"/>
      <c r="K51" s="56"/>
      <c r="L51" s="56"/>
      <c r="M51" s="56"/>
      <c r="N51" s="56"/>
      <c r="O51" s="56"/>
      <c r="P51" s="56"/>
      <c r="Q51" s="56"/>
      <c r="R51" s="56"/>
    </row>
    <row r="52" spans="1:18" outlineLevel="2">
      <c r="A52" s="42" t="s">
        <v>180</v>
      </c>
      <c r="B52" s="27" t="s">
        <v>221</v>
      </c>
      <c r="C52" s="37"/>
      <c r="D52" s="37"/>
      <c r="E52" s="37"/>
      <c r="F52" s="56">
        <f t="shared" si="2"/>
        <v>0</v>
      </c>
      <c r="G52" s="56"/>
      <c r="H52" s="56"/>
      <c r="I52" s="56"/>
      <c r="J52" s="56"/>
      <c r="K52" s="56"/>
      <c r="L52" s="56"/>
      <c r="M52" s="56"/>
      <c r="N52" s="56"/>
      <c r="O52" s="56"/>
      <c r="P52" s="56"/>
      <c r="Q52" s="56"/>
      <c r="R52" s="56"/>
    </row>
    <row r="53" spans="1:18" ht="47.25" outlineLevel="2">
      <c r="A53" s="42" t="s">
        <v>180</v>
      </c>
      <c r="B53" s="27" t="s">
        <v>222</v>
      </c>
      <c r="C53" s="37"/>
      <c r="D53" s="37"/>
      <c r="E53" s="37"/>
      <c r="F53" s="56">
        <f t="shared" si="2"/>
        <v>0</v>
      </c>
      <c r="G53" s="56"/>
      <c r="H53" s="56"/>
      <c r="I53" s="56"/>
      <c r="J53" s="56"/>
      <c r="K53" s="56"/>
      <c r="L53" s="56"/>
      <c r="M53" s="56"/>
      <c r="N53" s="56"/>
      <c r="O53" s="56"/>
      <c r="P53" s="56"/>
      <c r="Q53" s="56"/>
      <c r="R53" s="56"/>
    </row>
    <row r="54" spans="1:18" s="52" customFormat="1" outlineLevel="2">
      <c r="A54" s="48" t="s">
        <v>120</v>
      </c>
      <c r="B54" s="53" t="s">
        <v>223</v>
      </c>
      <c r="C54" s="50">
        <f>E54-D54+1</f>
        <v>365</v>
      </c>
      <c r="D54" s="51">
        <v>44562</v>
      </c>
      <c r="E54" s="51">
        <v>44926</v>
      </c>
      <c r="F54" s="56">
        <f t="shared" si="2"/>
        <v>0</v>
      </c>
      <c r="G54" s="56"/>
      <c r="H54" s="56"/>
      <c r="I54" s="56"/>
      <c r="J54" s="56"/>
      <c r="K54" s="56"/>
      <c r="L54" s="56"/>
      <c r="M54" s="56"/>
      <c r="N54" s="56"/>
      <c r="O54" s="56"/>
      <c r="P54" s="56"/>
      <c r="Q54" s="56"/>
      <c r="R54" s="56"/>
    </row>
    <row r="55" spans="1:18" ht="31.5" outlineLevel="2">
      <c r="A55" s="42" t="s">
        <v>180</v>
      </c>
      <c r="B55" s="30" t="s">
        <v>224</v>
      </c>
      <c r="C55" s="37"/>
      <c r="D55" s="37"/>
      <c r="E55" s="37"/>
      <c r="F55" s="56">
        <f t="shared" si="2"/>
        <v>0</v>
      </c>
      <c r="G55" s="56"/>
      <c r="H55" s="56"/>
      <c r="I55" s="56"/>
      <c r="J55" s="56"/>
      <c r="K55" s="56"/>
      <c r="L55" s="56"/>
      <c r="M55" s="56"/>
      <c r="N55" s="56"/>
      <c r="O55" s="56"/>
      <c r="P55" s="56"/>
      <c r="Q55" s="56"/>
      <c r="R55" s="56"/>
    </row>
    <row r="56" spans="1:18" outlineLevel="2">
      <c r="A56" s="42" t="s">
        <v>180</v>
      </c>
      <c r="B56" s="27" t="s">
        <v>225</v>
      </c>
      <c r="C56" s="37"/>
      <c r="D56" s="37"/>
      <c r="E56" s="37"/>
      <c r="F56" s="56">
        <f t="shared" si="2"/>
        <v>0</v>
      </c>
      <c r="G56" s="56"/>
      <c r="H56" s="56"/>
      <c r="I56" s="56"/>
      <c r="J56" s="56"/>
      <c r="K56" s="56"/>
      <c r="L56" s="56"/>
      <c r="M56" s="56"/>
      <c r="N56" s="56"/>
      <c r="O56" s="56"/>
      <c r="P56" s="56"/>
      <c r="Q56" s="56"/>
      <c r="R56" s="56"/>
    </row>
    <row r="57" spans="1:18" outlineLevel="2">
      <c r="A57" s="42" t="s">
        <v>180</v>
      </c>
      <c r="B57" s="27" t="s">
        <v>226</v>
      </c>
      <c r="C57" s="37"/>
      <c r="D57" s="37"/>
      <c r="E57" s="37"/>
      <c r="F57" s="56">
        <f t="shared" si="2"/>
        <v>0</v>
      </c>
      <c r="G57" s="56"/>
      <c r="H57" s="56"/>
      <c r="I57" s="56"/>
      <c r="J57" s="56"/>
      <c r="K57" s="56"/>
      <c r="L57" s="56"/>
      <c r="M57" s="56"/>
      <c r="N57" s="56"/>
      <c r="O57" s="56"/>
      <c r="P57" s="56"/>
      <c r="Q57" s="56"/>
      <c r="R57" s="56"/>
    </row>
    <row r="58" spans="1:18" outlineLevel="1">
      <c r="A58" s="45" t="s">
        <v>227</v>
      </c>
      <c r="B58" s="46" t="s">
        <v>228</v>
      </c>
      <c r="C58" s="45"/>
      <c r="D58" s="45"/>
      <c r="E58" s="47"/>
      <c r="F58" s="54">
        <f t="shared" si="2"/>
        <v>31.7</v>
      </c>
      <c r="G58" s="54">
        <f>SUM(G59:G72)</f>
        <v>3</v>
      </c>
      <c r="H58" s="54">
        <f t="shared" ref="H58:R58" si="4">SUM(H59:H72)</f>
        <v>0</v>
      </c>
      <c r="I58" s="54">
        <f t="shared" si="4"/>
        <v>4.2</v>
      </c>
      <c r="J58" s="54">
        <f t="shared" si="4"/>
        <v>0</v>
      </c>
      <c r="K58" s="54">
        <f t="shared" si="4"/>
        <v>2</v>
      </c>
      <c r="L58" s="54">
        <f t="shared" si="4"/>
        <v>0</v>
      </c>
      <c r="M58" s="54">
        <f t="shared" si="4"/>
        <v>22.5</v>
      </c>
      <c r="N58" s="54">
        <f t="shared" si="4"/>
        <v>0</v>
      </c>
      <c r="O58" s="54">
        <f t="shared" si="4"/>
        <v>0</v>
      </c>
      <c r="P58" s="54">
        <f t="shared" si="4"/>
        <v>0</v>
      </c>
      <c r="Q58" s="54">
        <f t="shared" si="4"/>
        <v>0</v>
      </c>
      <c r="R58" s="54">
        <f t="shared" si="4"/>
        <v>0</v>
      </c>
    </row>
    <row r="59" spans="1:18" s="52" customFormat="1" ht="31.5" outlineLevel="2">
      <c r="A59" s="48" t="s">
        <v>120</v>
      </c>
      <c r="B59" s="53" t="s">
        <v>229</v>
      </c>
      <c r="C59" s="50">
        <f>E59-D59+1</f>
        <v>365</v>
      </c>
      <c r="D59" s="51">
        <v>44562</v>
      </c>
      <c r="E59" s="51">
        <v>44926</v>
      </c>
      <c r="F59" s="56">
        <f t="shared" si="2"/>
        <v>0</v>
      </c>
      <c r="G59" s="56"/>
      <c r="H59" s="56"/>
      <c r="I59" s="56"/>
      <c r="J59" s="56"/>
      <c r="K59" s="56"/>
      <c r="L59" s="56"/>
      <c r="M59" s="56"/>
      <c r="N59" s="56"/>
      <c r="O59" s="56"/>
      <c r="P59" s="56"/>
      <c r="Q59" s="56"/>
      <c r="R59" s="56"/>
    </row>
    <row r="60" spans="1:18" ht="31.5" outlineLevel="2">
      <c r="A60" s="42" t="s">
        <v>180</v>
      </c>
      <c r="B60" s="27" t="s">
        <v>230</v>
      </c>
      <c r="C60" s="37"/>
      <c r="D60" s="37"/>
      <c r="E60" s="37"/>
      <c r="F60" s="56">
        <f t="shared" si="2"/>
        <v>0.5</v>
      </c>
      <c r="G60" s="56"/>
      <c r="H60" s="56"/>
      <c r="I60" s="56"/>
      <c r="J60" s="56"/>
      <c r="K60" s="56"/>
      <c r="L60" s="56"/>
      <c r="M60" s="56">
        <v>0.5</v>
      </c>
      <c r="N60" s="56"/>
      <c r="O60" s="56"/>
      <c r="P60" s="56"/>
      <c r="Q60" s="56"/>
      <c r="R60" s="56"/>
    </row>
    <row r="61" spans="1:18" ht="31.5" outlineLevel="2">
      <c r="A61" s="42" t="s">
        <v>180</v>
      </c>
      <c r="B61" s="27" t="s">
        <v>231</v>
      </c>
      <c r="C61" s="37"/>
      <c r="D61" s="37"/>
      <c r="E61" s="37"/>
      <c r="F61" s="56">
        <f t="shared" si="2"/>
        <v>10</v>
      </c>
      <c r="G61" s="56"/>
      <c r="H61" s="56"/>
      <c r="I61" s="56"/>
      <c r="J61" s="56"/>
      <c r="K61" s="56"/>
      <c r="L61" s="56"/>
      <c r="M61" s="56">
        <v>10</v>
      </c>
      <c r="N61" s="56"/>
      <c r="O61" s="56"/>
      <c r="P61" s="56"/>
      <c r="Q61" s="56"/>
      <c r="R61" s="56"/>
    </row>
    <row r="62" spans="1:18" ht="31.5" outlineLevel="2">
      <c r="A62" s="42" t="s">
        <v>180</v>
      </c>
      <c r="B62" s="27" t="s">
        <v>232</v>
      </c>
      <c r="C62" s="37"/>
      <c r="D62" s="37"/>
      <c r="E62" s="37"/>
      <c r="F62" s="56">
        <f t="shared" si="2"/>
        <v>4</v>
      </c>
      <c r="G62" s="56"/>
      <c r="H62" s="56"/>
      <c r="I62" s="56">
        <v>4</v>
      </c>
      <c r="J62" s="56"/>
      <c r="K62" s="56"/>
      <c r="L62" s="56"/>
      <c r="M62" s="56"/>
      <c r="N62" s="56"/>
      <c r="O62" s="56"/>
      <c r="P62" s="56"/>
      <c r="Q62" s="56"/>
      <c r="R62" s="56"/>
    </row>
    <row r="63" spans="1:18" outlineLevel="2">
      <c r="A63" s="42" t="s">
        <v>180</v>
      </c>
      <c r="B63" s="27" t="s">
        <v>233</v>
      </c>
      <c r="C63" s="37"/>
      <c r="D63" s="37"/>
      <c r="E63" s="37"/>
      <c r="F63" s="56">
        <f t="shared" si="2"/>
        <v>0.2</v>
      </c>
      <c r="G63" s="56"/>
      <c r="H63" s="56"/>
      <c r="I63" s="56">
        <v>0.2</v>
      </c>
      <c r="J63" s="56"/>
      <c r="K63" s="56"/>
      <c r="L63" s="56"/>
      <c r="M63" s="56"/>
      <c r="N63" s="56"/>
      <c r="O63" s="56"/>
      <c r="P63" s="56"/>
      <c r="Q63" s="56"/>
      <c r="R63" s="56"/>
    </row>
    <row r="64" spans="1:18" ht="31.5" outlineLevel="2">
      <c r="A64" s="42" t="s">
        <v>180</v>
      </c>
      <c r="B64" s="27" t="s">
        <v>234</v>
      </c>
      <c r="C64" s="37"/>
      <c r="D64" s="37"/>
      <c r="E64" s="37"/>
      <c r="F64" s="56">
        <f t="shared" si="2"/>
        <v>5</v>
      </c>
      <c r="G64" s="56"/>
      <c r="H64" s="56"/>
      <c r="I64" s="56"/>
      <c r="J64" s="56"/>
      <c r="K64" s="56"/>
      <c r="L64" s="56"/>
      <c r="M64" s="56">
        <v>5</v>
      </c>
      <c r="N64" s="56"/>
      <c r="O64" s="56"/>
      <c r="P64" s="56"/>
      <c r="Q64" s="56"/>
      <c r="R64" s="56"/>
    </row>
    <row r="65" spans="1:18" ht="31.5" outlineLevel="2">
      <c r="A65" s="42" t="s">
        <v>180</v>
      </c>
      <c r="B65" s="27" t="s">
        <v>235</v>
      </c>
      <c r="C65" s="37"/>
      <c r="D65" s="37"/>
      <c r="E65" s="37"/>
      <c r="F65" s="56">
        <f t="shared" si="2"/>
        <v>7</v>
      </c>
      <c r="G65" s="56"/>
      <c r="H65" s="56"/>
      <c r="I65" s="56"/>
      <c r="J65" s="56"/>
      <c r="K65" s="56"/>
      <c r="L65" s="56"/>
      <c r="M65" s="56">
        <v>7</v>
      </c>
      <c r="N65" s="56"/>
      <c r="O65" s="56"/>
      <c r="P65" s="56"/>
      <c r="Q65" s="56"/>
      <c r="R65" s="56"/>
    </row>
    <row r="66" spans="1:18" s="52" customFormat="1" ht="31.5" outlineLevel="2">
      <c r="A66" s="48" t="s">
        <v>120</v>
      </c>
      <c r="B66" s="53" t="s">
        <v>236</v>
      </c>
      <c r="C66" s="50">
        <f>E66-D66+1</f>
        <v>365</v>
      </c>
      <c r="D66" s="51">
        <v>44562</v>
      </c>
      <c r="E66" s="51">
        <v>44926</v>
      </c>
      <c r="F66" s="56">
        <f t="shared" si="2"/>
        <v>0</v>
      </c>
      <c r="G66" s="56"/>
      <c r="H66" s="56"/>
      <c r="I66" s="56"/>
      <c r="J66" s="56"/>
      <c r="K66" s="56"/>
      <c r="L66" s="56"/>
      <c r="M66" s="56"/>
      <c r="N66" s="56"/>
      <c r="O66" s="56"/>
      <c r="P66" s="56"/>
      <c r="Q66" s="56"/>
      <c r="R66" s="56"/>
    </row>
    <row r="67" spans="1:18" ht="31.5" outlineLevel="2">
      <c r="A67" s="42" t="s">
        <v>180</v>
      </c>
      <c r="B67" s="27" t="s">
        <v>237</v>
      </c>
      <c r="C67" s="37"/>
      <c r="D67" s="37"/>
      <c r="E67" s="37"/>
      <c r="F67" s="56">
        <f t="shared" si="2"/>
        <v>0</v>
      </c>
      <c r="G67" s="56"/>
      <c r="H67" s="56"/>
      <c r="I67" s="56"/>
      <c r="J67" s="56"/>
      <c r="K67" s="56"/>
      <c r="L67" s="56"/>
      <c r="M67" s="56"/>
      <c r="N67" s="56"/>
      <c r="O67" s="56"/>
      <c r="P67" s="56"/>
      <c r="Q67" s="56"/>
      <c r="R67" s="56"/>
    </row>
    <row r="68" spans="1:18" ht="31.5" outlineLevel="2">
      <c r="A68" s="42" t="s">
        <v>180</v>
      </c>
      <c r="B68" s="27" t="s">
        <v>238</v>
      </c>
      <c r="C68" s="37"/>
      <c r="D68" s="37"/>
      <c r="E68" s="37"/>
      <c r="F68" s="56">
        <f t="shared" si="2"/>
        <v>1</v>
      </c>
      <c r="G68" s="56">
        <v>1</v>
      </c>
      <c r="H68" s="56"/>
      <c r="I68" s="56"/>
      <c r="J68" s="56"/>
      <c r="K68" s="56"/>
      <c r="L68" s="56"/>
      <c r="M68" s="56"/>
      <c r="N68" s="56"/>
      <c r="O68" s="56"/>
      <c r="P68" s="56"/>
      <c r="Q68" s="56"/>
      <c r="R68" s="56"/>
    </row>
    <row r="69" spans="1:18" ht="31.5" outlineLevel="2">
      <c r="A69" s="42" t="s">
        <v>180</v>
      </c>
      <c r="B69" s="27" t="s">
        <v>239</v>
      </c>
      <c r="C69" s="37"/>
      <c r="D69" s="37"/>
      <c r="E69" s="37"/>
      <c r="F69" s="56">
        <f t="shared" si="2"/>
        <v>1.5</v>
      </c>
      <c r="G69" s="56">
        <v>1.5</v>
      </c>
      <c r="H69" s="56"/>
      <c r="I69" s="56"/>
      <c r="J69" s="56"/>
      <c r="K69" s="56"/>
      <c r="L69" s="56"/>
      <c r="M69" s="56"/>
      <c r="N69" s="56"/>
      <c r="O69" s="56"/>
      <c r="P69" s="56"/>
      <c r="Q69" s="56"/>
      <c r="R69" s="56"/>
    </row>
    <row r="70" spans="1:18" outlineLevel="2">
      <c r="A70" s="42" t="s">
        <v>180</v>
      </c>
      <c r="B70" s="27" t="s">
        <v>240</v>
      </c>
      <c r="C70" s="37"/>
      <c r="D70" s="37"/>
      <c r="E70" s="37"/>
      <c r="F70" s="56">
        <f t="shared" si="2"/>
        <v>0.5</v>
      </c>
      <c r="G70" s="56">
        <v>0.5</v>
      </c>
      <c r="H70" s="56"/>
      <c r="I70" s="56"/>
      <c r="J70" s="56"/>
      <c r="K70" s="56"/>
      <c r="L70" s="56"/>
      <c r="M70" s="56"/>
      <c r="N70" s="56"/>
      <c r="O70" s="56"/>
      <c r="P70" s="56"/>
      <c r="Q70" s="56"/>
      <c r="R70" s="56"/>
    </row>
    <row r="71" spans="1:18" outlineLevel="2">
      <c r="A71" s="42" t="s">
        <v>180</v>
      </c>
      <c r="B71" s="27" t="s">
        <v>241</v>
      </c>
      <c r="C71" s="37"/>
      <c r="D71" s="37"/>
      <c r="E71" s="37"/>
      <c r="F71" s="56">
        <f t="shared" si="2"/>
        <v>2</v>
      </c>
      <c r="G71" s="56"/>
      <c r="H71" s="56"/>
      <c r="I71" s="56"/>
      <c r="J71" s="56"/>
      <c r="K71" s="56">
        <v>2</v>
      </c>
      <c r="L71" s="56"/>
      <c r="M71" s="56"/>
      <c r="N71" s="56"/>
      <c r="O71" s="56"/>
      <c r="P71" s="56"/>
      <c r="Q71" s="56"/>
      <c r="R71" s="56"/>
    </row>
    <row r="72" spans="1:18" s="52" customFormat="1" ht="31.5" outlineLevel="2">
      <c r="A72" s="48" t="s">
        <v>120</v>
      </c>
      <c r="B72" s="53" t="s">
        <v>242</v>
      </c>
      <c r="C72" s="50">
        <f>E72-D72+1</f>
        <v>365</v>
      </c>
      <c r="D72" s="51">
        <v>44562</v>
      </c>
      <c r="E72" s="51">
        <v>44926</v>
      </c>
      <c r="F72" s="56">
        <f t="shared" si="2"/>
        <v>0</v>
      </c>
      <c r="G72" s="56"/>
      <c r="H72" s="56"/>
      <c r="I72" s="56"/>
      <c r="J72" s="56"/>
      <c r="K72" s="56"/>
      <c r="L72" s="56"/>
      <c r="M72" s="56"/>
      <c r="N72" s="56"/>
      <c r="O72" s="56"/>
      <c r="P72" s="56"/>
      <c r="Q72" s="56"/>
      <c r="R72" s="56"/>
    </row>
    <row r="73" spans="1:18" ht="47.25" outlineLevel="1">
      <c r="A73" s="45" t="s">
        <v>243</v>
      </c>
      <c r="B73" s="46" t="s">
        <v>244</v>
      </c>
      <c r="C73" s="45"/>
      <c r="D73" s="45"/>
      <c r="E73" s="47"/>
      <c r="F73" s="54">
        <f t="shared" si="2"/>
        <v>27</v>
      </c>
      <c r="G73" s="54">
        <f>SUM(G74:G78)</f>
        <v>0.45</v>
      </c>
      <c r="H73" s="54">
        <f t="shared" ref="H73:R73" si="5">SUM(H74:H78)</f>
        <v>0</v>
      </c>
      <c r="I73" s="54">
        <f t="shared" si="5"/>
        <v>0</v>
      </c>
      <c r="J73" s="54">
        <f t="shared" si="5"/>
        <v>0</v>
      </c>
      <c r="K73" s="54">
        <f t="shared" si="5"/>
        <v>0.5</v>
      </c>
      <c r="L73" s="54">
        <f t="shared" si="5"/>
        <v>0</v>
      </c>
      <c r="M73" s="54">
        <f t="shared" si="5"/>
        <v>0</v>
      </c>
      <c r="N73" s="54">
        <f t="shared" si="5"/>
        <v>20</v>
      </c>
      <c r="O73" s="54">
        <f t="shared" si="5"/>
        <v>0</v>
      </c>
      <c r="P73" s="54">
        <f t="shared" si="5"/>
        <v>0</v>
      </c>
      <c r="Q73" s="54">
        <f t="shared" si="5"/>
        <v>0</v>
      </c>
      <c r="R73" s="54">
        <f t="shared" si="5"/>
        <v>6.05</v>
      </c>
    </row>
    <row r="74" spans="1:18" ht="31.5" outlineLevel="1">
      <c r="A74" s="42" t="s">
        <v>120</v>
      </c>
      <c r="B74" s="27" t="s">
        <v>245</v>
      </c>
      <c r="C74" s="37"/>
      <c r="D74" s="37"/>
      <c r="E74" s="37"/>
      <c r="F74" s="56">
        <f t="shared" si="2"/>
        <v>0</v>
      </c>
      <c r="G74" s="56"/>
      <c r="H74" s="56"/>
      <c r="I74" s="56"/>
      <c r="J74" s="56"/>
      <c r="K74" s="56"/>
      <c r="L74" s="56"/>
      <c r="M74" s="56"/>
      <c r="N74" s="56"/>
      <c r="O74" s="56"/>
      <c r="P74" s="56"/>
      <c r="Q74" s="56"/>
      <c r="R74" s="56"/>
    </row>
    <row r="75" spans="1:18" ht="31.5" outlineLevel="1">
      <c r="A75" s="42" t="s">
        <v>120</v>
      </c>
      <c r="B75" s="27" t="s">
        <v>246</v>
      </c>
      <c r="C75" s="37"/>
      <c r="D75" s="37"/>
      <c r="E75" s="37"/>
      <c r="F75" s="56">
        <f t="shared" si="2"/>
        <v>20</v>
      </c>
      <c r="G75" s="56"/>
      <c r="H75" s="56"/>
      <c r="I75" s="56"/>
      <c r="J75" s="56"/>
      <c r="K75" s="56"/>
      <c r="L75" s="56"/>
      <c r="M75" s="56"/>
      <c r="N75" s="56">
        <v>20</v>
      </c>
      <c r="O75" s="56"/>
      <c r="P75" s="56"/>
      <c r="Q75" s="56"/>
      <c r="R75" s="56"/>
    </row>
    <row r="76" spans="1:18" ht="31.5" outlineLevel="1">
      <c r="A76" s="42" t="s">
        <v>120</v>
      </c>
      <c r="B76" s="27" t="s">
        <v>247</v>
      </c>
      <c r="C76" s="37"/>
      <c r="D76" s="37"/>
      <c r="E76" s="37"/>
      <c r="F76" s="56">
        <f t="shared" si="2"/>
        <v>7</v>
      </c>
      <c r="G76" s="56">
        <v>0.45</v>
      </c>
      <c r="H76" s="56"/>
      <c r="I76" s="56"/>
      <c r="J76" s="56"/>
      <c r="K76" s="56">
        <v>0.5</v>
      </c>
      <c r="L76" s="56"/>
      <c r="M76" s="56"/>
      <c r="N76" s="56"/>
      <c r="O76" s="56"/>
      <c r="P76" s="56"/>
      <c r="Q76" s="56"/>
      <c r="R76" s="56">
        <v>6.05</v>
      </c>
    </row>
    <row r="77" spans="1:18" ht="31.5" outlineLevel="1">
      <c r="A77" s="42" t="s">
        <v>120</v>
      </c>
      <c r="B77" s="27" t="s">
        <v>248</v>
      </c>
      <c r="C77" s="37"/>
      <c r="D77" s="37"/>
      <c r="E77" s="37"/>
      <c r="F77" s="56">
        <f t="shared" si="2"/>
        <v>0</v>
      </c>
      <c r="G77" s="56"/>
      <c r="H77" s="56"/>
      <c r="I77" s="56"/>
      <c r="J77" s="56"/>
      <c r="K77" s="56"/>
      <c r="L77" s="56"/>
      <c r="M77" s="56"/>
      <c r="N77" s="56"/>
      <c r="O77" s="56"/>
      <c r="P77" s="56"/>
      <c r="Q77" s="56"/>
      <c r="R77" s="56"/>
    </row>
    <row r="78" spans="1:18" ht="31.5" outlineLevel="1">
      <c r="A78" s="42" t="s">
        <v>120</v>
      </c>
      <c r="B78" s="27" t="s">
        <v>249</v>
      </c>
      <c r="C78" s="37"/>
      <c r="D78" s="37"/>
      <c r="E78" s="37"/>
      <c r="F78" s="56">
        <f t="shared" si="2"/>
        <v>0</v>
      </c>
      <c r="G78" s="56"/>
      <c r="H78" s="56"/>
      <c r="I78" s="56"/>
      <c r="J78" s="56"/>
      <c r="K78" s="56"/>
      <c r="L78" s="56"/>
      <c r="M78" s="56"/>
      <c r="N78" s="56"/>
      <c r="O78" s="56"/>
      <c r="P78" s="56"/>
      <c r="Q78" s="56"/>
      <c r="R78" s="56"/>
    </row>
    <row r="79" spans="1:18" ht="31.5">
      <c r="A79" s="39">
        <v>2</v>
      </c>
      <c r="B79" s="40" t="s">
        <v>250</v>
      </c>
      <c r="C79" s="39">
        <f>E79-D79+1</f>
        <v>365</v>
      </c>
      <c r="D79" s="41">
        <v>44562</v>
      </c>
      <c r="E79" s="41">
        <v>44926</v>
      </c>
      <c r="F79" s="58">
        <f t="shared" si="2"/>
        <v>33.049504452259988</v>
      </c>
      <c r="G79" s="58">
        <f>33049504452.26/10^9/12</f>
        <v>2.7541253710216664</v>
      </c>
      <c r="H79" s="58">
        <f t="shared" ref="H79:R79" si="6">33049504452.26/10^9/12</f>
        <v>2.7541253710216664</v>
      </c>
      <c r="I79" s="58">
        <f t="shared" si="6"/>
        <v>2.7541253710216664</v>
      </c>
      <c r="J79" s="58">
        <f t="shared" si="6"/>
        <v>2.7541253710216664</v>
      </c>
      <c r="K79" s="58">
        <f t="shared" si="6"/>
        <v>2.7541253710216664</v>
      </c>
      <c r="L79" s="58">
        <f t="shared" si="6"/>
        <v>2.7541253710216664</v>
      </c>
      <c r="M79" s="58">
        <f t="shared" si="6"/>
        <v>2.7541253710216664</v>
      </c>
      <c r="N79" s="58">
        <f t="shared" si="6"/>
        <v>2.7541253710216664</v>
      </c>
      <c r="O79" s="58">
        <f t="shared" si="6"/>
        <v>2.7541253710216664</v>
      </c>
      <c r="P79" s="58">
        <f t="shared" si="6"/>
        <v>2.7541253710216664</v>
      </c>
      <c r="Q79" s="58">
        <f t="shared" si="6"/>
        <v>2.7541253710216664</v>
      </c>
      <c r="R79" s="58">
        <f t="shared" si="6"/>
        <v>2.7541253710216664</v>
      </c>
    </row>
    <row r="80" spans="1:18" outlineLevel="1">
      <c r="A80" s="45" t="s">
        <v>251</v>
      </c>
      <c r="B80" s="46" t="s">
        <v>252</v>
      </c>
      <c r="C80" s="45"/>
      <c r="D80" s="45"/>
      <c r="E80" s="47"/>
      <c r="F80" s="54">
        <f t="shared" si="2"/>
        <v>0</v>
      </c>
      <c r="G80" s="54"/>
      <c r="H80" s="54"/>
      <c r="I80" s="54"/>
      <c r="J80" s="54"/>
      <c r="K80" s="54"/>
      <c r="L80" s="54"/>
      <c r="M80" s="54"/>
      <c r="N80" s="54"/>
      <c r="O80" s="54"/>
      <c r="P80" s="54"/>
      <c r="Q80" s="54"/>
      <c r="R80" s="54"/>
    </row>
    <row r="81" spans="1:18" outlineLevel="1">
      <c r="A81" s="45" t="s">
        <v>253</v>
      </c>
      <c r="B81" s="46" t="s">
        <v>108</v>
      </c>
      <c r="C81" s="45"/>
      <c r="D81" s="45"/>
      <c r="E81" s="47"/>
      <c r="F81" s="54">
        <f t="shared" si="2"/>
        <v>0</v>
      </c>
      <c r="G81" s="54"/>
      <c r="H81" s="54"/>
      <c r="I81" s="54"/>
      <c r="J81" s="54"/>
      <c r="K81" s="54"/>
      <c r="L81" s="54"/>
      <c r="M81" s="54"/>
      <c r="N81" s="54"/>
      <c r="O81" s="54"/>
      <c r="P81" s="54"/>
      <c r="Q81" s="54"/>
      <c r="R81" s="54"/>
    </row>
    <row r="82" spans="1:18" outlineLevel="1">
      <c r="A82" s="45" t="s">
        <v>254</v>
      </c>
      <c r="B82" s="46" t="s">
        <v>112</v>
      </c>
      <c r="C82" s="45"/>
      <c r="D82" s="45"/>
      <c r="E82" s="47"/>
      <c r="F82" s="54">
        <f t="shared" si="2"/>
        <v>0</v>
      </c>
      <c r="G82" s="54"/>
      <c r="H82" s="54"/>
      <c r="I82" s="54"/>
      <c r="J82" s="54"/>
      <c r="K82" s="54"/>
      <c r="L82" s="54"/>
      <c r="M82" s="54"/>
      <c r="N82" s="54"/>
      <c r="O82" s="54"/>
      <c r="P82" s="54"/>
      <c r="Q82" s="54"/>
      <c r="R82" s="54"/>
    </row>
    <row r="83" spans="1:18" outlineLevel="1">
      <c r="A83" s="45" t="s">
        <v>255</v>
      </c>
      <c r="B83" s="46" t="s">
        <v>115</v>
      </c>
      <c r="C83" s="45"/>
      <c r="D83" s="45"/>
      <c r="E83" s="47"/>
      <c r="F83" s="54">
        <f t="shared" si="2"/>
        <v>0</v>
      </c>
      <c r="G83" s="54"/>
      <c r="H83" s="54"/>
      <c r="I83" s="54"/>
      <c r="J83" s="54"/>
      <c r="K83" s="54"/>
      <c r="L83" s="54"/>
      <c r="M83" s="54"/>
      <c r="N83" s="54"/>
      <c r="O83" s="54"/>
      <c r="P83" s="54"/>
      <c r="Q83" s="54"/>
      <c r="R83" s="54"/>
    </row>
    <row r="84" spans="1:18">
      <c r="A84" s="39">
        <v>3</v>
      </c>
      <c r="B84" s="40" t="s">
        <v>256</v>
      </c>
      <c r="C84" s="39">
        <f>E84-D84+1</f>
        <v>365</v>
      </c>
      <c r="D84" s="41">
        <v>44562</v>
      </c>
      <c r="E84" s="41">
        <v>44926</v>
      </c>
      <c r="F84" s="58">
        <f t="shared" si="2"/>
        <v>4.4999999999999982</v>
      </c>
      <c r="G84" s="58">
        <f>G85+G102</f>
        <v>0</v>
      </c>
      <c r="H84" s="58">
        <f t="shared" ref="H84:R84" si="7">H85+H102</f>
        <v>0</v>
      </c>
      <c r="I84" s="58">
        <f t="shared" si="7"/>
        <v>3.56</v>
      </c>
      <c r="J84" s="58">
        <f t="shared" si="7"/>
        <v>0.7</v>
      </c>
      <c r="K84" s="58">
        <f t="shared" si="7"/>
        <v>0</v>
      </c>
      <c r="L84" s="58">
        <f t="shared" si="7"/>
        <v>6.0000000000000005E-2</v>
      </c>
      <c r="M84" s="58">
        <f t="shared" si="7"/>
        <v>0</v>
      </c>
      <c r="N84" s="58">
        <f t="shared" si="7"/>
        <v>0</v>
      </c>
      <c r="O84" s="58">
        <f t="shared" si="7"/>
        <v>6.0000000000000005E-2</v>
      </c>
      <c r="P84" s="58">
        <f t="shared" si="7"/>
        <v>0</v>
      </c>
      <c r="Q84" s="58">
        <f t="shared" si="7"/>
        <v>0.06</v>
      </c>
      <c r="R84" s="58">
        <f t="shared" si="7"/>
        <v>6.0000000000000005E-2</v>
      </c>
    </row>
    <row r="85" spans="1:18" ht="31.5" outlineLevel="1">
      <c r="A85" s="45" t="s">
        <v>257</v>
      </c>
      <c r="B85" s="46" t="s">
        <v>119</v>
      </c>
      <c r="C85" s="45"/>
      <c r="D85" s="45"/>
      <c r="E85" s="47"/>
      <c r="F85" s="54">
        <f t="shared" si="2"/>
        <v>4.4999999999999982</v>
      </c>
      <c r="G85" s="54">
        <f>SUM(G86:G101)</f>
        <v>0</v>
      </c>
      <c r="H85" s="54">
        <f t="shared" ref="H85:R85" si="8">SUM(H86:H101)</f>
        <v>0</v>
      </c>
      <c r="I85" s="54">
        <f>SUM(I86:I116)</f>
        <v>3.56</v>
      </c>
      <c r="J85" s="54">
        <f t="shared" si="8"/>
        <v>0.7</v>
      </c>
      <c r="K85" s="54">
        <f t="shared" si="8"/>
        <v>0</v>
      </c>
      <c r="L85" s="54">
        <f t="shared" si="8"/>
        <v>6.0000000000000005E-2</v>
      </c>
      <c r="M85" s="54">
        <f t="shared" si="8"/>
        <v>0</v>
      </c>
      <c r="N85" s="54">
        <f t="shared" si="8"/>
        <v>0</v>
      </c>
      <c r="O85" s="54">
        <f t="shared" si="8"/>
        <v>6.0000000000000005E-2</v>
      </c>
      <c r="P85" s="54">
        <f t="shared" si="8"/>
        <v>0</v>
      </c>
      <c r="Q85" s="54">
        <f t="shared" si="8"/>
        <v>0.06</v>
      </c>
      <c r="R85" s="54">
        <f t="shared" si="8"/>
        <v>6.0000000000000005E-2</v>
      </c>
    </row>
    <row r="86" spans="1:18" s="52" customFormat="1" outlineLevel="2">
      <c r="A86" s="48" t="s">
        <v>120</v>
      </c>
      <c r="B86" s="53" t="s">
        <v>258</v>
      </c>
      <c r="C86" s="50"/>
      <c r="D86" s="51"/>
      <c r="E86" s="51"/>
      <c r="F86" s="56">
        <f t="shared" si="2"/>
        <v>0</v>
      </c>
      <c r="G86" s="56"/>
      <c r="H86" s="56"/>
      <c r="I86" s="56"/>
      <c r="J86" s="56"/>
      <c r="K86" s="56"/>
      <c r="L86" s="56"/>
      <c r="M86" s="56"/>
      <c r="N86" s="56"/>
      <c r="O86" s="56"/>
      <c r="P86" s="56"/>
      <c r="Q86" s="56"/>
      <c r="R86" s="56"/>
    </row>
    <row r="87" spans="1:18" outlineLevel="2">
      <c r="A87" s="42" t="s">
        <v>180</v>
      </c>
      <c r="B87" s="30" t="s">
        <v>259</v>
      </c>
      <c r="C87" s="37"/>
      <c r="D87" s="37"/>
      <c r="E87" s="38"/>
      <c r="F87" s="56">
        <f t="shared" si="2"/>
        <v>0.7</v>
      </c>
      <c r="G87" s="56"/>
      <c r="H87" s="56"/>
      <c r="I87" s="56"/>
      <c r="J87" s="56">
        <v>0.7</v>
      </c>
      <c r="K87" s="56"/>
      <c r="L87" s="56"/>
      <c r="M87" s="56"/>
      <c r="N87" s="56"/>
      <c r="O87" s="56"/>
      <c r="P87" s="56"/>
      <c r="Q87" s="56"/>
      <c r="R87" s="56"/>
    </row>
    <row r="88" spans="1:18" ht="31.5" outlineLevel="2">
      <c r="A88" s="42" t="s">
        <v>180</v>
      </c>
      <c r="B88" s="29" t="s">
        <v>260</v>
      </c>
      <c r="C88" s="37"/>
      <c r="D88" s="37"/>
      <c r="E88" s="38"/>
      <c r="F88" s="56">
        <f t="shared" si="2"/>
        <v>0</v>
      </c>
      <c r="G88" s="56"/>
      <c r="H88" s="56"/>
      <c r="I88" s="56"/>
      <c r="J88" s="56"/>
      <c r="K88" s="56"/>
      <c r="L88" s="56"/>
      <c r="M88" s="56"/>
      <c r="N88" s="56"/>
      <c r="O88" s="56"/>
      <c r="P88" s="56"/>
      <c r="Q88" s="56"/>
      <c r="R88" s="56"/>
    </row>
    <row r="89" spans="1:18" s="52" customFormat="1" outlineLevel="2">
      <c r="A89" s="48" t="s">
        <v>120</v>
      </c>
      <c r="B89" s="53" t="s">
        <v>261</v>
      </c>
      <c r="C89" s="50"/>
      <c r="D89" s="51"/>
      <c r="E89" s="51"/>
      <c r="F89" s="56">
        <f t="shared" si="2"/>
        <v>0</v>
      </c>
      <c r="G89" s="56"/>
      <c r="H89" s="56"/>
      <c r="I89" s="56"/>
      <c r="J89" s="56"/>
      <c r="K89" s="56"/>
      <c r="L89" s="56"/>
      <c r="M89" s="56"/>
      <c r="N89" s="56"/>
      <c r="O89" s="56"/>
      <c r="P89" s="56"/>
      <c r="Q89" s="56"/>
      <c r="R89" s="56"/>
    </row>
    <row r="90" spans="1:18" outlineLevel="2">
      <c r="A90" s="42" t="s">
        <v>180</v>
      </c>
      <c r="B90" s="29" t="s">
        <v>262</v>
      </c>
      <c r="C90" s="37"/>
      <c r="D90" s="37"/>
      <c r="E90" s="38"/>
      <c r="F90" s="56">
        <f t="shared" si="2"/>
        <v>0</v>
      </c>
      <c r="G90" s="56"/>
      <c r="H90" s="56"/>
      <c r="I90" s="56"/>
      <c r="J90" s="56"/>
      <c r="K90" s="56"/>
      <c r="L90" s="56"/>
      <c r="M90" s="56"/>
      <c r="N90" s="56"/>
      <c r="O90" s="56"/>
      <c r="P90" s="56"/>
      <c r="Q90" s="56"/>
      <c r="R90" s="56"/>
    </row>
    <row r="91" spans="1:18" outlineLevel="2">
      <c r="A91" s="42" t="s">
        <v>180</v>
      </c>
      <c r="B91" s="29" t="s">
        <v>263</v>
      </c>
      <c r="C91" s="37"/>
      <c r="D91" s="37"/>
      <c r="E91" s="38"/>
      <c r="F91" s="56">
        <f t="shared" si="2"/>
        <v>9.5000000000000001E-2</v>
      </c>
      <c r="G91" s="56"/>
      <c r="H91" s="56"/>
      <c r="I91" s="56">
        <f>0.095/4</f>
        <v>2.375E-2</v>
      </c>
      <c r="J91" s="56"/>
      <c r="K91" s="56"/>
      <c r="L91" s="56">
        <f>0.095/4</f>
        <v>2.375E-2</v>
      </c>
      <c r="M91" s="56"/>
      <c r="N91" s="56"/>
      <c r="O91" s="56">
        <f>0.095/4</f>
        <v>2.375E-2</v>
      </c>
      <c r="P91" s="56"/>
      <c r="Q91" s="56"/>
      <c r="R91" s="56">
        <f>0.095/4</f>
        <v>2.375E-2</v>
      </c>
    </row>
    <row r="92" spans="1:18" outlineLevel="2">
      <c r="A92" s="42" t="s">
        <v>180</v>
      </c>
      <c r="B92" s="29" t="s">
        <v>264</v>
      </c>
      <c r="C92" s="37"/>
      <c r="D92" s="37"/>
      <c r="E92" s="38"/>
      <c r="F92" s="56">
        <f t="shared" si="2"/>
        <v>0</v>
      </c>
      <c r="G92" s="56"/>
      <c r="H92" s="56"/>
      <c r="I92" s="56"/>
      <c r="J92" s="56"/>
      <c r="K92" s="56"/>
      <c r="L92" s="56"/>
      <c r="M92" s="56"/>
      <c r="N92" s="56"/>
      <c r="O92" s="56"/>
      <c r="P92" s="56"/>
      <c r="Q92" s="56"/>
      <c r="R92" s="56"/>
    </row>
    <row r="93" spans="1:18" outlineLevel="2">
      <c r="A93" s="42" t="s">
        <v>180</v>
      </c>
      <c r="B93" s="29" t="s">
        <v>265</v>
      </c>
      <c r="C93" s="37"/>
      <c r="D93" s="37"/>
      <c r="E93" s="38"/>
      <c r="F93" s="56">
        <f t="shared" ref="F93:F116" si="9">SUM(G93:R93)</f>
        <v>0</v>
      </c>
      <c r="G93" s="56"/>
      <c r="H93" s="56"/>
      <c r="I93" s="56"/>
      <c r="J93" s="56"/>
      <c r="K93" s="56"/>
      <c r="L93" s="56"/>
      <c r="M93" s="56"/>
      <c r="N93" s="56"/>
      <c r="O93" s="56"/>
      <c r="P93" s="56"/>
      <c r="Q93" s="56"/>
      <c r="R93" s="56"/>
    </row>
    <row r="94" spans="1:18" outlineLevel="2">
      <c r="A94" s="42" t="s">
        <v>180</v>
      </c>
      <c r="B94" s="29" t="s">
        <v>266</v>
      </c>
      <c r="C94" s="37"/>
      <c r="D94" s="37"/>
      <c r="E94" s="38"/>
      <c r="F94" s="56">
        <f t="shared" si="9"/>
        <v>0.06</v>
      </c>
      <c r="G94" s="56"/>
      <c r="H94" s="56"/>
      <c r="I94" s="56"/>
      <c r="J94" s="56"/>
      <c r="K94" s="56"/>
      <c r="L94" s="56"/>
      <c r="M94" s="56"/>
      <c r="N94" s="56"/>
      <c r="O94" s="56"/>
      <c r="P94" s="56"/>
      <c r="Q94" s="56">
        <v>0.06</v>
      </c>
      <c r="R94" s="56"/>
    </row>
    <row r="95" spans="1:18" s="52" customFormat="1" outlineLevel="2">
      <c r="A95" s="48" t="s">
        <v>120</v>
      </c>
      <c r="B95" s="53" t="s">
        <v>125</v>
      </c>
      <c r="C95" s="50"/>
      <c r="D95" s="51"/>
      <c r="E95" s="51"/>
      <c r="F95" s="56">
        <f t="shared" si="9"/>
        <v>0</v>
      </c>
      <c r="G95" s="56"/>
      <c r="H95" s="56"/>
      <c r="I95" s="56"/>
      <c r="J95" s="56"/>
      <c r="K95" s="56"/>
      <c r="L95" s="56"/>
      <c r="M95" s="56"/>
      <c r="N95" s="56"/>
      <c r="O95" s="56"/>
      <c r="P95" s="56"/>
      <c r="Q95" s="56"/>
      <c r="R95" s="56"/>
    </row>
    <row r="96" spans="1:18" outlineLevel="2">
      <c r="A96" s="42" t="s">
        <v>180</v>
      </c>
      <c r="B96" s="30" t="s">
        <v>267</v>
      </c>
      <c r="C96" s="37"/>
      <c r="D96" s="37"/>
      <c r="E96" s="38"/>
      <c r="F96" s="56">
        <f t="shared" si="9"/>
        <v>0</v>
      </c>
      <c r="G96" s="56"/>
      <c r="H96" s="56"/>
      <c r="I96" s="56"/>
      <c r="J96" s="56"/>
      <c r="K96" s="56"/>
      <c r="L96" s="56"/>
      <c r="M96" s="56"/>
      <c r="N96" s="56"/>
      <c r="O96" s="56"/>
      <c r="P96" s="56"/>
      <c r="Q96" s="56"/>
      <c r="R96" s="56"/>
    </row>
    <row r="97" spans="1:18" outlineLevel="2">
      <c r="A97" s="42" t="s">
        <v>180</v>
      </c>
      <c r="B97" s="29" t="s">
        <v>268</v>
      </c>
      <c r="C97" s="37"/>
      <c r="D97" s="37"/>
      <c r="E97" s="38"/>
      <c r="F97" s="56">
        <f t="shared" si="9"/>
        <v>0</v>
      </c>
      <c r="G97" s="56"/>
      <c r="H97" s="56"/>
      <c r="I97" s="56"/>
      <c r="J97" s="56"/>
      <c r="K97" s="56"/>
      <c r="L97" s="56"/>
      <c r="M97" s="56"/>
      <c r="N97" s="56"/>
      <c r="O97" s="56"/>
      <c r="P97" s="56"/>
      <c r="Q97" s="56"/>
      <c r="R97" s="56"/>
    </row>
    <row r="98" spans="1:18" s="52" customFormat="1" outlineLevel="2">
      <c r="A98" s="48" t="s">
        <v>120</v>
      </c>
      <c r="B98" s="53" t="s">
        <v>269</v>
      </c>
      <c r="C98" s="50"/>
      <c r="D98" s="51"/>
      <c r="E98" s="51"/>
      <c r="F98" s="56">
        <f t="shared" si="9"/>
        <v>0</v>
      </c>
      <c r="G98" s="56"/>
      <c r="H98" s="56"/>
      <c r="I98" s="56"/>
      <c r="J98" s="56"/>
      <c r="K98" s="56"/>
      <c r="L98" s="56"/>
      <c r="M98" s="56"/>
      <c r="N98" s="56"/>
      <c r="O98" s="56"/>
      <c r="P98" s="56"/>
      <c r="Q98" s="56"/>
      <c r="R98" s="56"/>
    </row>
    <row r="99" spans="1:18" outlineLevel="2">
      <c r="A99" s="42" t="s">
        <v>180</v>
      </c>
      <c r="B99" s="31" t="s">
        <v>270</v>
      </c>
      <c r="C99" s="37"/>
      <c r="D99" s="37"/>
      <c r="E99" s="38"/>
      <c r="F99" s="56">
        <f t="shared" si="9"/>
        <v>3</v>
      </c>
      <c r="G99" s="56"/>
      <c r="H99" s="56"/>
      <c r="I99" s="56">
        <v>3</v>
      </c>
      <c r="J99" s="56"/>
      <c r="K99" s="56"/>
      <c r="L99" s="56"/>
      <c r="M99" s="56"/>
      <c r="N99" s="56"/>
      <c r="O99" s="56"/>
      <c r="P99" s="56"/>
      <c r="Q99" s="56"/>
      <c r="R99" s="56"/>
    </row>
    <row r="100" spans="1:18" outlineLevel="2">
      <c r="A100" s="42" t="s">
        <v>180</v>
      </c>
      <c r="B100" s="29" t="s">
        <v>271</v>
      </c>
      <c r="C100" s="37"/>
      <c r="D100" s="37"/>
      <c r="E100" s="38"/>
      <c r="F100" s="56">
        <f t="shared" si="9"/>
        <v>4.4999999999999998E-2</v>
      </c>
      <c r="G100" s="56"/>
      <c r="H100" s="56"/>
      <c r="I100" s="56">
        <f>0.045/4</f>
        <v>1.125E-2</v>
      </c>
      <c r="J100" s="56"/>
      <c r="K100" s="56"/>
      <c r="L100" s="56">
        <f>0.045/4</f>
        <v>1.125E-2</v>
      </c>
      <c r="M100" s="56"/>
      <c r="N100" s="56"/>
      <c r="O100" s="56">
        <f>0.045/4</f>
        <v>1.125E-2</v>
      </c>
      <c r="P100" s="56"/>
      <c r="Q100" s="56"/>
      <c r="R100" s="56">
        <f>0.045/4</f>
        <v>1.125E-2</v>
      </c>
    </row>
    <row r="101" spans="1:18" outlineLevel="2">
      <c r="A101" s="42" t="s">
        <v>180</v>
      </c>
      <c r="B101" s="29" t="s">
        <v>272</v>
      </c>
      <c r="C101" s="37"/>
      <c r="D101" s="37"/>
      <c r="E101" s="38"/>
      <c r="F101" s="56">
        <f t="shared" si="9"/>
        <v>0.1</v>
      </c>
      <c r="G101" s="56"/>
      <c r="H101" s="56"/>
      <c r="I101" s="56">
        <f>0.1/4</f>
        <v>2.5000000000000001E-2</v>
      </c>
      <c r="J101" s="56"/>
      <c r="K101" s="56"/>
      <c r="L101" s="56">
        <f>0.1/4</f>
        <v>2.5000000000000001E-2</v>
      </c>
      <c r="M101" s="56"/>
      <c r="N101" s="56"/>
      <c r="O101" s="56">
        <f>0.1/4</f>
        <v>2.5000000000000001E-2</v>
      </c>
      <c r="P101" s="56"/>
      <c r="Q101" s="56"/>
      <c r="R101" s="56">
        <f>0.1/4</f>
        <v>2.5000000000000001E-2</v>
      </c>
    </row>
    <row r="102" spans="1:18" outlineLevel="1">
      <c r="A102" s="45" t="s">
        <v>134</v>
      </c>
      <c r="B102" s="46" t="s">
        <v>135</v>
      </c>
      <c r="C102" s="45"/>
      <c r="D102" s="45"/>
      <c r="E102" s="47"/>
      <c r="F102" s="56">
        <f t="shared" si="9"/>
        <v>0</v>
      </c>
      <c r="G102" s="54"/>
      <c r="H102" s="54"/>
      <c r="I102" s="54"/>
      <c r="J102" s="54"/>
      <c r="K102" s="54"/>
      <c r="L102" s="54"/>
      <c r="M102" s="54"/>
      <c r="N102" s="54"/>
      <c r="O102" s="54"/>
      <c r="P102" s="54"/>
      <c r="Q102" s="54"/>
      <c r="R102" s="54"/>
    </row>
    <row r="103" spans="1:18" outlineLevel="1">
      <c r="A103" s="42" t="s">
        <v>120</v>
      </c>
      <c r="B103" s="64" t="s">
        <v>136</v>
      </c>
      <c r="C103" s="37"/>
      <c r="D103" s="45"/>
      <c r="E103" s="47"/>
      <c r="F103" s="56">
        <f t="shared" si="9"/>
        <v>0</v>
      </c>
      <c r="G103" s="54"/>
      <c r="H103" s="54"/>
      <c r="I103" s="54"/>
      <c r="J103" s="56"/>
      <c r="K103" s="56"/>
      <c r="L103" s="56"/>
      <c r="M103" s="56"/>
      <c r="N103" s="56"/>
      <c r="O103" s="56"/>
      <c r="P103" s="56"/>
      <c r="Q103" s="56"/>
      <c r="R103" s="56"/>
    </row>
    <row r="104" spans="1:18" outlineLevel="1">
      <c r="A104" s="42" t="s">
        <v>180</v>
      </c>
      <c r="B104" s="29" t="s">
        <v>273</v>
      </c>
      <c r="C104" s="37"/>
      <c r="D104" s="37"/>
      <c r="E104" s="38"/>
      <c r="F104" s="56">
        <f t="shared" si="9"/>
        <v>0</v>
      </c>
      <c r="G104" s="56"/>
      <c r="H104" s="56"/>
      <c r="I104" s="56"/>
      <c r="J104" s="56"/>
      <c r="K104" s="56"/>
      <c r="L104" s="56"/>
      <c r="M104" s="56"/>
      <c r="N104" s="56"/>
      <c r="O104" s="56"/>
      <c r="P104" s="56"/>
      <c r="Q104" s="56"/>
      <c r="R104" s="56"/>
    </row>
    <row r="105" spans="1:18" outlineLevel="1">
      <c r="A105" s="42" t="s">
        <v>180</v>
      </c>
      <c r="B105" s="29" t="s">
        <v>274</v>
      </c>
      <c r="C105" s="37"/>
      <c r="D105" s="37"/>
      <c r="E105" s="38"/>
      <c r="F105" s="56">
        <f t="shared" si="9"/>
        <v>0</v>
      </c>
      <c r="G105" s="56"/>
      <c r="H105" s="56"/>
      <c r="I105" s="56"/>
      <c r="J105" s="56"/>
      <c r="K105" s="56"/>
      <c r="L105" s="56"/>
      <c r="M105" s="56"/>
      <c r="N105" s="56"/>
      <c r="O105" s="56"/>
      <c r="P105" s="56"/>
      <c r="Q105" s="56"/>
      <c r="R105" s="56"/>
    </row>
    <row r="106" spans="1:18" outlineLevel="1">
      <c r="A106" s="42" t="s">
        <v>180</v>
      </c>
      <c r="B106" s="29" t="s">
        <v>275</v>
      </c>
      <c r="C106" s="37"/>
      <c r="D106" s="37"/>
      <c r="E106" s="38"/>
      <c r="F106" s="56">
        <f t="shared" si="9"/>
        <v>0</v>
      </c>
      <c r="G106" s="56"/>
      <c r="H106" s="56"/>
      <c r="I106" s="56"/>
      <c r="J106" s="56"/>
      <c r="K106" s="56"/>
      <c r="L106" s="56"/>
      <c r="M106" s="56"/>
      <c r="N106" s="56"/>
      <c r="O106" s="56"/>
      <c r="P106" s="56"/>
      <c r="Q106" s="56"/>
      <c r="R106" s="56"/>
    </row>
    <row r="107" spans="1:18" outlineLevel="1">
      <c r="A107" s="42" t="s">
        <v>180</v>
      </c>
      <c r="B107" s="29" t="s">
        <v>276</v>
      </c>
      <c r="C107" s="37"/>
      <c r="D107" s="37"/>
      <c r="E107" s="38"/>
      <c r="F107" s="56">
        <f t="shared" si="9"/>
        <v>0</v>
      </c>
      <c r="G107" s="56"/>
      <c r="H107" s="56"/>
      <c r="I107" s="56"/>
      <c r="J107" s="56"/>
      <c r="K107" s="56"/>
      <c r="L107" s="56"/>
      <c r="M107" s="56"/>
      <c r="N107" s="56"/>
      <c r="O107" s="56"/>
      <c r="P107" s="56"/>
      <c r="Q107" s="56"/>
      <c r="R107" s="56"/>
    </row>
    <row r="108" spans="1:18">
      <c r="A108" s="37" t="s">
        <v>180</v>
      </c>
      <c r="B108" s="29" t="s">
        <v>277</v>
      </c>
      <c r="C108" s="37"/>
      <c r="D108" s="37"/>
      <c r="E108" s="38"/>
      <c r="F108" s="56">
        <f t="shared" si="9"/>
        <v>0</v>
      </c>
      <c r="G108" s="56"/>
      <c r="H108" s="56"/>
      <c r="I108" s="56"/>
      <c r="J108" s="43"/>
      <c r="K108" s="43"/>
      <c r="L108" s="43"/>
      <c r="M108" s="43"/>
      <c r="N108" s="43"/>
      <c r="O108" s="43"/>
      <c r="P108" s="43"/>
      <c r="Q108" s="43"/>
      <c r="R108" s="43"/>
    </row>
    <row r="109" spans="1:18">
      <c r="A109" s="37" t="s">
        <v>120</v>
      </c>
      <c r="B109" s="65" t="s">
        <v>278</v>
      </c>
      <c r="C109" s="37"/>
      <c r="D109" s="37"/>
      <c r="E109" s="38"/>
      <c r="F109" s="56">
        <f t="shared" si="9"/>
        <v>0</v>
      </c>
      <c r="G109" s="56"/>
      <c r="H109" s="56"/>
      <c r="I109" s="56"/>
      <c r="J109" s="43"/>
      <c r="K109" s="43"/>
      <c r="L109" s="43"/>
      <c r="M109" s="43"/>
      <c r="N109" s="43"/>
      <c r="O109" s="43"/>
      <c r="P109" s="43"/>
      <c r="Q109" s="43"/>
      <c r="R109" s="43"/>
    </row>
    <row r="110" spans="1:18">
      <c r="A110" s="37" t="s">
        <v>180</v>
      </c>
      <c r="B110" s="29" t="s">
        <v>279</v>
      </c>
      <c r="C110" s="37"/>
      <c r="D110" s="38">
        <v>44562</v>
      </c>
      <c r="E110" s="38">
        <v>44576</v>
      </c>
      <c r="F110" s="56">
        <f t="shared" si="9"/>
        <v>0</v>
      </c>
      <c r="G110" s="43"/>
      <c r="H110" s="43"/>
      <c r="I110" s="43"/>
      <c r="J110" s="43"/>
      <c r="K110" s="43"/>
      <c r="L110" s="43"/>
      <c r="M110" s="43"/>
      <c r="N110" s="43"/>
      <c r="O110" s="43"/>
      <c r="P110" s="43"/>
      <c r="Q110" s="43"/>
      <c r="R110" s="43"/>
    </row>
    <row r="111" spans="1:18" ht="31.5">
      <c r="A111" s="37" t="s">
        <v>180</v>
      </c>
      <c r="B111" s="29" t="s">
        <v>280</v>
      </c>
      <c r="C111" s="37"/>
      <c r="D111" s="38">
        <v>44613</v>
      </c>
      <c r="E111" s="38">
        <v>44651</v>
      </c>
      <c r="F111" s="56">
        <f t="shared" si="9"/>
        <v>0.5</v>
      </c>
      <c r="G111" s="43"/>
      <c r="H111" s="43"/>
      <c r="I111" s="43">
        <v>0.5</v>
      </c>
      <c r="J111" s="43"/>
      <c r="K111" s="43"/>
      <c r="L111" s="43"/>
      <c r="M111" s="43"/>
      <c r="N111" s="43"/>
      <c r="O111" s="43"/>
      <c r="P111" s="43"/>
      <c r="Q111" s="43"/>
      <c r="R111" s="43"/>
    </row>
    <row r="112" spans="1:18">
      <c r="A112" s="37" t="s">
        <v>180</v>
      </c>
      <c r="B112" s="29" t="s">
        <v>281</v>
      </c>
      <c r="C112" s="37"/>
      <c r="D112" s="38">
        <v>44562</v>
      </c>
      <c r="E112" s="38">
        <v>44592</v>
      </c>
      <c r="F112" s="56">
        <f t="shared" si="9"/>
        <v>0</v>
      </c>
      <c r="G112" s="43"/>
      <c r="H112" s="43"/>
      <c r="I112" s="43"/>
      <c r="J112" s="43"/>
      <c r="K112" s="43"/>
      <c r="L112" s="43"/>
      <c r="M112" s="43"/>
      <c r="N112" s="43"/>
      <c r="O112" s="43"/>
      <c r="P112" s="43"/>
      <c r="Q112" s="43"/>
      <c r="R112" s="43"/>
    </row>
    <row r="113" spans="1:18">
      <c r="A113" s="37" t="s">
        <v>180</v>
      </c>
      <c r="B113" s="29" t="s">
        <v>282</v>
      </c>
      <c r="C113" s="37"/>
      <c r="D113" s="38">
        <v>44577</v>
      </c>
      <c r="E113" s="38">
        <v>44926</v>
      </c>
      <c r="F113" s="56">
        <f t="shared" si="9"/>
        <v>0</v>
      </c>
      <c r="G113" s="43"/>
      <c r="H113" s="43"/>
      <c r="I113" s="43"/>
      <c r="J113" s="43"/>
      <c r="K113" s="43"/>
      <c r="L113" s="43"/>
      <c r="M113" s="43"/>
      <c r="N113" s="43"/>
      <c r="O113" s="43"/>
      <c r="P113" s="43"/>
      <c r="Q113" s="43"/>
      <c r="R113" s="43"/>
    </row>
    <row r="114" spans="1:18">
      <c r="A114" s="37" t="s">
        <v>180</v>
      </c>
      <c r="B114" s="29" t="s">
        <v>283</v>
      </c>
      <c r="C114" s="37"/>
      <c r="D114" s="38">
        <v>44653</v>
      </c>
      <c r="E114" s="38">
        <v>44926</v>
      </c>
      <c r="F114" s="56">
        <f t="shared" si="9"/>
        <v>0</v>
      </c>
      <c r="G114" s="43"/>
      <c r="H114" s="43"/>
      <c r="I114" s="43"/>
      <c r="J114" s="43"/>
      <c r="K114" s="43"/>
      <c r="L114" s="43"/>
      <c r="M114" s="43"/>
      <c r="N114" s="43"/>
      <c r="O114" s="43"/>
      <c r="P114" s="43"/>
      <c r="Q114" s="43"/>
      <c r="R114" s="43"/>
    </row>
    <row r="115" spans="1:18" ht="31.5">
      <c r="A115" s="37" t="s">
        <v>180</v>
      </c>
      <c r="B115" s="29" t="s">
        <v>284</v>
      </c>
      <c r="C115" s="37"/>
      <c r="D115" s="38">
        <v>44706</v>
      </c>
      <c r="E115" s="38">
        <v>44713</v>
      </c>
      <c r="F115" s="56">
        <f t="shared" si="9"/>
        <v>0</v>
      </c>
      <c r="G115" s="43"/>
      <c r="H115" s="43"/>
      <c r="I115" s="43"/>
      <c r="J115" s="43"/>
      <c r="K115" s="43"/>
      <c r="L115" s="43"/>
      <c r="M115" s="43"/>
      <c r="N115" s="43"/>
      <c r="O115" s="43"/>
      <c r="P115" s="43"/>
      <c r="Q115" s="43"/>
      <c r="R115" s="43"/>
    </row>
    <row r="116" spans="1:18" ht="31.5">
      <c r="A116" s="37" t="s">
        <v>180</v>
      </c>
      <c r="B116" s="29" t="s">
        <v>285</v>
      </c>
      <c r="C116" s="37"/>
      <c r="D116" s="38">
        <v>44896</v>
      </c>
      <c r="E116" s="38">
        <v>44910</v>
      </c>
      <c r="F116" s="56">
        <f t="shared" si="9"/>
        <v>0</v>
      </c>
      <c r="G116" s="43"/>
      <c r="H116" s="43"/>
      <c r="I116" s="43"/>
      <c r="J116" s="43"/>
      <c r="K116" s="43"/>
      <c r="L116" s="43"/>
      <c r="M116" s="43"/>
      <c r="N116" s="43"/>
      <c r="O116" s="43"/>
      <c r="P116" s="43"/>
      <c r="Q116" s="43"/>
      <c r="R116" s="43"/>
    </row>
    <row r="117" spans="1:18">
      <c r="A117" s="37"/>
      <c r="B117" s="29"/>
      <c r="C117" s="37"/>
      <c r="D117" s="37"/>
      <c r="E117" s="38"/>
      <c r="F117" s="44"/>
      <c r="G117" s="43"/>
      <c r="H117" s="43"/>
      <c r="I117" s="43"/>
      <c r="J117" s="43"/>
      <c r="K117" s="43"/>
      <c r="L117" s="43"/>
      <c r="M117" s="43"/>
      <c r="N117" s="43"/>
      <c r="O117" s="43"/>
      <c r="P117" s="43"/>
      <c r="Q117" s="43"/>
      <c r="R117" s="43"/>
    </row>
    <row r="118" spans="1:18">
      <c r="A118" s="37"/>
      <c r="B118" s="29"/>
      <c r="C118" s="37"/>
      <c r="D118" s="37"/>
      <c r="E118" s="38"/>
      <c r="F118" s="44"/>
      <c r="G118" s="43"/>
      <c r="H118" s="43"/>
      <c r="I118" s="43"/>
      <c r="J118" s="43"/>
      <c r="K118" s="43"/>
      <c r="L118" s="43"/>
      <c r="M118" s="43"/>
      <c r="N118" s="43"/>
      <c r="O118" s="43"/>
      <c r="P118" s="43"/>
      <c r="Q118" s="43"/>
      <c r="R118" s="43"/>
    </row>
    <row r="119" spans="1:18">
      <c r="A119" s="37"/>
      <c r="B119" s="29"/>
      <c r="C119" s="37"/>
      <c r="D119" s="37"/>
      <c r="E119" s="38"/>
      <c r="F119" s="44"/>
      <c r="G119" s="43"/>
      <c r="H119" s="43"/>
      <c r="I119" s="43"/>
      <c r="J119" s="43"/>
      <c r="K119" s="43"/>
      <c r="L119" s="43"/>
      <c r="M119" s="43"/>
      <c r="N119" s="43"/>
      <c r="O119" s="43"/>
      <c r="P119" s="43"/>
      <c r="Q119" s="43"/>
      <c r="R119" s="43"/>
    </row>
    <row r="120" spans="1:18">
      <c r="A120" s="37"/>
      <c r="B120" s="29"/>
      <c r="C120" s="37"/>
      <c r="D120" s="37"/>
      <c r="E120" s="38"/>
      <c r="F120" s="44"/>
      <c r="G120" s="43"/>
      <c r="H120" s="43"/>
      <c r="I120" s="43"/>
      <c r="J120" s="43"/>
      <c r="K120" s="43"/>
      <c r="L120" s="43"/>
      <c r="M120" s="43"/>
      <c r="N120" s="43"/>
      <c r="O120" s="43"/>
      <c r="P120" s="43"/>
      <c r="Q120" s="43"/>
      <c r="R120" s="43"/>
    </row>
    <row r="121" spans="1:18">
      <c r="A121" s="37"/>
      <c r="B121" s="29"/>
      <c r="C121" s="37"/>
      <c r="D121" s="37"/>
      <c r="E121" s="38"/>
      <c r="F121" s="57"/>
      <c r="G121" s="43"/>
      <c r="H121" s="43"/>
      <c r="I121" s="43"/>
      <c r="J121" s="43"/>
      <c r="K121" s="43"/>
      <c r="L121" s="43"/>
      <c r="M121" s="43"/>
      <c r="N121" s="43"/>
      <c r="O121" s="43"/>
      <c r="P121" s="43"/>
      <c r="Q121" s="43"/>
      <c r="R121" s="43"/>
    </row>
    <row r="122" spans="1:18">
      <c r="A122" s="37"/>
      <c r="B122" s="29"/>
      <c r="C122" s="37"/>
      <c r="D122" s="37"/>
      <c r="E122" s="38"/>
      <c r="F122" s="44"/>
      <c r="G122" s="43"/>
      <c r="H122" s="43"/>
      <c r="I122" s="43"/>
      <c r="J122" s="43"/>
      <c r="K122" s="43"/>
      <c r="L122" s="43"/>
      <c r="M122" s="43"/>
      <c r="N122" s="43"/>
      <c r="O122" s="43"/>
      <c r="P122" s="43"/>
      <c r="Q122" s="43"/>
      <c r="R122" s="43"/>
    </row>
    <row r="123" spans="1:18">
      <c r="A123" s="37"/>
      <c r="B123" s="29"/>
      <c r="C123" s="37"/>
      <c r="D123" s="37"/>
      <c r="E123" s="38"/>
      <c r="F123" s="44"/>
      <c r="G123" s="43"/>
      <c r="H123" s="43"/>
      <c r="I123" s="43"/>
      <c r="J123" s="43"/>
      <c r="K123" s="43"/>
      <c r="L123" s="43"/>
      <c r="M123" s="43"/>
      <c r="N123" s="43"/>
      <c r="O123" s="43"/>
      <c r="P123" s="43"/>
      <c r="Q123" s="43"/>
      <c r="R123" s="43"/>
    </row>
    <row r="124" spans="1:18">
      <c r="A124" s="37"/>
      <c r="B124" s="29"/>
      <c r="C124" s="37"/>
      <c r="D124" s="37"/>
      <c r="E124" s="38"/>
      <c r="F124" s="44"/>
      <c r="G124" s="43"/>
      <c r="H124" s="43"/>
      <c r="I124" s="43"/>
      <c r="J124" s="43"/>
      <c r="K124" s="43"/>
      <c r="L124" s="43"/>
      <c r="M124" s="43"/>
      <c r="N124" s="43"/>
      <c r="O124" s="43"/>
      <c r="P124" s="43"/>
      <c r="Q124" s="43"/>
      <c r="R124" s="43"/>
    </row>
    <row r="125" spans="1:18">
      <c r="A125" s="37"/>
      <c r="B125" s="29"/>
      <c r="C125" s="37"/>
      <c r="D125" s="37"/>
      <c r="E125" s="38"/>
      <c r="F125" s="44"/>
      <c r="G125" s="43"/>
      <c r="H125" s="43"/>
      <c r="I125" s="43"/>
      <c r="J125" s="43"/>
      <c r="K125" s="43"/>
      <c r="L125" s="43"/>
      <c r="M125" s="43"/>
      <c r="N125" s="43"/>
      <c r="O125" s="43"/>
      <c r="P125" s="43"/>
      <c r="Q125" s="43"/>
      <c r="R125" s="43"/>
    </row>
    <row r="126" spans="1:18">
      <c r="A126" s="37"/>
      <c r="B126" s="29"/>
      <c r="C126" s="37"/>
      <c r="D126" s="37"/>
      <c r="E126" s="38"/>
      <c r="F126" s="44"/>
      <c r="G126" s="43"/>
      <c r="H126" s="43"/>
      <c r="I126" s="43"/>
      <c r="J126" s="43"/>
      <c r="K126" s="43"/>
      <c r="L126" s="43"/>
      <c r="M126" s="43"/>
      <c r="N126" s="43"/>
      <c r="O126" s="43"/>
      <c r="P126" s="43"/>
      <c r="Q126" s="43"/>
      <c r="R126" s="43"/>
    </row>
    <row r="127" spans="1:18">
      <c r="A127" s="37"/>
      <c r="B127" s="29"/>
      <c r="C127" s="37"/>
      <c r="D127" s="37"/>
      <c r="E127" s="38"/>
      <c r="F127" s="44"/>
      <c r="G127" s="43"/>
      <c r="H127" s="43"/>
      <c r="I127" s="43"/>
      <c r="J127" s="43"/>
      <c r="K127" s="43"/>
      <c r="L127" s="43"/>
      <c r="M127" s="43"/>
      <c r="N127" s="43"/>
      <c r="O127" s="43"/>
      <c r="P127" s="43"/>
      <c r="Q127" s="43"/>
      <c r="R127" s="43"/>
    </row>
    <row r="128" spans="1:18">
      <c r="A128" s="37"/>
      <c r="B128" s="29"/>
      <c r="C128" s="37"/>
      <c r="D128" s="37"/>
      <c r="E128" s="38"/>
      <c r="F128" s="44"/>
      <c r="G128" s="43"/>
      <c r="H128" s="43"/>
      <c r="I128" s="43"/>
      <c r="J128" s="43"/>
      <c r="K128" s="43"/>
      <c r="L128" s="43"/>
      <c r="M128" s="43"/>
      <c r="N128" s="43"/>
      <c r="O128" s="43"/>
      <c r="P128" s="43"/>
      <c r="Q128" s="43"/>
      <c r="R128" s="43"/>
    </row>
    <row r="129" spans="1:18">
      <c r="A129" s="37"/>
      <c r="B129" s="29"/>
      <c r="C129" s="37"/>
      <c r="D129" s="37"/>
      <c r="E129" s="38"/>
      <c r="F129" s="44"/>
      <c r="G129" s="43"/>
      <c r="H129" s="43"/>
      <c r="I129" s="43"/>
      <c r="J129" s="43"/>
      <c r="K129" s="43"/>
      <c r="L129" s="43"/>
      <c r="M129" s="43"/>
      <c r="N129" s="43"/>
      <c r="O129" s="43"/>
      <c r="P129" s="43"/>
      <c r="Q129" s="43"/>
      <c r="R129" s="43"/>
    </row>
    <row r="130" spans="1:18">
      <c r="A130" s="37"/>
      <c r="B130" s="29"/>
      <c r="C130" s="37"/>
      <c r="D130" s="37"/>
      <c r="E130" s="38"/>
      <c r="F130" s="44"/>
      <c r="G130" s="43"/>
      <c r="H130" s="43"/>
      <c r="I130" s="43"/>
      <c r="J130" s="43"/>
      <c r="K130" s="43"/>
      <c r="L130" s="43"/>
      <c r="M130" s="43"/>
      <c r="N130" s="43"/>
      <c r="O130" s="43"/>
      <c r="P130" s="43"/>
      <c r="Q130" s="43"/>
      <c r="R130" s="43"/>
    </row>
    <row r="131" spans="1:18">
      <c r="A131" s="37"/>
      <c r="B131" s="29"/>
      <c r="C131" s="37"/>
      <c r="D131" s="37"/>
      <c r="E131" s="38"/>
      <c r="F131" s="44"/>
      <c r="G131" s="43"/>
      <c r="H131" s="43"/>
      <c r="I131" s="43"/>
      <c r="J131" s="43"/>
      <c r="K131" s="43"/>
      <c r="L131" s="43"/>
      <c r="M131" s="43"/>
      <c r="N131" s="43"/>
      <c r="O131" s="43"/>
      <c r="P131" s="43"/>
      <c r="Q131" s="43"/>
      <c r="R131" s="43"/>
    </row>
    <row r="132" spans="1:18">
      <c r="A132" s="37"/>
      <c r="B132" s="29"/>
      <c r="C132" s="37"/>
      <c r="D132" s="37"/>
      <c r="E132" s="38"/>
      <c r="F132" s="44"/>
      <c r="G132" s="43"/>
      <c r="H132" s="43"/>
      <c r="I132" s="43"/>
      <c r="J132" s="43"/>
      <c r="K132" s="43"/>
      <c r="L132" s="43"/>
      <c r="M132" s="43"/>
      <c r="N132" s="43"/>
      <c r="O132" s="43"/>
      <c r="P132" s="43"/>
      <c r="Q132" s="43"/>
      <c r="R132" s="43"/>
    </row>
    <row r="133" spans="1:18">
      <c r="A133" s="37"/>
      <c r="B133" s="29"/>
      <c r="C133" s="37"/>
      <c r="D133" s="37"/>
      <c r="E133" s="38"/>
      <c r="F133" s="44"/>
      <c r="G133" s="43"/>
      <c r="H133" s="43"/>
      <c r="I133" s="43"/>
      <c r="J133" s="43"/>
      <c r="K133" s="43"/>
      <c r="L133" s="43"/>
      <c r="M133" s="43"/>
      <c r="N133" s="43"/>
      <c r="O133" s="43"/>
      <c r="P133" s="43"/>
      <c r="Q133" s="43"/>
      <c r="R133" s="43"/>
    </row>
    <row r="134" spans="1:18">
      <c r="A134" s="37"/>
      <c r="B134" s="29"/>
      <c r="C134" s="37"/>
      <c r="D134" s="37"/>
      <c r="E134" s="38"/>
      <c r="F134" s="44"/>
      <c r="G134" s="43"/>
      <c r="H134" s="43"/>
      <c r="I134" s="43"/>
      <c r="J134" s="43"/>
      <c r="K134" s="43"/>
      <c r="L134" s="43"/>
      <c r="M134" s="43"/>
      <c r="N134" s="43"/>
      <c r="O134" s="43"/>
      <c r="P134" s="43"/>
      <c r="Q134" s="43"/>
      <c r="R134" s="43"/>
    </row>
    <row r="135" spans="1:18">
      <c r="A135" s="37"/>
      <c r="B135" s="29"/>
      <c r="C135" s="37"/>
      <c r="D135" s="37"/>
      <c r="E135" s="38"/>
      <c r="F135" s="44"/>
      <c r="G135" s="43"/>
      <c r="H135" s="43"/>
      <c r="I135" s="43"/>
      <c r="J135" s="43"/>
      <c r="K135" s="43"/>
      <c r="L135" s="43"/>
      <c r="M135" s="43"/>
      <c r="N135" s="43"/>
      <c r="O135" s="43"/>
      <c r="P135" s="43"/>
      <c r="Q135" s="43"/>
      <c r="R135" s="43"/>
    </row>
    <row r="136" spans="1:18">
      <c r="A136" s="37"/>
      <c r="B136" s="29"/>
      <c r="C136" s="37"/>
      <c r="D136" s="37"/>
      <c r="E136" s="38"/>
      <c r="F136" s="44"/>
      <c r="G136" s="43"/>
      <c r="H136" s="43"/>
      <c r="I136" s="43"/>
      <c r="J136" s="43"/>
      <c r="K136" s="43"/>
      <c r="L136" s="43"/>
      <c r="M136" s="43"/>
      <c r="N136" s="43"/>
      <c r="O136" s="43"/>
      <c r="P136" s="43"/>
      <c r="Q136" s="43"/>
      <c r="R136" s="43"/>
    </row>
    <row r="137" spans="1:18">
      <c r="A137" s="37"/>
      <c r="B137" s="29"/>
      <c r="C137" s="37"/>
      <c r="D137" s="37"/>
      <c r="E137" s="38"/>
      <c r="F137" s="44"/>
      <c r="G137" s="43"/>
      <c r="H137" s="43"/>
      <c r="I137" s="43"/>
      <c r="J137" s="43"/>
      <c r="K137" s="43"/>
      <c r="L137" s="43"/>
      <c r="M137" s="43"/>
      <c r="N137" s="43"/>
      <c r="O137" s="43"/>
      <c r="P137" s="43"/>
      <c r="Q137" s="43"/>
      <c r="R137" s="43"/>
    </row>
    <row r="138" spans="1:18">
      <c r="A138" s="37"/>
      <c r="B138" s="29"/>
      <c r="C138" s="37"/>
      <c r="D138" s="37"/>
      <c r="E138" s="38"/>
      <c r="F138" s="44"/>
      <c r="G138" s="43"/>
      <c r="H138" s="43"/>
      <c r="I138" s="43"/>
      <c r="J138" s="43"/>
      <c r="K138" s="43"/>
      <c r="L138" s="43"/>
      <c r="M138" s="43"/>
      <c r="N138" s="43"/>
      <c r="O138" s="43"/>
      <c r="P138" s="43"/>
      <c r="Q138" s="43"/>
      <c r="R138" s="43"/>
    </row>
    <row r="139" spans="1:18">
      <c r="A139" s="37"/>
      <c r="B139" s="29"/>
      <c r="C139" s="37"/>
      <c r="D139" s="37"/>
      <c r="E139" s="38"/>
      <c r="F139" s="44"/>
      <c r="G139" s="43"/>
      <c r="H139" s="43"/>
      <c r="I139" s="43"/>
      <c r="J139" s="43"/>
      <c r="K139" s="43"/>
      <c r="L139" s="43"/>
      <c r="M139" s="43"/>
      <c r="N139" s="43"/>
      <c r="O139" s="43"/>
      <c r="P139" s="43"/>
      <c r="Q139" s="43"/>
      <c r="R139" s="43"/>
    </row>
    <row r="140" spans="1:18">
      <c r="A140" s="37"/>
      <c r="B140" s="29"/>
      <c r="C140" s="37"/>
      <c r="D140" s="37"/>
      <c r="E140" s="38"/>
      <c r="F140" s="44"/>
      <c r="G140" s="43"/>
      <c r="H140" s="43"/>
      <c r="I140" s="43"/>
      <c r="J140" s="43"/>
      <c r="K140" s="43"/>
      <c r="L140" s="43"/>
      <c r="M140" s="43"/>
      <c r="N140" s="43"/>
      <c r="O140" s="43"/>
      <c r="P140" s="43"/>
      <c r="Q140" s="43"/>
      <c r="R140" s="43"/>
    </row>
    <row r="141" spans="1:18">
      <c r="A141" s="37"/>
      <c r="B141" s="29"/>
      <c r="C141" s="37"/>
      <c r="D141" s="37"/>
      <c r="E141" s="38"/>
      <c r="F141" s="44"/>
      <c r="G141" s="43"/>
      <c r="H141" s="43"/>
      <c r="I141" s="43"/>
      <c r="J141" s="43"/>
      <c r="K141" s="43"/>
      <c r="L141" s="43"/>
      <c r="M141" s="43"/>
      <c r="N141" s="43"/>
      <c r="O141" s="43"/>
      <c r="P141" s="43"/>
      <c r="Q141" s="43"/>
      <c r="R141" s="43"/>
    </row>
    <row r="142" spans="1:18">
      <c r="A142" s="37"/>
      <c r="B142" s="29"/>
      <c r="C142" s="37"/>
      <c r="D142" s="37"/>
      <c r="E142" s="38"/>
      <c r="F142" s="44"/>
      <c r="G142" s="43"/>
      <c r="H142" s="43"/>
      <c r="I142" s="43"/>
      <c r="J142" s="43"/>
      <c r="K142" s="43"/>
      <c r="L142" s="43"/>
      <c r="M142" s="43"/>
      <c r="N142" s="43"/>
      <c r="O142" s="43"/>
      <c r="P142" s="43"/>
      <c r="Q142" s="43"/>
      <c r="R142" s="43"/>
    </row>
    <row r="143" spans="1:18">
      <c r="A143" s="37"/>
      <c r="B143" s="29"/>
      <c r="C143" s="37"/>
      <c r="D143" s="37"/>
      <c r="E143" s="38"/>
      <c r="F143" s="44"/>
      <c r="G143" s="43"/>
      <c r="H143" s="43"/>
      <c r="I143" s="43"/>
      <c r="J143" s="43"/>
      <c r="K143" s="43"/>
      <c r="L143" s="43"/>
      <c r="M143" s="43"/>
      <c r="N143" s="43"/>
      <c r="O143" s="43"/>
      <c r="P143" s="43"/>
      <c r="Q143" s="43"/>
      <c r="R143" s="43"/>
    </row>
    <row r="144" spans="1:18">
      <c r="A144" s="37"/>
      <c r="B144" s="29"/>
      <c r="C144" s="37"/>
      <c r="D144" s="37"/>
      <c r="E144" s="38"/>
      <c r="F144" s="44"/>
      <c r="G144" s="43"/>
      <c r="H144" s="43"/>
      <c r="I144" s="43"/>
      <c r="J144" s="43"/>
      <c r="K144" s="43"/>
      <c r="L144" s="43"/>
      <c r="M144" s="43"/>
      <c r="N144" s="43"/>
      <c r="O144" s="43"/>
      <c r="P144" s="43"/>
      <c r="Q144" s="43"/>
      <c r="R144" s="43"/>
    </row>
    <row r="145" spans="1:18">
      <c r="A145" s="37"/>
      <c r="B145" s="29"/>
      <c r="C145" s="37"/>
      <c r="D145" s="37"/>
      <c r="E145" s="38"/>
      <c r="F145" s="44"/>
      <c r="G145" s="43"/>
      <c r="H145" s="43"/>
      <c r="I145" s="43"/>
      <c r="J145" s="43"/>
      <c r="K145" s="43"/>
      <c r="L145" s="43"/>
      <c r="M145" s="43"/>
      <c r="N145" s="43"/>
      <c r="O145" s="43"/>
      <c r="P145" s="43"/>
      <c r="Q145" s="43"/>
      <c r="R145" s="43"/>
    </row>
    <row r="146" spans="1:18">
      <c r="A146" s="37"/>
      <c r="B146" s="29"/>
      <c r="C146" s="37"/>
      <c r="D146" s="37"/>
      <c r="E146" s="38"/>
      <c r="F146" s="44"/>
      <c r="G146" s="43"/>
      <c r="H146" s="43"/>
      <c r="I146" s="43"/>
      <c r="J146" s="43"/>
      <c r="K146" s="43"/>
      <c r="L146" s="43"/>
      <c r="M146" s="43"/>
      <c r="N146" s="43"/>
      <c r="O146" s="43"/>
      <c r="P146" s="43"/>
      <c r="Q146" s="43"/>
      <c r="R146" s="43"/>
    </row>
    <row r="147" spans="1:18">
      <c r="A147" s="37"/>
      <c r="B147" s="29"/>
      <c r="C147" s="37"/>
      <c r="D147" s="37"/>
      <c r="E147" s="38"/>
      <c r="F147" s="44"/>
      <c r="G147" s="43"/>
      <c r="H147" s="43"/>
      <c r="I147" s="43"/>
      <c r="J147" s="43"/>
      <c r="K147" s="43"/>
      <c r="L147" s="43"/>
      <c r="M147" s="43"/>
      <c r="N147" s="43"/>
      <c r="O147" s="43"/>
      <c r="P147" s="43"/>
      <c r="Q147" s="43"/>
      <c r="R147" s="43"/>
    </row>
    <row r="148" spans="1:18">
      <c r="A148" s="37"/>
      <c r="B148" s="29"/>
      <c r="C148" s="37"/>
      <c r="D148" s="37"/>
      <c r="E148" s="38"/>
      <c r="F148" s="44"/>
      <c r="G148" s="43"/>
      <c r="H148" s="43"/>
      <c r="I148" s="43"/>
      <c r="J148" s="43"/>
      <c r="K148" s="43"/>
      <c r="L148" s="43"/>
      <c r="M148" s="43"/>
      <c r="N148" s="43"/>
      <c r="O148" s="43"/>
      <c r="P148" s="43"/>
      <c r="Q148" s="43"/>
      <c r="R148" s="43"/>
    </row>
    <row r="149" spans="1:18">
      <c r="A149" s="37"/>
      <c r="B149" s="29"/>
      <c r="C149" s="37"/>
      <c r="D149" s="37"/>
      <c r="E149" s="38"/>
      <c r="F149" s="44"/>
      <c r="G149" s="43"/>
      <c r="H149" s="43"/>
      <c r="I149" s="43"/>
      <c r="J149" s="43"/>
      <c r="K149" s="43"/>
      <c r="L149" s="43"/>
      <c r="M149" s="43"/>
      <c r="N149" s="43"/>
      <c r="O149" s="43"/>
      <c r="P149" s="43"/>
      <c r="Q149" s="43"/>
      <c r="R149" s="43"/>
    </row>
    <row r="150" spans="1:18">
      <c r="A150" s="42"/>
      <c r="B150" s="27"/>
      <c r="C150" s="37"/>
      <c r="D150" s="37"/>
      <c r="E150" s="37"/>
      <c r="F150" s="44"/>
      <c r="G150" s="43"/>
      <c r="H150" s="43"/>
      <c r="I150" s="43"/>
      <c r="J150" s="43"/>
      <c r="K150" s="43"/>
      <c r="L150" s="43"/>
      <c r="M150" s="43"/>
      <c r="N150" s="43"/>
      <c r="O150" s="43"/>
      <c r="P150" s="43"/>
      <c r="Q150" s="43"/>
      <c r="R150" s="43"/>
    </row>
    <row r="151" spans="1:18">
      <c r="A151" s="42"/>
      <c r="B151" s="27"/>
      <c r="C151" s="37"/>
      <c r="D151" s="37"/>
      <c r="E151" s="37"/>
      <c r="F151" s="44"/>
      <c r="G151" s="43"/>
      <c r="H151" s="43"/>
      <c r="I151" s="43"/>
      <c r="J151" s="43"/>
      <c r="K151" s="43"/>
      <c r="L151" s="43"/>
      <c r="M151" s="43"/>
      <c r="N151" s="43"/>
      <c r="O151" s="43"/>
      <c r="P151" s="43"/>
      <c r="Q151" s="43"/>
      <c r="R151" s="43"/>
    </row>
    <row r="152" spans="1:18">
      <c r="A152" s="42"/>
      <c r="B152" s="27"/>
      <c r="C152" s="37"/>
      <c r="D152" s="37"/>
      <c r="E152" s="37"/>
      <c r="F152" s="44"/>
      <c r="G152" s="43"/>
      <c r="H152" s="43"/>
      <c r="I152" s="43"/>
      <c r="J152" s="43"/>
      <c r="K152" s="43"/>
      <c r="L152" s="43"/>
      <c r="M152" s="43"/>
      <c r="N152" s="43"/>
      <c r="O152" s="43"/>
      <c r="P152" s="43"/>
      <c r="Q152" s="43"/>
      <c r="R152" s="43"/>
    </row>
    <row r="153" spans="1:18">
      <c r="A153" s="37"/>
      <c r="B153" s="27"/>
      <c r="C153" s="37"/>
      <c r="D153" s="37"/>
      <c r="E153" s="37"/>
      <c r="F153" s="44"/>
      <c r="G153" s="43"/>
      <c r="H153" s="43"/>
      <c r="I153" s="43"/>
      <c r="J153" s="43"/>
      <c r="K153" s="43"/>
      <c r="L153" s="43"/>
      <c r="M153" s="43"/>
      <c r="N153" s="43"/>
      <c r="O153" s="43"/>
      <c r="P153" s="43"/>
      <c r="Q153" s="43"/>
      <c r="R153" s="43"/>
    </row>
    <row r="154" spans="1:18">
      <c r="A154" s="37"/>
      <c r="B154" s="27"/>
      <c r="C154" s="37"/>
      <c r="D154" s="37"/>
      <c r="E154" s="37"/>
      <c r="F154" s="44"/>
      <c r="G154" s="43"/>
      <c r="H154" s="43"/>
      <c r="I154" s="43"/>
      <c r="J154" s="43"/>
      <c r="K154" s="43"/>
      <c r="L154" s="43"/>
      <c r="M154" s="43"/>
      <c r="N154" s="43"/>
      <c r="O154" s="43"/>
      <c r="P154" s="43"/>
      <c r="Q154" s="43"/>
      <c r="R154" s="43"/>
    </row>
  </sheetData>
  <mergeCells count="6">
    <mergeCell ref="B2:C2"/>
    <mergeCell ref="B3:C3"/>
    <mergeCell ref="A7:R7"/>
    <mergeCell ref="Q8:R8"/>
    <mergeCell ref="A5:R5"/>
    <mergeCell ref="A6:R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dimension ref="A3:B27"/>
  <sheetViews>
    <sheetView topLeftCell="A7" workbookViewId="0">
      <selection activeCell="B23" sqref="B23:B27"/>
    </sheetView>
  </sheetViews>
  <sheetFormatPr defaultRowHeight="15"/>
  <sheetData>
    <row r="3" spans="1:2">
      <c r="A3" t="s">
        <v>286</v>
      </c>
    </row>
    <row r="4" spans="1:2">
      <c r="A4" t="s">
        <v>287</v>
      </c>
    </row>
    <row r="5" spans="1:2">
      <c r="B5" t="s">
        <v>29</v>
      </c>
    </row>
    <row r="6" spans="1:2">
      <c r="B6" t="s">
        <v>33</v>
      </c>
    </row>
    <row r="7" spans="1:2">
      <c r="B7" t="s">
        <v>288</v>
      </c>
    </row>
    <row r="8" spans="1:2">
      <c r="B8" s="1" t="s">
        <v>289</v>
      </c>
    </row>
    <row r="9" spans="1:2">
      <c r="A9" t="s">
        <v>290</v>
      </c>
    </row>
    <row r="10" spans="1:2">
      <c r="B10" s="1" t="s">
        <v>291</v>
      </c>
    </row>
    <row r="11" spans="1:2">
      <c r="B11" t="s">
        <v>292</v>
      </c>
    </row>
    <row r="12" spans="1:2">
      <c r="B12" s="1" t="s">
        <v>289</v>
      </c>
    </row>
    <row r="13" spans="1:2">
      <c r="A13" t="s">
        <v>51</v>
      </c>
    </row>
    <row r="14" spans="1:2">
      <c r="B14" s="1" t="s">
        <v>293</v>
      </c>
    </row>
    <row r="16" spans="1:2">
      <c r="A16" t="s">
        <v>57</v>
      </c>
    </row>
    <row r="17" spans="1:2">
      <c r="B17" t="s">
        <v>294</v>
      </c>
    </row>
    <row r="18" spans="1:2">
      <c r="B18" t="s">
        <v>61</v>
      </c>
    </row>
    <row r="19" spans="1:2">
      <c r="B19" t="s">
        <v>63</v>
      </c>
    </row>
    <row r="20" spans="1:2">
      <c r="B20" s="2" t="s">
        <v>295</v>
      </c>
    </row>
    <row r="22" spans="1:2">
      <c r="A22" t="s">
        <v>256</v>
      </c>
    </row>
    <row r="23" spans="1:2">
      <c r="B23" t="s">
        <v>296</v>
      </c>
    </row>
    <row r="24" spans="1:2">
      <c r="B24" s="1" t="s">
        <v>297</v>
      </c>
    </row>
    <row r="25" spans="1:2">
      <c r="B25" s="1" t="s">
        <v>298</v>
      </c>
    </row>
    <row r="26" spans="1:2">
      <c r="B26" s="1" t="s">
        <v>299</v>
      </c>
    </row>
    <row r="27" spans="1:2">
      <c r="B27" s="1" t="s">
        <v>300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dimension ref="A1:B3"/>
  <sheetViews>
    <sheetView workbookViewId="0">
      <selection activeCell="B11" sqref="B11"/>
    </sheetView>
  </sheetViews>
  <sheetFormatPr defaultRowHeight="15"/>
  <cols>
    <col min="1" max="1" width="12.140625" bestFit="1" customWidth="1"/>
    <col min="2" max="2" width="44.85546875" customWidth="1"/>
  </cols>
  <sheetData>
    <row r="1" spans="1:2">
      <c r="A1" t="s">
        <v>301</v>
      </c>
      <c r="B1" s="21" t="s">
        <v>302</v>
      </c>
    </row>
    <row r="2" spans="1:2">
      <c r="A2" t="s">
        <v>303</v>
      </c>
      <c r="B2" t="s">
        <v>304</v>
      </c>
    </row>
    <row r="3" spans="1:2">
      <c r="A3" t="s">
        <v>305</v>
      </c>
      <c r="B3" t="s">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Mau CT 2</vt:lpstr>
      <vt:lpstr>Muc tieu_Trực ca</vt:lpstr>
      <vt:lpstr>Muc tieu_Hành chính</vt:lpstr>
      <vt:lpstr>BC</vt:lpstr>
      <vt:lpstr>KHHD</vt:lpstr>
      <vt:lpstr>Sheet1</vt:lpstr>
      <vt:lpstr>Sheet2</vt:lpstr>
      <vt:lpstr>BC!Print_Area</vt:lpstr>
      <vt:lpstr>'Muc tieu_Hành chính'!Print_Area</vt:lpstr>
      <vt:lpstr>'Muc tieu_Trực ca'!Print_Area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Ly Minh Thuy</dc:creator>
  <cp:keywords/>
  <dc:description/>
  <cp:lastModifiedBy>Bao Mai Thai</cp:lastModifiedBy>
  <cp:revision/>
  <cp:lastPrinted>2026-05-25T01:49:41Z</cp:lastPrinted>
  <dcterms:created xsi:type="dcterms:W3CDTF">2021-10-28T09:37:37Z</dcterms:created>
  <dcterms:modified xsi:type="dcterms:W3CDTF">2026-05-25T06:28:48Z</dcterms:modified>
  <cp:category/>
  <cp:contentStatus/>
</cp:coreProperties>
</file>
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C:\Users\Admin\Desktop\KẾ HOẠCH MỤC TIÊU\KHMT Hàng tháng\KHMT_T1_T2_T3_T4\"/>
    </mc:Choice>
  </mc:AlternateContent>
  <xr:revisionPtr revIDLastSave="0" documentId="13_ncr:1_{89071CE2-356E-48A7-AA06-F7516DAC6B46}" xr6:coauthVersionLast="47" xr6:coauthVersionMax="47" xr10:uidLastSave="{00000000-0000-0000-0000-000000000000}"/>
  <bookViews>
    <workbookView xWindow="-120" yWindow="-120" windowWidth="29040" windowHeight="15720" firstSheet="1" activeTab="2" xr2:uid="{00000000-000D-0000-FFFF-FFFF00000000}"/>
  </bookViews>
  <sheets>
    <sheet name="OKR X.ĐK 2025 Nội bộ" sheetId="17" state="hidden" r:id="rId1"/>
    <sheet name="OKR X.ĐK 2026" sheetId="22" r:id="rId2"/>
    <sheet name="Dashboard" sheetId="14" r:id="rId3"/>
    <sheet name="data" sheetId="16" r:id="rId4"/>
    <sheet name="TBHTĐK" sheetId="32" r:id="rId5"/>
    <sheet name="TBĐ" sheetId="31" r:id="rId6"/>
    <sheet name="TBCH" sheetId="30" r:id="rId7"/>
    <sheet name="TCĐK" sheetId="29" r:id="rId8"/>
    <sheet name="TCĐG" sheetId="23" r:id="rId9"/>
    <sheet name="NTĐG" sheetId="24" r:id="rId10"/>
    <sheet name="OKR X.ĐK 2025 X.ĐK" sheetId="18" state="hidden" r:id="rId11"/>
  </sheets>
  <definedNames>
    <definedName name="\0">#REF!</definedName>
    <definedName name="\a">#REF!</definedName>
    <definedName name="\b">#REF!</definedName>
    <definedName name="\c">#REF!</definedName>
    <definedName name="\d">#REF!</definedName>
    <definedName name="\e">#REF!</definedName>
    <definedName name="\f">#REF!</definedName>
    <definedName name="\g">#REF!</definedName>
    <definedName name="\h">#REF!</definedName>
    <definedName name="\i">#REF!</definedName>
    <definedName name="\j">#REF!</definedName>
    <definedName name="\k">#REF!</definedName>
    <definedName name="\l">#REF!</definedName>
    <definedName name="\m">#REF!</definedName>
    <definedName name="\n">#REF!</definedName>
    <definedName name="\o">#REF!</definedName>
    <definedName name="\p">#REF!</definedName>
    <definedName name="\T">#REF!</definedName>
    <definedName name="\v">#REF!</definedName>
    <definedName name="\z">#REF!</definedName>
    <definedName name="_">#REF!</definedName>
    <definedName name="__">#REF!</definedName>
    <definedName name="___">#REF!</definedName>
    <definedName name="____">#REF!</definedName>
    <definedName name="_____">#REF!</definedName>
    <definedName name="______">#REF!</definedName>
    <definedName name="________CON1">#REF!</definedName>
    <definedName name="________CON2">#REF!</definedName>
    <definedName name="________NET2">#REF!</definedName>
    <definedName name="_______CON1">#REF!</definedName>
    <definedName name="_______CON2">#REF!</definedName>
    <definedName name="_______NET2">#REF!</definedName>
    <definedName name="______CON1">#REF!</definedName>
    <definedName name="______CON2">#REF!</definedName>
    <definedName name="______khi2">#REF!</definedName>
    <definedName name="______muc1">#REF!</definedName>
    <definedName name="______NET2">#REF!</definedName>
    <definedName name="_____a1" localSheetId="9" hidden="1">{"'Sheet1'!$L$16"}</definedName>
    <definedName name="_____a1" localSheetId="0" hidden="1">{"'Sheet1'!$L$16"}</definedName>
    <definedName name="_____a1" localSheetId="10" hidden="1">{"'Sheet1'!$L$16"}</definedName>
    <definedName name="_____a1" localSheetId="1" hidden="1">{"'Sheet1'!$L$16"}</definedName>
    <definedName name="_____a1" localSheetId="6" hidden="1">{"'Sheet1'!$L$16"}</definedName>
    <definedName name="_____a1" localSheetId="5" hidden="1">{"'Sheet1'!$L$16"}</definedName>
    <definedName name="_____a1" localSheetId="4" hidden="1">{"'Sheet1'!$L$16"}</definedName>
    <definedName name="_____a1" localSheetId="8" hidden="1">{"'Sheet1'!$L$16"}</definedName>
    <definedName name="_____a1" localSheetId="7" hidden="1">{"'Sheet1'!$L$16"}</definedName>
    <definedName name="_____a1" hidden="1">{"'Sheet1'!$L$16"}</definedName>
    <definedName name="_____CON1">#REF!</definedName>
    <definedName name="_____CON2">#REF!</definedName>
    <definedName name="_____khi2">#REF!</definedName>
    <definedName name="_____muc1">#REF!</definedName>
    <definedName name="_____NET2">#REF!</definedName>
    <definedName name="_____PR1">#REF!</definedName>
    <definedName name="____a1" localSheetId="9" hidden="1">{"'Sheet1'!$L$16"}</definedName>
    <definedName name="____a1" localSheetId="0" hidden="1">{"'Sheet1'!$L$16"}</definedName>
    <definedName name="____a1" localSheetId="10" hidden="1">{"'Sheet1'!$L$16"}</definedName>
    <definedName name="____a1" localSheetId="1" hidden="1">{"'Sheet1'!$L$16"}</definedName>
    <definedName name="____a1" localSheetId="6" hidden="1">{"'Sheet1'!$L$16"}</definedName>
    <definedName name="____a1" localSheetId="5" hidden="1">{"'Sheet1'!$L$16"}</definedName>
    <definedName name="____a1" localSheetId="4" hidden="1">{"'Sheet1'!$L$16"}</definedName>
    <definedName name="____a1" localSheetId="8" hidden="1">{"'Sheet1'!$L$16"}</definedName>
    <definedName name="____a1" localSheetId="7" hidden="1">{"'Sheet1'!$L$16"}</definedName>
    <definedName name="____a1" hidden="1">{"'Sheet1'!$L$16"}</definedName>
    <definedName name="____a129" localSheetId="9" hidden="1">{"Offgrid",#N/A,FALSE,"OFFGRID";"Region",#N/A,FALSE,"REGION";"Offgrid -2",#N/A,FALSE,"OFFGRID";"WTP",#N/A,FALSE,"WTP";"WTP -2",#N/A,FALSE,"WTP";"Project",#N/A,FALSE,"PROJECT";"Summary -2",#N/A,FALSE,"SUMMARY"}</definedName>
    <definedName name="____a129" localSheetId="0" hidden="1">{"Offgrid",#N/A,FALSE,"OFFGRID";"Region",#N/A,FALSE,"REGION";"Offgrid -2",#N/A,FALSE,"OFFGRID";"WTP",#N/A,FALSE,"WTP";"WTP -2",#N/A,FALSE,"WTP";"Project",#N/A,FALSE,"PROJECT";"Summary -2",#N/A,FALSE,"SUMMARY"}</definedName>
    <definedName name="____a129" localSheetId="10" hidden="1">{"Offgrid",#N/A,FALSE,"OFFGRID";"Region",#N/A,FALSE,"REGION";"Offgrid -2",#N/A,FALSE,"OFFGRID";"WTP",#N/A,FALSE,"WTP";"WTP -2",#N/A,FALSE,"WTP";"Project",#N/A,FALSE,"PROJECT";"Summary -2",#N/A,FALSE,"SUMMARY"}</definedName>
    <definedName name="____a129" localSheetId="1" hidden="1">{"Offgrid",#N/A,FALSE,"OFFGRID";"Region",#N/A,FALSE,"REGION";"Offgrid -2",#N/A,FALSE,"OFFGRID";"WTP",#N/A,FALSE,"WTP";"WTP -2",#N/A,FALSE,"WTP";"Project",#N/A,FALSE,"PROJECT";"Summary -2",#N/A,FALSE,"SUMMARY"}</definedName>
    <definedName name="____a129" localSheetId="6" hidden="1">{"Offgrid",#N/A,FALSE,"OFFGRID";"Region",#N/A,FALSE,"REGION";"Offgrid -2",#N/A,FALSE,"OFFGRID";"WTP",#N/A,FALSE,"WTP";"WTP -2",#N/A,FALSE,"WTP";"Project",#N/A,FALSE,"PROJECT";"Summary -2",#N/A,FALSE,"SUMMARY"}</definedName>
    <definedName name="____a129" localSheetId="5" hidden="1">{"Offgrid",#N/A,FALSE,"OFFGRID";"Region",#N/A,FALSE,"REGION";"Offgrid -2",#N/A,FALSE,"OFFGRID";"WTP",#N/A,FALSE,"WTP";"WTP -2",#N/A,FALSE,"WTP";"Project",#N/A,FALSE,"PROJECT";"Summary -2",#N/A,FALSE,"SUMMARY"}</definedName>
    <definedName name="____a129" localSheetId="4" hidden="1">{"Offgrid",#N/A,FALSE,"OFFGRID";"Region",#N/A,FALSE,"REGION";"Offgrid -2",#N/A,FALSE,"OFFGRID";"WTP",#N/A,FALSE,"WTP";"WTP -2",#N/A,FALSE,"WTP";"Project",#N/A,FALSE,"PROJECT";"Summary -2",#N/A,FALSE,"SUMMARY"}</definedName>
    <definedName name="____a129" localSheetId="8" hidden="1">{"Offgrid",#N/A,FALSE,"OFFGRID";"Region",#N/A,FALSE,"REGION";"Offgrid -2",#N/A,FALSE,"OFFGRID";"WTP",#N/A,FALSE,"WTP";"WTP -2",#N/A,FALSE,"WTP";"Project",#N/A,FALSE,"PROJECT";"Summary -2",#N/A,FALSE,"SUMMARY"}</definedName>
    <definedName name="____a129" localSheetId="7" hidden="1">{"Offgrid",#N/A,FALSE,"OFFGRID";"Region",#N/A,FALSE,"REGION";"Offgrid -2",#N/A,FALSE,"OFFGRID";"WTP",#N/A,FALSE,"WTP";"WTP -2",#N/A,FALSE,"WTP";"Project",#N/A,FALSE,"PROJECT";"Summary -2",#N/A,FALSE,"SUMMARY"}</definedName>
    <definedName name="____a129" hidden="1">{"Offgrid",#N/A,FALSE,"OFFGRID";"Region",#N/A,FALSE,"REGION";"Offgrid -2",#N/A,FALSE,"OFFGRID";"WTP",#N/A,FALSE,"WTP";"WTP -2",#N/A,FALSE,"WTP";"Project",#N/A,FALSE,"PROJECT";"Summary -2",#N/A,FALSE,"SUMMARY"}</definedName>
    <definedName name="____a130" localSheetId="9" hidden="1">{"Offgrid",#N/A,FALSE,"OFFGRID";"Region",#N/A,FALSE,"REGION";"Offgrid -2",#N/A,FALSE,"OFFGRID";"WTP",#N/A,FALSE,"WTP";"WTP -2",#N/A,FALSE,"WTP";"Project",#N/A,FALSE,"PROJECT";"Summary -2",#N/A,FALSE,"SUMMARY"}</definedName>
    <definedName name="____a130" localSheetId="0" hidden="1">{"Offgrid",#N/A,FALSE,"OFFGRID";"Region",#N/A,FALSE,"REGION";"Offgrid -2",#N/A,FALSE,"OFFGRID";"WTP",#N/A,FALSE,"WTP";"WTP -2",#N/A,FALSE,"WTP";"Project",#N/A,FALSE,"PROJECT";"Summary -2",#N/A,FALSE,"SUMMARY"}</definedName>
    <definedName name="____a130" localSheetId="10" hidden="1">{"Offgrid",#N/A,FALSE,"OFFGRID";"Region",#N/A,FALSE,"REGION";"Offgrid -2",#N/A,FALSE,"OFFGRID";"WTP",#N/A,FALSE,"WTP";"WTP -2",#N/A,FALSE,"WTP";"Project",#N/A,FALSE,"PROJECT";"Summary -2",#N/A,FALSE,"SUMMARY"}</definedName>
    <definedName name="____a130" localSheetId="1" hidden="1">{"Offgrid",#N/A,FALSE,"OFFGRID";"Region",#N/A,FALSE,"REGION";"Offgrid -2",#N/A,FALSE,"OFFGRID";"WTP",#N/A,FALSE,"WTP";"WTP -2",#N/A,FALSE,"WTP";"Project",#N/A,FALSE,"PROJECT";"Summary -2",#N/A,FALSE,"SUMMARY"}</definedName>
    <definedName name="____a130" localSheetId="6" hidden="1">{"Offgrid",#N/A,FALSE,"OFFGRID";"Region",#N/A,FALSE,"REGION";"Offgrid -2",#N/A,FALSE,"OFFGRID";"WTP",#N/A,FALSE,"WTP";"WTP -2",#N/A,FALSE,"WTP";"Project",#N/A,FALSE,"PROJECT";"Summary -2",#N/A,FALSE,"SUMMARY"}</definedName>
    <definedName name="____a130" localSheetId="5" hidden="1">{"Offgrid",#N/A,FALSE,"OFFGRID";"Region",#N/A,FALSE,"REGION";"Offgrid -2",#N/A,FALSE,"OFFGRID";"WTP",#N/A,FALSE,"WTP";"WTP -2",#N/A,FALSE,"WTP";"Project",#N/A,FALSE,"PROJECT";"Summary -2",#N/A,FALSE,"SUMMARY"}</definedName>
    <definedName name="____a130" localSheetId="4" hidden="1">{"Offgrid",#N/A,FALSE,"OFFGRID";"Region",#N/A,FALSE,"REGION";"Offgrid -2",#N/A,FALSE,"OFFGRID";"WTP",#N/A,FALSE,"WTP";"WTP -2",#N/A,FALSE,"WTP";"Project",#N/A,FALSE,"PROJECT";"Summary -2",#N/A,FALSE,"SUMMARY"}</definedName>
    <definedName name="____a130" localSheetId="8" hidden="1">{"Offgrid",#N/A,FALSE,"OFFGRID";"Region",#N/A,FALSE,"REGION";"Offgrid -2",#N/A,FALSE,"OFFGRID";"WTP",#N/A,FALSE,"WTP";"WTP -2",#N/A,FALSE,"WTP";"Project",#N/A,FALSE,"PROJECT";"Summary -2",#N/A,FALSE,"SUMMARY"}</definedName>
    <definedName name="____a130" localSheetId="7"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CON1">#REF!</definedName>
    <definedName name="____CON2">#REF!</definedName>
    <definedName name="____d1500" localSheetId="9" hidden="1">{"'Sheet1'!$L$16"}</definedName>
    <definedName name="____d1500" localSheetId="0" hidden="1">{"'Sheet1'!$L$16"}</definedName>
    <definedName name="____d1500" localSheetId="10" hidden="1">{"'Sheet1'!$L$16"}</definedName>
    <definedName name="____d1500" localSheetId="1" hidden="1">{"'Sheet1'!$L$16"}</definedName>
    <definedName name="____d1500" localSheetId="6" hidden="1">{"'Sheet1'!$L$16"}</definedName>
    <definedName name="____d1500" localSheetId="5" hidden="1">{"'Sheet1'!$L$16"}</definedName>
    <definedName name="____d1500" localSheetId="4" hidden="1">{"'Sheet1'!$L$16"}</definedName>
    <definedName name="____d1500" localSheetId="8" hidden="1">{"'Sheet1'!$L$16"}</definedName>
    <definedName name="____d1500" localSheetId="7" hidden="1">{"'Sheet1'!$L$16"}</definedName>
    <definedName name="____d1500" hidden="1">{"'Sheet1'!$L$16"}</definedName>
    <definedName name="____h1" localSheetId="9" hidden="1">{"'Sheet1'!$L$16"}</definedName>
    <definedName name="____h1" localSheetId="0" hidden="1">{"'Sheet1'!$L$16"}</definedName>
    <definedName name="____h1" localSheetId="10" hidden="1">{"'Sheet1'!$L$16"}</definedName>
    <definedName name="____h1" localSheetId="1" hidden="1">{"'Sheet1'!$L$16"}</definedName>
    <definedName name="____h1" localSheetId="6" hidden="1">{"'Sheet1'!$L$16"}</definedName>
    <definedName name="____h1" localSheetId="5" hidden="1">{"'Sheet1'!$L$16"}</definedName>
    <definedName name="____h1" localSheetId="4" hidden="1">{"'Sheet1'!$L$16"}</definedName>
    <definedName name="____h1" localSheetId="8" hidden="1">{"'Sheet1'!$L$16"}</definedName>
    <definedName name="____h1" localSheetId="7" hidden="1">{"'Sheet1'!$L$16"}</definedName>
    <definedName name="____h1" hidden="1">{"'Sheet1'!$L$16"}</definedName>
    <definedName name="____hu1" localSheetId="9" hidden="1">{"'Sheet1'!$L$16"}</definedName>
    <definedName name="____hu1" localSheetId="0" hidden="1">{"'Sheet1'!$L$16"}</definedName>
    <definedName name="____hu1" localSheetId="10" hidden="1">{"'Sheet1'!$L$16"}</definedName>
    <definedName name="____hu1" localSheetId="1" hidden="1">{"'Sheet1'!$L$16"}</definedName>
    <definedName name="____hu1" localSheetId="6" hidden="1">{"'Sheet1'!$L$16"}</definedName>
    <definedName name="____hu1" localSheetId="5" hidden="1">{"'Sheet1'!$L$16"}</definedName>
    <definedName name="____hu1" localSheetId="4" hidden="1">{"'Sheet1'!$L$16"}</definedName>
    <definedName name="____hu1" localSheetId="8" hidden="1">{"'Sheet1'!$L$16"}</definedName>
    <definedName name="____hu1" localSheetId="7" hidden="1">{"'Sheet1'!$L$16"}</definedName>
    <definedName name="____hu1" hidden="1">{"'Sheet1'!$L$16"}</definedName>
    <definedName name="____hu2" localSheetId="9" hidden="1">{"'Sheet1'!$L$16"}</definedName>
    <definedName name="____hu2" localSheetId="0" hidden="1">{"'Sheet1'!$L$16"}</definedName>
    <definedName name="____hu2" localSheetId="10" hidden="1">{"'Sheet1'!$L$16"}</definedName>
    <definedName name="____hu2" localSheetId="1" hidden="1">{"'Sheet1'!$L$16"}</definedName>
    <definedName name="____hu2" localSheetId="6" hidden="1">{"'Sheet1'!$L$16"}</definedName>
    <definedName name="____hu2" localSheetId="5" hidden="1">{"'Sheet1'!$L$16"}</definedName>
    <definedName name="____hu2" localSheetId="4" hidden="1">{"'Sheet1'!$L$16"}</definedName>
    <definedName name="____hu2" localSheetId="8" hidden="1">{"'Sheet1'!$L$16"}</definedName>
    <definedName name="____hu2" localSheetId="7" hidden="1">{"'Sheet1'!$L$16"}</definedName>
    <definedName name="____hu2" hidden="1">{"'Sheet1'!$L$16"}</definedName>
    <definedName name="____hu5" localSheetId="9" hidden="1">{"'Sheet1'!$L$16"}</definedName>
    <definedName name="____hu5" localSheetId="0" hidden="1">{"'Sheet1'!$L$16"}</definedName>
    <definedName name="____hu5" localSheetId="10" hidden="1">{"'Sheet1'!$L$16"}</definedName>
    <definedName name="____hu5" localSheetId="1" hidden="1">{"'Sheet1'!$L$16"}</definedName>
    <definedName name="____hu5" localSheetId="6" hidden="1">{"'Sheet1'!$L$16"}</definedName>
    <definedName name="____hu5" localSheetId="5" hidden="1">{"'Sheet1'!$L$16"}</definedName>
    <definedName name="____hu5" localSheetId="4" hidden="1">{"'Sheet1'!$L$16"}</definedName>
    <definedName name="____hu5" localSheetId="8" hidden="1">{"'Sheet1'!$L$16"}</definedName>
    <definedName name="____hu5" localSheetId="7" hidden="1">{"'Sheet1'!$L$16"}</definedName>
    <definedName name="____hu5" hidden="1">{"'Sheet1'!$L$16"}</definedName>
    <definedName name="____hu6" localSheetId="9" hidden="1">{"'Sheet1'!$L$16"}</definedName>
    <definedName name="____hu6" localSheetId="0" hidden="1">{"'Sheet1'!$L$16"}</definedName>
    <definedName name="____hu6" localSheetId="10" hidden="1">{"'Sheet1'!$L$16"}</definedName>
    <definedName name="____hu6" localSheetId="1" hidden="1">{"'Sheet1'!$L$16"}</definedName>
    <definedName name="____hu6" localSheetId="6" hidden="1">{"'Sheet1'!$L$16"}</definedName>
    <definedName name="____hu6" localSheetId="5" hidden="1">{"'Sheet1'!$L$16"}</definedName>
    <definedName name="____hu6" localSheetId="4" hidden="1">{"'Sheet1'!$L$16"}</definedName>
    <definedName name="____hu6" localSheetId="8" hidden="1">{"'Sheet1'!$L$16"}</definedName>
    <definedName name="____hu6" localSheetId="7" hidden="1">{"'Sheet1'!$L$16"}</definedName>
    <definedName name="____hu6" hidden="1">{"'Sheet1'!$L$16"}</definedName>
    <definedName name="____hu7" localSheetId="9" hidden="1">{"'Sheet1'!$L$16"}</definedName>
    <definedName name="____hu7" localSheetId="0" hidden="1">{"'Sheet1'!$L$16"}</definedName>
    <definedName name="____hu7" localSheetId="10" hidden="1">{"'Sheet1'!$L$16"}</definedName>
    <definedName name="____hu7" localSheetId="1" hidden="1">{"'Sheet1'!$L$16"}</definedName>
    <definedName name="____hu7" localSheetId="6" hidden="1">{"'Sheet1'!$L$16"}</definedName>
    <definedName name="____hu7" localSheetId="5" hidden="1">{"'Sheet1'!$L$16"}</definedName>
    <definedName name="____hu7" localSheetId="4" hidden="1">{"'Sheet1'!$L$16"}</definedName>
    <definedName name="____hu7" localSheetId="8" hidden="1">{"'Sheet1'!$L$16"}</definedName>
    <definedName name="____hu7" localSheetId="7" hidden="1">{"'Sheet1'!$L$16"}</definedName>
    <definedName name="____hu7" hidden="1">{"'Sheet1'!$L$16"}</definedName>
    <definedName name="____k10" localSheetId="9" hidden="1">{"'Sheet1'!$L$16"}</definedName>
    <definedName name="____k10" localSheetId="0" hidden="1">{"'Sheet1'!$L$16"}</definedName>
    <definedName name="____k10" localSheetId="10" hidden="1">{"'Sheet1'!$L$16"}</definedName>
    <definedName name="____k10" localSheetId="1" hidden="1">{"'Sheet1'!$L$16"}</definedName>
    <definedName name="____k10" localSheetId="6" hidden="1">{"'Sheet1'!$L$16"}</definedName>
    <definedName name="____k10" localSheetId="5" hidden="1">{"'Sheet1'!$L$16"}</definedName>
    <definedName name="____k10" localSheetId="4" hidden="1">{"'Sheet1'!$L$16"}</definedName>
    <definedName name="____k10" localSheetId="8" hidden="1">{"'Sheet1'!$L$16"}</definedName>
    <definedName name="____k10" localSheetId="7" hidden="1">{"'Sheet1'!$L$16"}</definedName>
    <definedName name="____k10" hidden="1">{"'Sheet1'!$L$16"}</definedName>
    <definedName name="____KS2" localSheetId="9" hidden="1">{"'Sheet1'!$L$16"}</definedName>
    <definedName name="____KS2" localSheetId="0" hidden="1">{"'Sheet1'!$L$16"}</definedName>
    <definedName name="____KS2" localSheetId="10" hidden="1">{"'Sheet1'!$L$16"}</definedName>
    <definedName name="____KS2" localSheetId="1" hidden="1">{"'Sheet1'!$L$16"}</definedName>
    <definedName name="____KS2" localSheetId="6" hidden="1">{"'Sheet1'!$L$16"}</definedName>
    <definedName name="____KS2" localSheetId="5" hidden="1">{"'Sheet1'!$L$16"}</definedName>
    <definedName name="____KS2" localSheetId="4" hidden="1">{"'Sheet1'!$L$16"}</definedName>
    <definedName name="____KS2" localSheetId="8" hidden="1">{"'Sheet1'!$L$16"}</definedName>
    <definedName name="____KS2" localSheetId="7" hidden="1">{"'Sheet1'!$L$16"}</definedName>
    <definedName name="____KS2" hidden="1">{"'Sheet1'!$L$16"}</definedName>
    <definedName name="____khi2">#REF!</definedName>
    <definedName name="____muc1">#REF!</definedName>
    <definedName name="____NET2">#REF!</definedName>
    <definedName name="____PA3" localSheetId="9" hidden="1">{"'Sheet1'!$L$16"}</definedName>
    <definedName name="____PA3" localSheetId="0" hidden="1">{"'Sheet1'!$L$16"}</definedName>
    <definedName name="____PA3" localSheetId="10" hidden="1">{"'Sheet1'!$L$16"}</definedName>
    <definedName name="____PA3" localSheetId="1" hidden="1">{"'Sheet1'!$L$16"}</definedName>
    <definedName name="____PA3" localSheetId="6" hidden="1">{"'Sheet1'!$L$16"}</definedName>
    <definedName name="____PA3" localSheetId="5" hidden="1">{"'Sheet1'!$L$16"}</definedName>
    <definedName name="____PA3" localSheetId="4" hidden="1">{"'Sheet1'!$L$16"}</definedName>
    <definedName name="____PA3" localSheetId="8" hidden="1">{"'Sheet1'!$L$16"}</definedName>
    <definedName name="____PA3" localSheetId="7" hidden="1">{"'Sheet1'!$L$16"}</definedName>
    <definedName name="____PA3" hidden="1">{"'Sheet1'!$L$16"}</definedName>
    <definedName name="____PR1">#REF!</definedName>
    <definedName name="____T10" localSheetId="9" hidden="1">{"'Sheet1'!$L$16"}</definedName>
    <definedName name="____T10" localSheetId="0" hidden="1">{"'Sheet1'!$L$16"}</definedName>
    <definedName name="____T10" localSheetId="10" hidden="1">{"'Sheet1'!$L$16"}</definedName>
    <definedName name="____T10" localSheetId="1" hidden="1">{"'Sheet1'!$L$16"}</definedName>
    <definedName name="____T10" localSheetId="6" hidden="1">{"'Sheet1'!$L$16"}</definedName>
    <definedName name="____T10" localSheetId="5" hidden="1">{"'Sheet1'!$L$16"}</definedName>
    <definedName name="____T10" localSheetId="4" hidden="1">{"'Sheet1'!$L$16"}</definedName>
    <definedName name="____T10" localSheetId="8" hidden="1">{"'Sheet1'!$L$16"}</definedName>
    <definedName name="____T10" localSheetId="7" hidden="1">{"'Sheet1'!$L$16"}</definedName>
    <definedName name="____T10" hidden="1">{"'Sheet1'!$L$16"}</definedName>
    <definedName name="____T12" localSheetId="9" hidden="1">{"'Sheet1'!$L$16"}</definedName>
    <definedName name="____T12" localSheetId="0" hidden="1">{"'Sheet1'!$L$16"}</definedName>
    <definedName name="____T12" localSheetId="10" hidden="1">{"'Sheet1'!$L$16"}</definedName>
    <definedName name="____T12" localSheetId="1" hidden="1">{"'Sheet1'!$L$16"}</definedName>
    <definedName name="____T12" localSheetId="6" hidden="1">{"'Sheet1'!$L$16"}</definedName>
    <definedName name="____T12" localSheetId="5" hidden="1">{"'Sheet1'!$L$16"}</definedName>
    <definedName name="____T12" localSheetId="4" hidden="1">{"'Sheet1'!$L$16"}</definedName>
    <definedName name="____T12" localSheetId="8" hidden="1">{"'Sheet1'!$L$16"}</definedName>
    <definedName name="____T12" localSheetId="7" hidden="1">{"'Sheet1'!$L$16"}</definedName>
    <definedName name="____T12" hidden="1">{"'Sheet1'!$L$16"}</definedName>
    <definedName name="____tct3">#REF!</definedName>
    <definedName name="___a1" localSheetId="9" hidden="1">{"'Sheet1'!$L$16"}</definedName>
    <definedName name="___a1" localSheetId="0" hidden="1">{"'Sheet1'!$L$16"}</definedName>
    <definedName name="___a1" localSheetId="10" hidden="1">{"'Sheet1'!$L$16"}</definedName>
    <definedName name="___a1" localSheetId="1" hidden="1">{"'Sheet1'!$L$16"}</definedName>
    <definedName name="___a1" localSheetId="6" hidden="1">{"'Sheet1'!$L$16"}</definedName>
    <definedName name="___a1" localSheetId="5" hidden="1">{"'Sheet1'!$L$16"}</definedName>
    <definedName name="___a1" localSheetId="4" hidden="1">{"'Sheet1'!$L$16"}</definedName>
    <definedName name="___a1" localSheetId="8" hidden="1">{"'Sheet1'!$L$16"}</definedName>
    <definedName name="___a1" localSheetId="7" hidden="1">{"'Sheet1'!$L$16"}</definedName>
    <definedName name="___a1" hidden="1">{"'Sheet1'!$L$16"}</definedName>
    <definedName name="___a129" localSheetId="9" hidden="1">{"Offgrid",#N/A,FALSE,"OFFGRID";"Region",#N/A,FALSE,"REGION";"Offgrid -2",#N/A,FALSE,"OFFGRID";"WTP",#N/A,FALSE,"WTP";"WTP -2",#N/A,FALSE,"WTP";"Project",#N/A,FALSE,"PROJECT";"Summary -2",#N/A,FALSE,"SUMMARY"}</definedName>
    <definedName name="___a129" localSheetId="0" hidden="1">{"Offgrid",#N/A,FALSE,"OFFGRID";"Region",#N/A,FALSE,"REGION";"Offgrid -2",#N/A,FALSE,"OFFGRID";"WTP",#N/A,FALSE,"WTP";"WTP -2",#N/A,FALSE,"WTP";"Project",#N/A,FALSE,"PROJECT";"Summary -2",#N/A,FALSE,"SUMMARY"}</definedName>
    <definedName name="___a129" localSheetId="10" hidden="1">{"Offgrid",#N/A,FALSE,"OFFGRID";"Region",#N/A,FALSE,"REGION";"Offgrid -2",#N/A,FALSE,"OFFGRID";"WTP",#N/A,FALSE,"WTP";"WTP -2",#N/A,FALSE,"WTP";"Project",#N/A,FALSE,"PROJECT";"Summary -2",#N/A,FALSE,"SUMMARY"}</definedName>
    <definedName name="___a129" localSheetId="1" hidden="1">{"Offgrid",#N/A,FALSE,"OFFGRID";"Region",#N/A,FALSE,"REGION";"Offgrid -2",#N/A,FALSE,"OFFGRID";"WTP",#N/A,FALSE,"WTP";"WTP -2",#N/A,FALSE,"WTP";"Project",#N/A,FALSE,"PROJECT";"Summary -2",#N/A,FALSE,"SUMMARY"}</definedName>
    <definedName name="___a129" localSheetId="6" hidden="1">{"Offgrid",#N/A,FALSE,"OFFGRID";"Region",#N/A,FALSE,"REGION";"Offgrid -2",#N/A,FALSE,"OFFGRID";"WTP",#N/A,FALSE,"WTP";"WTP -2",#N/A,FALSE,"WTP";"Project",#N/A,FALSE,"PROJECT";"Summary -2",#N/A,FALSE,"SUMMARY"}</definedName>
    <definedName name="___a129" localSheetId="5" hidden="1">{"Offgrid",#N/A,FALSE,"OFFGRID";"Region",#N/A,FALSE,"REGION";"Offgrid -2",#N/A,FALSE,"OFFGRID";"WTP",#N/A,FALSE,"WTP";"WTP -2",#N/A,FALSE,"WTP";"Project",#N/A,FALSE,"PROJECT";"Summary -2",#N/A,FALSE,"SUMMARY"}</definedName>
    <definedName name="___a129" localSheetId="4" hidden="1">{"Offgrid",#N/A,FALSE,"OFFGRID";"Region",#N/A,FALSE,"REGION";"Offgrid -2",#N/A,FALSE,"OFFGRID";"WTP",#N/A,FALSE,"WTP";"WTP -2",#N/A,FALSE,"WTP";"Project",#N/A,FALSE,"PROJECT";"Summary -2",#N/A,FALSE,"SUMMARY"}</definedName>
    <definedName name="___a129" localSheetId="8" hidden="1">{"Offgrid",#N/A,FALSE,"OFFGRID";"Region",#N/A,FALSE,"REGION";"Offgrid -2",#N/A,FALSE,"OFFGRID";"WTP",#N/A,FALSE,"WTP";"WTP -2",#N/A,FALSE,"WTP";"Project",#N/A,FALSE,"PROJECT";"Summary -2",#N/A,FALSE,"SUMMARY"}</definedName>
    <definedName name="___a129" localSheetId="7" hidden="1">{"Offgrid",#N/A,FALSE,"OFFGRID";"Region",#N/A,FALSE,"REGION";"Offgrid -2",#N/A,FALSE,"OFFGRID";"WTP",#N/A,FALSE,"WTP";"WTP -2",#N/A,FALSE,"WTP";"Project",#N/A,FALSE,"PROJECT";"Summary -2",#N/A,FALSE,"SUMMARY"}</definedName>
    <definedName name="___a129" hidden="1">{"Offgrid",#N/A,FALSE,"OFFGRID";"Region",#N/A,FALSE,"REGION";"Offgrid -2",#N/A,FALSE,"OFFGRID";"WTP",#N/A,FALSE,"WTP";"WTP -2",#N/A,FALSE,"WTP";"Project",#N/A,FALSE,"PROJECT";"Summary -2",#N/A,FALSE,"SUMMARY"}</definedName>
    <definedName name="___a130" localSheetId="9" hidden="1">{"Offgrid",#N/A,FALSE,"OFFGRID";"Region",#N/A,FALSE,"REGION";"Offgrid -2",#N/A,FALSE,"OFFGRID";"WTP",#N/A,FALSE,"WTP";"WTP -2",#N/A,FALSE,"WTP";"Project",#N/A,FALSE,"PROJECT";"Summary -2",#N/A,FALSE,"SUMMARY"}</definedName>
    <definedName name="___a130" localSheetId="0" hidden="1">{"Offgrid",#N/A,FALSE,"OFFGRID";"Region",#N/A,FALSE,"REGION";"Offgrid -2",#N/A,FALSE,"OFFGRID";"WTP",#N/A,FALSE,"WTP";"WTP -2",#N/A,FALSE,"WTP";"Project",#N/A,FALSE,"PROJECT";"Summary -2",#N/A,FALSE,"SUMMARY"}</definedName>
    <definedName name="___a130" localSheetId="10" hidden="1">{"Offgrid",#N/A,FALSE,"OFFGRID";"Region",#N/A,FALSE,"REGION";"Offgrid -2",#N/A,FALSE,"OFFGRID";"WTP",#N/A,FALSE,"WTP";"WTP -2",#N/A,FALSE,"WTP";"Project",#N/A,FALSE,"PROJECT";"Summary -2",#N/A,FALSE,"SUMMARY"}</definedName>
    <definedName name="___a130" localSheetId="1" hidden="1">{"Offgrid",#N/A,FALSE,"OFFGRID";"Region",#N/A,FALSE,"REGION";"Offgrid -2",#N/A,FALSE,"OFFGRID";"WTP",#N/A,FALSE,"WTP";"WTP -2",#N/A,FALSE,"WTP";"Project",#N/A,FALSE,"PROJECT";"Summary -2",#N/A,FALSE,"SUMMARY"}</definedName>
    <definedName name="___a130" localSheetId="6" hidden="1">{"Offgrid",#N/A,FALSE,"OFFGRID";"Region",#N/A,FALSE,"REGION";"Offgrid -2",#N/A,FALSE,"OFFGRID";"WTP",#N/A,FALSE,"WTP";"WTP -2",#N/A,FALSE,"WTP";"Project",#N/A,FALSE,"PROJECT";"Summary -2",#N/A,FALSE,"SUMMARY"}</definedName>
    <definedName name="___a130" localSheetId="5" hidden="1">{"Offgrid",#N/A,FALSE,"OFFGRID";"Region",#N/A,FALSE,"REGION";"Offgrid -2",#N/A,FALSE,"OFFGRID";"WTP",#N/A,FALSE,"WTP";"WTP -2",#N/A,FALSE,"WTP";"Project",#N/A,FALSE,"PROJECT";"Summary -2",#N/A,FALSE,"SUMMARY"}</definedName>
    <definedName name="___a130" localSheetId="4" hidden="1">{"Offgrid",#N/A,FALSE,"OFFGRID";"Region",#N/A,FALSE,"REGION";"Offgrid -2",#N/A,FALSE,"OFFGRID";"WTP",#N/A,FALSE,"WTP";"WTP -2",#N/A,FALSE,"WTP";"Project",#N/A,FALSE,"PROJECT";"Summary -2",#N/A,FALSE,"SUMMARY"}</definedName>
    <definedName name="___a130" localSheetId="8" hidden="1">{"Offgrid",#N/A,FALSE,"OFFGRID";"Region",#N/A,FALSE,"REGION";"Offgrid -2",#N/A,FALSE,"OFFGRID";"WTP",#N/A,FALSE,"WTP";"WTP -2",#N/A,FALSE,"WTP";"Project",#N/A,FALSE,"PROJECT";"Summary -2",#N/A,FALSE,"SUMMARY"}</definedName>
    <definedName name="___a130" localSheetId="7"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A65700">#REF!</definedName>
    <definedName name="___A65800">#REF!</definedName>
    <definedName name="___A66000">#REF!</definedName>
    <definedName name="___A67000">#REF!</definedName>
    <definedName name="___A68000">#REF!</definedName>
    <definedName name="___A70000">#REF!</definedName>
    <definedName name="___A75000">#REF!</definedName>
    <definedName name="___A85000">#REF!</definedName>
    <definedName name="___bac1">#REF!</definedName>
    <definedName name="___bac2">#REF!</definedName>
    <definedName name="___boi1">#REF!</definedName>
    <definedName name="___boi2">#REF!</definedName>
    <definedName name="___CON1">#REF!</definedName>
    <definedName name="___CON2">#REF!</definedName>
    <definedName name="___d1500" localSheetId="9" hidden="1">{"'Sheet1'!$L$16"}</definedName>
    <definedName name="___d1500" localSheetId="0" hidden="1">{"'Sheet1'!$L$16"}</definedName>
    <definedName name="___d1500" localSheetId="10" hidden="1">{"'Sheet1'!$L$16"}</definedName>
    <definedName name="___d1500" localSheetId="1" hidden="1">{"'Sheet1'!$L$16"}</definedName>
    <definedName name="___d1500" localSheetId="6" hidden="1">{"'Sheet1'!$L$16"}</definedName>
    <definedName name="___d1500" localSheetId="5" hidden="1">{"'Sheet1'!$L$16"}</definedName>
    <definedName name="___d1500" localSheetId="4" hidden="1">{"'Sheet1'!$L$16"}</definedName>
    <definedName name="___d1500" localSheetId="8" hidden="1">{"'Sheet1'!$L$16"}</definedName>
    <definedName name="___d1500" localSheetId="7" hidden="1">{"'Sheet1'!$L$16"}</definedName>
    <definedName name="___d1500" hidden="1">{"'Sheet1'!$L$16"}</definedName>
    <definedName name="___dao1">#REF!</definedName>
    <definedName name="___dao2">#REF!</definedName>
    <definedName name="___dap2">#REF!</definedName>
    <definedName name="___day2">#REF!</definedName>
    <definedName name="___dbu2">#REF!</definedName>
    <definedName name="___h1" localSheetId="9" hidden="1">{"'Sheet1'!$L$16"}</definedName>
    <definedName name="___h1" localSheetId="0" hidden="1">{"'Sheet1'!$L$16"}</definedName>
    <definedName name="___h1" localSheetId="10" hidden="1">{"'Sheet1'!$L$16"}</definedName>
    <definedName name="___h1" localSheetId="1" hidden="1">{"'Sheet1'!$L$16"}</definedName>
    <definedName name="___h1" localSheetId="6" hidden="1">{"'Sheet1'!$L$16"}</definedName>
    <definedName name="___h1" localSheetId="5" hidden="1">{"'Sheet1'!$L$16"}</definedName>
    <definedName name="___h1" localSheetId="4" hidden="1">{"'Sheet1'!$L$16"}</definedName>
    <definedName name="___h1" localSheetId="8" hidden="1">{"'Sheet1'!$L$16"}</definedName>
    <definedName name="___h1" localSheetId="7" hidden="1">{"'Sheet1'!$L$16"}</definedName>
    <definedName name="___h1" hidden="1">{"'Sheet1'!$L$16"}</definedName>
    <definedName name="___hu1" localSheetId="9" hidden="1">{"'Sheet1'!$L$16"}</definedName>
    <definedName name="___hu1" localSheetId="0" hidden="1">{"'Sheet1'!$L$16"}</definedName>
    <definedName name="___hu1" localSheetId="10" hidden="1">{"'Sheet1'!$L$16"}</definedName>
    <definedName name="___hu1" localSheetId="1" hidden="1">{"'Sheet1'!$L$16"}</definedName>
    <definedName name="___hu1" localSheetId="6" hidden="1">{"'Sheet1'!$L$16"}</definedName>
    <definedName name="___hu1" localSheetId="5" hidden="1">{"'Sheet1'!$L$16"}</definedName>
    <definedName name="___hu1" localSheetId="4" hidden="1">{"'Sheet1'!$L$16"}</definedName>
    <definedName name="___hu1" localSheetId="8" hidden="1">{"'Sheet1'!$L$16"}</definedName>
    <definedName name="___hu1" localSheetId="7" hidden="1">{"'Sheet1'!$L$16"}</definedName>
    <definedName name="___hu1" hidden="1">{"'Sheet1'!$L$16"}</definedName>
    <definedName name="___hu2" localSheetId="9" hidden="1">{"'Sheet1'!$L$16"}</definedName>
    <definedName name="___hu2" localSheetId="0" hidden="1">{"'Sheet1'!$L$16"}</definedName>
    <definedName name="___hu2" localSheetId="10" hidden="1">{"'Sheet1'!$L$16"}</definedName>
    <definedName name="___hu2" localSheetId="1" hidden="1">{"'Sheet1'!$L$16"}</definedName>
    <definedName name="___hu2" localSheetId="6" hidden="1">{"'Sheet1'!$L$16"}</definedName>
    <definedName name="___hu2" localSheetId="5" hidden="1">{"'Sheet1'!$L$16"}</definedName>
    <definedName name="___hu2" localSheetId="4" hidden="1">{"'Sheet1'!$L$16"}</definedName>
    <definedName name="___hu2" localSheetId="8" hidden="1">{"'Sheet1'!$L$16"}</definedName>
    <definedName name="___hu2" localSheetId="7" hidden="1">{"'Sheet1'!$L$16"}</definedName>
    <definedName name="___hu2" hidden="1">{"'Sheet1'!$L$16"}</definedName>
    <definedName name="___hu5" localSheetId="9" hidden="1">{"'Sheet1'!$L$16"}</definedName>
    <definedName name="___hu5" localSheetId="0" hidden="1">{"'Sheet1'!$L$16"}</definedName>
    <definedName name="___hu5" localSheetId="10" hidden="1">{"'Sheet1'!$L$16"}</definedName>
    <definedName name="___hu5" localSheetId="1" hidden="1">{"'Sheet1'!$L$16"}</definedName>
    <definedName name="___hu5" localSheetId="6" hidden="1">{"'Sheet1'!$L$16"}</definedName>
    <definedName name="___hu5" localSheetId="5" hidden="1">{"'Sheet1'!$L$16"}</definedName>
    <definedName name="___hu5" localSheetId="4" hidden="1">{"'Sheet1'!$L$16"}</definedName>
    <definedName name="___hu5" localSheetId="8" hidden="1">{"'Sheet1'!$L$16"}</definedName>
    <definedName name="___hu5" localSheetId="7" hidden="1">{"'Sheet1'!$L$16"}</definedName>
    <definedName name="___hu5" hidden="1">{"'Sheet1'!$L$16"}</definedName>
    <definedName name="___hu6" localSheetId="9" hidden="1">{"'Sheet1'!$L$16"}</definedName>
    <definedName name="___hu6" localSheetId="0" hidden="1">{"'Sheet1'!$L$16"}</definedName>
    <definedName name="___hu6" localSheetId="10" hidden="1">{"'Sheet1'!$L$16"}</definedName>
    <definedName name="___hu6" localSheetId="1" hidden="1">{"'Sheet1'!$L$16"}</definedName>
    <definedName name="___hu6" localSheetId="6" hidden="1">{"'Sheet1'!$L$16"}</definedName>
    <definedName name="___hu6" localSheetId="5" hidden="1">{"'Sheet1'!$L$16"}</definedName>
    <definedName name="___hu6" localSheetId="4" hidden="1">{"'Sheet1'!$L$16"}</definedName>
    <definedName name="___hu6" localSheetId="8" hidden="1">{"'Sheet1'!$L$16"}</definedName>
    <definedName name="___hu6" localSheetId="7" hidden="1">{"'Sheet1'!$L$16"}</definedName>
    <definedName name="___hu6" hidden="1">{"'Sheet1'!$L$16"}</definedName>
    <definedName name="___hu7" localSheetId="9" hidden="1">{"'Sheet1'!$L$16"}</definedName>
    <definedName name="___hu7" localSheetId="0" hidden="1">{"'Sheet1'!$L$16"}</definedName>
    <definedName name="___hu7" localSheetId="10" hidden="1">{"'Sheet1'!$L$16"}</definedName>
    <definedName name="___hu7" localSheetId="1" hidden="1">{"'Sheet1'!$L$16"}</definedName>
    <definedName name="___hu7" localSheetId="6" hidden="1">{"'Sheet1'!$L$16"}</definedName>
    <definedName name="___hu7" localSheetId="5" hidden="1">{"'Sheet1'!$L$16"}</definedName>
    <definedName name="___hu7" localSheetId="4" hidden="1">{"'Sheet1'!$L$16"}</definedName>
    <definedName name="___hu7" localSheetId="8" hidden="1">{"'Sheet1'!$L$16"}</definedName>
    <definedName name="___hu7" localSheetId="7" hidden="1">{"'Sheet1'!$L$16"}</definedName>
    <definedName name="___hu7" hidden="1">{"'Sheet1'!$L$16"}</definedName>
    <definedName name="___k10" localSheetId="9" hidden="1">{"'Sheet1'!$L$16"}</definedName>
    <definedName name="___k10" localSheetId="0" hidden="1">{"'Sheet1'!$L$16"}</definedName>
    <definedName name="___k10" localSheetId="10" hidden="1">{"'Sheet1'!$L$16"}</definedName>
    <definedName name="___k10" localSheetId="1" hidden="1">{"'Sheet1'!$L$16"}</definedName>
    <definedName name="___k10" localSheetId="6" hidden="1">{"'Sheet1'!$L$16"}</definedName>
    <definedName name="___k10" localSheetId="5" hidden="1">{"'Sheet1'!$L$16"}</definedName>
    <definedName name="___k10" localSheetId="4" hidden="1">{"'Sheet1'!$L$16"}</definedName>
    <definedName name="___k10" localSheetId="8" hidden="1">{"'Sheet1'!$L$16"}</definedName>
    <definedName name="___k10" localSheetId="7" hidden="1">{"'Sheet1'!$L$16"}</definedName>
    <definedName name="___k10" hidden="1">{"'Sheet1'!$L$16"}</definedName>
    <definedName name="___KS2" localSheetId="9" hidden="1">{"'Sheet1'!$L$16"}</definedName>
    <definedName name="___KS2" localSheetId="0" hidden="1">{"'Sheet1'!$L$16"}</definedName>
    <definedName name="___KS2" localSheetId="10" hidden="1">{"'Sheet1'!$L$16"}</definedName>
    <definedName name="___KS2" localSheetId="1" hidden="1">{"'Sheet1'!$L$16"}</definedName>
    <definedName name="___KS2" localSheetId="6" hidden="1">{"'Sheet1'!$L$16"}</definedName>
    <definedName name="___KS2" localSheetId="5" hidden="1">{"'Sheet1'!$L$16"}</definedName>
    <definedName name="___KS2" localSheetId="4" hidden="1">{"'Sheet1'!$L$16"}</definedName>
    <definedName name="___KS2" localSheetId="8" hidden="1">{"'Sheet1'!$L$16"}</definedName>
    <definedName name="___KS2" localSheetId="7" hidden="1">{"'Sheet1'!$L$16"}</definedName>
    <definedName name="___KS2" hidden="1">{"'Sheet1'!$L$16"}</definedName>
    <definedName name="___khi2">#REF!</definedName>
    <definedName name="___lap1">#REF!</definedName>
    <definedName name="___lap2">#REF!</definedName>
    <definedName name="___muc1">#REF!</definedName>
    <definedName name="___NET2">#REF!</definedName>
    <definedName name="___NPV11">#REF!</definedName>
    <definedName name="___npv22">#REF!</definedName>
    <definedName name="___oto10">#REF!</definedName>
    <definedName name="___PA3" localSheetId="9" hidden="1">{"'Sheet1'!$L$16"}</definedName>
    <definedName name="___PA3" localSheetId="0" hidden="1">{"'Sheet1'!$L$16"}</definedName>
    <definedName name="___PA3" localSheetId="10" hidden="1">{"'Sheet1'!$L$16"}</definedName>
    <definedName name="___PA3" localSheetId="1" hidden="1">{"'Sheet1'!$L$16"}</definedName>
    <definedName name="___PA3" localSheetId="6" hidden="1">{"'Sheet1'!$L$16"}</definedName>
    <definedName name="___PA3" localSheetId="5" hidden="1">{"'Sheet1'!$L$16"}</definedName>
    <definedName name="___PA3" localSheetId="4" hidden="1">{"'Sheet1'!$L$16"}</definedName>
    <definedName name="___PA3" localSheetId="8" hidden="1">{"'Sheet1'!$L$16"}</definedName>
    <definedName name="___PA3" localSheetId="7" hidden="1">{"'Sheet1'!$L$16"}</definedName>
    <definedName name="___PA3" hidden="1">{"'Sheet1'!$L$16"}</definedName>
    <definedName name="___PR1">#REF!</definedName>
    <definedName name="___T10" localSheetId="9" hidden="1">{"'Sheet1'!$L$16"}</definedName>
    <definedName name="___T10" localSheetId="0" hidden="1">{"'Sheet1'!$L$16"}</definedName>
    <definedName name="___T10" localSheetId="10" hidden="1">{"'Sheet1'!$L$16"}</definedName>
    <definedName name="___T10" localSheetId="1" hidden="1">{"'Sheet1'!$L$16"}</definedName>
    <definedName name="___T10" localSheetId="6" hidden="1">{"'Sheet1'!$L$16"}</definedName>
    <definedName name="___T10" localSheetId="5" hidden="1">{"'Sheet1'!$L$16"}</definedName>
    <definedName name="___T10" localSheetId="4" hidden="1">{"'Sheet1'!$L$16"}</definedName>
    <definedName name="___T10" localSheetId="8" hidden="1">{"'Sheet1'!$L$16"}</definedName>
    <definedName name="___T10" localSheetId="7" hidden="1">{"'Sheet1'!$L$16"}</definedName>
    <definedName name="___T10" hidden="1">{"'Sheet1'!$L$16"}</definedName>
    <definedName name="___T12" localSheetId="9" hidden="1">{"'Sheet1'!$L$16"}</definedName>
    <definedName name="___T12" localSheetId="0" hidden="1">{"'Sheet1'!$L$16"}</definedName>
    <definedName name="___T12" localSheetId="10" hidden="1">{"'Sheet1'!$L$16"}</definedName>
    <definedName name="___T12" localSheetId="1" hidden="1">{"'Sheet1'!$L$16"}</definedName>
    <definedName name="___T12" localSheetId="6" hidden="1">{"'Sheet1'!$L$16"}</definedName>
    <definedName name="___T12" localSheetId="5" hidden="1">{"'Sheet1'!$L$16"}</definedName>
    <definedName name="___T12" localSheetId="4" hidden="1">{"'Sheet1'!$L$16"}</definedName>
    <definedName name="___T12" localSheetId="8" hidden="1">{"'Sheet1'!$L$16"}</definedName>
    <definedName name="___T12" localSheetId="7" hidden="1">{"'Sheet1'!$L$16"}</definedName>
    <definedName name="___T12" hidden="1">{"'Sheet1'!$L$16"}</definedName>
    <definedName name="___tct3">#REF!</definedName>
    <definedName name="___vc1">#REF!</definedName>
    <definedName name="___vc2">#REF!</definedName>
    <definedName name="___vc3">#REF!</definedName>
    <definedName name="__a1" localSheetId="9" hidden="1">{"'Sheet1'!$L$16"}</definedName>
    <definedName name="__a1" localSheetId="0" hidden="1">{"'Sheet1'!$L$16"}</definedName>
    <definedName name="__a1" localSheetId="10" hidden="1">{"'Sheet1'!$L$16"}</definedName>
    <definedName name="__a1" localSheetId="1" hidden="1">{"'Sheet1'!$L$16"}</definedName>
    <definedName name="__a1" localSheetId="6" hidden="1">{"'Sheet1'!$L$16"}</definedName>
    <definedName name="__a1" localSheetId="5" hidden="1">{"'Sheet1'!$L$16"}</definedName>
    <definedName name="__a1" localSheetId="4" hidden="1">{"'Sheet1'!$L$16"}</definedName>
    <definedName name="__a1" localSheetId="8" hidden="1">{"'Sheet1'!$L$16"}</definedName>
    <definedName name="__a1" localSheetId="7" hidden="1">{"'Sheet1'!$L$16"}</definedName>
    <definedName name="__a1" hidden="1">{"'Sheet1'!$L$16"}</definedName>
    <definedName name="__a129" localSheetId="9" hidden="1">{"Offgrid",#N/A,FALSE,"OFFGRID";"Region",#N/A,FALSE,"REGION";"Offgrid -2",#N/A,FALSE,"OFFGRID";"WTP",#N/A,FALSE,"WTP";"WTP -2",#N/A,FALSE,"WTP";"Project",#N/A,FALSE,"PROJECT";"Summary -2",#N/A,FALSE,"SUMMARY"}</definedName>
    <definedName name="__a129" localSheetId="0" hidden="1">{"Offgrid",#N/A,FALSE,"OFFGRID";"Region",#N/A,FALSE,"REGION";"Offgrid -2",#N/A,FALSE,"OFFGRID";"WTP",#N/A,FALSE,"WTP";"WTP -2",#N/A,FALSE,"WTP";"Project",#N/A,FALSE,"PROJECT";"Summary -2",#N/A,FALSE,"SUMMARY"}</definedName>
    <definedName name="__a129" localSheetId="10" hidden="1">{"Offgrid",#N/A,FALSE,"OFFGRID";"Region",#N/A,FALSE,"REGION";"Offgrid -2",#N/A,FALSE,"OFFGRID";"WTP",#N/A,FALSE,"WTP";"WTP -2",#N/A,FALSE,"WTP";"Project",#N/A,FALSE,"PROJECT";"Summary -2",#N/A,FALSE,"SUMMARY"}</definedName>
    <definedName name="__a129" localSheetId="1" hidden="1">{"Offgrid",#N/A,FALSE,"OFFGRID";"Region",#N/A,FALSE,"REGION";"Offgrid -2",#N/A,FALSE,"OFFGRID";"WTP",#N/A,FALSE,"WTP";"WTP -2",#N/A,FALSE,"WTP";"Project",#N/A,FALSE,"PROJECT";"Summary -2",#N/A,FALSE,"SUMMARY"}</definedName>
    <definedName name="__a129" localSheetId="6" hidden="1">{"Offgrid",#N/A,FALSE,"OFFGRID";"Region",#N/A,FALSE,"REGION";"Offgrid -2",#N/A,FALSE,"OFFGRID";"WTP",#N/A,FALSE,"WTP";"WTP -2",#N/A,FALSE,"WTP";"Project",#N/A,FALSE,"PROJECT";"Summary -2",#N/A,FALSE,"SUMMARY"}</definedName>
    <definedName name="__a129" localSheetId="5" hidden="1">{"Offgrid",#N/A,FALSE,"OFFGRID";"Region",#N/A,FALSE,"REGION";"Offgrid -2",#N/A,FALSE,"OFFGRID";"WTP",#N/A,FALSE,"WTP";"WTP -2",#N/A,FALSE,"WTP";"Project",#N/A,FALSE,"PROJECT";"Summary -2",#N/A,FALSE,"SUMMARY"}</definedName>
    <definedName name="__a129" localSheetId="4" hidden="1">{"Offgrid",#N/A,FALSE,"OFFGRID";"Region",#N/A,FALSE,"REGION";"Offgrid -2",#N/A,FALSE,"OFFGRID";"WTP",#N/A,FALSE,"WTP";"WTP -2",#N/A,FALSE,"WTP";"Project",#N/A,FALSE,"PROJECT";"Summary -2",#N/A,FALSE,"SUMMARY"}</definedName>
    <definedName name="__a129" localSheetId="8" hidden="1">{"Offgrid",#N/A,FALSE,"OFFGRID";"Region",#N/A,FALSE,"REGION";"Offgrid -2",#N/A,FALSE,"OFFGRID";"WTP",#N/A,FALSE,"WTP";"WTP -2",#N/A,FALSE,"WTP";"Project",#N/A,FALSE,"PROJECT";"Summary -2",#N/A,FALSE,"SUMMARY"}</definedName>
    <definedName name="__a129" localSheetId="7" hidden="1">{"Offgrid",#N/A,FALSE,"OFFGRID";"Region",#N/A,FALSE,"REGION";"Offgrid -2",#N/A,FALSE,"OFFGRID";"WTP",#N/A,FALSE,"WTP";"WTP -2",#N/A,FALSE,"WTP";"Project",#N/A,FALSE,"PROJECT";"Summary -2",#N/A,FALSE,"SUMMARY"}</definedName>
    <definedName name="__a129" hidden="1">{"Offgrid",#N/A,FALSE,"OFFGRID";"Region",#N/A,FALSE,"REGION";"Offgrid -2",#N/A,FALSE,"OFFGRID";"WTP",#N/A,FALSE,"WTP";"WTP -2",#N/A,FALSE,"WTP";"Project",#N/A,FALSE,"PROJECT";"Summary -2",#N/A,FALSE,"SUMMARY"}</definedName>
    <definedName name="__a130" localSheetId="9" hidden="1">{"Offgrid",#N/A,FALSE,"OFFGRID";"Region",#N/A,FALSE,"REGION";"Offgrid -2",#N/A,FALSE,"OFFGRID";"WTP",#N/A,FALSE,"WTP";"WTP -2",#N/A,FALSE,"WTP";"Project",#N/A,FALSE,"PROJECT";"Summary -2",#N/A,FALSE,"SUMMARY"}</definedName>
    <definedName name="__a130" localSheetId="0" hidden="1">{"Offgrid",#N/A,FALSE,"OFFGRID";"Region",#N/A,FALSE,"REGION";"Offgrid -2",#N/A,FALSE,"OFFGRID";"WTP",#N/A,FALSE,"WTP";"WTP -2",#N/A,FALSE,"WTP";"Project",#N/A,FALSE,"PROJECT";"Summary -2",#N/A,FALSE,"SUMMARY"}</definedName>
    <definedName name="__a130" localSheetId="10" hidden="1">{"Offgrid",#N/A,FALSE,"OFFGRID";"Region",#N/A,FALSE,"REGION";"Offgrid -2",#N/A,FALSE,"OFFGRID";"WTP",#N/A,FALSE,"WTP";"WTP -2",#N/A,FALSE,"WTP";"Project",#N/A,FALSE,"PROJECT";"Summary -2",#N/A,FALSE,"SUMMARY"}</definedName>
    <definedName name="__a130" localSheetId="1" hidden="1">{"Offgrid",#N/A,FALSE,"OFFGRID";"Region",#N/A,FALSE,"REGION";"Offgrid -2",#N/A,FALSE,"OFFGRID";"WTP",#N/A,FALSE,"WTP";"WTP -2",#N/A,FALSE,"WTP";"Project",#N/A,FALSE,"PROJECT";"Summary -2",#N/A,FALSE,"SUMMARY"}</definedName>
    <definedName name="__a130" localSheetId="6" hidden="1">{"Offgrid",#N/A,FALSE,"OFFGRID";"Region",#N/A,FALSE,"REGION";"Offgrid -2",#N/A,FALSE,"OFFGRID";"WTP",#N/A,FALSE,"WTP";"WTP -2",#N/A,FALSE,"WTP";"Project",#N/A,FALSE,"PROJECT";"Summary -2",#N/A,FALSE,"SUMMARY"}</definedName>
    <definedName name="__a130" localSheetId="5" hidden="1">{"Offgrid",#N/A,FALSE,"OFFGRID";"Region",#N/A,FALSE,"REGION";"Offgrid -2",#N/A,FALSE,"OFFGRID";"WTP",#N/A,FALSE,"WTP";"WTP -2",#N/A,FALSE,"WTP";"Project",#N/A,FALSE,"PROJECT";"Summary -2",#N/A,FALSE,"SUMMARY"}</definedName>
    <definedName name="__a130" localSheetId="4" hidden="1">{"Offgrid",#N/A,FALSE,"OFFGRID";"Region",#N/A,FALSE,"REGION";"Offgrid -2",#N/A,FALSE,"OFFGRID";"WTP",#N/A,FALSE,"WTP";"WTP -2",#N/A,FALSE,"WTP";"Project",#N/A,FALSE,"PROJECT";"Summary -2",#N/A,FALSE,"SUMMARY"}</definedName>
    <definedName name="__a130" localSheetId="8" hidden="1">{"Offgrid",#N/A,FALSE,"OFFGRID";"Region",#N/A,FALSE,"REGION";"Offgrid -2",#N/A,FALSE,"OFFGRID";"WTP",#N/A,FALSE,"WTP";"WTP -2",#N/A,FALSE,"WTP";"Project",#N/A,FALSE,"PROJECT";"Summary -2",#N/A,FALSE,"SUMMARY"}</definedName>
    <definedName name="__a130" localSheetId="7"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65700">#REF!</definedName>
    <definedName name="__A65800">#REF!</definedName>
    <definedName name="__A66000">#REF!</definedName>
    <definedName name="__A67000">#REF!</definedName>
    <definedName name="__A68000">#REF!</definedName>
    <definedName name="__A70000">#REF!</definedName>
    <definedName name="__A75000">#REF!</definedName>
    <definedName name="__A85000">#REF!</definedName>
    <definedName name="__abb91">#REF!</definedName>
    <definedName name="__atn1">#REF!</definedName>
    <definedName name="__atn10">#REF!</definedName>
    <definedName name="__atn2">#REF!</definedName>
    <definedName name="__atn3">#REF!</definedName>
    <definedName name="__atn4">#REF!</definedName>
    <definedName name="__atn5">#REF!</definedName>
    <definedName name="__atn6">#REF!</definedName>
    <definedName name="__atn7">#REF!</definedName>
    <definedName name="__atn8">#REF!</definedName>
    <definedName name="__atn9">#REF!</definedName>
    <definedName name="__bac1" localSheetId="7">#REF!</definedName>
    <definedName name="__bac1">#REF!</definedName>
    <definedName name="__bac2" localSheetId="7">#REF!</definedName>
    <definedName name="__bac2">#REF!</definedName>
    <definedName name="__BTM250">#REF!</definedName>
    <definedName name="__Cau2">#REF!</definedName>
    <definedName name="__CON1">#REF!</definedName>
    <definedName name="__CON2">#REF!</definedName>
    <definedName name="__Count">9</definedName>
    <definedName name="__cpd1">#REF!</definedName>
    <definedName name="__cpd2">#REF!</definedName>
    <definedName name="__CT250">#REF!</definedName>
    <definedName name="__d1500" localSheetId="9" hidden="1">{"'Sheet1'!$L$16"}</definedName>
    <definedName name="__d1500" localSheetId="0" hidden="1">{"'Sheet1'!$L$16"}</definedName>
    <definedName name="__d1500" localSheetId="10" hidden="1">{"'Sheet1'!$L$16"}</definedName>
    <definedName name="__d1500" localSheetId="1" hidden="1">{"'Sheet1'!$L$16"}</definedName>
    <definedName name="__d1500" localSheetId="6" hidden="1">{"'Sheet1'!$L$16"}</definedName>
    <definedName name="__d1500" localSheetId="5" hidden="1">{"'Sheet1'!$L$16"}</definedName>
    <definedName name="__d1500" localSheetId="4" hidden="1">{"'Sheet1'!$L$16"}</definedName>
    <definedName name="__d1500" localSheetId="8" hidden="1">{"'Sheet1'!$L$16"}</definedName>
    <definedName name="__d1500" localSheetId="7" hidden="1">{"'Sheet1'!$L$16"}</definedName>
    <definedName name="__d1500" hidden="1">{"'Sheet1'!$L$16"}</definedName>
    <definedName name="__day1">#REF!</definedName>
    <definedName name="__dbu1">#REF!</definedName>
    <definedName name="__deo1">#REF!</definedName>
    <definedName name="__deo10">#REF!</definedName>
    <definedName name="__deo2">#REF!</definedName>
    <definedName name="__deo3">#REF!</definedName>
    <definedName name="__deo4">#REF!</definedName>
    <definedName name="__deo5">#REF!</definedName>
    <definedName name="__deo6">#REF!</definedName>
    <definedName name="__deo7">#REF!</definedName>
    <definedName name="__deo8">#REF!</definedName>
    <definedName name="__deo9">#REF!</definedName>
    <definedName name="__doi3">#REF!</definedName>
    <definedName name="__E99999">#REF!</definedName>
    <definedName name="__gon4">#REF!</definedName>
    <definedName name="__h1" localSheetId="9" hidden="1">{"'Sheet1'!$L$16"}</definedName>
    <definedName name="__h1" localSheetId="0" hidden="1">{"'Sheet1'!$L$16"}</definedName>
    <definedName name="__h1" localSheetId="10" hidden="1">{"'Sheet1'!$L$16"}</definedName>
    <definedName name="__h1" localSheetId="1" hidden="1">{"'Sheet1'!$L$16"}</definedName>
    <definedName name="__h1" localSheetId="6" hidden="1">{"'Sheet1'!$L$16"}</definedName>
    <definedName name="__h1" localSheetId="5" hidden="1">{"'Sheet1'!$L$16"}</definedName>
    <definedName name="__h1" localSheetId="4" hidden="1">{"'Sheet1'!$L$16"}</definedName>
    <definedName name="__h1" localSheetId="8" hidden="1">{"'Sheet1'!$L$16"}</definedName>
    <definedName name="__h1" localSheetId="7" hidden="1">{"'Sheet1'!$L$16"}</definedName>
    <definedName name="__h1" hidden="1">{"'Sheet1'!$L$16"}</definedName>
    <definedName name="__han23">#REF!</definedName>
    <definedName name="__hu1" localSheetId="9" hidden="1">{"'Sheet1'!$L$16"}</definedName>
    <definedName name="__hu1" localSheetId="0" hidden="1">{"'Sheet1'!$L$16"}</definedName>
    <definedName name="__hu1" localSheetId="10" hidden="1">{"'Sheet1'!$L$16"}</definedName>
    <definedName name="__hu1" localSheetId="1" hidden="1">{"'Sheet1'!$L$16"}</definedName>
    <definedName name="__hu1" localSheetId="6" hidden="1">{"'Sheet1'!$L$16"}</definedName>
    <definedName name="__hu1" localSheetId="5" hidden="1">{"'Sheet1'!$L$16"}</definedName>
    <definedName name="__hu1" localSheetId="4" hidden="1">{"'Sheet1'!$L$16"}</definedName>
    <definedName name="__hu1" localSheetId="8" hidden="1">{"'Sheet1'!$L$16"}</definedName>
    <definedName name="__hu1" localSheetId="7" hidden="1">{"'Sheet1'!$L$16"}</definedName>
    <definedName name="__hu1" hidden="1">{"'Sheet1'!$L$16"}</definedName>
    <definedName name="__hu2" localSheetId="9" hidden="1">{"'Sheet1'!$L$16"}</definedName>
    <definedName name="__hu2" localSheetId="0" hidden="1">{"'Sheet1'!$L$16"}</definedName>
    <definedName name="__hu2" localSheetId="10" hidden="1">{"'Sheet1'!$L$16"}</definedName>
    <definedName name="__hu2" localSheetId="1" hidden="1">{"'Sheet1'!$L$16"}</definedName>
    <definedName name="__hu2" localSheetId="6" hidden="1">{"'Sheet1'!$L$16"}</definedName>
    <definedName name="__hu2" localSheetId="5" hidden="1">{"'Sheet1'!$L$16"}</definedName>
    <definedName name="__hu2" localSheetId="4" hidden="1">{"'Sheet1'!$L$16"}</definedName>
    <definedName name="__hu2" localSheetId="8" hidden="1">{"'Sheet1'!$L$16"}</definedName>
    <definedName name="__hu2" localSheetId="7" hidden="1">{"'Sheet1'!$L$16"}</definedName>
    <definedName name="__hu2" hidden="1">{"'Sheet1'!$L$16"}</definedName>
    <definedName name="__hu5" localSheetId="9" hidden="1">{"'Sheet1'!$L$16"}</definedName>
    <definedName name="__hu5" localSheetId="0" hidden="1">{"'Sheet1'!$L$16"}</definedName>
    <definedName name="__hu5" localSheetId="10" hidden="1">{"'Sheet1'!$L$16"}</definedName>
    <definedName name="__hu5" localSheetId="1" hidden="1">{"'Sheet1'!$L$16"}</definedName>
    <definedName name="__hu5" localSheetId="6" hidden="1">{"'Sheet1'!$L$16"}</definedName>
    <definedName name="__hu5" localSheetId="5" hidden="1">{"'Sheet1'!$L$16"}</definedName>
    <definedName name="__hu5" localSheetId="4" hidden="1">{"'Sheet1'!$L$16"}</definedName>
    <definedName name="__hu5" localSheetId="8" hidden="1">{"'Sheet1'!$L$16"}</definedName>
    <definedName name="__hu5" localSheetId="7" hidden="1">{"'Sheet1'!$L$16"}</definedName>
    <definedName name="__hu5" hidden="1">{"'Sheet1'!$L$16"}</definedName>
    <definedName name="__hu6" localSheetId="9" hidden="1">{"'Sheet1'!$L$16"}</definedName>
    <definedName name="__hu6" localSheetId="0" hidden="1">{"'Sheet1'!$L$16"}</definedName>
    <definedName name="__hu6" localSheetId="10" hidden="1">{"'Sheet1'!$L$16"}</definedName>
    <definedName name="__hu6" localSheetId="1" hidden="1">{"'Sheet1'!$L$16"}</definedName>
    <definedName name="__hu6" localSheetId="6" hidden="1">{"'Sheet1'!$L$16"}</definedName>
    <definedName name="__hu6" localSheetId="5" hidden="1">{"'Sheet1'!$L$16"}</definedName>
    <definedName name="__hu6" localSheetId="4" hidden="1">{"'Sheet1'!$L$16"}</definedName>
    <definedName name="__hu6" localSheetId="8" hidden="1">{"'Sheet1'!$L$16"}</definedName>
    <definedName name="__hu6" localSheetId="7" hidden="1">{"'Sheet1'!$L$16"}</definedName>
    <definedName name="__hu6" hidden="1">{"'Sheet1'!$L$16"}</definedName>
    <definedName name="__hu7" localSheetId="9" hidden="1">{"'Sheet1'!$L$16"}</definedName>
    <definedName name="__hu7" localSheetId="0" hidden="1">{"'Sheet1'!$L$16"}</definedName>
    <definedName name="__hu7" localSheetId="10" hidden="1">{"'Sheet1'!$L$16"}</definedName>
    <definedName name="__hu7" localSheetId="1" hidden="1">{"'Sheet1'!$L$16"}</definedName>
    <definedName name="__hu7" localSheetId="6" hidden="1">{"'Sheet1'!$L$16"}</definedName>
    <definedName name="__hu7" localSheetId="5" hidden="1">{"'Sheet1'!$L$16"}</definedName>
    <definedName name="__hu7" localSheetId="4" hidden="1">{"'Sheet1'!$L$16"}</definedName>
    <definedName name="__hu7" localSheetId="8" hidden="1">{"'Sheet1'!$L$16"}</definedName>
    <definedName name="__hu7" localSheetId="7" hidden="1">{"'Sheet1'!$L$16"}</definedName>
    <definedName name="__hu7" hidden="1">{"'Sheet1'!$L$16"}</definedName>
    <definedName name="__IntlFixup" hidden="1">TRUE</definedName>
    <definedName name="__k10" localSheetId="9" hidden="1">{"'Sheet1'!$L$16"}</definedName>
    <definedName name="__k10" localSheetId="0" hidden="1">{"'Sheet1'!$L$16"}</definedName>
    <definedName name="__k10" localSheetId="10" hidden="1">{"'Sheet1'!$L$16"}</definedName>
    <definedName name="__k10" localSheetId="1" hidden="1">{"'Sheet1'!$L$16"}</definedName>
    <definedName name="__k10" localSheetId="6" hidden="1">{"'Sheet1'!$L$16"}</definedName>
    <definedName name="__k10" localSheetId="5" hidden="1">{"'Sheet1'!$L$16"}</definedName>
    <definedName name="__k10" localSheetId="4" hidden="1">{"'Sheet1'!$L$16"}</definedName>
    <definedName name="__k10" localSheetId="8" hidden="1">{"'Sheet1'!$L$16"}</definedName>
    <definedName name="__k10" localSheetId="7" hidden="1">{"'Sheet1'!$L$16"}</definedName>
    <definedName name="__k10" hidden="1">{"'Sheet1'!$L$16"}</definedName>
    <definedName name="__KS2" localSheetId="9" hidden="1">{"'Sheet1'!$L$16"}</definedName>
    <definedName name="__KS2" localSheetId="0" hidden="1">{"'Sheet1'!$L$16"}</definedName>
    <definedName name="__KS2" localSheetId="10" hidden="1">{"'Sheet1'!$L$16"}</definedName>
    <definedName name="__KS2" localSheetId="1" hidden="1">{"'Sheet1'!$L$16"}</definedName>
    <definedName name="__KS2" localSheetId="6" hidden="1">{"'Sheet1'!$L$16"}</definedName>
    <definedName name="__KS2" localSheetId="5" hidden="1">{"'Sheet1'!$L$16"}</definedName>
    <definedName name="__KS2" localSheetId="4" hidden="1">{"'Sheet1'!$L$16"}</definedName>
    <definedName name="__KS2" localSheetId="8" hidden="1">{"'Sheet1'!$L$16"}</definedName>
    <definedName name="__KS2" localSheetId="7" hidden="1">{"'Sheet1'!$L$16"}</definedName>
    <definedName name="__KS2" hidden="1">{"'Sheet1'!$L$16"}</definedName>
    <definedName name="__khi2">#REF!</definedName>
    <definedName name="__khu7">#REF!</definedName>
    <definedName name="__MB1">#REF!</definedName>
    <definedName name="__MB2">#REF!</definedName>
    <definedName name="__MN1">#REF!</definedName>
    <definedName name="__MN2">#REF!</definedName>
    <definedName name="__MT1">#REF!</definedName>
    <definedName name="__MT2">#REF!</definedName>
    <definedName name="__muc1">#REF!</definedName>
    <definedName name="__nc151">#REF!</definedName>
    <definedName name="__nc27">#REF!</definedName>
    <definedName name="__NET2">#REF!</definedName>
    <definedName name="__NPV11">#REF!</definedName>
    <definedName name="__npv22">#REF!</definedName>
    <definedName name="__NSO2" localSheetId="9" hidden="1">{"'Sheet1'!$L$16"}</definedName>
    <definedName name="__NSO2" localSheetId="0" hidden="1">{"'Sheet1'!$L$16"}</definedName>
    <definedName name="__NSO2" localSheetId="10" hidden="1">{"'Sheet1'!$L$16"}</definedName>
    <definedName name="__NSO2" localSheetId="1" hidden="1">{"'Sheet1'!$L$16"}</definedName>
    <definedName name="__NSO2" localSheetId="6" hidden="1">{"'Sheet1'!$L$16"}</definedName>
    <definedName name="__NSO2" localSheetId="5" hidden="1">{"'Sheet1'!$L$16"}</definedName>
    <definedName name="__NSO2" localSheetId="4" hidden="1">{"'Sheet1'!$L$16"}</definedName>
    <definedName name="__NSO2" localSheetId="8" hidden="1">{"'Sheet1'!$L$16"}</definedName>
    <definedName name="__NSO2" localSheetId="7" hidden="1">{"'Sheet1'!$L$16"}</definedName>
    <definedName name="__NSO2" hidden="1">{"'Sheet1'!$L$16"}</definedName>
    <definedName name="__nga3">#REF!</definedName>
    <definedName name="__oto10">#REF!</definedName>
    <definedName name="__PA3" localSheetId="9" hidden="1">{"'Sheet1'!$L$16"}</definedName>
    <definedName name="__PA3" localSheetId="0" hidden="1">{"'Sheet1'!$L$16"}</definedName>
    <definedName name="__PA3" localSheetId="10" hidden="1">{"'Sheet1'!$L$16"}</definedName>
    <definedName name="__PA3" localSheetId="1" hidden="1">{"'Sheet1'!$L$16"}</definedName>
    <definedName name="__PA3" localSheetId="6" hidden="1">{"'Sheet1'!$L$16"}</definedName>
    <definedName name="__PA3" localSheetId="5" hidden="1">{"'Sheet1'!$L$16"}</definedName>
    <definedName name="__PA3" localSheetId="4" hidden="1">{"'Sheet1'!$L$16"}</definedName>
    <definedName name="__PA3" localSheetId="8" hidden="1">{"'Sheet1'!$L$16"}</definedName>
    <definedName name="__PA3" localSheetId="7" hidden="1">{"'Sheet1'!$L$16"}</definedName>
    <definedName name="__PA3" hidden="1">{"'Sheet1'!$L$16"}</definedName>
    <definedName name="__pc30">#REF!</definedName>
    <definedName name="__pc40">#REF!</definedName>
    <definedName name="__PR1">#REF!</definedName>
    <definedName name="__san110">#REF!</definedName>
    <definedName name="__SPL4">#REF!</definedName>
    <definedName name="__STD0898">#REF!</definedName>
    <definedName name="__T10" localSheetId="9" hidden="1">{"'Sheet1'!$L$16"}</definedName>
    <definedName name="__T10" localSheetId="0" hidden="1">{"'Sheet1'!$L$16"}</definedName>
    <definedName name="__T10" localSheetId="10" hidden="1">{"'Sheet1'!$L$16"}</definedName>
    <definedName name="__T10" localSheetId="1" hidden="1">{"'Sheet1'!$L$16"}</definedName>
    <definedName name="__T10" localSheetId="6" hidden="1">{"'Sheet1'!$L$16"}</definedName>
    <definedName name="__T10" localSheetId="5" hidden="1">{"'Sheet1'!$L$16"}</definedName>
    <definedName name="__T10" localSheetId="4" hidden="1">{"'Sheet1'!$L$16"}</definedName>
    <definedName name="__T10" localSheetId="8" hidden="1">{"'Sheet1'!$L$16"}</definedName>
    <definedName name="__T10" localSheetId="7" hidden="1">{"'Sheet1'!$L$16"}</definedName>
    <definedName name="__T10" hidden="1">{"'Sheet1'!$L$16"}</definedName>
    <definedName name="__T12" localSheetId="9" hidden="1">{"'Sheet1'!$L$16"}</definedName>
    <definedName name="__T12" localSheetId="0" hidden="1">{"'Sheet1'!$L$16"}</definedName>
    <definedName name="__T12" localSheetId="10" hidden="1">{"'Sheet1'!$L$16"}</definedName>
    <definedName name="__T12" localSheetId="1" hidden="1">{"'Sheet1'!$L$16"}</definedName>
    <definedName name="__T12" localSheetId="6" hidden="1">{"'Sheet1'!$L$16"}</definedName>
    <definedName name="__T12" localSheetId="5" hidden="1">{"'Sheet1'!$L$16"}</definedName>
    <definedName name="__T12" localSheetId="4" hidden="1">{"'Sheet1'!$L$16"}</definedName>
    <definedName name="__T12" localSheetId="8" hidden="1">{"'Sheet1'!$L$16"}</definedName>
    <definedName name="__T12" localSheetId="7" hidden="1">{"'Sheet1'!$L$16"}</definedName>
    <definedName name="__T12" hidden="1">{"'Sheet1'!$L$16"}</definedName>
    <definedName name="__tam1">#REF!</definedName>
    <definedName name="__tct3">#REF!</definedName>
    <definedName name="__tct5">#REF!</definedName>
    <definedName name="__tg427">#REF!</definedName>
    <definedName name="__TH20">#REF!</definedName>
    <definedName name="__ui110">#REF!</definedName>
    <definedName name="__UT2">#REF!</definedName>
    <definedName name="__XM30">#REF!</definedName>
    <definedName name="__xx1">#REF!</definedName>
    <definedName name="__xx12">#REF!</definedName>
    <definedName name="__xx2">#REF!</definedName>
    <definedName name="__xx3">#REF!</definedName>
    <definedName name="__xx4">#REF!</definedName>
    <definedName name="__xx5">#REF!</definedName>
    <definedName name="__xx6">#REF!</definedName>
    <definedName name="__xx7">#REF!</definedName>
    <definedName name="__yy1">#REF!</definedName>
    <definedName name="__yy2">#REF!</definedName>
    <definedName name="__zx1">#REF!</definedName>
    <definedName name="_01_01_99">#REF!</definedName>
    <definedName name="_01_02_99">#REF!</definedName>
    <definedName name="_01_03_99">#REF!</definedName>
    <definedName name="_01_04_99">#REF!</definedName>
    <definedName name="_01_05_99">#REF!</definedName>
    <definedName name="_01_06_99">#REF!</definedName>
    <definedName name="_01_07_99">#REF!</definedName>
    <definedName name="_01_08_1999">#REF!</definedName>
    <definedName name="_01_11_2001">#N/A</definedName>
    <definedName name="_073">"DIEU CHINH"</definedName>
    <definedName name="_09_2019">#REF!</definedName>
    <definedName name="_1">#REF!</definedName>
    <definedName name="_1____0DATA_DATA2_L">#REF!</definedName>
    <definedName name="_10__TRÒ_GIAÙ">#REF!</definedName>
    <definedName name="_10_2019">#REF!</definedName>
    <definedName name="_1000A01">#N/A</definedName>
    <definedName name="_102_2019">#REF!</definedName>
    <definedName name="_104_2019">#REF!</definedName>
    <definedName name="_105_2019">#REF!</definedName>
    <definedName name="_106_2019">#REF!</definedName>
    <definedName name="_11__TRÒ_GIAÙ__VAT">#REF!</definedName>
    <definedName name="_12_2019">#REF!</definedName>
    <definedName name="_121_2019">#REF!</definedName>
    <definedName name="_122_2019">#REF!</definedName>
    <definedName name="_13_2019">#REF!</definedName>
    <definedName name="_141_2019">#REF!</definedName>
    <definedName name="_146_2019">#REF!</definedName>
    <definedName name="_15_2019">#REF!</definedName>
    <definedName name="_150_2019">#REF!</definedName>
    <definedName name="_161_2019">#REF!</definedName>
    <definedName name="_17_2019">#REF!</definedName>
    <definedName name="_181_2019">#REF!</definedName>
    <definedName name="_182_2019">#REF!</definedName>
    <definedName name="_183_2019">#REF!</definedName>
    <definedName name="_185_2019">#REF!</definedName>
    <definedName name="_186_2019">#REF!</definedName>
    <definedName name="_192_2019">#REF!</definedName>
    <definedName name="_193_2019">#REF!</definedName>
    <definedName name="_196_2019">#REF!</definedName>
    <definedName name="_198_2019">#REF!</definedName>
    <definedName name="_199_2019">#REF!</definedName>
    <definedName name="_1BA1025">#REF!</definedName>
    <definedName name="_1BA1037">#REF!</definedName>
    <definedName name="_1BA1050">#REF!</definedName>
    <definedName name="_1BA1075">#REF!</definedName>
    <definedName name="_1BA1100">#REF!</definedName>
    <definedName name="_1BA2500">#REF!</definedName>
    <definedName name="_1BA3025">#REF!</definedName>
    <definedName name="_1BA3037">#REF!</definedName>
    <definedName name="_1BA3050">#REF!</definedName>
    <definedName name="_1BA305G">#REF!</definedName>
    <definedName name="_1BA3075">#REF!</definedName>
    <definedName name="_1BA3100">#REF!</definedName>
    <definedName name="_1BA3160">#REF!</definedName>
    <definedName name="_1BA3250">#REF!</definedName>
    <definedName name="_1BA3320">#REF!</definedName>
    <definedName name="_1BA3400">#REF!</definedName>
    <definedName name="_1BA400P">#REF!</definedName>
    <definedName name="_1CAP001">#REF!</definedName>
    <definedName name="_1CAP002">#REF!</definedName>
    <definedName name="_1CAP003">#REF!</definedName>
    <definedName name="_1CAPTU1">#REF!</definedName>
    <definedName name="_1CDHT01">#REF!</definedName>
    <definedName name="_1CDHT02">#REF!</definedName>
    <definedName name="_1CHANG1">#REF!</definedName>
    <definedName name="_1DA0801">#REF!</definedName>
    <definedName name="_1DA0802">#REF!</definedName>
    <definedName name="_1DA1201">#REF!</definedName>
    <definedName name="_1DA2001">#REF!</definedName>
    <definedName name="_1DA2401">#REF!</definedName>
    <definedName name="_1DA2402">#REF!</definedName>
    <definedName name="_1DA3201">#REF!</definedName>
    <definedName name="_1DA3202">#REF!</definedName>
    <definedName name="_1DA3203">#REF!</definedName>
    <definedName name="_1DA3204">#REF!</definedName>
    <definedName name="_1DAU001">#REF!</definedName>
    <definedName name="_1DAU002">#REF!</definedName>
    <definedName name="_1DAU003">#REF!</definedName>
    <definedName name="_1DCTT48">#REF!</definedName>
    <definedName name="_1DDAY03">#REF!</definedName>
    <definedName name="_1DDTT01">#REF!</definedName>
    <definedName name="_1DK1001">#REF!</definedName>
    <definedName name="_1DK3001">#REF!</definedName>
    <definedName name="_1FCO101">#REF!</definedName>
    <definedName name="_1GIA101">#REF!</definedName>
    <definedName name="_1KD22B1">#REF!</definedName>
    <definedName name="_1KDM22T">#REF!</definedName>
    <definedName name="_1KEP001">#REF!</definedName>
    <definedName name="_1LA1001">#REF!</definedName>
    <definedName name="_1LCAP01">#REF!</definedName>
    <definedName name="_1MCCBO2">#REF!</definedName>
    <definedName name="_1NEO001">#REF!</definedName>
    <definedName name="_1PKCAP1">#REF!</definedName>
    <definedName name="_1PKIEN1">#REF!</definedName>
    <definedName name="_1PKTT01">#REF!</definedName>
    <definedName name="_1SDUNG1">#REF!</definedName>
    <definedName name="_1STREO1">#REF!</definedName>
    <definedName name="_1STREO2">#REF!</definedName>
    <definedName name="_1STREO3">#REF!</definedName>
    <definedName name="_1TCD101">#REF!</definedName>
    <definedName name="_1TCD201">#REF!</definedName>
    <definedName name="_1TD1001">#REF!</definedName>
    <definedName name="_1TD1002">#REF!</definedName>
    <definedName name="_1TD2001">#REF!</definedName>
    <definedName name="_1TIHT01">#REF!</definedName>
    <definedName name="_1TIHT02">#REF!</definedName>
    <definedName name="_1TIHT03">#REF!</definedName>
    <definedName name="_1TIHT04">#REF!</definedName>
    <definedName name="_1TIHT05">#REF!</definedName>
    <definedName name="_1TRU121">#REF!</definedName>
    <definedName name="_1UCLEV1">#REF!</definedName>
    <definedName name="_2">#REF!</definedName>
    <definedName name="_2__MAÕ_HAØNG">#REF!</definedName>
    <definedName name="_201_2019">#REF!</definedName>
    <definedName name="_202_2019">#REF!</definedName>
    <definedName name="_204_2019">#REF!</definedName>
    <definedName name="_205_2019">#REF!</definedName>
    <definedName name="_2BLA100">#REF!</definedName>
    <definedName name="_2COTT48">#REF!</definedName>
    <definedName name="_2CHAG01">#REF!</definedName>
    <definedName name="_2CHAG02">#REF!</definedName>
    <definedName name="_2CHDG01">#REF!</definedName>
    <definedName name="_2CHDG02">#REF!</definedName>
    <definedName name="_2CHGI01">#REF!</definedName>
    <definedName name="_2CHSG01">#REF!</definedName>
    <definedName name="_2DA0801">#REF!</definedName>
    <definedName name="_2DA0802">#REF!</definedName>
    <definedName name="_2DA2001">#REF!</definedName>
    <definedName name="_2DA2002">#REF!</definedName>
    <definedName name="_2DA2401">#REF!</definedName>
    <definedName name="_2DA2402">#REF!</definedName>
    <definedName name="_2DA2403">#REF!</definedName>
    <definedName name="_2DA2404">#REF!</definedName>
    <definedName name="_2DA2405">#REF!</definedName>
    <definedName name="_2DA2406">#REF!</definedName>
    <definedName name="_2DA3202">#REF!</definedName>
    <definedName name="_2DAL201">#REF!</definedName>
    <definedName name="_2DCT001">#REF!</definedName>
    <definedName name="_2DDAY01">#REF!</definedName>
    <definedName name="_2DS1P01">#REF!</definedName>
    <definedName name="_2DS3P01">#REF!</definedName>
    <definedName name="_2FCO100">#REF!</definedName>
    <definedName name="_2FCO200">#REF!</definedName>
    <definedName name="_2KD0221">#REF!</definedName>
    <definedName name="_2KD0223">#REF!</definedName>
    <definedName name="_2KD0481">#REF!</definedName>
    <definedName name="_2KD0500">#REF!</definedName>
    <definedName name="_2KD0501">#REF!</definedName>
    <definedName name="_2KD0502">#REF!</definedName>
    <definedName name="_2KD0700">#REF!</definedName>
    <definedName name="_2KD0701">#REF!</definedName>
    <definedName name="_2KD0702">#REF!</definedName>
    <definedName name="_2KD0950">#REF!</definedName>
    <definedName name="_2KD0951">#REF!</definedName>
    <definedName name="_2KD1501">#REF!</definedName>
    <definedName name="_2KD1502">#REF!</definedName>
    <definedName name="_2KD22B1">#REF!</definedName>
    <definedName name="_2KD2401">#REF!</definedName>
    <definedName name="_2KD48B1">#REF!</definedName>
    <definedName name="_2LA1001">#REF!</definedName>
    <definedName name="_2LBCO01">#REF!</definedName>
    <definedName name="_2LBS001">#REF!</definedName>
    <definedName name="_2MONG01">#REF!</definedName>
    <definedName name="_2NEO001">#REF!</definedName>
    <definedName name="_2NHANH1">#REF!</definedName>
    <definedName name="_2OILS01">#REF!</definedName>
    <definedName name="_2PKTT01">#REF!</definedName>
    <definedName name="_2RECLO1">#REF!</definedName>
    <definedName name="_2SDINH1">#REF!</definedName>
    <definedName name="_2SDUNG1">#REF!</definedName>
    <definedName name="_2SDUNG4">#REF!</definedName>
    <definedName name="_2STREO1">#REF!</definedName>
    <definedName name="_2STREO2">#REF!</definedName>
    <definedName name="_2STREO3">#REF!</definedName>
    <definedName name="_2STREO4">#REF!</definedName>
    <definedName name="_2STREO7">#REF!</definedName>
    <definedName name="_2SUDO01">#REF!</definedName>
    <definedName name="_2TDIA01">#REF!</definedName>
    <definedName name="_2TDTD01">#REF!</definedName>
    <definedName name="_2TU3100">#REF!</definedName>
    <definedName name="_2TU6100">#REF!</definedName>
    <definedName name="_2TRU121">#REF!</definedName>
    <definedName name="_2TRU122">#REF!</definedName>
    <definedName name="_2TRU141">#REF!</definedName>
    <definedName name="_2UCLEV1">#REF!</definedName>
    <definedName name="_2UCLEV2">#REF!</definedName>
    <definedName name="_2VTLT01">#REF!</definedName>
    <definedName name="_3">#REF!</definedName>
    <definedName name="_3__MAÕ_SOÁ_THUEÁ">#REF!</definedName>
    <definedName name="_33_2019">#REF!</definedName>
    <definedName name="_35_2019">#REF!</definedName>
    <definedName name="_36_2019">#REF!</definedName>
    <definedName name="_3ABC501">#REF!</definedName>
    <definedName name="_3ABC701">#REF!</definedName>
    <definedName name="_3ABC951">#REF!</definedName>
    <definedName name="_3BLXMD">#REF!</definedName>
    <definedName name="_3BRANCH">#REF!</definedName>
    <definedName name="_3BTHT01">#REF!</definedName>
    <definedName name="_3BTHT02">#REF!</definedName>
    <definedName name="_3BTHT11">#REF!</definedName>
    <definedName name="_3CLHT01">#REF!</definedName>
    <definedName name="_3CLHT02">#REF!</definedName>
    <definedName name="_3CLHT03">#REF!</definedName>
    <definedName name="_3COABC1">#REF!</definedName>
    <definedName name="_3CPHA01">#REF!</definedName>
    <definedName name="_3CHAG01">#REF!</definedName>
    <definedName name="_3CHAG02">#REF!</definedName>
    <definedName name="_3CHAG03">#REF!</definedName>
    <definedName name="_3CHAG04">#REF!</definedName>
    <definedName name="_3CHDG01">#REF!</definedName>
    <definedName name="_3CHDG02">#REF!</definedName>
    <definedName name="_3CHDG03">#REF!</definedName>
    <definedName name="_3CHDG04">#REF!</definedName>
    <definedName name="_3CHSG01">#REF!</definedName>
    <definedName name="_3CHSG02">#REF!</definedName>
    <definedName name="_3DA0001">#REF!</definedName>
    <definedName name="_3DA0002">#REF!</definedName>
    <definedName name="_3DCT001">#REF!</definedName>
    <definedName name="_3DUPLEX">#REF!</definedName>
    <definedName name="_3FERRU1">#REF!</definedName>
    <definedName name="_3FERRU2">#REF!</definedName>
    <definedName name="_3KD3501">#REF!</definedName>
    <definedName name="_3KD3502">#REF!</definedName>
    <definedName name="_3KD3511">#REF!</definedName>
    <definedName name="_3KD3801">#REF!</definedName>
    <definedName name="_3KD4801">#REF!</definedName>
    <definedName name="_3KD5011">#REF!</definedName>
    <definedName name="_3KD7501">#REF!</definedName>
    <definedName name="_3KD9501">#REF!</definedName>
    <definedName name="_3LABC01">#REF!</definedName>
    <definedName name="_3LONG01">#REF!</definedName>
    <definedName name="_3LONG02">#REF!</definedName>
    <definedName name="_3LONG03">#REF!</definedName>
    <definedName name="_3LONG04">#REF!</definedName>
    <definedName name="_3LSON01">#REF!</definedName>
    <definedName name="_3LSON02">#REF!</definedName>
    <definedName name="_3LSON03">#REF!</definedName>
    <definedName name="_3LSON04">#REF!</definedName>
    <definedName name="_3LSON05">#REF!</definedName>
    <definedName name="_3LSON06">#REF!</definedName>
    <definedName name="_3LSON07">#REF!</definedName>
    <definedName name="_3LSON08">#REF!</definedName>
    <definedName name="_3LSON09">#REF!</definedName>
    <definedName name="_3LSON10">#REF!</definedName>
    <definedName name="_3LSON11">#REF!</definedName>
    <definedName name="_3LSON12">#REF!</definedName>
    <definedName name="_3LSON13">#REF!</definedName>
    <definedName name="_3LSON14">#REF!</definedName>
    <definedName name="_3LSON15">#REF!</definedName>
    <definedName name="_3LSON16">#REF!</definedName>
    <definedName name="_3LSON17">#REF!</definedName>
    <definedName name="_3LSON18">#REF!</definedName>
    <definedName name="_3LSON19">#REF!</definedName>
    <definedName name="_3MONG01">#REF!</definedName>
    <definedName name="_3N">#REF!</definedName>
    <definedName name="_3NEO001">#REF!</definedName>
    <definedName name="_3NEO002">#REF!</definedName>
    <definedName name="_3PKABC1">#REF!</definedName>
    <definedName name="_3PKHT01">#REF!</definedName>
    <definedName name="_3QUARTD">#REF!</definedName>
    <definedName name="_3RACK31">#REF!</definedName>
    <definedName name="_3RACK41">#REF!</definedName>
    <definedName name="_3TDIA01">#REF!</definedName>
    <definedName name="_3TDIA02">#REF!</definedName>
    <definedName name="_3TU0601">#REF!</definedName>
    <definedName name="_3TU0602">#REF!</definedName>
    <definedName name="_3TU0603">#REF!</definedName>
    <definedName name="_3TU0609">#REF!</definedName>
    <definedName name="_3TU0901">#REF!</definedName>
    <definedName name="_3TU0902">#REF!</definedName>
    <definedName name="_3TU0903">#REF!</definedName>
    <definedName name="_3TRU091">#REF!</definedName>
    <definedName name="_3TRU101">#REF!</definedName>
    <definedName name="_3TRU102">#REF!</definedName>
    <definedName name="_3TRU121">#REF!</definedName>
    <definedName name="_3TRU731">#REF!</definedName>
    <definedName name="_3TRU841">#REF!</definedName>
    <definedName name="_3TRU842">#REF!</definedName>
    <definedName name="_3TRU843">#REF!</definedName>
    <definedName name="_4">#REF!</definedName>
    <definedName name="_4__ÑÔN_GIAÙ">#REF!</definedName>
    <definedName name="_40x4">5100</definedName>
    <definedName name="_419_2018">#REF!</definedName>
    <definedName name="_421_2018">#REF!</definedName>
    <definedName name="_424_2018">#REF!</definedName>
    <definedName name="_442_2018">#REF!</definedName>
    <definedName name="_47_2019">#REF!</definedName>
    <definedName name="_4CDTT01">#REF!</definedName>
    <definedName name="_4CNT050">#REF!</definedName>
    <definedName name="_4CNT095">#REF!</definedName>
    <definedName name="_4CNT150">#REF!</definedName>
    <definedName name="_4CNT240">#REF!</definedName>
    <definedName name="_4CTL050">#REF!</definedName>
    <definedName name="_4CTL095">#REF!</definedName>
    <definedName name="_4CTL150">#REF!</definedName>
    <definedName name="_4CTL240">#REF!</definedName>
    <definedName name="_4ED2062">#REF!</definedName>
    <definedName name="_4ED2063">#REF!</definedName>
    <definedName name="_4ED2064">#REF!</definedName>
    <definedName name="_4FCO100">#REF!</definedName>
    <definedName name="_4FCO101">#REF!</definedName>
    <definedName name="_4GOIC01">#REF!</definedName>
    <definedName name="_4GIA101">#REF!</definedName>
    <definedName name="_4HDCTT1">#REF!</definedName>
    <definedName name="_4HDCTT2">#REF!</definedName>
    <definedName name="_4HDCTT3">#REF!</definedName>
    <definedName name="_4HDCTT4">#REF!</definedName>
    <definedName name="_4HNCTT1">#REF!</definedName>
    <definedName name="_4HNCTT2">#REF!</definedName>
    <definedName name="_4HNCTT3">#REF!</definedName>
    <definedName name="_4HNCTT4">#REF!</definedName>
    <definedName name="_4KEPC01">#REF!</definedName>
    <definedName name="_4LBCO01">#REF!</definedName>
    <definedName name="_4OSLCTT">#REF!</definedName>
    <definedName name="_5__SOÁ_CTÖØ">#REF!</definedName>
    <definedName name="_5_1_2019">#REF!</definedName>
    <definedName name="_5_2_2019">#REF!</definedName>
    <definedName name="_5_3_2019">#REF!</definedName>
    <definedName name="_51_2019">#REF!</definedName>
    <definedName name="_53_2019">#REF!</definedName>
    <definedName name="_5CNHT95">#REF!</definedName>
    <definedName name="_5GOIC01">#REF!</definedName>
    <definedName name="_5HDCHT1">#REF!</definedName>
    <definedName name="_5KEPC01">#REF!</definedName>
    <definedName name="_5OSLCHT">#REF!</definedName>
    <definedName name="_5TU120">#REF!</definedName>
    <definedName name="_5TU130">#REF!</definedName>
    <definedName name="_6">#REF!</definedName>
    <definedName name="_6__SOÁ_LÖÔÏNG">#REF!</definedName>
    <definedName name="_60_2019">#REF!</definedName>
    <definedName name="_6BNTTTH">#REF!</definedName>
    <definedName name="_6DCTTBO">#REF!</definedName>
    <definedName name="_6DD24TT">#REF!</definedName>
    <definedName name="_6FCOTBU">#REF!</definedName>
    <definedName name="_6LATUBU">#REF!</definedName>
    <definedName name="_6SDTT24">#REF!</definedName>
    <definedName name="_6TBUDTT">#REF!</definedName>
    <definedName name="_6TDDDTT">#REF!</definedName>
    <definedName name="_6TLTTTH">#REF!</definedName>
    <definedName name="_6TUBUTT">#REF!</definedName>
    <definedName name="_6UCLVIS">#REF!</definedName>
    <definedName name="_7">#REF!</definedName>
    <definedName name="_7__TEÂN_HAØNG">#REF!</definedName>
    <definedName name="_77_1_2019">#REF!</definedName>
    <definedName name="_77_2_2019">#REF!</definedName>
    <definedName name="_7DNCABC">#REF!</definedName>
    <definedName name="_7HDCTBU">#REF!</definedName>
    <definedName name="_7PKTUBU">#REF!</definedName>
    <definedName name="_7TBHT20">#REF!</definedName>
    <definedName name="_7TBHT30">#REF!</definedName>
    <definedName name="_7TDCABC">#REF!</definedName>
    <definedName name="_8__TEÂN_KHAÙCH_HAØ">#REF!</definedName>
    <definedName name="_81_2_2019">#REF!</definedName>
    <definedName name="_81_7_2019">#REF!</definedName>
    <definedName name="_82_1_2019">#REF!</definedName>
    <definedName name="_82_3_2019">#REF!</definedName>
    <definedName name="_83_1_2019">#REF!</definedName>
    <definedName name="_84_2_2019">#REF!</definedName>
    <definedName name="_84_3_2019">#REF!</definedName>
    <definedName name="_84_4_2019">#REF!</definedName>
    <definedName name="_85_1_2019">#REF!</definedName>
    <definedName name="_85_2_2019">#REF!</definedName>
    <definedName name="_85_4_2019">#REF!</definedName>
    <definedName name="_87_1_2019">#REF!</definedName>
    <definedName name="_87_2_2019">#REF!</definedName>
    <definedName name="_87_4_2019">#REF!</definedName>
    <definedName name="_87_5_2019">#REF!</definedName>
    <definedName name="_87_6_2019">#REF!</definedName>
    <definedName name="_87_7_2019">#REF!</definedName>
    <definedName name="_87_8_2019">#REF!</definedName>
    <definedName name="_87_9_2019">#REF!</definedName>
    <definedName name="_88_2019">#REF!</definedName>
    <definedName name="_89_2_2019">#REF!</definedName>
    <definedName name="_9__THAØNH_TIEÀN">#REF!</definedName>
    <definedName name="_90_1_2019">#REF!</definedName>
    <definedName name="_92_1_2019">#REF!</definedName>
    <definedName name="_93_2019">#REF!</definedName>
    <definedName name="_95_5_2019">#REF!</definedName>
    <definedName name="_a1" localSheetId="9">{"'Sheet1'!$L$16"}</definedName>
    <definedName name="_a1" localSheetId="0">{"'Sheet1'!$L$16"}</definedName>
    <definedName name="_a1" localSheetId="10">{"'Sheet1'!$L$16"}</definedName>
    <definedName name="_a1" localSheetId="1">{"'Sheet1'!$L$16"}</definedName>
    <definedName name="_a1" localSheetId="6">{"'Sheet1'!$L$16"}</definedName>
    <definedName name="_a1" localSheetId="5">{"'Sheet1'!$L$16"}</definedName>
    <definedName name="_a1" localSheetId="4">{"'Sheet1'!$L$16"}</definedName>
    <definedName name="_a1" localSheetId="8">{"'Sheet1'!$L$16"}</definedName>
    <definedName name="_a1" localSheetId="7">{"'Sheet1'!$L$16"}</definedName>
    <definedName name="_a1">{"'Sheet1'!$L$16"}</definedName>
    <definedName name="_a129" localSheetId="9" hidden="1">{"Offgrid",#N/A,FALSE,"OFFGRID";"Region",#N/A,FALSE,"REGION";"Offgrid -2",#N/A,FALSE,"OFFGRID";"WTP",#N/A,FALSE,"WTP";"WTP -2",#N/A,FALSE,"WTP";"Project",#N/A,FALSE,"PROJECT";"Summary -2",#N/A,FALSE,"SUMMARY"}</definedName>
    <definedName name="_a129" localSheetId="0" hidden="1">{"Offgrid",#N/A,FALSE,"OFFGRID";"Region",#N/A,FALSE,"REGION";"Offgrid -2",#N/A,FALSE,"OFFGRID";"WTP",#N/A,FALSE,"WTP";"WTP -2",#N/A,FALSE,"WTP";"Project",#N/A,FALSE,"PROJECT";"Summary -2",#N/A,FALSE,"SUMMARY"}</definedName>
    <definedName name="_a129" localSheetId="10" hidden="1">{"Offgrid",#N/A,FALSE,"OFFGRID";"Region",#N/A,FALSE,"REGION";"Offgrid -2",#N/A,FALSE,"OFFGRID";"WTP",#N/A,FALSE,"WTP";"WTP -2",#N/A,FALSE,"WTP";"Project",#N/A,FALSE,"PROJECT";"Summary -2",#N/A,FALSE,"SUMMARY"}</definedName>
    <definedName name="_a129" localSheetId="1" hidden="1">{"Offgrid",#N/A,FALSE,"OFFGRID";"Region",#N/A,FALSE,"REGION";"Offgrid -2",#N/A,FALSE,"OFFGRID";"WTP",#N/A,FALSE,"WTP";"WTP -2",#N/A,FALSE,"WTP";"Project",#N/A,FALSE,"PROJECT";"Summary -2",#N/A,FALSE,"SUMMARY"}</definedName>
    <definedName name="_a129" localSheetId="6" hidden="1">{"Offgrid",#N/A,FALSE,"OFFGRID";"Region",#N/A,FALSE,"REGION";"Offgrid -2",#N/A,FALSE,"OFFGRID";"WTP",#N/A,FALSE,"WTP";"WTP -2",#N/A,FALSE,"WTP";"Project",#N/A,FALSE,"PROJECT";"Summary -2",#N/A,FALSE,"SUMMARY"}</definedName>
    <definedName name="_a129" localSheetId="5" hidden="1">{"Offgrid",#N/A,FALSE,"OFFGRID";"Region",#N/A,FALSE,"REGION";"Offgrid -2",#N/A,FALSE,"OFFGRID";"WTP",#N/A,FALSE,"WTP";"WTP -2",#N/A,FALSE,"WTP";"Project",#N/A,FALSE,"PROJECT";"Summary -2",#N/A,FALSE,"SUMMARY"}</definedName>
    <definedName name="_a129" localSheetId="4" hidden="1">{"Offgrid",#N/A,FALSE,"OFFGRID";"Region",#N/A,FALSE,"REGION";"Offgrid -2",#N/A,FALSE,"OFFGRID";"WTP",#N/A,FALSE,"WTP";"WTP -2",#N/A,FALSE,"WTP";"Project",#N/A,FALSE,"PROJECT";"Summary -2",#N/A,FALSE,"SUMMARY"}</definedName>
    <definedName name="_a129" localSheetId="8" hidden="1">{"Offgrid",#N/A,FALSE,"OFFGRID";"Region",#N/A,FALSE,"REGION";"Offgrid -2",#N/A,FALSE,"OFFGRID";"WTP",#N/A,FALSE,"WTP";"WTP -2",#N/A,FALSE,"WTP";"Project",#N/A,FALSE,"PROJECT";"Summary -2",#N/A,FALSE,"SUMMARY"}</definedName>
    <definedName name="_a129" localSheetId="7"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9" hidden="1">{"Offgrid",#N/A,FALSE,"OFFGRID";"Region",#N/A,FALSE,"REGION";"Offgrid -2",#N/A,FALSE,"OFFGRID";"WTP",#N/A,FALSE,"WTP";"WTP -2",#N/A,FALSE,"WTP";"Project",#N/A,FALSE,"PROJECT";"Summary -2",#N/A,FALSE,"SUMMARY"}</definedName>
    <definedName name="_a130" localSheetId="0" hidden="1">{"Offgrid",#N/A,FALSE,"OFFGRID";"Region",#N/A,FALSE,"REGION";"Offgrid -2",#N/A,FALSE,"OFFGRID";"WTP",#N/A,FALSE,"WTP";"WTP -2",#N/A,FALSE,"WTP";"Project",#N/A,FALSE,"PROJECT";"Summary -2",#N/A,FALSE,"SUMMARY"}</definedName>
    <definedName name="_a130" localSheetId="10" hidden="1">{"Offgrid",#N/A,FALSE,"OFFGRID";"Region",#N/A,FALSE,"REGION";"Offgrid -2",#N/A,FALSE,"OFFGRID";"WTP",#N/A,FALSE,"WTP";"WTP -2",#N/A,FALSE,"WTP";"Project",#N/A,FALSE,"PROJECT";"Summary -2",#N/A,FALSE,"SUMMARY"}</definedName>
    <definedName name="_a130" localSheetId="1" hidden="1">{"Offgrid",#N/A,FALSE,"OFFGRID";"Region",#N/A,FALSE,"REGION";"Offgrid -2",#N/A,FALSE,"OFFGRID";"WTP",#N/A,FALSE,"WTP";"WTP -2",#N/A,FALSE,"WTP";"Project",#N/A,FALSE,"PROJECT";"Summary -2",#N/A,FALSE,"SUMMARY"}</definedName>
    <definedName name="_a130" localSheetId="6" hidden="1">{"Offgrid",#N/A,FALSE,"OFFGRID";"Region",#N/A,FALSE,"REGION";"Offgrid -2",#N/A,FALSE,"OFFGRID";"WTP",#N/A,FALSE,"WTP";"WTP -2",#N/A,FALSE,"WTP";"Project",#N/A,FALSE,"PROJECT";"Summary -2",#N/A,FALSE,"SUMMARY"}</definedName>
    <definedName name="_a130" localSheetId="5" hidden="1">{"Offgrid",#N/A,FALSE,"OFFGRID";"Region",#N/A,FALSE,"REGION";"Offgrid -2",#N/A,FALSE,"OFFGRID";"WTP",#N/A,FALSE,"WTP";"WTP -2",#N/A,FALSE,"WTP";"Project",#N/A,FALSE,"PROJECT";"Summary -2",#N/A,FALSE,"SUMMARY"}</definedName>
    <definedName name="_a130" localSheetId="4" hidden="1">{"Offgrid",#N/A,FALSE,"OFFGRID";"Region",#N/A,FALSE,"REGION";"Offgrid -2",#N/A,FALSE,"OFFGRID";"WTP",#N/A,FALSE,"WTP";"WTP -2",#N/A,FALSE,"WTP";"Project",#N/A,FALSE,"PROJECT";"Summary -2",#N/A,FALSE,"SUMMARY"}</definedName>
    <definedName name="_a130" localSheetId="8" hidden="1">{"Offgrid",#N/A,FALSE,"OFFGRID";"Region",#N/A,FALSE,"REGION";"Offgrid -2",#N/A,FALSE,"OFFGRID";"WTP",#N/A,FALSE,"WTP";"WTP -2",#N/A,FALSE,"WTP";"Project",#N/A,FALSE,"PROJECT";"Summary -2",#N/A,FALSE,"SUMMARY"}</definedName>
    <definedName name="_a130" localSheetId="7"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6550">#REF!</definedName>
    <definedName name="_a2" localSheetId="9" hidden="1">{"'Sheet1'!$L$16"}</definedName>
    <definedName name="_a2" localSheetId="0" hidden="1">{"'Sheet1'!$L$16"}</definedName>
    <definedName name="_a2" localSheetId="10" hidden="1">{"'Sheet1'!$L$16"}</definedName>
    <definedName name="_a2" localSheetId="1" hidden="1">{"'Sheet1'!$L$16"}</definedName>
    <definedName name="_a2" localSheetId="6" hidden="1">{"'Sheet1'!$L$16"}</definedName>
    <definedName name="_a2" localSheetId="5" hidden="1">{"'Sheet1'!$L$16"}</definedName>
    <definedName name="_a2" localSheetId="4" hidden="1">{"'Sheet1'!$L$16"}</definedName>
    <definedName name="_a2" localSheetId="8" hidden="1">{"'Sheet1'!$L$16"}</definedName>
    <definedName name="_a2" localSheetId="7" hidden="1">{"'Sheet1'!$L$16"}</definedName>
    <definedName name="_a2" hidden="1">{"'Sheet1'!$L$16"}</definedName>
    <definedName name="_A65700">#REF!</definedName>
    <definedName name="_A65800">#REF!</definedName>
    <definedName name="_A66000">#REF!</definedName>
    <definedName name="_A67000">#REF!</definedName>
    <definedName name="_A68000">#REF!</definedName>
    <definedName name="_A70000">#REF!</definedName>
    <definedName name="_A75000">#REF!</definedName>
    <definedName name="_A85000">#REF!</definedName>
    <definedName name="_abb91">#REF!</definedName>
    <definedName name="_atn1">#REF!</definedName>
    <definedName name="_atn10">#REF!</definedName>
    <definedName name="_atn2">#REF!</definedName>
    <definedName name="_atn3">#REF!</definedName>
    <definedName name="_atn4">#REF!</definedName>
    <definedName name="_atn5">#REF!</definedName>
    <definedName name="_atn6">#REF!</definedName>
    <definedName name="_atn7">#REF!</definedName>
    <definedName name="_atn8">#REF!</definedName>
    <definedName name="_atn9">#REF!</definedName>
    <definedName name="_bac1">#REF!</definedName>
    <definedName name="_bac2">#REF!</definedName>
    <definedName name="_bac3">#REF!</definedName>
    <definedName name="_bac4">#REF!</definedName>
    <definedName name="_BEP1">#REF!</definedName>
    <definedName name="_boi1">#REF!</definedName>
    <definedName name="_boi2">#REF!</definedName>
    <definedName name="_boi3">#REF!</definedName>
    <definedName name="_boi4">#REF!</definedName>
    <definedName name="_btm10">#REF!</definedName>
    <definedName name="_btm100">#REF!</definedName>
    <definedName name="_btm150">#REF!</definedName>
    <definedName name="_btm200">#REF!</definedName>
    <definedName name="_BTM250">#REF!</definedName>
    <definedName name="_btM300">#REF!</definedName>
    <definedName name="_btm50">#REF!</definedName>
    <definedName name="_C_Lphi_4ab">#REF!</definedName>
    <definedName name="_cap2005">#REF!</definedName>
    <definedName name="_cau10">#REF!</definedName>
    <definedName name="_cau16">#REF!</definedName>
    <definedName name="_Cau2">#REF!</definedName>
    <definedName name="_cau25">#REF!</definedName>
    <definedName name="_cau40">#REF!</definedName>
    <definedName name="_cau50">#REF!</definedName>
    <definedName name="_ckn12">#REF!</definedName>
    <definedName name="_CON1">#REF!</definedName>
    <definedName name="_CON2">#REF!</definedName>
    <definedName name="_con3">#REF!</definedName>
    <definedName name="_Cot">#REF!</definedName>
    <definedName name="_Count">4</definedName>
    <definedName name="_cpd1">#REF!</definedName>
    <definedName name="_cpd2">#REF!</definedName>
    <definedName name="_CPhi_Bhiem">#REF!</definedName>
    <definedName name="_CPhi_BQLDA">#REF!</definedName>
    <definedName name="_CPhi_DBaoGT">#REF!</definedName>
    <definedName name="_CPhi_Kdinh">#REF!</definedName>
    <definedName name="_CPhi_Nthu_KThanh">#REF!</definedName>
    <definedName name="_CPhi_QToan">#REF!</definedName>
    <definedName name="_CPhiTKe_13">#REF!</definedName>
    <definedName name="_cs805">#REF!</definedName>
    <definedName name="_CT250">#REF!</definedName>
    <definedName name="_d1500" localSheetId="9" hidden="1">{"'Sheet1'!$L$16"}</definedName>
    <definedName name="_d1500" localSheetId="0" hidden="1">{"'Sheet1'!$L$16"}</definedName>
    <definedName name="_d1500" localSheetId="10" hidden="1">{"'Sheet1'!$L$16"}</definedName>
    <definedName name="_d1500" localSheetId="1" hidden="1">{"'Sheet1'!$L$16"}</definedName>
    <definedName name="_d1500" localSheetId="6" hidden="1">{"'Sheet1'!$L$16"}</definedName>
    <definedName name="_d1500" localSheetId="5" hidden="1">{"'Sheet1'!$L$16"}</definedName>
    <definedName name="_d1500" localSheetId="4" hidden="1">{"'Sheet1'!$L$16"}</definedName>
    <definedName name="_d1500" localSheetId="8" hidden="1">{"'Sheet1'!$L$16"}</definedName>
    <definedName name="_d1500" localSheetId="7" hidden="1">{"'Sheet1'!$L$16"}</definedName>
    <definedName name="_d1500" hidden="1">{"'Sheet1'!$L$16"}</definedName>
    <definedName name="_dao1">#REF!</definedName>
    <definedName name="_dao2">#REF!</definedName>
    <definedName name="_dap2">#REF!</definedName>
    <definedName name="_day1">#REF!</definedName>
    <definedName name="_day2">#REF!</definedName>
    <definedName name="_DayNeo">#REF!</definedName>
    <definedName name="_dbu1">#REF!</definedName>
    <definedName name="_dbu2">#REF!</definedName>
    <definedName name="_ddn400">#REF!</definedName>
    <definedName name="_ddn600">#REF!</definedName>
    <definedName name="_deo1">#REF!</definedName>
    <definedName name="_deo10">#REF!</definedName>
    <definedName name="_deo2">#REF!</definedName>
    <definedName name="_deo3">#REF!</definedName>
    <definedName name="_deo4">#REF!</definedName>
    <definedName name="_deo5">#REF!</definedName>
    <definedName name="_deo6">#REF!</definedName>
    <definedName name="_deo7">#REF!</definedName>
    <definedName name="_deo8">#REF!</definedName>
    <definedName name="_deo9">#REF!</definedName>
    <definedName name="_dgt1">#REF!</definedName>
    <definedName name="_dgt100">#REF!</definedName>
    <definedName name="_dui15">#REF!</definedName>
    <definedName name="_E99999">#REF!</definedName>
    <definedName name="_f5" localSheetId="9" hidden="1">{"'Sheet1'!$L$16"}</definedName>
    <definedName name="_f5" localSheetId="0" hidden="1">{"'Sheet1'!$L$16"}</definedName>
    <definedName name="_f5" localSheetId="10" hidden="1">{"'Sheet1'!$L$16"}</definedName>
    <definedName name="_f5" localSheetId="1" hidden="1">{"'Sheet1'!$L$16"}</definedName>
    <definedName name="_f5" localSheetId="6" hidden="1">{"'Sheet1'!$L$16"}</definedName>
    <definedName name="_f5" localSheetId="5" hidden="1">{"'Sheet1'!$L$16"}</definedName>
    <definedName name="_f5" localSheetId="4" hidden="1">{"'Sheet1'!$L$16"}</definedName>
    <definedName name="_f5" localSheetId="8" hidden="1">{"'Sheet1'!$L$16"}</definedName>
    <definedName name="_f5" localSheetId="7" hidden="1">{"'Sheet1'!$L$16"}</definedName>
    <definedName name="_f5" hidden="1">{"'Sheet1'!$L$16"}</definedName>
    <definedName name="_Fill" hidden="1">#REF!</definedName>
    <definedName name="_xlnm._FilterDatabase" localSheetId="10" hidden="1">'OKR X.ĐK 2025 X.ĐK'!$A$2:$U$2</definedName>
    <definedName name="_xlnm._FilterDatabase" localSheetId="6" hidden="1">TBCH!$A$2:$X$2</definedName>
    <definedName name="_xlnm._FilterDatabase" hidden="1">#REF!</definedName>
    <definedName name="_G1">#REF!</definedName>
    <definedName name="_Goi8" localSheetId="9" hidden="1">{"'Sheet1'!$L$16"}</definedName>
    <definedName name="_Goi8" localSheetId="0" hidden="1">{"'Sheet1'!$L$16"}</definedName>
    <definedName name="_Goi8" localSheetId="10" hidden="1">{"'Sheet1'!$L$16"}</definedName>
    <definedName name="_Goi8" localSheetId="1" hidden="1">{"'Sheet1'!$L$16"}</definedName>
    <definedName name="_Goi8" localSheetId="6" hidden="1">{"'Sheet1'!$L$16"}</definedName>
    <definedName name="_Goi8" localSheetId="5" hidden="1">{"'Sheet1'!$L$16"}</definedName>
    <definedName name="_Goi8" localSheetId="4" hidden="1">{"'Sheet1'!$L$16"}</definedName>
    <definedName name="_Goi8" localSheetId="8" hidden="1">{"'Sheet1'!$L$16"}</definedName>
    <definedName name="_Goi8" localSheetId="7" hidden="1">{"'Sheet1'!$L$16"}</definedName>
    <definedName name="_Goi8" hidden="1">{"'Sheet1'!$L$16"}</definedName>
    <definedName name="_gon4">#REF!</definedName>
    <definedName name="_gvl1">#REF!</definedName>
    <definedName name="_GID1">#REF!</definedName>
    <definedName name="_h1" localSheetId="9" hidden="1">{"'Sheet1'!$L$16"}</definedName>
    <definedName name="_h1" localSheetId="0" hidden="1">{"'Sheet1'!$L$16"}</definedName>
    <definedName name="_h1" localSheetId="10" hidden="1">{"'Sheet1'!$L$16"}</definedName>
    <definedName name="_h1" localSheetId="1" hidden="1">{"'Sheet1'!$L$16"}</definedName>
    <definedName name="_h1" localSheetId="6" hidden="1">{"'Sheet1'!$L$16"}</definedName>
    <definedName name="_h1" localSheetId="5" hidden="1">{"'Sheet1'!$L$16"}</definedName>
    <definedName name="_h1" localSheetId="4" hidden="1">{"'Sheet1'!$L$16"}</definedName>
    <definedName name="_h1" localSheetId="8" hidden="1">{"'Sheet1'!$L$16"}</definedName>
    <definedName name="_h1" localSheetId="7" hidden="1">{"'Sheet1'!$L$16"}</definedName>
    <definedName name="_h1" hidden="1">{"'Sheet1'!$L$16"}</definedName>
    <definedName name="_han23">#REF!</definedName>
    <definedName name="_hh1">#REF!</definedName>
    <definedName name="_hh2">#REF!</definedName>
    <definedName name="_HKy2">#REF!</definedName>
    <definedName name="_hom2">#REF!</definedName>
    <definedName name="_hom4">#REF!</definedName>
    <definedName name="_hsm2">1.1289</definedName>
    <definedName name="_HTD1">#REF!</definedName>
    <definedName name="_HTN1">#REF!</definedName>
    <definedName name="_hu1" localSheetId="9" hidden="1">{"'Sheet1'!$L$16"}</definedName>
    <definedName name="_hu1" localSheetId="0" hidden="1">{"'Sheet1'!$L$16"}</definedName>
    <definedName name="_hu1" localSheetId="10" hidden="1">{"'Sheet1'!$L$16"}</definedName>
    <definedName name="_hu1" localSheetId="1" hidden="1">{"'Sheet1'!$L$16"}</definedName>
    <definedName name="_hu1" localSheetId="6" hidden="1">{"'Sheet1'!$L$16"}</definedName>
    <definedName name="_hu1" localSheetId="5" hidden="1">{"'Sheet1'!$L$16"}</definedName>
    <definedName name="_hu1" localSheetId="4" hidden="1">{"'Sheet1'!$L$16"}</definedName>
    <definedName name="_hu1" localSheetId="8" hidden="1">{"'Sheet1'!$L$16"}</definedName>
    <definedName name="_hu1" localSheetId="7" hidden="1">{"'Sheet1'!$L$16"}</definedName>
    <definedName name="_hu1" hidden="1">{"'Sheet1'!$L$16"}</definedName>
    <definedName name="_hu2" localSheetId="9" hidden="1">{"'Sheet1'!$L$16"}</definedName>
    <definedName name="_hu2" localSheetId="0" hidden="1">{"'Sheet1'!$L$16"}</definedName>
    <definedName name="_hu2" localSheetId="10" hidden="1">{"'Sheet1'!$L$16"}</definedName>
    <definedName name="_hu2" localSheetId="1" hidden="1">{"'Sheet1'!$L$16"}</definedName>
    <definedName name="_hu2" localSheetId="6" hidden="1">{"'Sheet1'!$L$16"}</definedName>
    <definedName name="_hu2" localSheetId="5" hidden="1">{"'Sheet1'!$L$16"}</definedName>
    <definedName name="_hu2" localSheetId="4" hidden="1">{"'Sheet1'!$L$16"}</definedName>
    <definedName name="_hu2" localSheetId="8" hidden="1">{"'Sheet1'!$L$16"}</definedName>
    <definedName name="_hu2" localSheetId="7" hidden="1">{"'Sheet1'!$L$16"}</definedName>
    <definedName name="_hu2" hidden="1">{"'Sheet1'!$L$16"}</definedName>
    <definedName name="_hu5" localSheetId="9" hidden="1">{"'Sheet1'!$L$16"}</definedName>
    <definedName name="_hu5" localSheetId="0" hidden="1">{"'Sheet1'!$L$16"}</definedName>
    <definedName name="_hu5" localSheetId="10" hidden="1">{"'Sheet1'!$L$16"}</definedName>
    <definedName name="_hu5" localSheetId="1" hidden="1">{"'Sheet1'!$L$16"}</definedName>
    <definedName name="_hu5" localSheetId="6" hidden="1">{"'Sheet1'!$L$16"}</definedName>
    <definedName name="_hu5" localSheetId="5" hidden="1">{"'Sheet1'!$L$16"}</definedName>
    <definedName name="_hu5" localSheetId="4" hidden="1">{"'Sheet1'!$L$16"}</definedName>
    <definedName name="_hu5" localSheetId="8" hidden="1">{"'Sheet1'!$L$16"}</definedName>
    <definedName name="_hu5" localSheetId="7" hidden="1">{"'Sheet1'!$L$16"}</definedName>
    <definedName name="_hu5" hidden="1">{"'Sheet1'!$L$16"}</definedName>
    <definedName name="_hu6" localSheetId="9" hidden="1">{"'Sheet1'!$L$16"}</definedName>
    <definedName name="_hu6" localSheetId="0" hidden="1">{"'Sheet1'!$L$16"}</definedName>
    <definedName name="_hu6" localSheetId="10" hidden="1">{"'Sheet1'!$L$16"}</definedName>
    <definedName name="_hu6" localSheetId="1" hidden="1">{"'Sheet1'!$L$16"}</definedName>
    <definedName name="_hu6" localSheetId="6" hidden="1">{"'Sheet1'!$L$16"}</definedName>
    <definedName name="_hu6" localSheetId="5" hidden="1">{"'Sheet1'!$L$16"}</definedName>
    <definedName name="_hu6" localSheetId="4" hidden="1">{"'Sheet1'!$L$16"}</definedName>
    <definedName name="_hu6" localSheetId="8" hidden="1">{"'Sheet1'!$L$16"}</definedName>
    <definedName name="_hu6" localSheetId="7" hidden="1">{"'Sheet1'!$L$16"}</definedName>
    <definedName name="_hu6" hidden="1">{"'Sheet1'!$L$16"}</definedName>
    <definedName name="_hu7" localSheetId="9" hidden="1">{"'Sheet1'!$L$16"}</definedName>
    <definedName name="_hu7" localSheetId="0" hidden="1">{"'Sheet1'!$L$16"}</definedName>
    <definedName name="_hu7" localSheetId="10" hidden="1">{"'Sheet1'!$L$16"}</definedName>
    <definedName name="_hu7" localSheetId="1" hidden="1">{"'Sheet1'!$L$16"}</definedName>
    <definedName name="_hu7" localSheetId="6" hidden="1">{"'Sheet1'!$L$16"}</definedName>
    <definedName name="_hu7" localSheetId="5" hidden="1">{"'Sheet1'!$L$16"}</definedName>
    <definedName name="_hu7" localSheetId="4" hidden="1">{"'Sheet1'!$L$16"}</definedName>
    <definedName name="_hu7" localSheetId="8" hidden="1">{"'Sheet1'!$L$16"}</definedName>
    <definedName name="_hu7" localSheetId="7" hidden="1">{"'Sheet1'!$L$16"}</definedName>
    <definedName name="_hu7" hidden="1">{"'Sheet1'!$L$16"}</definedName>
    <definedName name="_k10" localSheetId="9" hidden="1">{"'Sheet1'!$L$16"}</definedName>
    <definedName name="_k10" localSheetId="0" hidden="1">{"'Sheet1'!$L$16"}</definedName>
    <definedName name="_k10" localSheetId="10" hidden="1">{"'Sheet1'!$L$16"}</definedName>
    <definedName name="_k10" localSheetId="1" hidden="1">{"'Sheet1'!$L$16"}</definedName>
    <definedName name="_k10" localSheetId="6" hidden="1">{"'Sheet1'!$L$16"}</definedName>
    <definedName name="_k10" localSheetId="5" hidden="1">{"'Sheet1'!$L$16"}</definedName>
    <definedName name="_k10" localSheetId="4" hidden="1">{"'Sheet1'!$L$16"}</definedName>
    <definedName name="_k10" localSheetId="8" hidden="1">{"'Sheet1'!$L$16"}</definedName>
    <definedName name="_k10" localSheetId="7" hidden="1">{"'Sheet1'!$L$16"}</definedName>
    <definedName name="_k10" hidden="1">{"'Sheet1'!$L$16"}</definedName>
    <definedName name="_Kcdon">#REF!</definedName>
    <definedName name="_Key1" hidden="1">#REF!</definedName>
    <definedName name="_Key2" hidden="1">#REF!</definedName>
    <definedName name="_kl1">#REF!</definedName>
    <definedName name="_KM188">#REF!</definedName>
    <definedName name="_km189">#REF!</definedName>
    <definedName name="_km190">#REF!</definedName>
    <definedName name="_km191">#REF!</definedName>
    <definedName name="_km192">#REF!</definedName>
    <definedName name="_km193">#REF!</definedName>
    <definedName name="_km194">#REF!</definedName>
    <definedName name="_km195">#REF!</definedName>
    <definedName name="_km196">#REF!</definedName>
    <definedName name="_km197">#REF!</definedName>
    <definedName name="_km198">#REF!</definedName>
    <definedName name="_Km36">#REF!</definedName>
    <definedName name="_kn12">#REF!</definedName>
    <definedName name="_Knc1">#REF!</definedName>
    <definedName name="_Knc36">#REF!</definedName>
    <definedName name="_Knc57">#REF!</definedName>
    <definedName name="_KS2" localSheetId="9" hidden="1">{"'Sheet1'!$L$16"}</definedName>
    <definedName name="_KS2" localSheetId="0" hidden="1">{"'Sheet1'!$L$16"}</definedName>
    <definedName name="_KS2" localSheetId="10" hidden="1">{"'Sheet1'!$L$16"}</definedName>
    <definedName name="_KS2" localSheetId="1" hidden="1">{"'Sheet1'!$L$16"}</definedName>
    <definedName name="_KS2" localSheetId="6" hidden="1">{"'Sheet1'!$L$16"}</definedName>
    <definedName name="_KS2" localSheetId="5" hidden="1">{"'Sheet1'!$L$16"}</definedName>
    <definedName name="_KS2" localSheetId="4" hidden="1">{"'Sheet1'!$L$16"}</definedName>
    <definedName name="_KS2" localSheetId="8" hidden="1">{"'Sheet1'!$L$16"}</definedName>
    <definedName name="_KS2" localSheetId="7" hidden="1">{"'Sheet1'!$L$16"}</definedName>
    <definedName name="_KS2" hidden="1">{"'Sheet1'!$L$16"}</definedName>
    <definedName name="_Kvl36">#REF!</definedName>
    <definedName name="_KyHieu">#REF!</definedName>
    <definedName name="_khi2">#REF!</definedName>
    <definedName name="_khu7">#REF!</definedName>
    <definedName name="_L1">#REF!</definedName>
    <definedName name="_L6">#REF!</definedName>
    <definedName name="_Lan1" localSheetId="9" hidden="1">{"'Sheet1'!$L$16"}</definedName>
    <definedName name="_Lan1" localSheetId="0" hidden="1">{"'Sheet1'!$L$16"}</definedName>
    <definedName name="_Lan1" localSheetId="10" hidden="1">{"'Sheet1'!$L$16"}</definedName>
    <definedName name="_Lan1" localSheetId="1" hidden="1">{"'Sheet1'!$L$16"}</definedName>
    <definedName name="_Lan1" localSheetId="6" hidden="1">{"'Sheet1'!$L$16"}</definedName>
    <definedName name="_Lan1" localSheetId="5" hidden="1">{"'Sheet1'!$L$16"}</definedName>
    <definedName name="_Lan1" localSheetId="4" hidden="1">{"'Sheet1'!$L$16"}</definedName>
    <definedName name="_Lan1" localSheetId="8" hidden="1">{"'Sheet1'!$L$16"}</definedName>
    <definedName name="_Lan1" localSheetId="7" hidden="1">{"'Sheet1'!$L$16"}</definedName>
    <definedName name="_Lan1" hidden="1">{"'Sheet1'!$L$16"}</definedName>
    <definedName name="_LAN3" localSheetId="9" hidden="1">{"'Sheet1'!$L$16"}</definedName>
    <definedName name="_LAN3" localSheetId="0" hidden="1">{"'Sheet1'!$L$16"}</definedName>
    <definedName name="_LAN3" localSheetId="10" hidden="1">{"'Sheet1'!$L$16"}</definedName>
    <definedName name="_LAN3" localSheetId="1" hidden="1">{"'Sheet1'!$L$16"}</definedName>
    <definedName name="_LAN3" localSheetId="6" hidden="1">{"'Sheet1'!$L$16"}</definedName>
    <definedName name="_LAN3" localSheetId="5" hidden="1">{"'Sheet1'!$L$16"}</definedName>
    <definedName name="_LAN3" localSheetId="4" hidden="1">{"'Sheet1'!$L$16"}</definedName>
    <definedName name="_LAN3" localSheetId="8" hidden="1">{"'Sheet1'!$L$16"}</definedName>
    <definedName name="_LAN3" localSheetId="7" hidden="1">{"'Sheet1'!$L$16"}</definedName>
    <definedName name="_LAN3" hidden="1">{"'Sheet1'!$L$16"}</definedName>
    <definedName name="_lap1">#REF!</definedName>
    <definedName name="_lap2">#REF!</definedName>
    <definedName name="_LCB1">#REF!</definedName>
    <definedName name="_M1">#REF!</definedName>
    <definedName name="_MAC12">#REF!</definedName>
    <definedName name="_MAC46">#REF!</definedName>
    <definedName name="_MB1">#REF!</definedName>
    <definedName name="_MB2">#REF!</definedName>
    <definedName name="_mdc1">#REF!</definedName>
    <definedName name="_mdc2">#REF!</definedName>
    <definedName name="_mgl4">#REF!</definedName>
    <definedName name="_mgl8">#REF!</definedName>
    <definedName name="_mix6">#REF!</definedName>
    <definedName name="_MN1">#REF!</definedName>
    <definedName name="_MN2">#REF!</definedName>
    <definedName name="_Mong">#REF!</definedName>
    <definedName name="_MongCotNeo">#REF!</definedName>
    <definedName name="_MongNeo">#REF!</definedName>
    <definedName name="_MT1">#REF!</definedName>
    <definedName name="_MT2">#REF!</definedName>
    <definedName name="_mtc3">#REF!</definedName>
    <definedName name="_muc1">#REF!</definedName>
    <definedName name="_MVL486">#REF!</definedName>
    <definedName name="_mw2">#REF!</definedName>
    <definedName name="_NC100">#REF!</definedName>
    <definedName name="_NC150">#REF!</definedName>
    <definedName name="_nc151">#REF!</definedName>
    <definedName name="_NC200">#REF!</definedName>
    <definedName name="_nc3">#REF!</definedName>
    <definedName name="_nc35">#REF!</definedName>
    <definedName name="_nc4">#REF!</definedName>
    <definedName name="_Nc50">#REF!</definedName>
    <definedName name="_nc6">#REF!</definedName>
    <definedName name="_nc7">#REF!</definedName>
    <definedName name="_NCL100">#REF!</definedName>
    <definedName name="_NCL200">#REF!</definedName>
    <definedName name="_NCL250">#REF!</definedName>
    <definedName name="_NET2">#REF!</definedName>
    <definedName name="_nin190">#REF!</definedName>
    <definedName name="_NO1">#REF!</definedName>
    <definedName name="_NPV11">#REF!</definedName>
    <definedName name="_npv22">#REF!</definedName>
    <definedName name="_NSO2" localSheetId="9" hidden="1">{"'Sheet1'!$L$16"}</definedName>
    <definedName name="_NSO2" localSheetId="0" hidden="1">{"'Sheet1'!$L$16"}</definedName>
    <definedName name="_NSO2" localSheetId="10" hidden="1">{"'Sheet1'!$L$16"}</definedName>
    <definedName name="_NSO2" localSheetId="1" hidden="1">{"'Sheet1'!$L$16"}</definedName>
    <definedName name="_NSO2" localSheetId="6" hidden="1">{"'Sheet1'!$L$16"}</definedName>
    <definedName name="_NSO2" localSheetId="5" hidden="1">{"'Sheet1'!$L$16"}</definedName>
    <definedName name="_NSO2" localSheetId="4" hidden="1">{"'Sheet1'!$L$16"}</definedName>
    <definedName name="_NSO2" localSheetId="8" hidden="1">{"'Sheet1'!$L$16"}</definedName>
    <definedName name="_NSO2" localSheetId="7" hidden="1">{"'Sheet1'!$L$16"}</definedName>
    <definedName name="_NSO2" hidden="1">{"'Sheet1'!$L$16"}</definedName>
    <definedName name="_Order1" hidden="1">255</definedName>
    <definedName name="_Order2" hidden="1">255</definedName>
    <definedName name="_oto10">#REF!</definedName>
    <definedName name="_oto12">#REF!</definedName>
    <definedName name="_p01" localSheetId="9" hidden="1">{"'Sheet1'!$L$16"}</definedName>
    <definedName name="_p01" localSheetId="0" hidden="1">{"'Sheet1'!$L$16"}</definedName>
    <definedName name="_p01" localSheetId="10" hidden="1">{"'Sheet1'!$L$16"}</definedName>
    <definedName name="_p01" localSheetId="1" hidden="1">{"'Sheet1'!$L$16"}</definedName>
    <definedName name="_p01" localSheetId="6" hidden="1">{"'Sheet1'!$L$16"}</definedName>
    <definedName name="_p01" localSheetId="5" hidden="1">{"'Sheet1'!$L$16"}</definedName>
    <definedName name="_p01" localSheetId="4" hidden="1">{"'Sheet1'!$L$16"}</definedName>
    <definedName name="_p01" localSheetId="8" hidden="1">{"'Sheet1'!$L$16"}</definedName>
    <definedName name="_p01" localSheetId="7" hidden="1">{"'Sheet1'!$L$16"}</definedName>
    <definedName name="_p01" hidden="1">{"'Sheet1'!$L$16"}</definedName>
    <definedName name="_PA3" localSheetId="9" hidden="1">{"'Sheet1'!$L$16"}</definedName>
    <definedName name="_PA3" localSheetId="0" hidden="1">{"'Sheet1'!$L$16"}</definedName>
    <definedName name="_PA3" localSheetId="10" hidden="1">{"'Sheet1'!$L$16"}</definedName>
    <definedName name="_PA3" localSheetId="1" hidden="1">{"'Sheet1'!$L$16"}</definedName>
    <definedName name="_PA3" localSheetId="6" hidden="1">{"'Sheet1'!$L$16"}</definedName>
    <definedName name="_PA3" localSheetId="5" hidden="1">{"'Sheet1'!$L$16"}</definedName>
    <definedName name="_PA3" localSheetId="4" hidden="1">{"'Sheet1'!$L$16"}</definedName>
    <definedName name="_PA3" localSheetId="8" hidden="1">{"'Sheet1'!$L$16"}</definedName>
    <definedName name="_PA3" localSheetId="7" hidden="1">{"'Sheet1'!$L$16"}</definedName>
    <definedName name="_PA3" hidden="1">{"'Sheet1'!$L$16"}</definedName>
    <definedName name="_Parse_Out" hidden="1">#REF!</definedName>
    <definedName name="_pc30">#REF!</definedName>
    <definedName name="_pc40">#REF!</definedName>
    <definedName name="_PR1">#REF!</definedName>
    <definedName name="_Pt1">#REF!</definedName>
    <definedName name="_Pt2">#REF!</definedName>
    <definedName name="_pZ1">#REF!</definedName>
    <definedName name="_pZ2">#REF!</definedName>
    <definedName name="_pZ3">#REF!</definedName>
    <definedName name="_RFZ3">#REF!</definedName>
    <definedName name="_RHH1">#REF!</definedName>
    <definedName name="_RHH10">#REF!</definedName>
    <definedName name="_RHP1">#REF!</definedName>
    <definedName name="_RHP10">#REF!</definedName>
    <definedName name="_RI1">#REF!</definedName>
    <definedName name="_RI10">#REF!</definedName>
    <definedName name="_RII1">#REF!</definedName>
    <definedName name="_RII10">#REF!</definedName>
    <definedName name="_RIP1">#REF!</definedName>
    <definedName name="_RIP10">#REF!</definedName>
    <definedName name="_ro1">#REF!</definedName>
    <definedName name="_SA2">#REF!</definedName>
    <definedName name="_SA3">#REF!</definedName>
    <definedName name="_SA4">#REF!</definedName>
    <definedName name="_san108">#REF!</definedName>
    <definedName name="_sat10">#REF!</definedName>
    <definedName name="_sat12">#REF!</definedName>
    <definedName name="_sat14">#REF!</definedName>
    <definedName name="_sat16">#REF!</definedName>
    <definedName name="_sat20">#REF!</definedName>
    <definedName name="_Sat27">#REF!</definedName>
    <definedName name="_Sat6">#REF!</definedName>
    <definedName name="_sat8">#REF!</definedName>
    <definedName name="_sc1">#REF!</definedName>
    <definedName name="_SC2">#REF!</definedName>
    <definedName name="_sc3">#REF!</definedName>
    <definedName name="_sl2">#REF!</definedName>
    <definedName name="_sm100">#REF!</definedName>
    <definedName name="_SN3">#REF!</definedName>
    <definedName name="_Sort" hidden="1">#REF!</definedName>
    <definedName name="_STD0898">#REF!</definedName>
    <definedName name="_Su">#REF!</definedName>
    <definedName name="_su12">#REF!</definedName>
    <definedName name="_Su70">#REF!</definedName>
    <definedName name="_sua20">#REF!</definedName>
    <definedName name="_sua30">#REF!</definedName>
    <definedName name="_sw70609">#REF!</definedName>
    <definedName name="_T10" localSheetId="9" hidden="1">{"'Sheet1'!$L$16"}</definedName>
    <definedName name="_T10" localSheetId="0" hidden="1">{"'Sheet1'!$L$16"}</definedName>
    <definedName name="_T10" localSheetId="10" hidden="1">{"'Sheet1'!$L$16"}</definedName>
    <definedName name="_T10" localSheetId="1" hidden="1">{"'Sheet1'!$L$16"}</definedName>
    <definedName name="_T10" localSheetId="6" hidden="1">{"'Sheet1'!$L$16"}</definedName>
    <definedName name="_T10" localSheetId="5" hidden="1">{"'Sheet1'!$L$16"}</definedName>
    <definedName name="_T10" localSheetId="4" hidden="1">{"'Sheet1'!$L$16"}</definedName>
    <definedName name="_T10" localSheetId="8" hidden="1">{"'Sheet1'!$L$16"}</definedName>
    <definedName name="_T10" localSheetId="7" hidden="1">{"'Sheet1'!$L$16"}</definedName>
    <definedName name="_T10" hidden="1">{"'Sheet1'!$L$16"}</definedName>
    <definedName name="_T12" localSheetId="9" hidden="1">{"'Sheet1'!$L$16"}</definedName>
    <definedName name="_T12" localSheetId="0" hidden="1">{"'Sheet1'!$L$16"}</definedName>
    <definedName name="_T12" localSheetId="10" hidden="1">{"'Sheet1'!$L$16"}</definedName>
    <definedName name="_T12" localSheetId="1" hidden="1">{"'Sheet1'!$L$16"}</definedName>
    <definedName name="_T12" localSheetId="6" hidden="1">{"'Sheet1'!$L$16"}</definedName>
    <definedName name="_T12" localSheetId="5" hidden="1">{"'Sheet1'!$L$16"}</definedName>
    <definedName name="_T12" localSheetId="4" hidden="1">{"'Sheet1'!$L$16"}</definedName>
    <definedName name="_T12" localSheetId="8" hidden="1">{"'Sheet1'!$L$16"}</definedName>
    <definedName name="_T12" localSheetId="7" hidden="1">{"'Sheet1'!$L$16"}</definedName>
    <definedName name="_T12" hidden="1">{"'Sheet1'!$L$16"}</definedName>
    <definedName name="_tam1">#REF!</definedName>
    <definedName name="_TB1">#REF!</definedName>
    <definedName name="_tct3">#REF!</definedName>
    <definedName name="_tct5">#REF!</definedName>
    <definedName name="_tg427">#REF!</definedName>
    <definedName name="_TK1">#REF!</definedName>
    <definedName name="_TK155">#REF!</definedName>
    <definedName name="_TK422">#REF!</definedName>
    <definedName name="_TL1">#REF!</definedName>
    <definedName name="_TL2">#REF!</definedName>
    <definedName name="_TL3">#REF!</definedName>
    <definedName name="_TLA120">#REF!</definedName>
    <definedName name="_TLA35">#REF!</definedName>
    <definedName name="_TLA50">#REF!</definedName>
    <definedName name="_TLA70">#REF!</definedName>
    <definedName name="_TLA95">#REF!</definedName>
    <definedName name="_tno1">#REF!</definedName>
    <definedName name="_tt3" localSheetId="9" hidden="1">{"'Sheet1'!$L$16"}</definedName>
    <definedName name="_tt3" localSheetId="0" hidden="1">{"'Sheet1'!$L$16"}</definedName>
    <definedName name="_tt3" localSheetId="10" hidden="1">{"'Sheet1'!$L$16"}</definedName>
    <definedName name="_tt3" localSheetId="1" hidden="1">{"'Sheet1'!$L$16"}</definedName>
    <definedName name="_tt3" localSheetId="6" hidden="1">{"'Sheet1'!$L$16"}</definedName>
    <definedName name="_tt3" localSheetId="5" hidden="1">{"'Sheet1'!$L$16"}</definedName>
    <definedName name="_tt3" localSheetId="4" hidden="1">{"'Sheet1'!$L$16"}</definedName>
    <definedName name="_tt3" localSheetId="8" hidden="1">{"'Sheet1'!$L$16"}</definedName>
    <definedName name="_tt3" localSheetId="7" hidden="1">{"'Sheet1'!$L$16"}</definedName>
    <definedName name="_tt3" hidden="1">{"'Sheet1'!$L$16"}</definedName>
    <definedName name="_TX1">#REF!</definedName>
    <definedName name="_tz593">#REF!</definedName>
    <definedName name="_TH1">#REF!</definedName>
    <definedName name="_th100">#REF!</definedName>
    <definedName name="_TH160">#REF!</definedName>
    <definedName name="_TH2">#REF!</definedName>
    <definedName name="_TH20">#REF!</definedName>
    <definedName name="_TH3">#REF!</definedName>
    <definedName name="_TR250">#REF!</definedName>
    <definedName name="_tr375">#REF!</definedName>
    <definedName name="_tra100">#REF!</definedName>
    <definedName name="_tra102">#REF!</definedName>
    <definedName name="_tra104">#REF!</definedName>
    <definedName name="_tra106">#REF!</definedName>
    <definedName name="_tra108">#REF!</definedName>
    <definedName name="_tra110">#REF!</definedName>
    <definedName name="_tra112">#REF!</definedName>
    <definedName name="_tra114">#REF!</definedName>
    <definedName name="_tra116">#REF!</definedName>
    <definedName name="_tra118">#REF!</definedName>
    <definedName name="_tra120">#REF!</definedName>
    <definedName name="_tra122">#REF!</definedName>
    <definedName name="_tra124">#REF!</definedName>
    <definedName name="_tra126">#REF!</definedName>
    <definedName name="_tra128">#REF!</definedName>
    <definedName name="_tra130">#REF!</definedName>
    <definedName name="_tra132">#REF!</definedName>
    <definedName name="_tra134">#REF!</definedName>
    <definedName name="_tra136">#REF!</definedName>
    <definedName name="_tra138">#REF!</definedName>
    <definedName name="_tra140">#REF!</definedName>
    <definedName name="_tra70">#REF!</definedName>
    <definedName name="_tra72">#REF!</definedName>
    <definedName name="_tra74">#REF!</definedName>
    <definedName name="_tra76">#REF!</definedName>
    <definedName name="_tra78">#REF!</definedName>
    <definedName name="_tra80">#REF!</definedName>
    <definedName name="_tra82">#REF!</definedName>
    <definedName name="_tra84">#REF!</definedName>
    <definedName name="_tra86">#REF!</definedName>
    <definedName name="_tra88">#REF!</definedName>
    <definedName name="_tra90">#REF!</definedName>
    <definedName name="_tra92">#REF!</definedName>
    <definedName name="_tra94">#REF!</definedName>
    <definedName name="_tra96">#REF!</definedName>
    <definedName name="_tra98">#REF!</definedName>
    <definedName name="_ui108">#REF!</definedName>
    <definedName name="_ui180">#REF!</definedName>
    <definedName name="_UT2">#REF!</definedName>
    <definedName name="_v">#REF!</definedName>
    <definedName name="_va1">#REF!</definedName>
    <definedName name="_VAN1">#REF!</definedName>
    <definedName name="_vbt100">#REF!</definedName>
    <definedName name="_vbt150">#REF!</definedName>
    <definedName name="_vbt200">#REF!</definedName>
    <definedName name="_vc1">#REF!</definedName>
    <definedName name="_vc2">#REF!</definedName>
    <definedName name="_vc3">#REF!</definedName>
    <definedName name="_VCD4">#REF!</definedName>
    <definedName name="_VL100">#REF!</definedName>
    <definedName name="_VL150">#REF!</definedName>
    <definedName name="_VL200">#REF!</definedName>
    <definedName name="_VL250">#REF!</definedName>
    <definedName name="_VL50">#REF!</definedName>
    <definedName name="_VT22">#REF!</definedName>
    <definedName name="_Xa">#REF!</definedName>
    <definedName name="_xl1">#REF!</definedName>
    <definedName name="_xm30">#REF!</definedName>
    <definedName name="_xm40">#REF!</definedName>
    <definedName name="_xo1">#REF!</definedName>
    <definedName name="_xx3">#REF!</definedName>
    <definedName name="_xx4">#REF!</definedName>
    <definedName name="_xx5">#REF!</definedName>
    <definedName name="_xx6">#REF!</definedName>
    <definedName name="_xx7">#REF!</definedName>
    <definedName name="a">#REF!</definedName>
    <definedName name="A.">#REF!</definedName>
    <definedName name="a.1">#REF!</definedName>
    <definedName name="a.10">#REF!</definedName>
    <definedName name="a.12">#REF!</definedName>
    <definedName name="a.13">#REF!</definedName>
    <definedName name="a.2">#REF!</definedName>
    <definedName name="a.3">#REF!</definedName>
    <definedName name="a.4">#REF!</definedName>
    <definedName name="a.5">#REF!</definedName>
    <definedName name="a.6">#REF!</definedName>
    <definedName name="a.7">#REF!</definedName>
    <definedName name="a.8">#REF!</definedName>
    <definedName name="a.9">#REF!</definedName>
    <definedName name="a_">#REF!</definedName>
    <definedName name="A_Text">#REF!</definedName>
    <definedName name="A_Tri_So">#REF!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1">#REF!</definedName>
    <definedName name="a1_">#REF!</definedName>
    <definedName name="A120_">#REF!</definedName>
    <definedName name="a1B26">#REF!</definedName>
    <definedName name="a1B58">#REF!</definedName>
    <definedName name="A1Xc7">#REF!</definedName>
    <definedName name="a2_">#REF!</definedName>
    <definedName name="a277Print_Titles">#REF!</definedName>
    <definedName name="a3_">#REF!</definedName>
    <definedName name="A35_">#REF!</definedName>
    <definedName name="a4_">#REF!</definedName>
    <definedName name="a5_">#REF!</definedName>
    <definedName name="A50_">#REF!</definedName>
    <definedName name="a6_">#REF!</definedName>
    <definedName name="A6N2">#REF!</definedName>
    <definedName name="A6N3">#REF!</definedName>
    <definedName name="a7_">#REF!</definedName>
    <definedName name="A70_">#REF!</definedName>
    <definedName name="A95_">#REF!</definedName>
    <definedName name="AA">#REF!</definedName>
    <definedName name="AAA">#REF!</definedName>
    <definedName name="AAG">#REF!</definedName>
    <definedName name="aâ77">#REF!</definedName>
    <definedName name="AB">#REF!</definedName>
    <definedName name="abc">#REF!</definedName>
    <definedName name="ac">#REF!</definedName>
    <definedName name="AC120_">#REF!</definedName>
    <definedName name="AC35_">#REF!</definedName>
    <definedName name="AC50_">#REF!</definedName>
    <definedName name="AC70_">#REF!</definedName>
    <definedName name="AC95_">#REF!</definedName>
    <definedName name="acb">#REF!</definedName>
    <definedName name="AccessDatabase" hidden="1">"C:\My Documents\LeBinh\Xls\VP Cong ty\FORM.mdb"</definedName>
    <definedName name="acscs">#REF!</definedName>
    <definedName name="Actual" localSheetId="6">(PeriodInActual*(#REF!&gt;0))*PeriodInPlan</definedName>
    <definedName name="Actual" localSheetId="5">(PeriodInActual*(#REF!&gt;0))*PeriodInPlan</definedName>
    <definedName name="Actual" localSheetId="4">(PeriodInActual*(#REF!&gt;0))*PeriodInPlan</definedName>
    <definedName name="Actual" localSheetId="7">([0]!PeriodInActual*(#REF!&gt;0))*[0]!PeriodInPlan</definedName>
    <definedName name="Actual">(PeriodInActual*(#REF!&gt;0))*PeriodInPlan</definedName>
    <definedName name="ActualBeyond" localSheetId="6">PeriodInActual*(#REF!&gt;0)</definedName>
    <definedName name="ActualBeyond" localSheetId="5">PeriodInActual*(#REF!&gt;0)</definedName>
    <definedName name="ActualBeyond" localSheetId="4">PeriodInActual*(#REF!&gt;0)</definedName>
    <definedName name="ActualBeyond" localSheetId="7">[0]!PeriodInActual*(#REF!&gt;0)</definedName>
    <definedName name="ActualBeyond">PeriodInActual*(#REF!&gt;0)</definedName>
    <definedName name="AD" localSheetId="9" hidden="1">{"'Sheet1'!$L$16"}</definedName>
    <definedName name="AD" localSheetId="0" hidden="1">{"'Sheet1'!$L$16"}</definedName>
    <definedName name="AD" localSheetId="10" hidden="1">{"'Sheet1'!$L$16"}</definedName>
    <definedName name="AD" localSheetId="1" hidden="1">{"'Sheet1'!$L$16"}</definedName>
    <definedName name="AD" localSheetId="6" hidden="1">{"'Sheet1'!$L$16"}</definedName>
    <definedName name="AD" localSheetId="5" hidden="1">{"'Sheet1'!$L$16"}</definedName>
    <definedName name="AD" localSheetId="4" hidden="1">{"'Sheet1'!$L$16"}</definedName>
    <definedName name="AD" localSheetId="8" hidden="1">{"'Sheet1'!$L$16"}</definedName>
    <definedName name="AD" localSheetId="7" hidden="1">{"'Sheet1'!$L$16"}</definedName>
    <definedName name="AD" hidden="1">{"'Sheet1'!$L$16"}</definedName>
    <definedName name="ada">#REF!</definedName>
    <definedName name="ADAY">#REF!</definedName>
    <definedName name="ADEQ">#REF!</definedName>
    <definedName name="æ76">#REF!</definedName>
    <definedName name="afasfsagfas" localSheetId="9" hidden="1">{#N/A,#N/A,FALSE,"Chi tiÆt"}</definedName>
    <definedName name="afasfsagfas" localSheetId="0" hidden="1">{#N/A,#N/A,FALSE,"Chi tiÆt"}</definedName>
    <definedName name="afasfsagfas" localSheetId="10" hidden="1">{#N/A,#N/A,FALSE,"Chi tiÆt"}</definedName>
    <definedName name="afasfsagfas" localSheetId="1" hidden="1">{#N/A,#N/A,FALSE,"Chi tiÆt"}</definedName>
    <definedName name="afasfsagfas" localSheetId="6" hidden="1">{#N/A,#N/A,FALSE,"Chi tiÆt"}</definedName>
    <definedName name="afasfsagfas" localSheetId="5" hidden="1">{#N/A,#N/A,FALSE,"Chi tiÆt"}</definedName>
    <definedName name="afasfsagfas" localSheetId="4" hidden="1">{#N/A,#N/A,FALSE,"Chi tiÆt"}</definedName>
    <definedName name="afasfsagfas" localSheetId="8" hidden="1">{#N/A,#N/A,FALSE,"Chi tiÆt"}</definedName>
    <definedName name="afasfsagfas" localSheetId="7" hidden="1">{#N/A,#N/A,FALSE,"Chi tiÆt"}</definedName>
    <definedName name="afasfsagfas" hidden="1">{#N/A,#N/A,FALSE,"Chi tiÆt"}</definedName>
    <definedName name="AG">#REF!</definedName>
    <definedName name="Ag_">#REF!</definedName>
    <definedName name="AG_Temp">#REF!</definedName>
    <definedName name="ag142X42">#REF!</definedName>
    <definedName name="ag15F80">#REF!</definedName>
    <definedName name="ag267N59">#REF!</definedName>
    <definedName name="agagag">#REF!</definedName>
    <definedName name="agd">#REF!</definedName>
    <definedName name="agsd">#REF!</definedName>
    <definedName name="aï">#REF!</definedName>
    <definedName name="AÏ8">#REF!</definedName>
    <definedName name="aî74">#REF!</definedName>
    <definedName name="ak" localSheetId="9" hidden="1">{"'Sheet1'!$L$16"}</definedName>
    <definedName name="ak" localSheetId="0" hidden="1">{"'Sheet1'!$L$16"}</definedName>
    <definedName name="ak" localSheetId="10" hidden="1">{"'Sheet1'!$L$16"}</definedName>
    <definedName name="ak" localSheetId="1" hidden="1">{"'Sheet1'!$L$16"}</definedName>
    <definedName name="ak" localSheetId="6" hidden="1">{"'Sheet1'!$L$16"}</definedName>
    <definedName name="ak" localSheetId="5" hidden="1">{"'Sheet1'!$L$16"}</definedName>
    <definedName name="ak" localSheetId="4" hidden="1">{"'Sheet1'!$L$16"}</definedName>
    <definedName name="ak" localSheetId="8" hidden="1">{"'Sheet1'!$L$16"}</definedName>
    <definedName name="ak" localSheetId="7" hidden="1">{"'Sheet1'!$L$16"}</definedName>
    <definedName name="ak" hidden="1">{"'Sheet1'!$L$16"}</definedName>
    <definedName name="All_Item">#REF!</definedName>
    <definedName name="ALPIN">#N/A</definedName>
    <definedName name="ALPJYOU">#N/A</definedName>
    <definedName name="ALPTOI">#N/A</definedName>
    <definedName name="alpha">#REF!</definedName>
    <definedName name="amiang">#REF!</definedName>
    <definedName name="AMP">#REF!</definedName>
    <definedName name="an">#REF!</definedName>
    <definedName name="anpha">#REF!</definedName>
    <definedName name="anscount" hidden="1">1</definedName>
    <definedName name="Antoan" localSheetId="9" hidden="1">{"'Sheet1'!$L$16"}</definedName>
    <definedName name="Antoan" localSheetId="0" hidden="1">{"'Sheet1'!$L$16"}</definedName>
    <definedName name="Antoan" localSheetId="10" hidden="1">{"'Sheet1'!$L$16"}</definedName>
    <definedName name="Antoan" localSheetId="1" hidden="1">{"'Sheet1'!$L$16"}</definedName>
    <definedName name="Antoan" localSheetId="6" hidden="1">{"'Sheet1'!$L$16"}</definedName>
    <definedName name="Antoan" localSheetId="5" hidden="1">{"'Sheet1'!$L$16"}</definedName>
    <definedName name="Antoan" localSheetId="4" hidden="1">{"'Sheet1'!$L$16"}</definedName>
    <definedName name="Antoan" localSheetId="8" hidden="1">{"'Sheet1'!$L$16"}</definedName>
    <definedName name="Antoan" localSheetId="7" hidden="1">{"'Sheet1'!$L$16"}</definedName>
    <definedName name="Antoan" hidden="1">{"'Sheet1'!$L$16"}</definedName>
    <definedName name="ao">#REF!</definedName>
    <definedName name="AppRoad">#REF!</definedName>
    <definedName name="Aq">#REF!</definedName>
    <definedName name="Area">#REF!</definedName>
    <definedName name="as">#REF!</definedName>
    <definedName name="As_">#REF!</definedName>
    <definedName name="AS2DocOpenMode" hidden="1">"AS2DocumentEdit"</definedName>
    <definedName name="asdfgh">#REF!</definedName>
    <definedName name="asf" localSheetId="9" hidden="1">{"'Sheet1'!$L$16"}</definedName>
    <definedName name="asf" localSheetId="0" hidden="1">{"'Sheet1'!$L$16"}</definedName>
    <definedName name="asf" localSheetId="10" hidden="1">{"'Sheet1'!$L$16"}</definedName>
    <definedName name="asf" localSheetId="1" hidden="1">{"'Sheet1'!$L$16"}</definedName>
    <definedName name="asf" localSheetId="6" hidden="1">{"'Sheet1'!$L$16"}</definedName>
    <definedName name="asf" localSheetId="5" hidden="1">{"'Sheet1'!$L$16"}</definedName>
    <definedName name="asf" localSheetId="4" hidden="1">{"'Sheet1'!$L$16"}</definedName>
    <definedName name="asf" localSheetId="8" hidden="1">{"'Sheet1'!$L$16"}</definedName>
    <definedName name="asf" localSheetId="7" hidden="1">{"'Sheet1'!$L$16"}</definedName>
    <definedName name="asf" hidden="1">{"'Sheet1'!$L$16"}</definedName>
    <definedName name="ATGT" localSheetId="9" hidden="1">{"'Sheet1'!$L$16"}</definedName>
    <definedName name="ATGT" localSheetId="0" hidden="1">{"'Sheet1'!$L$16"}</definedName>
    <definedName name="ATGT" localSheetId="10" hidden="1">{"'Sheet1'!$L$16"}</definedName>
    <definedName name="ATGT" localSheetId="1" hidden="1">{"'Sheet1'!$L$16"}</definedName>
    <definedName name="ATGT" localSheetId="6" hidden="1">{"'Sheet1'!$L$16"}</definedName>
    <definedName name="ATGT" localSheetId="5" hidden="1">{"'Sheet1'!$L$16"}</definedName>
    <definedName name="ATGT" localSheetId="4" hidden="1">{"'Sheet1'!$L$16"}</definedName>
    <definedName name="ATGT" localSheetId="8" hidden="1">{"'Sheet1'!$L$16"}</definedName>
    <definedName name="ATGT" localSheetId="7" hidden="1">{"'Sheet1'!$L$16"}</definedName>
    <definedName name="ATGT" hidden="1">{"'Sheet1'!$L$16"}</definedName>
    <definedName name="ATRAM">#REF!</definedName>
    <definedName name="AÙ">#REF!</definedName>
    <definedName name="aù0">#REF!</definedName>
    <definedName name="avcn">#REF!</definedName>
    <definedName name="avkt">#REF!</definedName>
    <definedName name="avkt_ks">#REF!</definedName>
    <definedName name="B">#REF!</definedName>
    <definedName name="b_1">#REF!</definedName>
    <definedName name="b_2">#REF!</definedName>
    <definedName name="b_240">#REF!</definedName>
    <definedName name="b_280">#REF!</definedName>
    <definedName name="b_3">#REF!</definedName>
    <definedName name="b_320">#REF!</definedName>
    <definedName name="b_4">#REF!</definedName>
    <definedName name="b_5">#REF!</definedName>
    <definedName name="b_6">#REF!</definedName>
    <definedName name="B_Isc">#REF!</definedName>
    <definedName name="B_ng_dÝnh">#REF!</definedName>
    <definedName name="B_tinh">#REF!</definedName>
    <definedName name="b1_">#REF!</definedName>
    <definedName name="b11_">#REF!</definedName>
    <definedName name="B1cb">#REF!</definedName>
    <definedName name="b2_">#REF!</definedName>
    <definedName name="b2__">#REF!</definedName>
    <definedName name="b3_">#REF!</definedName>
    <definedName name="b3__">#REF!</definedName>
    <definedName name="b4_">#REF!</definedName>
    <definedName name="b5_">#REF!</definedName>
    <definedName name="b6_">#REF!</definedName>
    <definedName name="b60x">#REF!</definedName>
    <definedName name="b7_">#REF!</definedName>
    <definedName name="b8.">#REF!</definedName>
    <definedName name="b80x">#REF!</definedName>
    <definedName name="b9.">#REF!</definedName>
    <definedName name="ba">#REF!</definedName>
    <definedName name="ba.">#REF!</definedName>
    <definedName name="bac2.7">#REF!</definedName>
    <definedName name="bac3.5">#REF!</definedName>
    <definedName name="bac3.7">#REF!</definedName>
    <definedName name="bac4.5">#REF!</definedName>
    <definedName name="BacKan">#REF!</definedName>
    <definedName name="bachang">#REF!</definedName>
    <definedName name="ban">#REF!</definedName>
    <definedName name="BanForBcaothg">#REF!</definedName>
    <definedName name="banQL" localSheetId="9" hidden="1">{"'Sheet1'!$L$16"}</definedName>
    <definedName name="banQL" localSheetId="0" hidden="1">{"'Sheet1'!$L$16"}</definedName>
    <definedName name="banQL" localSheetId="10" hidden="1">{"'Sheet1'!$L$16"}</definedName>
    <definedName name="banQL" localSheetId="1" hidden="1">{"'Sheet1'!$L$16"}</definedName>
    <definedName name="banQL" localSheetId="6" hidden="1">{"'Sheet1'!$L$16"}</definedName>
    <definedName name="banQL" localSheetId="5" hidden="1">{"'Sheet1'!$L$16"}</definedName>
    <definedName name="banQL" localSheetId="4" hidden="1">{"'Sheet1'!$L$16"}</definedName>
    <definedName name="banQL" localSheetId="8" hidden="1">{"'Sheet1'!$L$16"}</definedName>
    <definedName name="banQL" localSheetId="7" hidden="1">{"'Sheet1'!$L$16"}</definedName>
    <definedName name="banQL" hidden="1">{"'Sheet1'!$L$16"}</definedName>
    <definedName name="Bang">#REF!</definedName>
    <definedName name="Bang_cly">#REF!</definedName>
    <definedName name="Bang_CVC">#REF!</definedName>
    <definedName name="BANG_CHI_TIET_THI_NGHIEM_CONG_TO">#REF!</definedName>
    <definedName name="BANG_CHI_TIET_THI_NGHIEM_DZ0.4KV">#REF!</definedName>
    <definedName name="BANG_CHI_TIET_THI_NGHIEM_DZ22KV">#REF!</definedName>
    <definedName name="bang_gia">#REF!</definedName>
    <definedName name="BANG_TONG_HOP_CONG_TO">#REF!</definedName>
    <definedName name="BANG_TONG_HOP_DZ_0.4">#REF!</definedName>
    <definedName name="BANG_TONG_HOP_DZ0.4KV">#REF!</definedName>
    <definedName name="BANG_TONG_HOP_DZ22KV">#REF!</definedName>
    <definedName name="BANG_TONG_HOP_KHO_BAI">#REF!</definedName>
    <definedName name="BANG_TONG_HOP_TBA">#REF!</definedName>
    <definedName name="Bang_travl">#REF!</definedName>
    <definedName name="Bang1">#REF!</definedName>
    <definedName name="bang11">#REF!</definedName>
    <definedName name="bang2">#REF!</definedName>
    <definedName name="bang6">#REF!</definedName>
    <definedName name="bang9">#REF!</definedName>
    <definedName name="bangciti">#REF!</definedName>
    <definedName name="BangGia">#REF!</definedName>
    <definedName name="BangGiaVL_Q">#REF!</definedName>
    <definedName name="BangMa">#REF!</definedName>
    <definedName name="BangNhKy">#REF!</definedName>
    <definedName name="bangtinh">#REF!</definedName>
    <definedName name="Bar">#REF!</definedName>
    <definedName name="BarData">#REF!</definedName>
    <definedName name="baro">#REF!</definedName>
    <definedName name="Bay">#REF!</definedName>
    <definedName name="BB">#REF!</definedName>
    <definedName name="bb.">#REF!</definedName>
    <definedName name="bbb">#REF!</definedName>
    <definedName name="bbbbb">#REF!</definedName>
    <definedName name="bc">#REF!</definedName>
    <definedName name="bc_1">#REF!</definedName>
    <definedName name="bc_2">#REF!</definedName>
    <definedName name="bcau">#N/A</definedName>
    <definedName name="bcc">#REF!</definedName>
    <definedName name="BCNS">#REF!</definedName>
    <definedName name="bd">#REF!</definedName>
    <definedName name="bd_">#REF!</definedName>
    <definedName name="BDAY">#REF!</definedName>
    <definedName name="bdf">#REF!</definedName>
    <definedName name="bDF_">#REF!</definedName>
    <definedName name="bdht15nc">#REF!</definedName>
    <definedName name="bdht15vl">#REF!</definedName>
    <definedName name="bdht25nc">#REF!</definedName>
    <definedName name="bdht25vl">#REF!</definedName>
    <definedName name="bdht325nc">#REF!</definedName>
    <definedName name="bdht325vl">#REF!</definedName>
    <definedName name="beepsound">#REF!</definedName>
    <definedName name="beff">#REF!</definedName>
    <definedName name="begin">#REF!</definedName>
    <definedName name="BELANG">#REF!</definedName>
    <definedName name="BELOC">#REF!</definedName>
    <definedName name="bentonite">#REF!</definedName>
    <definedName name="Bep">#REF!</definedName>
    <definedName name="beta">#REF!</definedName>
    <definedName name="betong">#REF!</definedName>
    <definedName name="betong100">#REF!</definedName>
    <definedName name="betong200">#REF!</definedName>
    <definedName name="BetongM150">#REF!,#REF!</definedName>
    <definedName name="BetongM200">#REF!,#REF!</definedName>
    <definedName name="BetongM50">#REF!,#REF!</definedName>
    <definedName name="BETRON">#REF!</definedName>
    <definedName name="BG">#REF!</definedName>
    <definedName name="BGTP">#REF!</definedName>
    <definedName name="Bgiang" localSheetId="9" hidden="1">{"'Sheet1'!$L$16"}</definedName>
    <definedName name="Bgiang" localSheetId="0" hidden="1">{"'Sheet1'!$L$16"}</definedName>
    <definedName name="Bgiang" localSheetId="10" hidden="1">{"'Sheet1'!$L$16"}</definedName>
    <definedName name="Bgiang" localSheetId="1" hidden="1">{"'Sheet1'!$L$16"}</definedName>
    <definedName name="Bgiang" localSheetId="6" hidden="1">{"'Sheet1'!$L$16"}</definedName>
    <definedName name="Bgiang" localSheetId="5" hidden="1">{"'Sheet1'!$L$16"}</definedName>
    <definedName name="Bgiang" localSheetId="4" hidden="1">{"'Sheet1'!$L$16"}</definedName>
    <definedName name="Bgiang" localSheetId="8" hidden="1">{"'Sheet1'!$L$16"}</definedName>
    <definedName name="Bgiang" localSheetId="7" hidden="1">{"'Sheet1'!$L$16"}</definedName>
    <definedName name="Bgiang" hidden="1">{"'Sheet1'!$L$16"}</definedName>
    <definedName name="bh">#REF!</definedName>
    <definedName name="bhy">#REF!</definedName>
    <definedName name="bia">#REF!</definedName>
    <definedName name="Bia_0.4">#REF!</definedName>
    <definedName name="Bia_22">#REF!</definedName>
    <definedName name="Bia_truoc_cong_to">#REF!</definedName>
    <definedName name="bien" localSheetId="9">BlankMacro1</definedName>
    <definedName name="bien" localSheetId="0">BlankMacro1</definedName>
    <definedName name="bien" localSheetId="10">BlankMacro1</definedName>
    <definedName name="bien" localSheetId="1">BlankMacro1</definedName>
    <definedName name="bien" localSheetId="6">BlankMacro1</definedName>
    <definedName name="bien" localSheetId="5">BlankMacro1</definedName>
    <definedName name="bien" localSheetId="4">BlankMacro1</definedName>
    <definedName name="bien" localSheetId="8">BlankMacro1</definedName>
    <definedName name="bien" localSheetId="7">BlankMacro1</definedName>
    <definedName name="bien">BlankMacro1</definedName>
    <definedName name="bieu">#REF!</definedName>
    <definedName name="Bitum">#REF!</definedName>
    <definedName name="BK">#REF!</definedName>
    <definedName name="BKTB">#REF!</definedName>
    <definedName name="blang">#REF!</definedName>
    <definedName name="BLDG">#REF!</definedName>
    <definedName name="BLDGREV">#REF!</definedName>
    <definedName name="BLDGIMP">#REF!</definedName>
    <definedName name="blf">#REF!</definedName>
    <definedName name="bLF_">#REF!</definedName>
    <definedName name="blkh">#REF!</definedName>
    <definedName name="blkh1">#REF!</definedName>
    <definedName name="BLOCK1">#REF!</definedName>
    <definedName name="BLOCK2">#REF!</definedName>
    <definedName name="BLOCK3">#REF!</definedName>
    <definedName name="blong">#REF!</definedName>
    <definedName name="blop">#REF!</definedName>
    <definedName name="boa">#REF!</definedName>
    <definedName name="bom">#REF!</definedName>
    <definedName name="bombt50">#REF!</definedName>
    <definedName name="bombt60">#REF!</definedName>
    <definedName name="bomnuoc20kw">#REF!</definedName>
    <definedName name="bomvua1.5">#REF!</definedName>
    <definedName name="Bon">#REF!</definedName>
    <definedName name="Book2">#REF!</definedName>
    <definedName name="BookName">"Bao_cao_cua_NVTK_tai_NPP_bieu_mau_moi_4___Mau_moi.xls"</definedName>
    <definedName name="BOQ">#REF!</definedName>
    <definedName name="Botanical2">#REF!</definedName>
    <definedName name="Botanical2.Jun">#REF!</definedName>
    <definedName name="botda">#REF!</definedName>
    <definedName name="BPCLL">#REF!</definedName>
    <definedName name="BR_373">#REF!</definedName>
    <definedName name="BrName">#REF!</definedName>
    <definedName name="bS">#REF!</definedName>
    <definedName name="bs_">#REF!</definedName>
    <definedName name="bsf">#REF!</definedName>
    <definedName name="bSF_">#REF!</definedName>
    <definedName name="bson">#REF!</definedName>
    <definedName name="BT">#REF!</definedName>
    <definedName name="BT_125">#REF!</definedName>
    <definedName name="BT_A1">#REF!</definedName>
    <definedName name="BT_A2">#REF!</definedName>
    <definedName name="BT_A2.1">#REF!</definedName>
    <definedName name="BT_A2.2">#REF!</definedName>
    <definedName name="BT_B1">#REF!</definedName>
    <definedName name="BT_B2">#REF!</definedName>
    <definedName name="BT_C1">#REF!</definedName>
    <definedName name="BT_loai_A2.1">#REF!</definedName>
    <definedName name="BT_P1">#REF!</definedName>
    <definedName name="BT_P10">#REF!</definedName>
    <definedName name="BT_P11">#REF!</definedName>
    <definedName name="BT_P2">#REF!</definedName>
    <definedName name="BT_P3">#REF!</definedName>
    <definedName name="BT_P4">#REF!</definedName>
    <definedName name="BT_P5">#REF!</definedName>
    <definedName name="BT_P6">#REF!</definedName>
    <definedName name="BT_P7">#REF!</definedName>
    <definedName name="BT_P8">#REF!</definedName>
    <definedName name="BT_P9">#REF!</definedName>
    <definedName name="BT200_50">#REF!</definedName>
    <definedName name="bt250.0">#REF!</definedName>
    <definedName name="bt30_">#REF!</definedName>
    <definedName name="btai">#REF!</definedName>
    <definedName name="BTC">#REF!</definedName>
    <definedName name="btcocM400">#REF!</definedName>
    <definedName name="btct">#REF!</definedName>
    <definedName name="btchiuaxitm300">#REF!</definedName>
    <definedName name="BTchiuaxm200">#REF!</definedName>
    <definedName name="btds">#REF!</definedName>
    <definedName name="btkn">#REF!</definedName>
    <definedName name="btl" localSheetId="9" hidden="1">{"'Sheet1'!$L$16"}</definedName>
    <definedName name="btl" localSheetId="0" hidden="1">{"'Sheet1'!$L$16"}</definedName>
    <definedName name="btl" localSheetId="10" hidden="1">{"'Sheet1'!$L$16"}</definedName>
    <definedName name="btl" localSheetId="1" hidden="1">{"'Sheet1'!$L$16"}</definedName>
    <definedName name="btl" localSheetId="6" hidden="1">{"'Sheet1'!$L$16"}</definedName>
    <definedName name="btl" localSheetId="5" hidden="1">{"'Sheet1'!$L$16"}</definedName>
    <definedName name="btl" localSheetId="4" hidden="1">{"'Sheet1'!$L$16"}</definedName>
    <definedName name="btl" localSheetId="8" hidden="1">{"'Sheet1'!$L$16"}</definedName>
    <definedName name="btl" localSheetId="7" hidden="1">{"'Sheet1'!$L$16"}</definedName>
    <definedName name="btl" hidden="1">{"'Sheet1'!$L$16"}</definedName>
    <definedName name="BTlotm100">#REF!</definedName>
    <definedName name="btm">#REF!</definedName>
    <definedName name="bton">#REF!</definedName>
    <definedName name="bttc">#REF!</definedName>
    <definedName name="btthuongpham150">#REF!</definedName>
    <definedName name="btthuongpham300">#REF!</definedName>
    <definedName name="btham">#REF!</definedName>
    <definedName name="BTRAM">#REF!</definedName>
    <definedName name="BU_CHENH_LECH_DZ0.4KV">#REF!</definedName>
    <definedName name="BU_CHENH_LECH_DZ22KV">#REF!</definedName>
    <definedName name="BU_CHENH_LECH_TBA">#REF!</definedName>
    <definedName name="Bu_long">#REF!</definedName>
    <definedName name="bua1.2">#REF!</definedName>
    <definedName name="bua1.8">#REF!</definedName>
    <definedName name="buarung170">#REF!</definedName>
    <definedName name="bùc" localSheetId="9">{"Book1","Dt tonghop.xls"}</definedName>
    <definedName name="bùc" localSheetId="0">{"Book1","Dt tonghop.xls"}</definedName>
    <definedName name="bùc" localSheetId="10">{"Book1","Dt tonghop.xls"}</definedName>
    <definedName name="bùc" localSheetId="1">{"Book1","Dt tonghop.xls"}</definedName>
    <definedName name="bùc" localSheetId="6">{"Book1","Dt tonghop.xls"}</definedName>
    <definedName name="bùc" localSheetId="5">{"Book1","Dt tonghop.xls"}</definedName>
    <definedName name="bùc" localSheetId="4">{"Book1","Dt tonghop.xls"}</definedName>
    <definedName name="bùc" localSheetId="8">{"Book1","Dt tonghop.xls"}</definedName>
    <definedName name="bùc" localSheetId="7">{"Book1","Dt tonghop.xls"}</definedName>
    <definedName name="bùc">{"Book1","Dt tonghop.xls"}</definedName>
    <definedName name="Bulongma">8700</definedName>
    <definedName name="buoc">#REF!</definedName>
    <definedName name="Bust">#REF!</definedName>
    <definedName name="BVCISUMMARY">#REF!</definedName>
    <definedName name="bw_">#REF!</definedName>
    <definedName name="bwf">#REF!</definedName>
    <definedName name="bWF_">#REF!</definedName>
    <definedName name="bWL">#REF!</definedName>
    <definedName name="bwlf">#REF!</definedName>
    <definedName name="bWLF_">#REF!</definedName>
    <definedName name="C.1.1..Phat_tuyen">#REF!</definedName>
    <definedName name="C.1.10..VC_Thu_cong_CG">#REF!</definedName>
    <definedName name="C.1.2..Chat_cay_thu_cong">#REF!</definedName>
    <definedName name="C.1.3..Chat_cay_may">#REF!</definedName>
    <definedName name="C.1.4..Dao_goc_cay">#REF!</definedName>
    <definedName name="C.1.5..Lam_duong_tam">#REF!</definedName>
    <definedName name="C.1.6..Lam_cau_tam">#REF!</definedName>
    <definedName name="C.1.7..Rai_da_chong_lun">#REF!</definedName>
    <definedName name="C.1.8..Lam_kho_tam">#REF!</definedName>
    <definedName name="C.1.8..San_mat_bang">#REF!</definedName>
    <definedName name="C.2.1..VC_Thu_cong">#REF!</definedName>
    <definedName name="C.2.2..VC_T_cong_CG">#REF!</definedName>
    <definedName name="C.2.3..Boc_do">#REF!</definedName>
    <definedName name="C.3.1..Dao_dat_mong_cot">#REF!</definedName>
    <definedName name="C.3.2..Dao_dat_de_dap">#REF!</definedName>
    <definedName name="C.3.3..Dap_dat_mong">#REF!</definedName>
    <definedName name="C.3.4..Dao_dap_TDia">#REF!</definedName>
    <definedName name="C.3.5..Dap_bo_bao">#REF!</definedName>
    <definedName name="C.3.6..Bom_tat_nuoc">#REF!</definedName>
    <definedName name="C.3.7..Dao_bun">#REF!</definedName>
    <definedName name="C.3.8..Dap_cat_CT">#REF!</definedName>
    <definedName name="C.3.9..Dao_pha_da">#REF!</definedName>
    <definedName name="C.4.1.Cot_thep">#REF!</definedName>
    <definedName name="C.4.2..Van_khuon">#REF!</definedName>
    <definedName name="C.4.3..Be_tong">#REF!</definedName>
    <definedName name="C.4.4..Lap_BT_D.San">#REF!</definedName>
    <definedName name="C.4.5..Xay_da_hoc">#REF!</definedName>
    <definedName name="C.4.6..Dong_coc">#REF!</definedName>
    <definedName name="C.4.7..Quet_Bi_tum">#REF!</definedName>
    <definedName name="C.5.1..Lap_cot_thep">#REF!</definedName>
    <definedName name="C.5.2..Lap_cot_BT">#REF!</definedName>
    <definedName name="C.5.3..Lap_dat_xa">#REF!</definedName>
    <definedName name="C.5.4..Lap_tiep_dia">#REF!</definedName>
    <definedName name="C.5.5..Son_sat_thep">#REF!</definedName>
    <definedName name="C.6.1..Lap_su_dung">#REF!</definedName>
    <definedName name="C.6.2..Lap_su_CS">#REF!</definedName>
    <definedName name="C.6.3..Su_chuoi_do">#REF!</definedName>
    <definedName name="C.6.4..Su_chuoi_neo">#REF!</definedName>
    <definedName name="C.6.5..Lap_phu_kien">#REF!</definedName>
    <definedName name="C.6.6..Ep_noi_day">#REF!</definedName>
    <definedName name="C.6.7..KD_vuot_CN">#REF!</definedName>
    <definedName name="C.6.8..Rai_cang_day">#REF!</definedName>
    <definedName name="C.6.9..Cap_quang">#REF!</definedName>
    <definedName name="c_">#REF!</definedName>
    <definedName name="c_1">#REF!</definedName>
    <definedName name="c_2">#REF!</definedName>
    <definedName name="c_n">#REF!</definedName>
    <definedName name="C2.7">#REF!</definedName>
    <definedName name="C3.0">#REF!</definedName>
    <definedName name="C3.5">#REF!</definedName>
    <definedName name="C3.7">#REF!</definedName>
    <definedName name="C4.0">#REF!</definedName>
    <definedName name="ca">#REF!</definedName>
    <definedName name="ca.1111">#REF!</definedName>
    <definedName name="ca.1111.th">#REF!</definedName>
    <definedName name="caa">#REF!</definedName>
    <definedName name="CABLE2">#REF!</definedName>
    <definedName name="CACAU">298161</definedName>
    <definedName name="càda">#REF!</definedName>
    <definedName name="cam">#REF!</definedName>
    <definedName name="CAMAY">#REF!</definedName>
    <definedName name="cancu2">#REF!</definedName>
    <definedName name="cap">#REF!</definedName>
    <definedName name="CAP_DIEN_AP">#REF!</definedName>
    <definedName name="Cap_DUL_doc_B">#REF!</definedName>
    <definedName name="CAP_DUL_ngang_B">#REF!</definedName>
    <definedName name="cap0.7">#REF!</definedName>
    <definedName name="CAPDAT">#REF!</definedName>
    <definedName name="capdul">#REF!</definedName>
    <definedName name="Case_Linkw_AT_211_Fdd">#REF!</definedName>
    <definedName name="Case_Linkw_ATX">#REF!</definedName>
    <definedName name="Case_Linkw_ATX_218_Fdd">#REF!</definedName>
    <definedName name="casing">#REF!</definedName>
    <definedName name="Cat">#REF!</definedName>
    <definedName name="catcap">#REF!</definedName>
    <definedName name="Category_All">#REF!</definedName>
    <definedName name="CATIN">#N/A</definedName>
    <definedName name="CATJYOU">#N/A</definedName>
    <definedName name="catm">#REF!</definedName>
    <definedName name="catn">#REF!</definedName>
    <definedName name="CATSYU">#N/A</definedName>
    <definedName name="catuon">#REF!</definedName>
    <definedName name="catvang">#REF!</definedName>
    <definedName name="CatVang_HamYen">#REF!</definedName>
    <definedName name="CATREC">#N/A</definedName>
    <definedName name="cau">#REF!</definedName>
    <definedName name="Cau_1">#REF!</definedName>
    <definedName name="Cau_tam">#REF!</definedName>
    <definedName name="caunoi30">#REF!</definedName>
    <definedName name="Caùp_ñoàng_traàn_75mm2">#REF!</definedName>
    <definedName name="Cb">#REF!</definedName>
    <definedName name="CBWorkbookPriority" hidden="1">-604668737</definedName>
    <definedName name="cc">#REF!</definedName>
    <definedName name="cc_">#REF!</definedName>
    <definedName name="ccf">#REF!</definedName>
    <definedName name="CCNK">#REF!</definedName>
    <definedName name="CCS">#REF!</definedName>
    <definedName name="cd">#REF!</definedName>
    <definedName name="CDA">#REF!</definedName>
    <definedName name="CDADD">#REF!</definedName>
    <definedName name="CDAI">#REF!</definedName>
    <definedName name="CDAY">#REF!</definedName>
    <definedName name="CDD">#REF!</definedName>
    <definedName name="CDDB">#REF!</definedName>
    <definedName name="CDDD">#REF!</definedName>
    <definedName name="cddd1p">#REF!</definedName>
    <definedName name="CDDD1PHA">#REF!</definedName>
    <definedName name="cddd3p">#REF!</definedName>
    <definedName name="CDDD3PHA">#REF!</definedName>
    <definedName name="CDDR_Acer40X_IDE">#REF!</definedName>
    <definedName name="CDDR_Acer48X_IDE">#REF!</definedName>
    <definedName name="CDDR_Acer50X_IDE">#REF!</definedName>
    <definedName name="CDDT">#REF!</definedName>
    <definedName name="CDMD">#REF!</definedName>
    <definedName name="cdn">#REF!</definedName>
    <definedName name="Cdnum">#REF!</definedName>
    <definedName name="CDTRAMD1">#REF!</definedName>
    <definedName name="Céng">#REF!</definedName>
    <definedName name="cfc">#REF!</definedName>
    <definedName name="cfk">#REF!</definedName>
    <definedName name="cg" localSheetId="9" hidden="1">{"'Sheet1'!$L$16"}</definedName>
    <definedName name="cg" localSheetId="0" hidden="1">{"'Sheet1'!$L$16"}</definedName>
    <definedName name="cg" localSheetId="10" hidden="1">{"'Sheet1'!$L$16"}</definedName>
    <definedName name="cg" localSheetId="1" hidden="1">{"'Sheet1'!$L$16"}</definedName>
    <definedName name="cg" localSheetId="6" hidden="1">{"'Sheet1'!$L$16"}</definedName>
    <definedName name="cg" localSheetId="5" hidden="1">{"'Sheet1'!$L$16"}</definedName>
    <definedName name="cg" localSheetId="4" hidden="1">{"'Sheet1'!$L$16"}</definedName>
    <definedName name="cg" localSheetId="8" hidden="1">{"'Sheet1'!$L$16"}</definedName>
    <definedName name="cg" localSheetId="7" hidden="1">{"'Sheet1'!$L$16"}</definedName>
    <definedName name="cg" hidden="1">{"'Sheet1'!$L$16"}</definedName>
    <definedName name="cgionc">#REF!</definedName>
    <definedName name="cgiovl">#REF!</definedName>
    <definedName name="citidd">#REF!</definedName>
    <definedName name="CK">#REF!</definedName>
    <definedName name="ckn">#REF!</definedName>
    <definedName name="ckna">#REF!</definedName>
    <definedName name="cknc">#REF!</definedName>
    <definedName name="ckvl">#REF!</definedName>
    <definedName name="CL">#REF!</definedName>
    <definedName name="CLECH_0.4">#REF!</definedName>
    <definedName name="CLech_22">#REF!</definedName>
    <definedName name="Clech_o.4">#REF!</definedName>
    <definedName name="CLIENT">#REF!</definedName>
    <definedName name="CLS">#REF!</definedName>
    <definedName name="CLTMP">#REF!</definedName>
    <definedName name="CLVC">#REF!</definedName>
    <definedName name="clvc1">#REF!</definedName>
    <definedName name="CLVC3">0.1</definedName>
    <definedName name="CLVC35">#REF!</definedName>
    <definedName name="CLVCTB">#REF!</definedName>
    <definedName name="CLVL">#REF!</definedName>
    <definedName name="cly">#REF!</definedName>
    <definedName name="CLyTC">#REF!</definedName>
    <definedName name="CMG">#REF!</definedName>
    <definedName name="cn">#REF!</definedName>
    <definedName name="CN3p">#REF!</definedName>
    <definedName name="CNC">#REF!</definedName>
    <definedName name="CND">#REF!</definedName>
    <definedName name="cne">#REF!</definedName>
    <definedName name="Cñi">#REF!</definedName>
    <definedName name="CNG">#REF!</definedName>
    <definedName name="CO">#REF!</definedName>
    <definedName name="co.">#REF!</definedName>
    <definedName name="co..">#REF!</definedName>
    <definedName name="Coal_increase_ratio">#REF!</definedName>
    <definedName name="coar">#REF!</definedName>
    <definedName name="COAT">#REF!</definedName>
    <definedName name="coc">#REF!</definedName>
    <definedName name="COC_1.2">#REF!</definedName>
    <definedName name="Coc_2m">#REF!</definedName>
    <definedName name="coc20x20">#REF!</definedName>
    <definedName name="cocvt">#REF!</definedName>
    <definedName name="CODE">#REF!</definedName>
    <definedName name="CODE1">#REF!</definedName>
    <definedName name="CODE2">#REF!</definedName>
    <definedName name="CODE3">#REF!</definedName>
    <definedName name="Codedata">#REF!</definedName>
    <definedName name="CODL">#REF!</definedName>
    <definedName name="coi">#REF!</definedName>
    <definedName name="Cöï_ly_vaän_chuyeãn">#REF!</definedName>
    <definedName name="CÖÏ_LY_VAÄN_CHUYEÅN">#REF!</definedName>
    <definedName name="cokhihoachat">#REF!</definedName>
    <definedName name="ColumnTitle1">" "</definedName>
    <definedName name="Comm" localSheetId="9">BlankMacro1</definedName>
    <definedName name="Comm" localSheetId="0">BlankMacro1</definedName>
    <definedName name="Comm" localSheetId="10">BlankMacro1</definedName>
    <definedName name="Comm" localSheetId="1">BlankMacro1</definedName>
    <definedName name="Comm" localSheetId="6">BlankMacro1</definedName>
    <definedName name="Comm" localSheetId="5">BlankMacro1</definedName>
    <definedName name="Comm" localSheetId="4">BlankMacro1</definedName>
    <definedName name="Comm" localSheetId="8">BlankMacro1</definedName>
    <definedName name="Comm" localSheetId="7">BlankMacro1</definedName>
    <definedName name="Comm">BlankMacro1</definedName>
    <definedName name="COMMON">#REF!</definedName>
    <definedName name="Comp">#REF!</definedName>
    <definedName name="CON_EQP_COS">#REF!</definedName>
    <definedName name="CON_EQP_COST">#REF!</definedName>
    <definedName name="Concrete">#REF!</definedName>
    <definedName name="conrua">#REF!</definedName>
    <definedName name="CONST_EQ">#REF!</definedName>
    <definedName name="Continue">#REF!</definedName>
    <definedName name="ContractType">#REF!</definedName>
    <definedName name="cong">#REF!</definedName>
    <definedName name="cong_bq">#REF!</definedName>
    <definedName name="cong_bv">#REF!</definedName>
    <definedName name="cong_ck">#REF!</definedName>
    <definedName name="cong_d1">#REF!</definedName>
    <definedName name="cong_d2">#REF!</definedName>
    <definedName name="cong_d3">#REF!</definedName>
    <definedName name="cong_dl">#REF!</definedName>
    <definedName name="Cong_HM_DTCT">#REF!</definedName>
    <definedName name="cong_kcs">#REF!</definedName>
    <definedName name="Cong_M_DTCT">#REF!</definedName>
    <definedName name="cong_nb">#REF!</definedName>
    <definedName name="Cong_NC_DTCT">#REF!</definedName>
    <definedName name="cong_nv">#REF!</definedName>
    <definedName name="cong_ngio">#REF!</definedName>
    <definedName name="Cong_suat">#REF!</definedName>
    <definedName name="Cong_suat_dat">#REF!</definedName>
    <definedName name="cong_t3">#REF!</definedName>
    <definedName name="cong_t4">#REF!</definedName>
    <definedName name="cong_t5">#REF!</definedName>
    <definedName name="cong_t6">#REF!</definedName>
    <definedName name="cong_tc">#REF!</definedName>
    <definedName name="cong_tm">#REF!</definedName>
    <definedName name="Cong_VL_DTCT">#REF!</definedName>
    <definedName name="cong_vs">#REF!</definedName>
    <definedName name="cong_xh">#REF!</definedName>
    <definedName name="cong1x15">#REF!</definedName>
    <definedName name="Congdoc">#REF!</definedName>
    <definedName name="copy">#REF!,#REF!,#REF!,#REF!</definedName>
    <definedName name="copyl">#REF!,#REF!,#REF!,#REF!,#REF!</definedName>
    <definedName name="core_cn">#REF!</definedName>
    <definedName name="core_ks">#REF!</definedName>
    <definedName name="CoreProgram_CN">#REF!</definedName>
    <definedName name="cot">#REF!</definedName>
    <definedName name="Cot_thep">#REF!</definedName>
    <definedName name="cot7.5">#REF!</definedName>
    <definedName name="cot8.5">#REF!</definedName>
    <definedName name="cotpha">#REF!</definedName>
    <definedName name="Cotsatma">9726</definedName>
    <definedName name="Cotthepma">9726</definedName>
    <definedName name="Country">#REF!</definedName>
    <definedName name="counxlkcs">#REF!</definedName>
    <definedName name="couxlkcs">#REF!</definedName>
    <definedName name="couxlkd">#REF!</definedName>
    <definedName name="couxlktnl">#REF!</definedName>
    <definedName name="couxlkttv">#REF!</definedName>
    <definedName name="couxlkh">#REF!</definedName>
    <definedName name="couxlpxsx">#REF!</definedName>
    <definedName name="couxltc">#REF!</definedName>
    <definedName name="COVER">#REF!</definedName>
    <definedName name="CP">#REF!</definedName>
    <definedName name="CPC">#REF!</definedName>
    <definedName name="CPCNT">#REF!</definedName>
    <definedName name="cpd">#REF!</definedName>
    <definedName name="cpdd">#REF!</definedName>
    <definedName name="cpdd1">#REF!</definedName>
    <definedName name="cpdd2">#REF!</definedName>
    <definedName name="CPDD22cm">#REF!</definedName>
    <definedName name="cpdd35cm">#REF!</definedName>
    <definedName name="CPK">#REF!</definedName>
    <definedName name="CPKSAT">#REF!</definedName>
    <definedName name="cplhsmt">#REF!</definedName>
    <definedName name="cpmtc">#REF!</definedName>
    <definedName name="cpnc">#REF!</definedName>
    <definedName name="CPNK">#REF!</definedName>
    <definedName name="CPPM">#REF!</definedName>
    <definedName name="CPTD">#REF!</definedName>
    <definedName name="cptdhsmt">#REF!</definedName>
    <definedName name="cptdtdt">#REF!</definedName>
    <definedName name="cptdtkkt">#REF!</definedName>
    <definedName name="CPTKE">#REF!</definedName>
    <definedName name="cptt">#REF!</definedName>
    <definedName name="CPTVAN">#REF!</definedName>
    <definedName name="CPU_AMD_K6II_550">#REF!</definedName>
    <definedName name="CPU_Intel_P4_1.7_256K_256RIMM">#REF!</definedName>
    <definedName name="CPU_Intel_PIII500E_256Kdie_Copp">#REF!</definedName>
    <definedName name="CPU_Intel_PIII550E_256Kdie_Copp">#REF!</definedName>
    <definedName name="cpvc">#REF!</definedName>
    <definedName name="CPVC100">#REF!</definedName>
    <definedName name="CPVC1KM">#REF!</definedName>
    <definedName name="CPVC35">#REF!</definedName>
    <definedName name="CPVCDN">#REF!</definedName>
    <definedName name="cpvl">#REF!</definedName>
    <definedName name="CPX">#REF!</definedName>
    <definedName name="CPXK">#REF!</definedName>
    <definedName name="CPY">#REF!</definedName>
    <definedName name="CRD">#REF!</definedName>
    <definedName name="Crew">#REF!</definedName>
    <definedName name="CRIT1">#REF!</definedName>
    <definedName name="CRIT10">#REF!</definedName>
    <definedName name="CRIT2">#REF!</definedName>
    <definedName name="CRIT3">#REF!</definedName>
    <definedName name="CRIT4">#REF!</definedName>
    <definedName name="CRIT5">#REF!</definedName>
    <definedName name="CRIT6">#REF!</definedName>
    <definedName name="CRIT7">#REF!</definedName>
    <definedName name="CRIT8">#REF!</definedName>
    <definedName name="CRIT9">#REF!</definedName>
    <definedName name="_xlnm.Criteria">#REF!</definedName>
    <definedName name="CRITINST">#REF!</definedName>
    <definedName name="CRITPURC">#REF!</definedName>
    <definedName name="CRS">#REF!</definedName>
    <definedName name="cs">#REF!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d3p">#REF!</definedName>
    <definedName name="csddg1p">#REF!</definedName>
    <definedName name="csddt1p">#REF!</definedName>
    <definedName name="csht3p">#REF!</definedName>
    <definedName name="CSX">#REF!</definedName>
    <definedName name="CSY">#REF!</definedName>
    <definedName name="CT">#REF!</definedName>
    <definedName name="CT_03">#REF!</definedName>
    <definedName name="CT_50">#REF!</definedName>
    <definedName name="CT_KSTK">#REF!</definedName>
    <definedName name="CT_MCX">#REF!</definedName>
    <definedName name="ct3_">#REF!</definedName>
    <definedName name="ct5_">#REF!</definedName>
    <definedName name="Ctb">#REF!</definedName>
    <definedName name="CTBT">#REF!</definedName>
    <definedName name="CTBT1">#REF!</definedName>
    <definedName name="CTBT2">#REF!</definedName>
    <definedName name="CTCT1" localSheetId="9" hidden="1">{"'Sheet1'!$L$16"}</definedName>
    <definedName name="CTCT1" localSheetId="0" hidden="1">{"'Sheet1'!$L$16"}</definedName>
    <definedName name="CTCT1" localSheetId="10" hidden="1">{"'Sheet1'!$L$16"}</definedName>
    <definedName name="CTCT1" localSheetId="1" hidden="1">{"'Sheet1'!$L$16"}</definedName>
    <definedName name="CTCT1" localSheetId="6" hidden="1">{"'Sheet1'!$L$16"}</definedName>
    <definedName name="CTCT1" localSheetId="5" hidden="1">{"'Sheet1'!$L$16"}</definedName>
    <definedName name="CTCT1" localSheetId="4" hidden="1">{"'Sheet1'!$L$16"}</definedName>
    <definedName name="CTCT1" localSheetId="8" hidden="1">{"'Sheet1'!$L$16"}</definedName>
    <definedName name="CTCT1" localSheetId="7" hidden="1">{"'Sheet1'!$L$16"}</definedName>
    <definedName name="CTCT1" hidden="1">{"'Sheet1'!$L$16"}</definedName>
    <definedName name="ctct2" localSheetId="9" hidden="1">{"'Sheet1'!$L$16"}</definedName>
    <definedName name="ctct2" localSheetId="0" hidden="1">{"'Sheet1'!$L$16"}</definedName>
    <definedName name="ctct2" localSheetId="10" hidden="1">{"'Sheet1'!$L$16"}</definedName>
    <definedName name="ctct2" localSheetId="1" hidden="1">{"'Sheet1'!$L$16"}</definedName>
    <definedName name="ctct2" localSheetId="6" hidden="1">{"'Sheet1'!$L$16"}</definedName>
    <definedName name="ctct2" localSheetId="5" hidden="1">{"'Sheet1'!$L$16"}</definedName>
    <definedName name="ctct2" localSheetId="4" hidden="1">{"'Sheet1'!$L$16"}</definedName>
    <definedName name="ctct2" localSheetId="8" hidden="1">{"'Sheet1'!$L$16"}</definedName>
    <definedName name="ctct2" localSheetId="7" hidden="1">{"'Sheet1'!$L$16"}</definedName>
    <definedName name="ctct2" hidden="1">{"'Sheet1'!$L$16"}</definedName>
    <definedName name="ctdg">#REF!</definedName>
    <definedName name="CTDL">#REF!</definedName>
    <definedName name="ctdn9697">#REF!</definedName>
    <definedName name="ctgt">#REF!</definedName>
    <definedName name="ctgt1">#REF!</definedName>
    <definedName name="cti3x15">#REF!</definedName>
    <definedName name="ctiep">#REF!</definedName>
    <definedName name="CTIET">#REF!</definedName>
    <definedName name="ctieu" localSheetId="9" hidden="1">{"'Sheet1'!$L$16"}</definedName>
    <definedName name="ctieu" localSheetId="0" hidden="1">{"'Sheet1'!$L$16"}</definedName>
    <definedName name="ctieu" localSheetId="10" hidden="1">{"'Sheet1'!$L$16"}</definedName>
    <definedName name="ctieu" localSheetId="1" hidden="1">{"'Sheet1'!$L$16"}</definedName>
    <definedName name="ctieu" localSheetId="6" hidden="1">{"'Sheet1'!$L$16"}</definedName>
    <definedName name="ctieu" localSheetId="5" hidden="1">{"'Sheet1'!$L$16"}</definedName>
    <definedName name="ctieu" localSheetId="4" hidden="1">{"'Sheet1'!$L$16"}</definedName>
    <definedName name="ctieu" localSheetId="8" hidden="1">{"'Sheet1'!$L$16"}</definedName>
    <definedName name="ctieu" localSheetId="7" hidden="1">{"'Sheet1'!$L$16"}</definedName>
    <definedName name="ctieu" hidden="1">{"'Sheet1'!$L$16"}</definedName>
    <definedName name="ctinh">#REF!</definedName>
    <definedName name="CTL">#REF!</definedName>
    <definedName name="ctmai">#REF!</definedName>
    <definedName name="cto">#REF!</definedName>
    <definedName name="ctong">#REF!</definedName>
    <definedName name="CTsu" localSheetId="9" hidden="1">{"'Sheet1'!$L$16"}</definedName>
    <definedName name="CTsu" localSheetId="0" hidden="1">{"'Sheet1'!$L$16"}</definedName>
    <definedName name="CTsu" localSheetId="10" hidden="1">{"'Sheet1'!$L$16"}</definedName>
    <definedName name="CTsu" localSheetId="1" hidden="1">{"'Sheet1'!$L$16"}</definedName>
    <definedName name="CTsu" localSheetId="6" hidden="1">{"'Sheet1'!$L$16"}</definedName>
    <definedName name="CTsu" localSheetId="5" hidden="1">{"'Sheet1'!$L$16"}</definedName>
    <definedName name="CTsu" localSheetId="4" hidden="1">{"'Sheet1'!$L$16"}</definedName>
    <definedName name="CTsu" localSheetId="8" hidden="1">{"'Sheet1'!$L$16"}</definedName>
    <definedName name="CTsu" localSheetId="7" hidden="1">{"'Sheet1'!$L$16"}</definedName>
    <definedName name="CTsu" hidden="1">{"'Sheet1'!$L$16"}</definedName>
    <definedName name="ctxd">#REF!</definedName>
    <definedName name="CTH">#REF!</definedName>
    <definedName name="CTHT">#REF!</definedName>
    <definedName name="CTRAM">#REF!</definedName>
    <definedName name="ctre">#REF!</definedName>
    <definedName name="cu">#REF!</definedName>
    <definedName name="CU_LY">#REF!</definedName>
    <definedName name="cu_ly_1">#REF!</definedName>
    <definedName name="CU_LY_VAN_CHUYEN_GIA_QUYEN">#REF!</definedName>
    <definedName name="CU_LY_VAN_CHUYEN_THU_CONG">#REF!</definedName>
    <definedName name="cui">#REF!</definedName>
    <definedName name="CuLy">#REF!</definedName>
    <definedName name="CuLy_Q">#REF!</definedName>
    <definedName name="culy1">#REF!</definedName>
    <definedName name="culy2">#REF!</definedName>
    <definedName name="culy3">#REF!</definedName>
    <definedName name="culy4">#REF!</definedName>
    <definedName name="culy5">#REF!</definedName>
    <definedName name="cung" localSheetId="9" hidden="1">{"'Sheet1'!$L$16"}</definedName>
    <definedName name="cung" localSheetId="0" hidden="1">{"'Sheet1'!$L$16"}</definedName>
    <definedName name="cung" localSheetId="10" hidden="1">{"'Sheet1'!$L$16"}</definedName>
    <definedName name="cung" localSheetId="1" hidden="1">{"'Sheet1'!$L$16"}</definedName>
    <definedName name="cung" localSheetId="6" hidden="1">{"'Sheet1'!$L$16"}</definedName>
    <definedName name="cung" localSheetId="5" hidden="1">{"'Sheet1'!$L$16"}</definedName>
    <definedName name="cung" localSheetId="4" hidden="1">{"'Sheet1'!$L$16"}</definedName>
    <definedName name="cung" localSheetId="8" hidden="1">{"'Sheet1'!$L$16"}</definedName>
    <definedName name="cung" localSheetId="7" hidden="1">{"'Sheet1'!$L$16"}</definedName>
    <definedName name="cung" hidden="1">{"'Sheet1'!$L$16"}</definedName>
    <definedName name="cuoc">#REF!</definedName>
    <definedName name="cuoc_vc">#REF!</definedName>
    <definedName name="Cuoc_vc_1">#REF!</definedName>
    <definedName name="CuocVC">#REF!</definedName>
    <definedName name="cuond">#REF!</definedName>
    <definedName name="CURRENCY">#REF!</definedName>
    <definedName name="Current">#REF!</definedName>
    <definedName name="cutback">#REF!</definedName>
    <definedName name="cv">#REF!</definedName>
    <definedName name="CVC_Q">#REF!</definedName>
    <definedName name="cx">#REF!</definedName>
    <definedName name="cxhtnc">#REF!</definedName>
    <definedName name="cxhtvl">#REF!</definedName>
    <definedName name="cxnc">#REF!</definedName>
    <definedName name="cxvl">#REF!</definedName>
    <definedName name="cxxnc">#REF!</definedName>
    <definedName name="cxxvl">#REF!</definedName>
    <definedName name="CH">#REF!</definedName>
    <definedName name="Ch_rong">#REF!</definedName>
    <definedName name="Chang">#REF!</definedName>
    <definedName name="CHAR">#REF!</definedName>
    <definedName name="Characteristic">#REF!</definedName>
    <definedName name="chay1">#REF!</definedName>
    <definedName name="chay10">#REF!</definedName>
    <definedName name="chay2">#REF!</definedName>
    <definedName name="chay3">#REF!</definedName>
    <definedName name="chay4">#REF!</definedName>
    <definedName name="chay5">#REF!</definedName>
    <definedName name="chay6">#REF!</definedName>
    <definedName name="chay7">#REF!</definedName>
    <definedName name="chay8">#REF!</definedName>
    <definedName name="chay9">#REF!</definedName>
    <definedName name="ChDai">#REF!</definedName>
    <definedName name="chhtnc">#REF!</definedName>
    <definedName name="chhtvl">#REF!</definedName>
    <definedName name="Chi_phi_OM">#REF!</definedName>
    <definedName name="Chi_tieát_phi">#REF!</definedName>
    <definedName name="Chi_tiet_0.4">#REF!</definedName>
    <definedName name="Chi_Tiet_22">#REF!</definedName>
    <definedName name="Chi_tiet_TBA">#REF!</definedName>
    <definedName name="chi_tiÕt_vËt_liÖu___nh_n_c_ng___m_y_thi_c_ng">#REF!</definedName>
    <definedName name="chiemhoa">#REF!</definedName>
    <definedName name="Chiet_khau">#REF!</definedName>
    <definedName name="Chin">#REF!</definedName>
    <definedName name="ChiPhiKhac">#REF!</definedName>
    <definedName name="chitietbgiang2" localSheetId="9" hidden="1">{"'Sheet1'!$L$16"}</definedName>
    <definedName name="chitietbgiang2" localSheetId="0" hidden="1">{"'Sheet1'!$L$16"}</definedName>
    <definedName name="chitietbgiang2" localSheetId="10" hidden="1">{"'Sheet1'!$L$16"}</definedName>
    <definedName name="chitietbgiang2" localSheetId="1" hidden="1">{"'Sheet1'!$L$16"}</definedName>
    <definedName name="chitietbgiang2" localSheetId="6" hidden="1">{"'Sheet1'!$L$16"}</definedName>
    <definedName name="chitietbgiang2" localSheetId="5" hidden="1">{"'Sheet1'!$L$16"}</definedName>
    <definedName name="chitietbgiang2" localSheetId="4" hidden="1">{"'Sheet1'!$L$16"}</definedName>
    <definedName name="chitietbgiang2" localSheetId="8" hidden="1">{"'Sheet1'!$L$16"}</definedName>
    <definedName name="chitietbgiang2" localSheetId="7" hidden="1">{"'Sheet1'!$L$16"}</definedName>
    <definedName name="chitietbgiang2" hidden="1">{"'Sheet1'!$L$16"}</definedName>
    <definedName name="chitietdao">#REF!</definedName>
    <definedName name="chl" localSheetId="9" hidden="1">{"'Sheet1'!$L$16"}</definedName>
    <definedName name="chl" localSheetId="0" hidden="1">{"'Sheet1'!$L$16"}</definedName>
    <definedName name="chl" localSheetId="10" hidden="1">{"'Sheet1'!$L$16"}</definedName>
    <definedName name="chl" localSheetId="1" hidden="1">{"'Sheet1'!$L$16"}</definedName>
    <definedName name="chl" localSheetId="6" hidden="1">{"'Sheet1'!$L$16"}</definedName>
    <definedName name="chl" localSheetId="5" hidden="1">{"'Sheet1'!$L$16"}</definedName>
    <definedName name="chl" localSheetId="4" hidden="1">{"'Sheet1'!$L$16"}</definedName>
    <definedName name="chl" localSheetId="8" hidden="1">{"'Sheet1'!$L$16"}</definedName>
    <definedName name="chl" localSheetId="7" hidden="1">{"'Sheet1'!$L$16"}</definedName>
    <definedName name="chl" hidden="1">{"'Sheet1'!$L$16"}</definedName>
    <definedName name="chnc">#REF!</definedName>
    <definedName name="chon">#REF!</definedName>
    <definedName name="chon1">#REF!</definedName>
    <definedName name="chon2">#REF!</definedName>
    <definedName name="chon3">#REF!</definedName>
    <definedName name="Chu">#REF!</definedName>
    <definedName name="Chu_dau_tu">#REF!</definedName>
    <definedName name="chung">66</definedName>
    <definedName name="Chuongtrinh">#REF!</definedName>
    <definedName name="chuyen" localSheetId="9" hidden="1">{"'Sheet1'!$L$16"}</definedName>
    <definedName name="chuyen" localSheetId="0" hidden="1">{"'Sheet1'!$L$16"}</definedName>
    <definedName name="chuyen" localSheetId="10" hidden="1">{"'Sheet1'!$L$16"}</definedName>
    <definedName name="chuyen" localSheetId="1" hidden="1">{"'Sheet1'!$L$16"}</definedName>
    <definedName name="chuyen" localSheetId="6" hidden="1">{"'Sheet1'!$L$16"}</definedName>
    <definedName name="chuyen" localSheetId="5" hidden="1">{"'Sheet1'!$L$16"}</definedName>
    <definedName name="chuyen" localSheetId="4" hidden="1">{"'Sheet1'!$L$16"}</definedName>
    <definedName name="chuyen" localSheetId="8" hidden="1">{"'Sheet1'!$L$16"}</definedName>
    <definedName name="chuyen" localSheetId="7" hidden="1">{"'Sheet1'!$L$16"}</definedName>
    <definedName name="chuyen" hidden="1">{"'Sheet1'!$L$16"}</definedName>
    <definedName name="chvl">#REF!</definedName>
    <definedName name="d">#REF!</definedName>
    <definedName name="d.d">#REF!</definedName>
    <definedName name="d.d1">#REF!</definedName>
    <definedName name="d.d2">#REF!</definedName>
    <definedName name="d_">#REF!</definedName>
    <definedName name="d_1">#REF!</definedName>
    <definedName name="d_1I">#REF!</definedName>
    <definedName name="d_1II">#REF!</definedName>
    <definedName name="d_1III">#REF!</definedName>
    <definedName name="d_1IV">#REF!</definedName>
    <definedName name="d_2">#REF!</definedName>
    <definedName name="d_2I">#REF!</definedName>
    <definedName name="d_2II">#REF!</definedName>
    <definedName name="d_2III">#REF!</definedName>
    <definedName name="d_2IV">#REF!</definedName>
    <definedName name="d_3">#REF!</definedName>
    <definedName name="d_3I">#REF!</definedName>
    <definedName name="d_3II">#REF!</definedName>
    <definedName name="d_3III">#REF!</definedName>
    <definedName name="d_3IV">#REF!</definedName>
    <definedName name="d_4">#REF!</definedName>
    <definedName name="d_4I">#REF!</definedName>
    <definedName name="d_4II">#REF!</definedName>
    <definedName name="d_4III">#REF!</definedName>
    <definedName name="d_4IV">#REF!</definedName>
    <definedName name="D_7101A_B">#REF!</definedName>
    <definedName name="d_9bI">#REF!</definedName>
    <definedName name="d_9bII">#REF!</definedName>
    <definedName name="d_9bIII">#REF!</definedName>
    <definedName name="d_9bIV">#REF!</definedName>
    <definedName name="d_9I">#REF!</definedName>
    <definedName name="d_9II">#REF!</definedName>
    <definedName name="d_9III">#REF!</definedName>
    <definedName name="d_9IV">#REF!</definedName>
    <definedName name="D_Gia">#REF!</definedName>
    <definedName name="D_giavt">#REF!</definedName>
    <definedName name="D_kien">#REF!</definedName>
    <definedName name="D_L">#REF!</definedName>
    <definedName name="D_n">#REF!</definedName>
    <definedName name="D_y__ay">#REF!</definedName>
    <definedName name="d1_">#REF!</definedName>
    <definedName name="D1x49">#REF!</definedName>
    <definedName name="D1x49x49">#REF!</definedName>
    <definedName name="d1x6">#REF!</definedName>
    <definedName name="d2.7">#REF!</definedName>
    <definedName name="d2_">#REF!</definedName>
    <definedName name="d24nc">#REF!</definedName>
    <definedName name="d24vl">#REF!</definedName>
    <definedName name="d3.0">#REF!</definedName>
    <definedName name="d3.5">#REF!</definedName>
    <definedName name="d3_">#REF!</definedName>
    <definedName name="D4.0">#REF!</definedName>
    <definedName name="d4_">#REF!</definedName>
    <definedName name="d4x6">#REF!</definedName>
    <definedName name="d5_">#REF!</definedName>
    <definedName name="DA">#REF!</definedName>
    <definedName name="da.">#REF!</definedName>
    <definedName name="da_">#REF!</definedName>
    <definedName name="da0.5x1">#REF!</definedName>
    <definedName name="da1x1">#REF!</definedName>
    <definedName name="da1x2">#REF!</definedName>
    <definedName name="da2x4">#REF!</definedName>
    <definedName name="da4x6">#REF!</definedName>
    <definedName name="dadad">#REF!</definedName>
    <definedName name="dadas">#REF!</definedName>
    <definedName name="dáds">#REF!</definedName>
    <definedName name="dah">#REF!</definedName>
    <definedName name="dahoc">#REF!</definedName>
    <definedName name="Dalan">#REF!</definedName>
    <definedName name="DALANPASTE">#REF!</definedName>
    <definedName name="dam">78000</definedName>
    <definedName name="dam_24">#REF!</definedName>
    <definedName name="damban1kw">#REF!</definedName>
    <definedName name="damcoc60">#REF!</definedName>
    <definedName name="damcoc80">#REF!</definedName>
    <definedName name="damdui1.5">#REF!</definedName>
    <definedName name="DamNgang">#REF!</definedName>
    <definedName name="DaName">#REF!</definedName>
    <definedName name="dao">#REF!</definedName>
    <definedName name="DAO_DAT">#REF!</definedName>
    <definedName name="dao0.65">#REF!</definedName>
    <definedName name="dao1.0">#REF!</definedName>
    <definedName name="Daodat">#REF!</definedName>
    <definedName name="daolay">#REF!</definedName>
    <definedName name="daotd">#REF!</definedName>
    <definedName name="dap">#REF!</definedName>
    <definedName name="Dapcat">#REF!</definedName>
    <definedName name="daptd">#REF!</definedName>
    <definedName name="Dat">#REF!</definedName>
    <definedName name="DAT5M">#REF!</definedName>
    <definedName name="Data">#REF!</definedName>
    <definedName name="DATA_DATA2_List">#REF!</definedName>
    <definedName name="Data11">#REF!</definedName>
    <definedName name="Data41">#REF!</definedName>
    <definedName name="_xlnm.Database">#REF!</definedName>
    <definedName name="DataFilter" localSheetId="0">#REF!</definedName>
    <definedName name="DataFilter" localSheetId="10">#REF!</definedName>
    <definedName name="DataFilter" localSheetId="1">#REF!</definedName>
    <definedName name="DataFilter" localSheetId="6">#REF!</definedName>
    <definedName name="DataFilter" localSheetId="5">#REF!</definedName>
    <definedName name="DataFilter" localSheetId="4">#REF!</definedName>
    <definedName name="DataFilter" localSheetId="7">#REF!</definedName>
    <definedName name="DataFilter">#REF!</definedName>
    <definedName name="datak">#REF!</definedName>
    <definedName name="datal">#REF!</definedName>
    <definedName name="DataSort" localSheetId="0">#REF!</definedName>
    <definedName name="DataSort" localSheetId="10">#REF!</definedName>
    <definedName name="DataSort" localSheetId="1">#REF!</definedName>
    <definedName name="DataSort" localSheetId="6">#REF!</definedName>
    <definedName name="DataSort" localSheetId="5">#REF!</definedName>
    <definedName name="DataSort" localSheetId="4">#REF!</definedName>
    <definedName name="DataSort" localSheetId="7">#REF!</definedName>
    <definedName name="DataSort">#REF!</definedName>
    <definedName name="DATATKDT">#REF!</definedName>
    <definedName name="DataYear2001">#REF!</definedName>
    <definedName name="Datdoi">#REF!</definedName>
    <definedName name="Date">#REF!</definedName>
    <definedName name="DATT">#REF!</definedName>
    <definedName name="Dattt">#REF!</definedName>
    <definedName name="Datvv">#REF!</definedName>
    <definedName name="dathnho">#REF!</definedName>
    <definedName name="dathto">#REF!</definedName>
    <definedName name="dauchi">#REF!</definedName>
    <definedName name="daybuoc">#REF!</definedName>
    <definedName name="Daythep">#REF!</definedName>
    <definedName name="db">#REF!</definedName>
    <definedName name="db.">#REF!</definedName>
    <definedName name="DBASE">#REF!</definedName>
    <definedName name="dc">#REF!</definedName>
    <definedName name="dc.">#REF!</definedName>
    <definedName name="dca.">#REF!</definedName>
    <definedName name="Dcap">#REF!</definedName>
    <definedName name="dcb.">#REF!</definedName>
    <definedName name="dcc">#REF!</definedName>
    <definedName name="dcc.">#REF!</definedName>
    <definedName name="dcl">#REF!</definedName>
    <definedName name="DCL_22">12117600</definedName>
    <definedName name="DCL_35">25490000</definedName>
    <definedName name="DÇm_33">#REF!</definedName>
    <definedName name="Dcol">#REF!</definedName>
    <definedName name="Dch">#REF!</definedName>
    <definedName name="dche">#REF!</definedName>
    <definedName name="DD">#REF!</definedName>
    <definedName name="dd0.5x1">#REF!</definedName>
    <definedName name="dd1pnc">#REF!</definedName>
    <definedName name="dd1pvl">#REF!</definedName>
    <definedName name="dd1x2">#REF!</definedName>
    <definedName name="dd2x4">#REF!</definedName>
    <definedName name="dd3pctnc">#REF!</definedName>
    <definedName name="dd3pctvl">#REF!</definedName>
    <definedName name="dd3plmvl">#REF!</definedName>
    <definedName name="dd3pnc">#REF!</definedName>
    <definedName name="dd3pvl">#REF!</definedName>
    <definedName name="dd4x6">#REF!</definedName>
    <definedName name="DD5M">#REF!</definedName>
    <definedName name="ddamco">#REF!</definedName>
    <definedName name="dday">#REF!</definedName>
    <definedName name="ddd" localSheetId="9" hidden="1">{"'Sheet1'!$L$16"}</definedName>
    <definedName name="ddd" localSheetId="0" hidden="1">{"'Sheet1'!$L$16"}</definedName>
    <definedName name="ddd" localSheetId="10" hidden="1">{"'Sheet1'!$L$16"}</definedName>
    <definedName name="ddd" localSheetId="1" hidden="1">{"'Sheet1'!$L$16"}</definedName>
    <definedName name="ddd" localSheetId="6" hidden="1">{"'Sheet1'!$L$16"}</definedName>
    <definedName name="ddd" localSheetId="5" hidden="1">{"'Sheet1'!$L$16"}</definedName>
    <definedName name="ddd" localSheetId="4" hidden="1">{"'Sheet1'!$L$16"}</definedName>
    <definedName name="ddd" localSheetId="8" hidden="1">{"'Sheet1'!$L$16"}</definedName>
    <definedName name="ddd" localSheetId="7" hidden="1">{"'Sheet1'!$L$16"}</definedName>
    <definedName name="ddd" hidden="1">{"'Sheet1'!$L$16"}</definedName>
    <definedName name="DDDD">#REF!</definedName>
    <definedName name="ddddđ">#REF!</definedName>
    <definedName name="DDDS">#REF!</definedName>
    <definedName name="dden">#REF!</definedName>
    <definedName name="ddhnho">#REF!</definedName>
    <definedName name="ddhtnc">#REF!</definedName>
    <definedName name="ddhto">#REF!</definedName>
    <definedName name="ddhtvl">#REF!</definedName>
    <definedName name="ddia">#REF!</definedName>
    <definedName name="ddien">#REF!</definedName>
    <definedName name="DDM">#REF!</definedName>
    <definedName name="DDS">#REF!</definedName>
    <definedName name="ddt2nc">#REF!</definedName>
    <definedName name="ddt2vl">#REF!</definedName>
    <definedName name="ddtd3pnc">#REF!</definedName>
    <definedName name="ddtt1pnc">#REF!</definedName>
    <definedName name="ddtt1pvl">#REF!</definedName>
    <definedName name="ddtt3pnc">#REF!</definedName>
    <definedName name="ddtt3pvl">#REF!</definedName>
    <definedName name="de_">#REF!</definedName>
    <definedName name="Default">#REF!</definedName>
    <definedName name="deff">#REF!</definedName>
    <definedName name="DEFINENAME">#REF!</definedName>
    <definedName name="DEMI1">#N/A</definedName>
    <definedName name="DEMI2">#N/A</definedName>
    <definedName name="Den_bu">#REF!</definedName>
    <definedName name="DenBu">#REF!</definedName>
    <definedName name="DenDK" localSheetId="9" hidden="1">{"'Sheet1'!$L$16"}</definedName>
    <definedName name="DenDK" localSheetId="0" hidden="1">{"'Sheet1'!$L$16"}</definedName>
    <definedName name="DenDK" localSheetId="10" hidden="1">{"'Sheet1'!$L$16"}</definedName>
    <definedName name="DenDK" localSheetId="1" hidden="1">{"'Sheet1'!$L$16"}</definedName>
    <definedName name="DenDK" localSheetId="6" hidden="1">{"'Sheet1'!$L$16"}</definedName>
    <definedName name="DenDK" localSheetId="5" hidden="1">{"'Sheet1'!$L$16"}</definedName>
    <definedName name="DenDK" localSheetId="4" hidden="1">{"'Sheet1'!$L$16"}</definedName>
    <definedName name="DenDK" localSheetId="8" hidden="1">{"'Sheet1'!$L$16"}</definedName>
    <definedName name="DenDK" localSheetId="7" hidden="1">{"'Sheet1'!$L$16"}</definedName>
    <definedName name="DenDK" hidden="1">{"'Sheet1'!$L$16"}</definedName>
    <definedName name="det">#REF!</definedName>
    <definedName name="Det32x3">#REF!</definedName>
    <definedName name="Det35x3">#REF!</definedName>
    <definedName name="Det40x4">#REF!</definedName>
    <definedName name="Det50x5">#REF!</definedName>
    <definedName name="Det63x6">#REF!</definedName>
    <definedName name="Det75x6">#REF!</definedName>
    <definedName name="Detour">#REF!</definedName>
    <definedName name="df">#REF!</definedName>
    <definedName name="DF_e">#REF!</definedName>
    <definedName name="DF_i">#REF!</definedName>
    <definedName name="DF_ve">#REF!</definedName>
    <definedName name="DF_vi">#REF!</definedName>
    <definedName name="dfas">#REF!</definedName>
    <definedName name="dfdfd" localSheetId="9" hidden="1">{"'Sheet1'!$L$16"}</definedName>
    <definedName name="dfdfd" localSheetId="0" hidden="1">{"'Sheet1'!$L$16"}</definedName>
    <definedName name="dfdfd" localSheetId="10" hidden="1">{"'Sheet1'!$L$16"}</definedName>
    <definedName name="dfdfd" localSheetId="1" hidden="1">{"'Sheet1'!$L$16"}</definedName>
    <definedName name="dfdfd" localSheetId="6" hidden="1">{"'Sheet1'!$L$16"}</definedName>
    <definedName name="dfdfd" localSheetId="5" hidden="1">{"'Sheet1'!$L$16"}</definedName>
    <definedName name="dfdfd" localSheetId="4" hidden="1">{"'Sheet1'!$L$16"}</definedName>
    <definedName name="dfdfd" localSheetId="8" hidden="1">{"'Sheet1'!$L$16"}</definedName>
    <definedName name="dfdfd" localSheetId="7" hidden="1">{"'Sheet1'!$L$16"}</definedName>
    <definedName name="dfdfd" hidden="1">{"'Sheet1'!$L$16"}</definedName>
    <definedName name="dffr">#REF!</definedName>
    <definedName name="dfggg" localSheetId="9" hidden="1">{"'Sheet1'!$L$16"}</definedName>
    <definedName name="dfggg" localSheetId="0" hidden="1">{"'Sheet1'!$L$16"}</definedName>
    <definedName name="dfggg" localSheetId="10" hidden="1">{"'Sheet1'!$L$16"}</definedName>
    <definedName name="dfggg" localSheetId="1" hidden="1">{"'Sheet1'!$L$16"}</definedName>
    <definedName name="dfggg" localSheetId="6" hidden="1">{"'Sheet1'!$L$16"}</definedName>
    <definedName name="dfggg" localSheetId="5" hidden="1">{"'Sheet1'!$L$16"}</definedName>
    <definedName name="dfggg" localSheetId="4" hidden="1">{"'Sheet1'!$L$16"}</definedName>
    <definedName name="dfggg" localSheetId="8" hidden="1">{"'Sheet1'!$L$16"}</definedName>
    <definedName name="dfggg" localSheetId="7" hidden="1">{"'Sheet1'!$L$16"}</definedName>
    <definedName name="dfggg" hidden="1">{"'Sheet1'!$L$16"}</definedName>
    <definedName name="dfh" localSheetId="9" hidden="1">{"'Sheet1'!$L$16"}</definedName>
    <definedName name="dfh" localSheetId="0" hidden="1">{"'Sheet1'!$L$16"}</definedName>
    <definedName name="dfh" localSheetId="10" hidden="1">{"'Sheet1'!$L$16"}</definedName>
    <definedName name="dfh" localSheetId="1" hidden="1">{"'Sheet1'!$L$16"}</definedName>
    <definedName name="dfh" localSheetId="6" hidden="1">{"'Sheet1'!$L$16"}</definedName>
    <definedName name="dfh" localSheetId="5" hidden="1">{"'Sheet1'!$L$16"}</definedName>
    <definedName name="dfh" localSheetId="4" hidden="1">{"'Sheet1'!$L$16"}</definedName>
    <definedName name="dfh" localSheetId="8" hidden="1">{"'Sheet1'!$L$16"}</definedName>
    <definedName name="dfh" localSheetId="7" hidden="1">{"'Sheet1'!$L$16"}</definedName>
    <definedName name="dfh" hidden="1">{"'Sheet1'!$L$16"}</definedName>
    <definedName name="dfpf">#REF!</definedName>
    <definedName name="dfsfsd" localSheetId="9" hidden="1">{"'Sheet1'!$L$16"}</definedName>
    <definedName name="dfsfsd" localSheetId="0" hidden="1">{"'Sheet1'!$L$16"}</definedName>
    <definedName name="dfsfsd" localSheetId="10" hidden="1">{"'Sheet1'!$L$16"}</definedName>
    <definedName name="dfsfsd" localSheetId="1" hidden="1">{"'Sheet1'!$L$16"}</definedName>
    <definedName name="dfsfsd" localSheetId="6" hidden="1">{"'Sheet1'!$L$16"}</definedName>
    <definedName name="dfsfsd" localSheetId="5" hidden="1">{"'Sheet1'!$L$16"}</definedName>
    <definedName name="dfsfsd" localSheetId="4" hidden="1">{"'Sheet1'!$L$16"}</definedName>
    <definedName name="dfsfsd" localSheetId="8" hidden="1">{"'Sheet1'!$L$16"}</definedName>
    <definedName name="dfsfsd" localSheetId="7" hidden="1">{"'Sheet1'!$L$16"}</definedName>
    <definedName name="dfsfsd" hidden="1">{"'Sheet1'!$L$16"}</definedName>
    <definedName name="DFv">#REF!</definedName>
    <definedName name="dg">#REF!</definedName>
    <definedName name="dg_5cau">#REF!</definedName>
    <definedName name="dg_67">#REF!</definedName>
    <definedName name="DG_M_C_X">#REF!</definedName>
    <definedName name="dg67_1">#REF!</definedName>
    <definedName name="dgbdII">#REF!</definedName>
    <definedName name="dgc">#REF!</definedName>
    <definedName name="DGCT_L.SON1">#REF!</definedName>
    <definedName name="DGCT_T.Quy_P.Thuy_Q">#REF!</definedName>
    <definedName name="DGCT_TRAUQUYPHUTHUY_HN">#REF!</definedName>
    <definedName name="DGCTI592">#REF!</definedName>
    <definedName name="dgd">#REF!</definedName>
    <definedName name="dghp">#REF!</definedName>
    <definedName name="DGM">#REF!</definedName>
    <definedName name="DGNC">#REF!</definedName>
    <definedName name="DGNCTT">#REF!</definedName>
    <definedName name="dgqndn">#REF!</definedName>
    <definedName name="DGTN">#REF!</definedName>
    <definedName name="DGTV">#REF!</definedName>
    <definedName name="DGTH">#REF!</definedName>
    <definedName name="DGTH1">#REF!</definedName>
    <definedName name="dgth2">#REF!</definedName>
    <definedName name="dgthss3">#REF!</definedName>
    <definedName name="DGTR">#REF!</definedName>
    <definedName name="dgvc">#REF!</definedName>
    <definedName name="dgvl">#REF!</definedName>
    <definedName name="DGVL1">#REF!</definedName>
    <definedName name="DGVT">#REF!</definedName>
    <definedName name="dgxhiencau">#REF!</definedName>
    <definedName name="dgxhienduong">#REF!</definedName>
    <definedName name="DGia">#REF!</definedName>
    <definedName name="DGIA2">#REF!</definedName>
    <definedName name="DGiaT">#REF!</definedName>
    <definedName name="DGiaTN">#REF!</definedName>
    <definedName name="dh">#REF!</definedName>
    <definedName name="dhom">#REF!</definedName>
    <definedName name="DIABAN">#REF!</definedName>
    <definedName name="diadiem">#REF!</definedName>
    <definedName name="DICH11">#REF!</definedName>
    <definedName name="dich22">#REF!</definedName>
    <definedName name="DICHSO" localSheetId="0">#REF!</definedName>
    <definedName name="DICHSO" localSheetId="10">#REF!</definedName>
    <definedName name="DICHSO" localSheetId="1">#REF!</definedName>
    <definedName name="DICHSO" localSheetId="6">#REF!</definedName>
    <definedName name="DICHSO" localSheetId="5">#REF!</definedName>
    <definedName name="DICHSO" localSheetId="4">#REF!</definedName>
    <definedName name="DICHSO" localSheetId="7">#REF!</definedName>
    <definedName name="DICHSO">#REF!</definedName>
    <definedName name="dien">#REF!</definedName>
    <definedName name="Dien_Luong_nam">#REF!</definedName>
    <definedName name="Dien_nang_so_cap">#REF!</definedName>
    <definedName name="Dien_nang_thu_cap">#REF!</definedName>
    <definedName name="DIMM_64MB_ECC_PC133">#REF!</definedName>
    <definedName name="dinh">#REF!</definedName>
    <definedName name="dinh2">#REF!</definedName>
    <definedName name="dinhdia">#REF!</definedName>
    <definedName name="dinhmucamosanxuature">#REF!</definedName>
    <definedName name="dinhmucamosanxuature1">#REF!</definedName>
    <definedName name="DK">#REF!</definedName>
    <definedName name="DKTT">#REF!</definedName>
    <definedName name="DL">#REF!</definedName>
    <definedName name="DL15HT">#REF!</definedName>
    <definedName name="DL16HT">#REF!</definedName>
    <definedName name="DL19HT">#REF!</definedName>
    <definedName name="DL20HT">#REF!</definedName>
    <definedName name="DLC">#REF!</definedName>
    <definedName name="DLCC">#REF!</definedName>
    <definedName name="DLdv">#REF!</definedName>
    <definedName name="DM">#REF!</definedName>
    <definedName name="DM_KH">#REF!</definedName>
    <definedName name="DM_SP">#REF!</definedName>
    <definedName name="DM_TK">#REF!</definedName>
    <definedName name="dm1.">#REF!</definedName>
    <definedName name="dm2.">#REF!</definedName>
    <definedName name="dm56bxd">#REF!</definedName>
    <definedName name="DMAmonia">#REF!</definedName>
    <definedName name="dmat">#REF!</definedName>
    <definedName name="dmdv">#REF!</definedName>
    <definedName name="DMHH">#REF!</definedName>
    <definedName name="dmoi">#REF!</definedName>
    <definedName name="DMTK">#REF!</definedName>
    <definedName name="DMUre">#REF!</definedName>
    <definedName name="dmz">#REF!</definedName>
    <definedName name="DN">#REF!</definedName>
    <definedName name="DnbCx">#REF!</definedName>
    <definedName name="dno">#REF!</definedName>
    <definedName name="DÑt45x4">#REF!</definedName>
    <definedName name="do">#REF!</definedName>
    <definedName name="dobgd">#REF!</definedName>
    <definedName name="dobt">#REF!</definedName>
    <definedName name="Doc_Name">#REF!</definedName>
    <definedName name="doclb">#REF!</definedName>
    <definedName name="Document_array" localSheetId="9">{"Thuxm2.xls","Sheet1"}</definedName>
    <definedName name="Document_array" localSheetId="0">{"Thuxm2.xls","Sheet1"}</definedName>
    <definedName name="Document_array" localSheetId="10">{"Thuxm2.xls","Sheet1"}</definedName>
    <definedName name="Document_array" localSheetId="1">{"Thuxm2.xls","Sheet1"}</definedName>
    <definedName name="Document_array" localSheetId="6">{"Thuxm2.xls","Sheet1"}</definedName>
    <definedName name="Document_array" localSheetId="5">{"Thuxm2.xls","Sheet1"}</definedName>
    <definedName name="Document_array" localSheetId="4">{"Thuxm2.xls","Sheet1"}</definedName>
    <definedName name="Document_array" localSheetId="8">{"Thuxm2.xls","Sheet1"}</definedName>
    <definedName name="Document_array" localSheetId="7">{"Thuxm2.xls","Sheet1"}</definedName>
    <definedName name="Document_array">{"Thuxm2.xls","Sheet1"}</definedName>
    <definedName name="dofinbo6t">#REF!</definedName>
    <definedName name="dofinbonus6t">#REF!</definedName>
    <definedName name="dokcs">#REF!</definedName>
    <definedName name="dokd">#REF!</definedName>
    <definedName name="dokt">#REF!</definedName>
    <definedName name="doktnl">#REF!</definedName>
    <definedName name="dokh">#REF!</definedName>
    <definedName name="dolcb">#REF!</definedName>
    <definedName name="Don_gia">#REF!</definedName>
    <definedName name="DON_GIA_3282">#REF!</definedName>
    <definedName name="DON_GIA_3283">#REF!</definedName>
    <definedName name="DON_GIA_3285">#REF!</definedName>
    <definedName name="DON_GIA_VAN_CHUYEN_36">#REF!</definedName>
    <definedName name="DON_GIA_VAT_TU">#REF!</definedName>
    <definedName name="Don_giahanam">#REF!</definedName>
    <definedName name="Don_giaIII">#REF!</definedName>
    <definedName name="Don_gianhanam">#REF!</definedName>
    <definedName name="Don_giatp">#REF!</definedName>
    <definedName name="Don_giavl">#REF!</definedName>
    <definedName name="doncxlcn2001">#REF!</definedName>
    <definedName name="doncxldn2001">#REF!</definedName>
    <definedName name="DONVI">OFFSET(#REF!,1,0,COUNTA(#REF!)-1,5)</definedName>
    <definedName name="DONVIDG">OFFSET(#REF!,COUNTIF(#REF!,"&lt;&gt;0")-1,0,1)</definedName>
    <definedName name="Dongia">#REF!</definedName>
    <definedName name="Dongia_III">#REF!</definedName>
    <definedName name="dongia1">#REF!</definedName>
    <definedName name="dongiadien">#REF!</definedName>
    <definedName name="dongiakhi">#REF!</definedName>
    <definedName name="dongiakhi1">#REF!</definedName>
    <definedName name="dongiakhibinhquan">#REF!</definedName>
    <definedName name="dongiakhicuulong">#REF!</definedName>
    <definedName name="dongiakhiq1">#REF!</definedName>
    <definedName name="dongiakhiq1cuulong">#REF!</definedName>
    <definedName name="dongianamconson">#REF!</definedName>
    <definedName name="dongianuocsach">#REF!</definedName>
    <definedName name="DongiaPA1">#REF!</definedName>
    <definedName name="DongiaPA2">#REF!</definedName>
    <definedName name="DoorWindow">#REF!</definedName>
    <definedName name="dopxsx">#REF!</definedName>
    <definedName name="dotc">#REF!</definedName>
    <definedName name="dotchc">#REF!</definedName>
    <definedName name="dotdn">#REF!</definedName>
    <definedName name="dottchc">#REF!</definedName>
    <definedName name="doxcd">#REF!</definedName>
    <definedName name="dp">#REF!</definedName>
    <definedName name="drg">#REF!</definedName>
    <definedName name="Dry">#REF!</definedName>
    <definedName name="dry.">#REF!</definedName>
    <definedName name="dry..">#REF!</definedName>
    <definedName name="ds">#REF!</definedName>
    <definedName name="DS_2">#REF!</definedName>
    <definedName name="DS_305">#REF!</definedName>
    <definedName name="DS_381">#REF!</definedName>
    <definedName name="DS1p1vc">#REF!</definedName>
    <definedName name="ds1p2nc">#REF!</definedName>
    <definedName name="ds1p2vc">#REF!</definedName>
    <definedName name="ds1p2vl">#REF!</definedName>
    <definedName name="ds1pnc">#REF!</definedName>
    <definedName name="ds1pvl">#REF!</definedName>
    <definedName name="ds3pctnc">#REF!</definedName>
    <definedName name="ds3pctvc">#REF!</definedName>
    <definedName name="ds3pctvl">#REF!</definedName>
    <definedName name="ds3pmnc">#REF!</definedName>
    <definedName name="ds3pmvc">#REF!</definedName>
    <definedName name="ds3pmvl">#REF!</definedName>
    <definedName name="ds3pnc">#REF!</definedName>
    <definedName name="ds3pvl">#REF!</definedName>
    <definedName name="dsct3pnc">#REF!</definedName>
    <definedName name="dsct3pvl">#REF!</definedName>
    <definedName name="DSD">#REF!</definedName>
    <definedName name="DSDS">#REF!</definedName>
    <definedName name="dset">#REF!</definedName>
    <definedName name="DSKH">#REF!</definedName>
    <definedName name="dskhu">#REF!</definedName>
    <definedName name="dsm">#REF!</definedName>
    <definedName name="Dsoil">#REF!</definedName>
    <definedName name="DSPK1p1nc">#REF!</definedName>
    <definedName name="DSPK1p1vl">#REF!</definedName>
    <definedName name="DSPK1pnc">#REF!</definedName>
    <definedName name="DSPK1pvl">#REF!</definedName>
    <definedName name="DSS">#REF!</definedName>
    <definedName name="DSTD_Clear">#N/A</definedName>
    <definedName name="DSTinh">#REF!</definedName>
    <definedName name="DSUMDATA">#REF!</definedName>
    <definedName name="Dsup">#REF!</definedName>
    <definedName name="dt">#REF!</definedName>
    <definedName name="DT_VKHNN">#REF!</definedName>
    <definedName name="DTBH">#REF!</definedName>
    <definedName name="DTCTANG_BD">#REF!</definedName>
    <definedName name="DTCTANG_HT_BD">#REF!</definedName>
    <definedName name="DTCTANG_HT_KT">#REF!</definedName>
    <definedName name="DTCTANG_KT">#REF!</definedName>
    <definedName name="dtdt">#REF!</definedName>
    <definedName name="DTPM1_Sheet2_List">#REF!</definedName>
    <definedName name="DTXL_Gãi_thÇu_sè_9__Km0_000_Km0_0740">#REF!</definedName>
    <definedName name="Dù__n">#REF!</definedName>
    <definedName name="Du_phong">#REF!</definedName>
    <definedName name="DU_TOAN_CHI_TIET_CONG_TO">#REF!</definedName>
    <definedName name="DU_TOAN_CHI_TIET_DZ0.4KV">#REF!</definedName>
    <definedName name="DU_TOAN_CHI_TIET_DZ22KV">#REF!</definedName>
    <definedName name="DU_TOAN_CHI_TIET_KHO_BAI">#REF!</definedName>
    <definedName name="DU_TOAN_CHI_TIET_TBA">#REF!</definedName>
    <definedName name="ducBTN10">#REF!</definedName>
    <definedName name="DUCKY_CO_CD">#REF!</definedName>
    <definedName name="DUCKY_NO_CD">#REF!</definedName>
    <definedName name="DUDKY_CO_CD">#REF!</definedName>
    <definedName name="DUDKY_NO_CD">#REF!</definedName>
    <definedName name="dui1.5">#REF!</definedName>
    <definedName name="duoi">#REF!</definedName>
    <definedName name="duong">#REF!</definedName>
    <definedName name="Duong_373">#REF!</definedName>
    <definedName name="Duong_tam">#REF!</definedName>
    <definedName name="duong04">#REF!</definedName>
    <definedName name="duong1">#REF!</definedName>
    <definedName name="duong2">#REF!</definedName>
    <definedName name="duong3">#REF!</definedName>
    <definedName name="duong35">#REF!</definedName>
    <definedName name="duong4">#REF!</definedName>
    <definedName name="duong5">#REF!</definedName>
    <definedName name="DurationUOM">#REF!</definedName>
    <definedName name="DUT">#REF!</definedName>
    <definedName name="dutoan">#REF!</definedName>
    <definedName name="DutoanDongmo">#REF!</definedName>
    <definedName name="DV">#REF!</definedName>
    <definedName name="dva.">#REF!</definedName>
    <definedName name="dvb.">#REF!</definedName>
    <definedName name="dvc.">#REF!</definedName>
    <definedName name="dvql">#REF!</definedName>
    <definedName name="dw">#REF!</definedName>
    <definedName name="Dwall">#REF!</definedName>
    <definedName name="DWPRICE" hidden="1">#REF!</definedName>
    <definedName name="DX">#REF!</definedName>
    <definedName name="DX5M">#REF!</definedName>
    <definedName name="dxhnho">#REF!</definedName>
    <definedName name="dxhto">#REF!</definedName>
    <definedName name="DXMT">#REF!</definedName>
    <definedName name="DZ">#REF!</definedName>
    <definedName name="Dz_35">#REF!</definedName>
    <definedName name="DZ6gd1">#REF!</definedName>
    <definedName name="dzgd1">#REF!</definedName>
    <definedName name="dztramtt">#REF!</definedName>
    <definedName name="đtrẻtytyhtytu">#REF!</definedName>
    <definedName name="e">#REF!</definedName>
    <definedName name="ẻ">#REF!</definedName>
    <definedName name="ë">#REF!</definedName>
    <definedName name="e_">#REF!</definedName>
    <definedName name="e__">#REF!</definedName>
    <definedName name="E1.000">#REF!</definedName>
    <definedName name="E1.010">#REF!</definedName>
    <definedName name="E1.020">#REF!</definedName>
    <definedName name="E1.200">#REF!</definedName>
    <definedName name="E1.210">#REF!</definedName>
    <definedName name="E1.220">#REF!</definedName>
    <definedName name="E1.300">#REF!</definedName>
    <definedName name="E1.310">#REF!</definedName>
    <definedName name="E1.320">#REF!</definedName>
    <definedName name="E1.400">#REF!</definedName>
    <definedName name="E1.410">#REF!</definedName>
    <definedName name="E1.420">#REF!</definedName>
    <definedName name="E1.500">#REF!</definedName>
    <definedName name="E1.510">#REF!</definedName>
    <definedName name="E1.520">#REF!</definedName>
    <definedName name="E1.600">#REF!</definedName>
    <definedName name="E1.611">#REF!</definedName>
    <definedName name="E1.631">#REF!</definedName>
    <definedName name="E190.">#REF!</definedName>
    <definedName name="E2.000">#REF!</definedName>
    <definedName name="E2.000A">#REF!</definedName>
    <definedName name="E2.010">#REF!</definedName>
    <definedName name="E2.010A">#REF!</definedName>
    <definedName name="E2.020">#REF!</definedName>
    <definedName name="E2.020A">#REF!</definedName>
    <definedName name="E2.100">#REF!</definedName>
    <definedName name="E2.100A">#REF!</definedName>
    <definedName name="E2.110">#REF!</definedName>
    <definedName name="E2.110A">#REF!</definedName>
    <definedName name="E2.120">#REF!</definedName>
    <definedName name="E2.120A">#REF!</definedName>
    <definedName name="E3.000">#REF!</definedName>
    <definedName name="E3.010">#REF!</definedName>
    <definedName name="E3.020">#REF!</definedName>
    <definedName name="E3.031">#REF!</definedName>
    <definedName name="E3.032">#REF!</definedName>
    <definedName name="E3.033">#REF!</definedName>
    <definedName name="E4.001">#REF!</definedName>
    <definedName name="E4.011">#REF!</definedName>
    <definedName name="E4.021">#REF!</definedName>
    <definedName name="E4.101">#REF!</definedName>
    <definedName name="E4.111">#REF!</definedName>
    <definedName name="E4.121">#REF!</definedName>
    <definedName name="E5.010">#REF!</definedName>
    <definedName name="E5.020">#REF!</definedName>
    <definedName name="E5.030">#REF!</definedName>
    <definedName name="E6.001">#REF!</definedName>
    <definedName name="E6.002">#REF!</definedName>
    <definedName name="E6.011">#REF!</definedName>
    <definedName name="E6.012">#REF!</definedName>
    <definedName name="ë74">#REF!</definedName>
    <definedName name="Ea">#REF!</definedName>
    <definedName name="EARTH">#REF!</definedName>
    <definedName name="Earthwork">#REF!</definedName>
    <definedName name="Eb">#REF!</definedName>
    <definedName name="ec">#REF!</definedName>
    <definedName name="ecb">#REF!</definedName>
    <definedName name="ecx">#REF!</definedName>
    <definedName name="ech">#REF!</definedName>
    <definedName name="EDR">#REF!</definedName>
    <definedName name="ee">#REF!</definedName>
    <definedName name="eeeee">#REF!</definedName>
    <definedName name="EIRR11">#REF!</definedName>
    <definedName name="EIRR22">#REF!</definedName>
    <definedName name="EL2_">#REF!</definedName>
    <definedName name="EL3_">#REF!</definedName>
    <definedName name="EL4_">#REF!</definedName>
    <definedName name="EL5_">#REF!</definedName>
    <definedName name="EL6_">#REF!</definedName>
    <definedName name="ELa">#REF!</definedName>
    <definedName name="ELb">#REF!</definedName>
    <definedName name="ELc">#REF!</definedName>
    <definedName name="elp">#REF!</definedName>
    <definedName name="ELsf">#REF!</definedName>
    <definedName name="ELso">#REF!</definedName>
    <definedName name="emb">#REF!</definedName>
    <definedName name="en">#REF!</definedName>
    <definedName name="end">#REF!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ntityClassification">#REF!</definedName>
    <definedName name="EntityCriticality">#REF!</definedName>
    <definedName name="EntityLocation">#REF!</definedName>
    <definedName name="EntityStatus">#REF!</definedName>
    <definedName name="EntityType">#REF!</definedName>
    <definedName name="EQI">#REF!</definedName>
    <definedName name="ert">#REF!</definedName>
    <definedName name="Es">#REF!</definedName>
    <definedName name="EVNB">#REF!</definedName>
    <definedName name="EX">#REF!</definedName>
    <definedName name="Ex_L">#REF!</definedName>
    <definedName name="EX_Length_373">#REF!</definedName>
    <definedName name="EXC">#REF!</definedName>
    <definedName name="EXCH">#REF!</definedName>
    <definedName name="_xlnm.Extract">#REF!</definedName>
    <definedName name="ey">#REF!</definedName>
    <definedName name="f">#REF!</definedName>
    <definedName name="f_2">#REF!</definedName>
    <definedName name="f_21">#REF!</definedName>
    <definedName name="f_22">#REF!</definedName>
    <definedName name="f_23">#REF!</definedName>
    <definedName name="f_24">#REF!</definedName>
    <definedName name="f_3">#REF!</definedName>
    <definedName name="f_31">#REF!</definedName>
    <definedName name="f_32">#REF!</definedName>
    <definedName name="F_33">#REF!</definedName>
    <definedName name="f_34">#REF!</definedName>
    <definedName name="f_4">#REF!</definedName>
    <definedName name="f_41">#REF!</definedName>
    <definedName name="f_42">#REF!</definedName>
    <definedName name="f_43">#REF!</definedName>
    <definedName name="f_44">#REF!</definedName>
    <definedName name="f_9a1">#REF!</definedName>
    <definedName name="f_9a2">#REF!</definedName>
    <definedName name="f_9a3">#REF!</definedName>
    <definedName name="f_9a4">#REF!</definedName>
    <definedName name="f_9b1">#REF!</definedName>
    <definedName name="f_9b2">#REF!</definedName>
    <definedName name="f_9b3">#REF!</definedName>
    <definedName name="f_9b4">#REF!</definedName>
    <definedName name="F_CongDon">MAX(#REF!)+#REF!</definedName>
    <definedName name="F_ChonMong" localSheetId="9">IF(LEFT(#REF!,2)="NG",#REF!&amp;_MongCotNeo&amp;IF(#REF!&gt;12,"a",""),IF(LEFT(#REF!,3)="NCD","2MT-4",VLOOKUP(#REF!,_Mong,MATCH(#REF!,KcTieuChuan,0)+1,0)))</definedName>
    <definedName name="F_ChonMong" localSheetId="0">IF(LEFT(#REF!,2)="NG",#REF!&amp;_MongCotNeo&amp;IF(#REF!&gt;12,"a",""),IF(LEFT(#REF!,3)="NCD","2MT-4",VLOOKUP(#REF!,_Mong,MATCH(#REF!,KcTieuChuan,0)+1,0)))</definedName>
    <definedName name="F_ChonMong" localSheetId="10">IF(LEFT(#REF!,2)="NG",#REF!&amp;[0]!_MongCotNeo&amp;IF(#REF!&gt;12,"a",""),IF(LEFT(#REF!,3)="NCD","2MT-4",VLOOKUP(#REF!,[0]!_Mong,MATCH(#REF!,[0]!KcTieuChuan,0)+1,0)))</definedName>
    <definedName name="F_ChonMong" localSheetId="1">IF(LEFT(#REF!,2)="NG",#REF!&amp;[0]!_MongCotNeo&amp;IF(#REF!&gt;12,"a",""),IF(LEFT(#REF!,3)="NCD","2MT-4",VLOOKUP(#REF!,[0]!_Mong,MATCH(#REF!,[0]!KcTieuChuan,0)+1,0)))</definedName>
    <definedName name="F_ChonMong" localSheetId="6">IF(LEFT(#REF!,2)="NG",#REF!&amp;[0]!_MongCotNeo&amp;IF(#REF!&gt;12,"a",""),IF(LEFT(#REF!,3)="NCD","2MT-4",VLOOKUP(#REF!,[0]!_Mong,MATCH(#REF!,[0]!KcTieuChuan,0)+1,0)))</definedName>
    <definedName name="F_ChonMong" localSheetId="5">IF(LEFT(#REF!,2)="NG",#REF!&amp;[0]!_MongCotNeo&amp;IF(#REF!&gt;12,"a",""),IF(LEFT(#REF!,3)="NCD","2MT-4",VLOOKUP(#REF!,[0]!_Mong,MATCH(#REF!,[0]!KcTieuChuan,0)+1,0)))</definedName>
    <definedName name="F_ChonMong" localSheetId="4">IF(LEFT(#REF!,2)="NG",#REF!&amp;[0]!_MongCotNeo&amp;IF(#REF!&gt;12,"a",""),IF(LEFT(#REF!,3)="NCD","2MT-4",VLOOKUP(#REF!,[0]!_Mong,MATCH(#REF!,[0]!KcTieuChuan,0)+1,0)))</definedName>
    <definedName name="F_ChonMong" localSheetId="8">IF(LEFT(#REF!,2)="NG",#REF!&amp;_MongCotNeo&amp;IF(#REF!&gt;12,"a",""),IF(LEFT(#REF!,3)="NCD","2MT-4",VLOOKUP(#REF!,_Mong,MATCH(#REF!,KcTieuChuan,0)+1,0)))</definedName>
    <definedName name="F_ChonMong" localSheetId="7">IF(LEFT(#REF!,2)="NG",#REF!&amp;[0]!_MongCotNeo&amp;IF(#REF!&gt;12,"a",""),IF(LEFT(#REF!,3)="NCD","2MT-4",VLOOKUP(#REF!,[0]!_Mong,MATCH(#REF!,[0]!KcTieuChuan,0)+1,0)))</definedName>
    <definedName name="F_ChonMong">IF(LEFT(#REF!,2)="NG",#REF!&amp;_MongCotNeo&amp;IF(#REF!&gt;12,"a",""),IF(LEFT(#REF!,3)="NCD","2MT-4",VLOOKUP(#REF!,_Mong,MATCH(#REF!,KcTieuChuan,0)+1,0)))</definedName>
    <definedName name="F0.000">#REF!</definedName>
    <definedName name="F0.010">#REF!</definedName>
    <definedName name="F0.020">#REF!</definedName>
    <definedName name="F0.100">#REF!</definedName>
    <definedName name="F0.110">#REF!</definedName>
    <definedName name="F0.120">#REF!</definedName>
    <definedName name="F0.200">#REF!</definedName>
    <definedName name="F0.210">#REF!</definedName>
    <definedName name="F0.220">#REF!</definedName>
    <definedName name="F0.300">#REF!</definedName>
    <definedName name="F0.310">#REF!</definedName>
    <definedName name="F0.320">#REF!</definedName>
    <definedName name="F1.000">#REF!</definedName>
    <definedName name="F1.010">#REF!</definedName>
    <definedName name="F1.020">#REF!</definedName>
    <definedName name="F1.100">#REF!</definedName>
    <definedName name="F1.110">#REF!</definedName>
    <definedName name="F1.120">#REF!</definedName>
    <definedName name="F1.130">#REF!</definedName>
    <definedName name="F1.140">#REF!</definedName>
    <definedName name="F1.150">#REF!</definedName>
    <definedName name="F2.001">#REF!</definedName>
    <definedName name="F2.011">#REF!</definedName>
    <definedName name="F2.021">#REF!</definedName>
    <definedName name="F2.031">#REF!</definedName>
    <definedName name="F2.041">#REF!</definedName>
    <definedName name="F2.051">#REF!</definedName>
    <definedName name="F2.052">#REF!</definedName>
    <definedName name="F2.061">#REF!</definedName>
    <definedName name="F2.071">#REF!</definedName>
    <definedName name="F2.101">#REF!</definedName>
    <definedName name="F2.111">#REF!</definedName>
    <definedName name="F2.121">#REF!</definedName>
    <definedName name="F2.131">#REF!</definedName>
    <definedName name="F2.141">#REF!</definedName>
    <definedName name="F2.200">#REF!</definedName>
    <definedName name="F2.210">#REF!</definedName>
    <definedName name="F2.220">#REF!</definedName>
    <definedName name="F2.230">#REF!</definedName>
    <definedName name="F2.240">#REF!</definedName>
    <definedName name="F2.250">#REF!</definedName>
    <definedName name="F2.300">#REF!</definedName>
    <definedName name="F2.310">#REF!</definedName>
    <definedName name="F2.320">#REF!</definedName>
    <definedName name="F3.000">#REF!</definedName>
    <definedName name="F3.010">#REF!</definedName>
    <definedName name="F3.020">#REF!</definedName>
    <definedName name="F3.030">#REF!</definedName>
    <definedName name="F3.100">#REF!</definedName>
    <definedName name="F3.110">#REF!</definedName>
    <definedName name="F3.120">#REF!</definedName>
    <definedName name="F3.130">#REF!</definedName>
    <definedName name="F4.000">#REF!</definedName>
    <definedName name="F4.010">#REF!</definedName>
    <definedName name="F4.020">#REF!</definedName>
    <definedName name="F4.030">#REF!</definedName>
    <definedName name="F4.100">#REF!</definedName>
    <definedName name="F4.120">#REF!</definedName>
    <definedName name="F4.140">#REF!</definedName>
    <definedName name="F4.160">#REF!</definedName>
    <definedName name="F4.200">#REF!</definedName>
    <definedName name="F4.220">#REF!</definedName>
    <definedName name="F4.240">#REF!</definedName>
    <definedName name="F4.260">#REF!</definedName>
    <definedName name="F4.300">#REF!</definedName>
    <definedName name="F4.320">#REF!</definedName>
    <definedName name="F4.340">#REF!</definedName>
    <definedName name="F4.400">#REF!</definedName>
    <definedName name="F4.420">#REF!</definedName>
    <definedName name="F4.440">#REF!</definedName>
    <definedName name="F4.500">#REF!</definedName>
    <definedName name="F4.530">#REF!</definedName>
    <definedName name="F4.550">#REF!</definedName>
    <definedName name="F4.570">#REF!</definedName>
    <definedName name="F4.600">#REF!</definedName>
    <definedName name="F4.610">#REF!</definedName>
    <definedName name="F4.620">#REF!</definedName>
    <definedName name="F4.700">#REF!</definedName>
    <definedName name="F4.730">#REF!</definedName>
    <definedName name="F4.740">#REF!</definedName>
    <definedName name="F4.800">#REF!</definedName>
    <definedName name="F4.830">#REF!</definedName>
    <definedName name="F4.840">#REF!</definedName>
    <definedName name="F5.01">#REF!</definedName>
    <definedName name="F5.02">#REF!</definedName>
    <definedName name="F5.03">#REF!</definedName>
    <definedName name="F5.04">#REF!</definedName>
    <definedName name="F5.05">#REF!</definedName>
    <definedName name="F5.11">#REF!</definedName>
    <definedName name="F5.12">#REF!</definedName>
    <definedName name="F5.13">#REF!</definedName>
    <definedName name="F5.14">#REF!</definedName>
    <definedName name="F5.15">#REF!</definedName>
    <definedName name="F6.001">#REF!</definedName>
    <definedName name="F6.002">#REF!</definedName>
    <definedName name="F6.003">#REF!</definedName>
    <definedName name="F6.004">#REF!</definedName>
    <definedName name="f82E46">#REF!</definedName>
    <definedName name="f92F56">#REF!</definedName>
    <definedName name="fa">#REF!</definedName>
    <definedName name="fáaafafaf" localSheetId="9" hidden="1">{"'Sheet1'!$L$16"}</definedName>
    <definedName name="fáaafafaf" localSheetId="0" hidden="1">{"'Sheet1'!$L$16"}</definedName>
    <definedName name="fáaafafaf" localSheetId="10" hidden="1">{"'Sheet1'!$L$16"}</definedName>
    <definedName name="fáaafafaf" localSheetId="1" hidden="1">{"'Sheet1'!$L$16"}</definedName>
    <definedName name="fáaafafaf" localSheetId="6" hidden="1">{"'Sheet1'!$L$16"}</definedName>
    <definedName name="fáaafafaf" localSheetId="5" hidden="1">{"'Sheet1'!$L$16"}</definedName>
    <definedName name="fáaafafaf" localSheetId="4" hidden="1">{"'Sheet1'!$L$16"}</definedName>
    <definedName name="fáaafafaf" localSheetId="8" hidden="1">{"'Sheet1'!$L$16"}</definedName>
    <definedName name="fáaafafaf" localSheetId="7" hidden="1">{"'Sheet1'!$L$16"}</definedName>
    <definedName name="fáaafafaf" hidden="1">{"'Sheet1'!$L$16"}</definedName>
    <definedName name="FACTOR">#REF!</definedName>
    <definedName name="FADKJF" localSheetId="9" hidden="1">{"'Sheet1'!$L$16"}</definedName>
    <definedName name="FADKJF" localSheetId="0" hidden="1">{"'Sheet1'!$L$16"}</definedName>
    <definedName name="FADKJF" localSheetId="10" hidden="1">{"'Sheet1'!$L$16"}</definedName>
    <definedName name="FADKJF" localSheetId="1" hidden="1">{"'Sheet1'!$L$16"}</definedName>
    <definedName name="FADKJF" localSheetId="6" hidden="1">{"'Sheet1'!$L$16"}</definedName>
    <definedName name="FADKJF" localSheetId="5" hidden="1">{"'Sheet1'!$L$16"}</definedName>
    <definedName name="FADKJF" localSheetId="4" hidden="1">{"'Sheet1'!$L$16"}</definedName>
    <definedName name="FADKJF" localSheetId="8" hidden="1">{"'Sheet1'!$L$16"}</definedName>
    <definedName name="FADKJF" localSheetId="7" hidden="1">{"'Sheet1'!$L$16"}</definedName>
    <definedName name="FADKJF" hidden="1">{"'Sheet1'!$L$16"}</definedName>
    <definedName name="faf">#REF!</definedName>
    <definedName name="fasfaga" localSheetId="9" hidden="1">{"'Sheet1'!$L$16"}</definedName>
    <definedName name="fasfaga" localSheetId="0" hidden="1">{"'Sheet1'!$L$16"}</definedName>
    <definedName name="fasfaga" localSheetId="10" hidden="1">{"'Sheet1'!$L$16"}</definedName>
    <definedName name="fasfaga" localSheetId="1" hidden="1">{"'Sheet1'!$L$16"}</definedName>
    <definedName name="fasfaga" localSheetId="6" hidden="1">{"'Sheet1'!$L$16"}</definedName>
    <definedName name="fasfaga" localSheetId="5" hidden="1">{"'Sheet1'!$L$16"}</definedName>
    <definedName name="fasfaga" localSheetId="4" hidden="1">{"'Sheet1'!$L$16"}</definedName>
    <definedName name="fasfaga" localSheetId="8" hidden="1">{"'Sheet1'!$L$16"}</definedName>
    <definedName name="fasfaga" localSheetId="7" hidden="1">{"'Sheet1'!$L$16"}</definedName>
    <definedName name="fasfaga" hidden="1">{"'Sheet1'!$L$16"}</definedName>
    <definedName name="Fax">#REF!</definedName>
    <definedName name="Fay">#REF!</definedName>
    <definedName name="fb">#REF!</definedName>
    <definedName name="fbsdggdsf" localSheetId="9">{"DZ-TDTB2.XLS","Dcksat.xls"}</definedName>
    <definedName name="fbsdggdsf" localSheetId="0">{"DZ-TDTB2.XLS","Dcksat.xls"}</definedName>
    <definedName name="fbsdggdsf" localSheetId="10">{"DZ-TDTB2.XLS","Dcksat.xls"}</definedName>
    <definedName name="fbsdggdsf" localSheetId="1">{"DZ-TDTB2.XLS","Dcksat.xls"}</definedName>
    <definedName name="fbsdggdsf" localSheetId="6">{"DZ-TDTB2.XLS","Dcksat.xls"}</definedName>
    <definedName name="fbsdggdsf" localSheetId="5">{"DZ-TDTB2.XLS","Dcksat.xls"}</definedName>
    <definedName name="fbsdggdsf" localSheetId="4">{"DZ-TDTB2.XLS","Dcksat.xls"}</definedName>
    <definedName name="fbsdggdsf" localSheetId="8">{"DZ-TDTB2.XLS","Dcksat.xls"}</definedName>
    <definedName name="fbsdggdsf" localSheetId="7">{"DZ-TDTB2.XLS","Dcksat.xls"}</definedName>
    <definedName name="fbsdggdsf">{"DZ-TDTB2.XLS","Dcksat.xls"}</definedName>
    <definedName name="fc">#REF!</definedName>
    <definedName name="fÇ" localSheetId="9" hidden="1">{"'Sheet1'!$L$16"}</definedName>
    <definedName name="fÇ" localSheetId="0" hidden="1">{"'Sheet1'!$L$16"}</definedName>
    <definedName name="fÇ" localSheetId="10" hidden="1">{"'Sheet1'!$L$16"}</definedName>
    <definedName name="fÇ" localSheetId="1" hidden="1">{"'Sheet1'!$L$16"}</definedName>
    <definedName name="fÇ" localSheetId="6" hidden="1">{"'Sheet1'!$L$16"}</definedName>
    <definedName name="fÇ" localSheetId="5" hidden="1">{"'Sheet1'!$L$16"}</definedName>
    <definedName name="fÇ" localSheetId="4" hidden="1">{"'Sheet1'!$L$16"}</definedName>
    <definedName name="fÇ" localSheetId="8" hidden="1">{"'Sheet1'!$L$16"}</definedName>
    <definedName name="fÇ" localSheetId="7" hidden="1">{"'Sheet1'!$L$16"}</definedName>
    <definedName name="fÇ" hidden="1">{"'Sheet1'!$L$16"}</definedName>
    <definedName name="fc.">#REF!</definedName>
    <definedName name="fc_">#REF!</definedName>
    <definedName name="FC_TOTAL">#REF!</definedName>
    <definedName name="FC5_total">#REF!</definedName>
    <definedName name="FC6_total">#REF!</definedName>
    <definedName name="fd">#REF!</definedName>
    <definedName name="Fdaymong">#REF!</definedName>
    <definedName name="fddd">#REF!</definedName>
    <definedName name="FDR">#REF!</definedName>
    <definedName name="fdsfsdfd" localSheetId="9" hidden="1">{"'Sheet1'!$L$16"}</definedName>
    <definedName name="fdsfsdfd" localSheetId="0" hidden="1">{"'Sheet1'!$L$16"}</definedName>
    <definedName name="fdsfsdfd" localSheetId="10" hidden="1">{"'Sheet1'!$L$16"}</definedName>
    <definedName name="fdsfsdfd" localSheetId="1" hidden="1">{"'Sheet1'!$L$16"}</definedName>
    <definedName name="fdsfsdfd" localSheetId="6" hidden="1">{"'Sheet1'!$L$16"}</definedName>
    <definedName name="fdsfsdfd" localSheetId="5" hidden="1">{"'Sheet1'!$L$16"}</definedName>
    <definedName name="fdsfsdfd" localSheetId="4" hidden="1">{"'Sheet1'!$L$16"}</definedName>
    <definedName name="fdsfsdfd" localSheetId="8" hidden="1">{"'Sheet1'!$L$16"}</definedName>
    <definedName name="fdsfsdfd" localSheetId="7" hidden="1">{"'Sheet1'!$L$16"}</definedName>
    <definedName name="fdsfsdfd" hidden="1">{"'Sheet1'!$L$16"}</definedName>
    <definedName name="FF">#REF!</definedName>
    <definedName name="FFF" localSheetId="9">BlankMacro1</definedName>
    <definedName name="FFF" localSheetId="0">BlankMacro1</definedName>
    <definedName name="FFF" localSheetId="10">BlankMacro1</definedName>
    <definedName name="FFF" localSheetId="1">BlankMacro1</definedName>
    <definedName name="FFF" localSheetId="6">BlankMacro1</definedName>
    <definedName name="FFF" localSheetId="5">BlankMacro1</definedName>
    <definedName name="FFF" localSheetId="4">BlankMacro1</definedName>
    <definedName name="FFF" localSheetId="8">BlankMacro1</definedName>
    <definedName name="FFF" localSheetId="7">BlankMacro1</definedName>
    <definedName name="FFF">BlankMacro1</definedName>
    <definedName name="FFFF">#REF!</definedName>
    <definedName name="fffffffffffffff" localSheetId="9" hidden="1">{"'Sheet1'!$L$16"}</definedName>
    <definedName name="fffffffffffffff" localSheetId="0" hidden="1">{"'Sheet1'!$L$16"}</definedName>
    <definedName name="fffffffffffffff" localSheetId="10" hidden="1">{"'Sheet1'!$L$16"}</definedName>
    <definedName name="fffffffffffffff" localSheetId="1" hidden="1">{"'Sheet1'!$L$16"}</definedName>
    <definedName name="fffffffffffffff" localSheetId="6" hidden="1">{"'Sheet1'!$L$16"}</definedName>
    <definedName name="fffffffffffffff" localSheetId="5" hidden="1">{"'Sheet1'!$L$16"}</definedName>
    <definedName name="fffffffffffffff" localSheetId="4" hidden="1">{"'Sheet1'!$L$16"}</definedName>
    <definedName name="fffffffffffffff" localSheetId="8" hidden="1">{"'Sheet1'!$L$16"}</definedName>
    <definedName name="fffffffffffffff" localSheetId="7" hidden="1">{"'Sheet1'!$L$16"}</definedName>
    <definedName name="fffffffffffffff" hidden="1">{"'Sheet1'!$L$16"}</definedName>
    <definedName name="Fg">#REF!</definedName>
    <definedName name="fghgjhgjhk">#REF!</definedName>
    <definedName name="fhgfjhjhkjh" localSheetId="9" hidden="1">{"'QT tong hop'!$B$7"}</definedName>
    <definedName name="fhgfjhjhkjh" localSheetId="0" hidden="1">{"'QT tong hop'!$B$7"}</definedName>
    <definedName name="fhgfjhjhkjh" localSheetId="10" hidden="1">{"'QT tong hop'!$B$7"}</definedName>
    <definedName name="fhgfjhjhkjh" localSheetId="1" hidden="1">{"'QT tong hop'!$B$7"}</definedName>
    <definedName name="fhgfjhjhkjh" localSheetId="6" hidden="1">{"'QT tong hop'!$B$7"}</definedName>
    <definedName name="fhgfjhjhkjh" localSheetId="5" hidden="1">{"'QT tong hop'!$B$7"}</definedName>
    <definedName name="fhgfjhjhkjh" localSheetId="4" hidden="1">{"'QT tong hop'!$B$7"}</definedName>
    <definedName name="fhgfjhjhkjh" localSheetId="8" hidden="1">{"'QT tong hop'!$B$7"}</definedName>
    <definedName name="fhgfjhjhkjh" localSheetId="7" hidden="1">{"'QT tong hop'!$B$7"}</definedName>
    <definedName name="fhgfjhjhkjh" hidden="1">{"'QT tong hop'!$B$7"}</definedName>
    <definedName name="Fi">#REF!</definedName>
    <definedName name="FI_12">4820</definedName>
    <definedName name="finclb">#REF!</definedName>
    <definedName name="fine">#REF!</definedName>
    <definedName name="FinishWork">#REF!</definedName>
    <definedName name="FinTT">#REF!</definedName>
    <definedName name="FinXL">#REF!</definedName>
    <definedName name="FIT" localSheetId="9">BlankMacro1</definedName>
    <definedName name="FIT" localSheetId="0">BlankMacro1</definedName>
    <definedName name="FIT" localSheetId="10">BlankMacro1</definedName>
    <definedName name="FIT" localSheetId="1">BlankMacro1</definedName>
    <definedName name="FIT" localSheetId="6">BlankMacro1</definedName>
    <definedName name="FIT" localSheetId="5">BlankMacro1</definedName>
    <definedName name="FIT" localSheetId="4">BlankMacro1</definedName>
    <definedName name="FIT" localSheetId="8">BlankMacro1</definedName>
    <definedName name="FIT" localSheetId="7">BlankMacro1</definedName>
    <definedName name="FIT">BlankMacro1</definedName>
    <definedName name="Fitb">#REF!</definedName>
    <definedName name="FITT2" localSheetId="9">BlankMacro1</definedName>
    <definedName name="FITT2" localSheetId="0">BlankMacro1</definedName>
    <definedName name="FITT2" localSheetId="10">BlankMacro1</definedName>
    <definedName name="FITT2" localSheetId="1">BlankMacro1</definedName>
    <definedName name="FITT2" localSheetId="6">BlankMacro1</definedName>
    <definedName name="FITT2" localSheetId="5">BlankMacro1</definedName>
    <definedName name="FITT2" localSheetId="4">BlankMacro1</definedName>
    <definedName name="FITT2" localSheetId="8">BlankMacro1</definedName>
    <definedName name="FITT2" localSheetId="7">BlankMacro1</definedName>
    <definedName name="FITT2">BlankMacro1</definedName>
    <definedName name="FITTING2" localSheetId="9">BlankMacro1</definedName>
    <definedName name="FITTING2" localSheetId="0">BlankMacro1</definedName>
    <definedName name="FITTING2" localSheetId="10">BlankMacro1</definedName>
    <definedName name="FITTING2" localSheetId="1">BlankMacro1</definedName>
    <definedName name="FITTING2" localSheetId="6">BlankMacro1</definedName>
    <definedName name="FITTING2" localSheetId="5">BlankMacro1</definedName>
    <definedName name="FITTING2" localSheetId="4">BlankMacro1</definedName>
    <definedName name="FITTING2" localSheetId="8">BlankMacro1</definedName>
    <definedName name="FITTING2" localSheetId="7">BlankMacro1</definedName>
    <definedName name="FITTING2">BlankMacro1</definedName>
    <definedName name="fj">#REF!</definedName>
    <definedName name="fjh">#REF!</definedName>
    <definedName name="fjhghjkjhkj">#REF!</definedName>
    <definedName name="FlexZZ">#REF!</definedName>
    <definedName name="FLG" localSheetId="9">BlankMacro1</definedName>
    <definedName name="FLG" localSheetId="0">BlankMacro1</definedName>
    <definedName name="FLG" localSheetId="10">BlankMacro1</definedName>
    <definedName name="FLG" localSheetId="1">BlankMacro1</definedName>
    <definedName name="FLG" localSheetId="6">BlankMacro1</definedName>
    <definedName name="FLG" localSheetId="5">BlankMacro1</definedName>
    <definedName name="FLG" localSheetId="4">BlankMacro1</definedName>
    <definedName name="FLG" localSheetId="8">BlankMacro1</definedName>
    <definedName name="FLG" localSheetId="7">BlankMacro1</definedName>
    <definedName name="FLG">BlankMacro1</definedName>
    <definedName name="FO">#N/A</definedName>
    <definedName name="FORK">#REF!</definedName>
    <definedName name="Foundation">#REF!</definedName>
    <definedName name="FP">#REF!</definedName>
    <definedName name="fpa">#REF!</definedName>
    <definedName name="fpc">#REF!</definedName>
    <definedName name="fpe">#REF!</definedName>
    <definedName name="fpf">#REF!</definedName>
    <definedName name="fpj">#REF!</definedName>
    <definedName name="fps">#REF!</definedName>
    <definedName name="fpu">#REF!</definedName>
    <definedName name="fs">#REF!</definedName>
    <definedName name="fsdfdsf" localSheetId="9" hidden="1">{"'Sheet1'!$L$16"}</definedName>
    <definedName name="fsdfdsf" localSheetId="0" hidden="1">{"'Sheet1'!$L$16"}</definedName>
    <definedName name="fsdfdsf" localSheetId="10" hidden="1">{"'Sheet1'!$L$16"}</definedName>
    <definedName name="fsdfdsf" localSheetId="1" hidden="1">{"'Sheet1'!$L$16"}</definedName>
    <definedName name="fsdfdsf" localSheetId="6" hidden="1">{"'Sheet1'!$L$16"}</definedName>
    <definedName name="fsdfdsf" localSheetId="5" hidden="1">{"'Sheet1'!$L$16"}</definedName>
    <definedName name="fsdfdsf" localSheetId="4" hidden="1">{"'Sheet1'!$L$16"}</definedName>
    <definedName name="fsdfdsf" localSheetId="8" hidden="1">{"'Sheet1'!$L$16"}</definedName>
    <definedName name="fsdfdsf" localSheetId="7" hidden="1">{"'Sheet1'!$L$16"}</definedName>
    <definedName name="fsdfdsf" hidden="1">{"'Sheet1'!$L$16"}</definedName>
    <definedName name="fses">#REF!</definedName>
    <definedName name="fuji">#REF!</definedName>
    <definedName name="Full">#REF!</definedName>
    <definedName name="fy">#REF!</definedName>
    <definedName name="fy.">#REF!</definedName>
    <definedName name="Fy_">#REF!</definedName>
    <definedName name="fys">#REF!</definedName>
    <definedName name="G">#REF!</definedName>
    <definedName name="g_">#REF!</definedName>
    <definedName name="G_C">#REF!</definedName>
    <definedName name="G_ME">#REF!</definedName>
    <definedName name="G0.000">#REF!</definedName>
    <definedName name="G0.010">#REF!</definedName>
    <definedName name="G0.020">#REF!</definedName>
    <definedName name="G0.100">#REF!</definedName>
    <definedName name="G0.110">#REF!</definedName>
    <definedName name="G0.120">#REF!</definedName>
    <definedName name="g1.">#REF!</definedName>
    <definedName name="G1.000">#REF!</definedName>
    <definedName name="G1.011">#REF!</definedName>
    <definedName name="G1.021">#REF!</definedName>
    <definedName name="G1.031">#REF!</definedName>
    <definedName name="G1.041">#REF!</definedName>
    <definedName name="G1.051">#REF!</definedName>
    <definedName name="g2.">#REF!</definedName>
    <definedName name="G2.000">#REF!</definedName>
    <definedName name="G2.010">#REF!</definedName>
    <definedName name="G2.020">#REF!</definedName>
    <definedName name="G2.030">#REF!</definedName>
    <definedName name="G3.000">#REF!</definedName>
    <definedName name="G3.011">#REF!</definedName>
    <definedName name="G3.021">#REF!</definedName>
    <definedName name="G3.031">#REF!</definedName>
    <definedName name="G3.041">#REF!</definedName>
    <definedName name="G3.100">#REF!</definedName>
    <definedName name="G3.111">#REF!</definedName>
    <definedName name="G3.121">#REF!</definedName>
    <definedName name="G3.131">#REF!</definedName>
    <definedName name="G3.141">#REF!</definedName>
    <definedName name="G3.201">#REF!</definedName>
    <definedName name="G3.211">#REF!</definedName>
    <definedName name="G3.221">#REF!</definedName>
    <definedName name="G3.231">#REF!</definedName>
    <definedName name="G3.241">#REF!</definedName>
    <definedName name="G3.301">#REF!</definedName>
    <definedName name="G3.311">#REF!</definedName>
    <definedName name="G3.321">#REF!</definedName>
    <definedName name="G3.331">#REF!</definedName>
    <definedName name="G3.341">#REF!</definedName>
    <definedName name="G4.000">#REF!</definedName>
    <definedName name="G4.010">#REF!</definedName>
    <definedName name="G4.020">#REF!</definedName>
    <definedName name="G4.030">#REF!</definedName>
    <definedName name="G4.040">#REF!</definedName>
    <definedName name="G4.101">#REF!</definedName>
    <definedName name="G4.111">#REF!</definedName>
    <definedName name="G4.121">#REF!</definedName>
    <definedName name="G4.131">#REF!</definedName>
    <definedName name="G4.141">#REF!</definedName>
    <definedName name="G4.151">#REF!</definedName>
    <definedName name="G4.161">#REF!</definedName>
    <definedName name="G4.171">#REF!</definedName>
    <definedName name="G4.200">#REF!</definedName>
    <definedName name="G4.210">#REF!</definedName>
    <definedName name="G4.220">#REF!</definedName>
    <definedName name="g40g40">#REF!</definedName>
    <definedName name="Ga">#REF!</definedName>
    <definedName name="gach">#REF!</definedName>
    <definedName name="gachblock">#REF!</definedName>
    <definedName name="gachlat">#REF!</definedName>
    <definedName name="gachllatnen30x30">#REF!</definedName>
    <definedName name="gachllatnen40x40">#REF!</definedName>
    <definedName name="gachllatnen50x50">#REF!</definedName>
    <definedName name="gachxay">#REF!</definedName>
    <definedName name="GAHT">#REF!</definedName>
    <definedName name="gama">#REF!</definedName>
    <definedName name="gamatc">#REF!</definedName>
    <definedName name="gas">#REF!</definedName>
    <definedName name="Gb">#REF!</definedName>
    <definedName name="gc">#REF!</definedName>
    <definedName name="GC_CT">#REF!</definedName>
    <definedName name="GC_CT1">#REF!</definedName>
    <definedName name="GC_DN">#REF!</definedName>
    <definedName name="GC_HT">#REF!</definedName>
    <definedName name="GC_TD">#REF!</definedName>
    <definedName name="gcHT">#REF!</definedName>
    <definedName name="gcm">#REF!</definedName>
    <definedName name="GCP">#REF!</definedName>
    <definedName name="gcuoc">#REF!</definedName>
    <definedName name="gchi">#REF!</definedName>
    <definedName name="gd">#REF!</definedName>
    <definedName name="GD_1">#REF!</definedName>
    <definedName name="GD_2">#REF!</definedName>
    <definedName name="gdfgdfgdf" localSheetId="9" hidden="1">{"'Sheet1'!$L$16"}</definedName>
    <definedName name="gdfgdfgdf" localSheetId="0" hidden="1">{"'Sheet1'!$L$16"}</definedName>
    <definedName name="gdfgdfgdf" localSheetId="10" hidden="1">{"'Sheet1'!$L$16"}</definedName>
    <definedName name="gdfgdfgdf" localSheetId="1" hidden="1">{"'Sheet1'!$L$16"}</definedName>
    <definedName name="gdfgdfgdf" localSheetId="6" hidden="1">{"'Sheet1'!$L$16"}</definedName>
    <definedName name="gdfgdfgdf" localSheetId="5" hidden="1">{"'Sheet1'!$L$16"}</definedName>
    <definedName name="gdfgdfgdf" localSheetId="4" hidden="1">{"'Sheet1'!$L$16"}</definedName>
    <definedName name="gdfgdfgdf" localSheetId="8" hidden="1">{"'Sheet1'!$L$16"}</definedName>
    <definedName name="gdfgdfgdf" localSheetId="7" hidden="1">{"'Sheet1'!$L$16"}</definedName>
    <definedName name="gdfgdfgdf" hidden="1">{"'Sheet1'!$L$16"}</definedName>
    <definedName name="GdoanName">#REF!</definedName>
    <definedName name="geff">#REF!</definedName>
    <definedName name="geo">#REF!</definedName>
    <definedName name="GETVAR">#REF!</definedName>
    <definedName name="gf">#REF!</definedName>
    <definedName name="gg">#REF!</definedName>
    <definedName name="GGG" localSheetId="9" hidden="1">{"'Sheet1'!$L$16"}</definedName>
    <definedName name="GGG" localSheetId="0" hidden="1">{"'Sheet1'!$L$16"}</definedName>
    <definedName name="GGG" localSheetId="10" hidden="1">{"'Sheet1'!$L$16"}</definedName>
    <definedName name="GGG" localSheetId="1" hidden="1">{"'Sheet1'!$L$16"}</definedName>
    <definedName name="GGG" localSheetId="6" hidden="1">{"'Sheet1'!$L$16"}</definedName>
    <definedName name="GGG" localSheetId="5" hidden="1">{"'Sheet1'!$L$16"}</definedName>
    <definedName name="GGG" localSheetId="4" hidden="1">{"'Sheet1'!$L$16"}</definedName>
    <definedName name="GGG" localSheetId="8" hidden="1">{"'Sheet1'!$L$16"}</definedName>
    <definedName name="GGG" localSheetId="7" hidden="1">{"'Sheet1'!$L$16"}</definedName>
    <definedName name="GGG" hidden="1">{"'Sheet1'!$L$16"}</definedName>
    <definedName name="ghghh">#REF!</definedName>
    <definedName name="ghip">#REF!</definedName>
    <definedName name="gkGTGT">#REF!</definedName>
    <definedName name="gl3p">#REF!</definedName>
    <definedName name="Glazing">#REF!</definedName>
    <definedName name="glc">#REF!</definedName>
    <definedName name="gld">#REF!</definedName>
    <definedName name="gnc">#REF!</definedName>
    <definedName name="Gnd">#REF!</definedName>
    <definedName name="gnl">#REF!</definedName>
    <definedName name="Go">#REF!</definedName>
    <definedName name="GoBack" localSheetId="0">#REF!</definedName>
    <definedName name="GoBack" localSheetId="10">#REF!</definedName>
    <definedName name="GoBack" localSheetId="1">#REF!</definedName>
    <definedName name="GoBack" localSheetId="6">#REF!</definedName>
    <definedName name="GoBack" localSheetId="5">#REF!</definedName>
    <definedName name="GoBack" localSheetId="4">#REF!</definedName>
    <definedName name="GoBack" localSheetId="7">#REF!</definedName>
    <definedName name="GoBack">#REF!</definedName>
    <definedName name="goc">#REF!</definedName>
    <definedName name="Goc32x3">#REF!</definedName>
    <definedName name="Goc35x3">#REF!</definedName>
    <definedName name="Goc40x4">#REF!</definedName>
    <definedName name="Goc45x4">#REF!</definedName>
    <definedName name="Goc50x5">#REF!</definedName>
    <definedName name="Goc63x6">#REF!</definedName>
    <definedName name="Goc75x6">#REF!</definedName>
    <definedName name="GocTieuChuan">#REF!</definedName>
    <definedName name="gochong">#REF!</definedName>
    <definedName name="govan">#REF!</definedName>
    <definedName name="GPT_GROUNDING_PT">#REF!</definedName>
    <definedName name="grC">#REF!</definedName>
    <definedName name="grD">#REF!</definedName>
    <definedName name="GRFICM">#REF!</definedName>
    <definedName name="Groups">#REF!</definedName>
    <definedName name="gs">#REF!</definedName>
    <definedName name="gse">#REF!</definedName>
    <definedName name="gsktxd" localSheetId="0">#REF!</definedName>
    <definedName name="gsktxd" localSheetId="10">#REF!</definedName>
    <definedName name="gsktxd" localSheetId="1">#REF!</definedName>
    <definedName name="gsktxd" localSheetId="6">#REF!</definedName>
    <definedName name="gsktxd" localSheetId="5">#REF!</definedName>
    <definedName name="gsktxd" localSheetId="4">#REF!</definedName>
    <definedName name="gsktxd" localSheetId="7">#REF!</definedName>
    <definedName name="gsktxd">#REF!</definedName>
    <definedName name="GT">#REF!</definedName>
    <definedName name="Gtb">#REF!</definedName>
    <definedName name="gtbtt">#REF!</definedName>
    <definedName name="gtc">#REF!</definedName>
    <definedName name="GTDTCTANG_HT_NC_BD">#REF!</definedName>
    <definedName name="GTDTCTANG_HT_NC_KT">#REF!</definedName>
    <definedName name="GTDTCTANG_HT_VL_BD">#REF!</definedName>
    <definedName name="GTDTCTANG_HT_VL_KT">#REF!</definedName>
    <definedName name="GTDTCTANG_NC_BD">#REF!</definedName>
    <definedName name="GTDTCTANG_NC_KT">#REF!</definedName>
    <definedName name="GTDTCTANG_VL_BD">#REF!</definedName>
    <definedName name="GTDTCTANG_VL_KT">#REF!</definedName>
    <definedName name="GTOTAL" localSheetId="9" hidden="1">{"'Sheet1'!$L$16"}</definedName>
    <definedName name="GTOTAL" localSheetId="0" hidden="1">{"'Sheet1'!$L$16"}</definedName>
    <definedName name="GTOTAL" localSheetId="10" hidden="1">{"'Sheet1'!$L$16"}</definedName>
    <definedName name="GTOTAL" localSheetId="1" hidden="1">{"'Sheet1'!$L$16"}</definedName>
    <definedName name="GTOTAL" localSheetId="6" hidden="1">{"'Sheet1'!$L$16"}</definedName>
    <definedName name="GTOTAL" localSheetId="5" hidden="1">{"'Sheet1'!$L$16"}</definedName>
    <definedName name="GTOTAL" localSheetId="4" hidden="1">{"'Sheet1'!$L$16"}</definedName>
    <definedName name="GTOTAL" localSheetId="8" hidden="1">{"'Sheet1'!$L$16"}</definedName>
    <definedName name="GTOTAL" localSheetId="7" hidden="1">{"'Sheet1'!$L$16"}</definedName>
    <definedName name="GTOTAL" hidden="1">{"'Sheet1'!$L$16"}</definedName>
    <definedName name="gtst">#REF!</definedName>
    <definedName name="GTTS">#REF!</definedName>
    <definedName name="GTXL">#REF!</definedName>
    <definedName name="Gthe">#REF!</definedName>
    <definedName name="GTRI">#REF!</definedName>
    <definedName name="gu">#REF!</definedName>
    <definedName name="gv">#REF!</definedName>
    <definedName name="gvl">#REF!</definedName>
    <definedName name="GVL_LDT">#REF!</definedName>
    <definedName name="gvt">#REF!</definedName>
    <definedName name="Gxl">#REF!</definedName>
    <definedName name="gxltt">#REF!</definedName>
    <definedName name="gxm">#REF!</definedName>
    <definedName name="gia">#REF!</definedName>
    <definedName name="Gia_ban_dien_sc">#REF!</definedName>
    <definedName name="Gia_ban_dien_tc">#REF!</definedName>
    <definedName name="Gia_CT">#REF!</definedName>
    <definedName name="GIA_CU_LY_VAN_CHUYEN">#REF!</definedName>
    <definedName name="GIA_LANGSON">#REF!</definedName>
    <definedName name="gia_tien">#REF!</definedName>
    <definedName name="gia_tien_BTN">#REF!</definedName>
    <definedName name="GIA_THANH_VAN_CHUYEN_1M3_BE_TONG">#REF!</definedName>
    <definedName name="Gia_VT">#REF!</definedName>
    <definedName name="GIA_XEPANGHIENG_Q">#REF!</definedName>
    <definedName name="Giaban">#REF!</definedName>
    <definedName name="GiabanSP">#REF!</definedName>
    <definedName name="giabq">#REF!</definedName>
    <definedName name="giaca">#REF!</definedName>
    <definedName name="giacong">#REF!</definedName>
    <definedName name="giaD10">#REF!</definedName>
    <definedName name="giaD12_22">#REF!</definedName>
    <definedName name="giadauthegioi2010">#REF!</definedName>
    <definedName name="giadauthegioi2011">#REF!</definedName>
    <definedName name="giadauthegioi2012">#REF!</definedName>
    <definedName name="giadien" localSheetId="7">#REF!</definedName>
    <definedName name="giadien">#REF!</definedName>
    <definedName name="GiaHaNoiT2_2002_Q">#REF!</definedName>
    <definedName name="Giai__o_n">#REF!</definedName>
    <definedName name="Giai_doan">#REF!</definedName>
    <definedName name="gianuoc" localSheetId="7">#REF!</definedName>
    <definedName name="gianuoc">#REF!</definedName>
    <definedName name="giatbco">#REF!</definedName>
    <definedName name="giatbdien">#REF!</definedName>
    <definedName name="Giathitruong">#REF!</definedName>
    <definedName name="GIAVL_TRALY">#REF!</definedName>
    <definedName name="GIAVLIEUTN">#REF!</definedName>
    <definedName name="giaxangdau">#REF!</definedName>
    <definedName name="gica_bq">#REF!</definedName>
    <definedName name="gica_bv">#REF!</definedName>
    <definedName name="gica_ck">#REF!</definedName>
    <definedName name="gica_d1">#REF!</definedName>
    <definedName name="gica_d2">#REF!</definedName>
    <definedName name="gica_d3">#REF!</definedName>
    <definedName name="gica_dl">#REF!</definedName>
    <definedName name="gica_kcs">#REF!</definedName>
    <definedName name="gica_nb">#REF!</definedName>
    <definedName name="gica_nv">#REF!</definedName>
    <definedName name="gica_ngio">#REF!</definedName>
    <definedName name="gica_t3">#REF!</definedName>
    <definedName name="gica_t4">#REF!</definedName>
    <definedName name="gica_t5">#REF!</definedName>
    <definedName name="gica_t6">#REF!</definedName>
    <definedName name="gica_tc">#REF!</definedName>
    <definedName name="gica_tm">#REF!</definedName>
    <definedName name="gica_vs">#REF!</definedName>
    <definedName name="gica_xh">#REF!</definedName>
    <definedName name="gielau">#REF!</definedName>
    <definedName name="gio_bq">#REF!</definedName>
    <definedName name="gio_d1">#REF!</definedName>
    <definedName name="gio_d2">#REF!</definedName>
    <definedName name="gio_d3">#REF!</definedName>
    <definedName name="gio_dl">#REF!</definedName>
    <definedName name="gio_kcs">#REF!</definedName>
    <definedName name="gio_ngio">#REF!</definedName>
    <definedName name="gio_t3">#REF!</definedName>
    <definedName name="gio_t4">#REF!</definedName>
    <definedName name="gio_t5">#REF!</definedName>
    <definedName name="gio_t6">#REF!</definedName>
    <definedName name="gio_vs">#REF!</definedName>
    <definedName name="gio_xh">#REF!</definedName>
    <definedName name="Giocong">#REF!</definedName>
    <definedName name="gipa5">#REF!</definedName>
    <definedName name="h" localSheetId="9" hidden="1">{"'Sheet1'!$L$16"}</definedName>
    <definedName name="h" localSheetId="0" hidden="1">{"'Sheet1'!$L$16"}</definedName>
    <definedName name="h" localSheetId="10" hidden="1">{"'Sheet1'!$L$16"}</definedName>
    <definedName name="h" localSheetId="1" hidden="1">{"'Sheet1'!$L$16"}</definedName>
    <definedName name="h" localSheetId="6" hidden="1">{"'Sheet1'!$L$16"}</definedName>
    <definedName name="h" localSheetId="5" hidden="1">{"'Sheet1'!$L$16"}</definedName>
    <definedName name="h" localSheetId="4" hidden="1">{"'Sheet1'!$L$16"}</definedName>
    <definedName name="h" localSheetId="8" hidden="1">{"'Sheet1'!$L$16"}</definedName>
    <definedName name="h" localSheetId="7" hidden="1">{"'Sheet1'!$L$16"}</definedName>
    <definedName name="h" hidden="1">{"'Sheet1'!$L$16"}</definedName>
    <definedName name="H.">#REF!</definedName>
    <definedName name="h.2">#REF!</definedName>
    <definedName name="h_">#REF!</definedName>
    <definedName name="h__">#REF!</definedName>
    <definedName name="h_0">#REF!</definedName>
    <definedName name="H_1">#REF!</definedName>
    <definedName name="H_2">#REF!</definedName>
    <definedName name="H_3">#REF!</definedName>
    <definedName name="H_THUCTT">#REF!</definedName>
    <definedName name="H_THUCHTHH">#REF!</definedName>
    <definedName name="H0.001">#REF!</definedName>
    <definedName name="H0.011">#REF!</definedName>
    <definedName name="H0.021">#REF!</definedName>
    <definedName name="H0.031">#REF!</definedName>
    <definedName name="h1.">#REF!</definedName>
    <definedName name="h1_">#REF!</definedName>
    <definedName name="h18x">#REF!</definedName>
    <definedName name="H1cb">#REF!</definedName>
    <definedName name="h2.">#REF!</definedName>
    <definedName name="h2_">#REF!</definedName>
    <definedName name="H2canh">#REF!</definedName>
    <definedName name="H2cb">#REF!</definedName>
    <definedName name="h3.">#REF!</definedName>
    <definedName name="h3_">#REF!</definedName>
    <definedName name="h30x">#REF!</definedName>
    <definedName name="H3canh">#REF!</definedName>
    <definedName name="h4.">#REF!</definedName>
    <definedName name="h4_">#REF!</definedName>
    <definedName name="h5.">#REF!</definedName>
    <definedName name="h5_">#REF!</definedName>
    <definedName name="h6.">#REF!</definedName>
    <definedName name="h6_">#REF!</definedName>
    <definedName name="h7.5">#REF!</definedName>
    <definedName name="h7_">#REF!</definedName>
    <definedName name="h8.5">#REF!</definedName>
    <definedName name="Ha">#REF!</definedName>
    <definedName name="ha.">#REF!</definedName>
    <definedName name="hai" localSheetId="9" hidden="1">{"'Sheet1'!$L$16"}</definedName>
    <definedName name="hai" localSheetId="0" hidden="1">{"'Sheet1'!$L$16"}</definedName>
    <definedName name="hai" localSheetId="10" hidden="1">{"'Sheet1'!$L$16"}</definedName>
    <definedName name="hai" localSheetId="1" hidden="1">{"'Sheet1'!$L$16"}</definedName>
    <definedName name="hai" localSheetId="6" hidden="1">{"'Sheet1'!$L$16"}</definedName>
    <definedName name="hai" localSheetId="5" hidden="1">{"'Sheet1'!$L$16"}</definedName>
    <definedName name="hai" localSheetId="4" hidden="1">{"'Sheet1'!$L$16"}</definedName>
    <definedName name="hai" localSheetId="8" hidden="1">{"'Sheet1'!$L$16"}</definedName>
    <definedName name="hai" localSheetId="7" hidden="1">{"'Sheet1'!$L$16"}</definedName>
    <definedName name="hai" hidden="1">{"'Sheet1'!$L$16"}</definedName>
    <definedName name="Hamyen">#REF!</definedName>
    <definedName name="han">#REF!</definedName>
    <definedName name="Hanoi">#REF!</definedName>
    <definedName name="hangmuc">#REF!</definedName>
    <definedName name="HapCKVA">#REF!</definedName>
    <definedName name="HapCKvar">#REF!</definedName>
    <definedName name="HapCKW">#REF!</definedName>
    <definedName name="HapIKVA">#REF!</definedName>
    <definedName name="HapIKvar">#REF!</definedName>
    <definedName name="HapIKW">#REF!</definedName>
    <definedName name="HapKVA">#REF!</definedName>
    <definedName name="HapSKVA">#REF!</definedName>
    <definedName name="HapSKW">#REF!</definedName>
    <definedName name="Hb">#REF!</definedName>
    <definedName name="hb.">#REF!</definedName>
    <definedName name="hba">#REF!</definedName>
    <definedName name="HBC">#REF!</definedName>
    <definedName name="Hbe">#REF!</definedName>
    <definedName name="HBL">#REF!</definedName>
    <definedName name="hbon">#REF!</definedName>
    <definedName name="hc">#REF!</definedName>
    <definedName name="hc.">#REF!</definedName>
    <definedName name="Hcb">#REF!</definedName>
    <definedName name="hcg">#REF!</definedName>
    <definedName name="HCM">#REF!</definedName>
    <definedName name="HCNA" localSheetId="9" hidden="1">{"'Sheet1'!$L$16"}</definedName>
    <definedName name="HCNA" localSheetId="0" hidden="1">{"'Sheet1'!$L$16"}</definedName>
    <definedName name="HCNA" localSheetId="10" hidden="1">{"'Sheet1'!$L$16"}</definedName>
    <definedName name="HCNA" localSheetId="1" hidden="1">{"'Sheet1'!$L$16"}</definedName>
    <definedName name="HCNA" localSheetId="6" hidden="1">{"'Sheet1'!$L$16"}</definedName>
    <definedName name="HCNA" localSheetId="5" hidden="1">{"'Sheet1'!$L$16"}</definedName>
    <definedName name="HCNA" localSheetId="4" hidden="1">{"'Sheet1'!$L$16"}</definedName>
    <definedName name="HCNA" localSheetId="8" hidden="1">{"'Sheet1'!$L$16"}</definedName>
    <definedName name="HCNA" localSheetId="7" hidden="1">{"'Sheet1'!$L$16"}</definedName>
    <definedName name="HCNA" hidden="1">{"'Sheet1'!$L$16"}</definedName>
    <definedName name="HCNT">#REF!</definedName>
    <definedName name="HCPH">#REF!</definedName>
    <definedName name="HCS">#REF!</definedName>
    <definedName name="HCU">#REF!</definedName>
    <definedName name="HCHANH1">#REF!</definedName>
    <definedName name="hd">#REF!</definedName>
    <definedName name="HDC">#REF!</definedName>
    <definedName name="HDCCT">#REF!</definedName>
    <definedName name="HDCD">#REF!</definedName>
    <definedName name="HDGT">#REF!</definedName>
    <definedName name="HDGTN">#REF!</definedName>
    <definedName name="Hdinh">#N/A</definedName>
    <definedName name="hdong">#REF!</definedName>
    <definedName name="Hdt">#REF!</definedName>
    <definedName name="HDU">#REF!</definedName>
    <definedName name="He">#REF!</definedName>
    <definedName name="He_so">#REF!</definedName>
    <definedName name="He_So_Bat_Loi">#REF!</definedName>
    <definedName name="HE_SO_KHO_KHAN_CANG_DAY">#REF!</definedName>
    <definedName name="Heä_soá_laép_xaø_H">1.7</definedName>
    <definedName name="heä_soá_sình_laày">#REF!</definedName>
    <definedName name="HEADDAYA3">#REF!,#REF!,#REF!,#REF!,#REF!,#REF!,#REF!,#REF!,#REF!,#REF!,#REF!,#REF!,#REF!</definedName>
    <definedName name="HEADDAYA4">#REF!,#REF!,#REF!,#REF!,#REF!,#REF!,#REF!,#REF!,#REF!,#REF!,#REF!,#REF!,#REF!,#REF!,#REF!,#REF!,#REF!</definedName>
    <definedName name="HEADWEEKA3">#REF!,#REF!,#REF!,#REF!,#REF!,#REF!,#REF!,#REF!,#REF!,#REF!,#REF!,#REF!</definedName>
    <definedName name="HEADWEEKA4">#REF!,#REF!,#REF!,#REF!,#REF!,#REF!,#REF!,#REF!,#REF!,#REF!,#REF!,#REF!</definedName>
    <definedName name="Hello">#REF!</definedName>
    <definedName name="Heso1">#REF!</definedName>
    <definedName name="hethonglanh">#REF!</definedName>
    <definedName name="hethongthoatnuocngoainha" hidden="1">#REF!</definedName>
    <definedName name="Hg">#REF!</definedName>
    <definedName name="HH">#REF!</definedName>
    <definedName name="HH15HT">#REF!</definedName>
    <definedName name="HH16HT">#REF!</definedName>
    <definedName name="HH19HT">#REF!</definedName>
    <definedName name="HH20HT">#REF!</definedName>
    <definedName name="hhaa">#REF!</definedName>
    <definedName name="hhai">#REF!</definedName>
    <definedName name="HHcat">#REF!</definedName>
    <definedName name="hhcv">#REF!</definedName>
    <definedName name="HHda">#REF!</definedName>
    <definedName name="hhda4x6">#REF!</definedName>
    <definedName name="hhhh">#REF!</definedName>
    <definedName name="hhhhhhhhhhhh">#REF!</definedName>
    <definedName name="HHIC">#REF!</definedName>
    <definedName name="hhsc">#REF!</definedName>
    <definedName name="HHT">#REF!</definedName>
    <definedName name="hhtd">#REF!</definedName>
    <definedName name="HHTT">#REF!</definedName>
    <definedName name="hhxm">#REF!</definedName>
    <definedName name="hien">#REF!</definedName>
    <definedName name="Hinh_thuc">#REF!</definedName>
    <definedName name="hjjkl" localSheetId="9" hidden="1">{"'Sheet1'!$L$16"}</definedName>
    <definedName name="hjjkl" localSheetId="0" hidden="1">{"'Sheet1'!$L$16"}</definedName>
    <definedName name="hjjkl" localSheetId="10" hidden="1">{"'Sheet1'!$L$16"}</definedName>
    <definedName name="hjjkl" localSheetId="1" hidden="1">{"'Sheet1'!$L$16"}</definedName>
    <definedName name="hjjkl" localSheetId="6" hidden="1">{"'Sheet1'!$L$16"}</definedName>
    <definedName name="hjjkl" localSheetId="5" hidden="1">{"'Sheet1'!$L$16"}</definedName>
    <definedName name="hjjkl" localSheetId="4" hidden="1">{"'Sheet1'!$L$16"}</definedName>
    <definedName name="hjjkl" localSheetId="8" hidden="1">{"'Sheet1'!$L$16"}</definedName>
    <definedName name="hjjkl" localSheetId="7" hidden="1">{"'Sheet1'!$L$16"}</definedName>
    <definedName name="hjjkl" hidden="1">{"'Sheet1'!$L$16"}</definedName>
    <definedName name="hjxghji" localSheetId="9">BlankMacro1</definedName>
    <definedName name="hjxghji" localSheetId="0">BlankMacro1</definedName>
    <definedName name="hjxghji" localSheetId="10">BlankMacro1</definedName>
    <definedName name="hjxghji" localSheetId="1">BlankMacro1</definedName>
    <definedName name="hjxghji" localSheetId="6">BlankMacro1</definedName>
    <definedName name="hjxghji" localSheetId="5">BlankMacro1</definedName>
    <definedName name="hjxghji" localSheetId="4">BlankMacro1</definedName>
    <definedName name="hjxghji" localSheetId="8">BlankMacro1</definedName>
    <definedName name="hjxghji" localSheetId="7">BlankMacro1</definedName>
    <definedName name="hjxghji">BlankMacro1</definedName>
    <definedName name="HKE">#REF!</definedName>
    <definedName name="HKL">#REF!</definedName>
    <definedName name="HKLHI">#REF!</definedName>
    <definedName name="HKLL">#REF!</definedName>
    <definedName name="HKLLLO">#REF!</definedName>
    <definedName name="hl">#REF!</definedName>
    <definedName name="HLC">#REF!</definedName>
    <definedName name="HLIC">#REF!</definedName>
    <definedName name="hlp.">#REF!</definedName>
    <definedName name="HLU">#REF!</definedName>
    <definedName name="HLW">#REF!</definedName>
    <definedName name="HM">#REF!</definedName>
    <definedName name="Hmong">#N/A</definedName>
    <definedName name="hmot">#REF!</definedName>
    <definedName name="hn">#REF!</definedName>
    <definedName name="hnc">#REF!</definedName>
    <definedName name="Ho">#REF!</definedName>
    <definedName name="HO_SO_DU_THAU_DZ0.4">#REF!</definedName>
    <definedName name="hoc">55000</definedName>
    <definedName name="HOME_MANP">#REF!</definedName>
    <definedName name="HOMEOFFICE_COST">#REF!</definedName>
    <definedName name="Hoten">#REF!</definedName>
    <definedName name="House">#REF!</definedName>
    <definedName name="Hovaten">#REF!</definedName>
    <definedName name="hp">#REF!</definedName>
    <definedName name="Hpl">#REF!</definedName>
    <definedName name="HR">#REF!</definedName>
    <definedName name="hr_">#REF!</definedName>
    <definedName name="HRC">#REF!</definedName>
    <definedName name="HS">#REF!</definedName>
    <definedName name="HS_may">#REF!</definedName>
    <definedName name="hs_vt">#REF!</definedName>
    <definedName name="HSBDVC">#REF!</definedName>
    <definedName name="hsbn">#REF!</definedName>
    <definedName name="Hsc">#REF!</definedName>
    <definedName name="HSCPC">#REF!</definedName>
    <definedName name="HSCT3">0.1</definedName>
    <definedName name="HSCTMR">#REF!</definedName>
    <definedName name="hsd">#REF!</definedName>
    <definedName name="hsdc">#REF!</definedName>
    <definedName name="hsdc1">#REF!</definedName>
    <definedName name="HSDD">#REF!</definedName>
    <definedName name="HSDN">2.5</definedName>
    <definedName name="hsdt">#REF!</definedName>
    <definedName name="hSF">#REF!</definedName>
    <definedName name="HSGG">#REF!</definedName>
    <definedName name="HSHH">#REF!</definedName>
    <definedName name="HSHHUT">#REF!</definedName>
    <definedName name="hsk">#REF!</definedName>
    <definedName name="HSKD">#REF!</definedName>
    <definedName name="HSKK">#REF!</definedName>
    <definedName name="hskk1">#REF!</definedName>
    <definedName name="HSKK35">#REF!</definedName>
    <definedName name="HSKVXL_MTC">#REF!</definedName>
    <definedName name="HSKVXL_NC">#REF!</definedName>
    <definedName name="hskhac">#REF!</definedName>
    <definedName name="HSlanxe">#REF!</definedName>
    <definedName name="HSLX">#REF!</definedName>
    <definedName name="HSLXH">1.7</definedName>
    <definedName name="HSLXP">#REF!</definedName>
    <definedName name="hsm">#REF!</definedName>
    <definedName name="HSMTC">#REF!</definedName>
    <definedName name="HSNC">#REF!</definedName>
    <definedName name="hsnc_cau2">1.626</definedName>
    <definedName name="hsnc_d">1.6356</definedName>
    <definedName name="hsnc_d2">1.6356</definedName>
    <definedName name="hso">#REF!</definedName>
    <definedName name="HSSL">#REF!</definedName>
    <definedName name="hßm4">#REF!</definedName>
    <definedName name="hstb">#REF!</definedName>
    <definedName name="hstdtk">#REF!</definedName>
    <definedName name="HSTK">#REF!</definedName>
    <definedName name="hsthep">#REF!</definedName>
    <definedName name="HSTHUE">#REF!</definedName>
    <definedName name="HSVAT">#REF!</definedName>
    <definedName name="HSVC1">#REF!</definedName>
    <definedName name="HSVC2">#REF!</definedName>
    <definedName name="HSVC3">#REF!</definedName>
    <definedName name="HsVCVLTH">#REF!</definedName>
    <definedName name="hsvl">#REF!</definedName>
    <definedName name="HT">#REF!</definedName>
    <definedName name="ht25nc">#REF!</definedName>
    <definedName name="ht25vl">#REF!</definedName>
    <definedName name="ht325nc">#REF!</definedName>
    <definedName name="ht325vl">#REF!</definedName>
    <definedName name="ht37k">#REF!</definedName>
    <definedName name="ht37nc">#REF!</definedName>
    <definedName name="ht50nc">#REF!</definedName>
    <definedName name="ht50vl">#REF!</definedName>
    <definedName name="Htai">#REF!</definedName>
    <definedName name="HTBVCap">#REF!</definedName>
    <definedName name="HTD">#REF!</definedName>
    <definedName name="htlm" localSheetId="9" hidden="1">{"'Sheet1'!$L$16"}</definedName>
    <definedName name="htlm" localSheetId="0" hidden="1">{"'Sheet1'!$L$16"}</definedName>
    <definedName name="htlm" localSheetId="10" hidden="1">{"'Sheet1'!$L$16"}</definedName>
    <definedName name="htlm" localSheetId="1" hidden="1">{"'Sheet1'!$L$16"}</definedName>
    <definedName name="htlm" localSheetId="6" hidden="1">{"'Sheet1'!$L$16"}</definedName>
    <definedName name="htlm" localSheetId="5" hidden="1">{"'Sheet1'!$L$16"}</definedName>
    <definedName name="htlm" localSheetId="4" hidden="1">{"'Sheet1'!$L$16"}</definedName>
    <definedName name="htlm" localSheetId="8" hidden="1">{"'Sheet1'!$L$16"}</definedName>
    <definedName name="htlm" localSheetId="7" hidden="1">{"'Sheet1'!$L$16"}</definedName>
    <definedName name="htlm" hidden="1">{"'Sheet1'!$L$16"}</definedName>
    <definedName name="HTML_CodePage" hidden="1">1252</definedName>
    <definedName name="HTML_Control" localSheetId="9" hidden="1">{"'QT tong hop'!$B$7"}</definedName>
    <definedName name="HTML_Control" localSheetId="0" hidden="1">{"'QT tong hop'!$B$7"}</definedName>
    <definedName name="HTML_Control" localSheetId="10" hidden="1">{"'QT tong hop'!$B$7"}</definedName>
    <definedName name="HTML_Control" localSheetId="1" hidden="1">{"'QT tong hop'!$B$7"}</definedName>
    <definedName name="HTML_Control" localSheetId="6" hidden="1">{"'QT tong hop'!$B$7"}</definedName>
    <definedName name="HTML_Control" localSheetId="5" hidden="1">{"'QT tong hop'!$B$7"}</definedName>
    <definedName name="HTML_Control" localSheetId="4" hidden="1">{"'QT tong hop'!$B$7"}</definedName>
    <definedName name="HTML_Control" localSheetId="8" hidden="1">{"'QT tong hop'!$B$7"}</definedName>
    <definedName name="HTML_Control" localSheetId="7" hidden="1">{"'QT tong hop'!$B$7"}</definedName>
    <definedName name="HTML_Control" hidden="1">{"'QT tong hop'!$B$7"}</definedName>
    <definedName name="HTML_Description" hidden="1">""</definedName>
    <definedName name="HTML_Email" hidden="1">""</definedName>
    <definedName name="HTML_Header" hidden="1">"QT tong hop"</definedName>
    <definedName name="HTML_LastUpdate" hidden="1">"26/02/02"</definedName>
    <definedName name="HTML_LineAfter" hidden="1">FALSE</definedName>
    <definedName name="HTML_LineBefore" hidden="1">FALSE</definedName>
    <definedName name="HTML_Name" hidden="1">"Xi Nghiep Xay Lap 301"</definedName>
    <definedName name="HTML_OBDlg2" hidden="1">TRUE</definedName>
    <definedName name="HTML_OBDlg4" hidden="1">TRUE</definedName>
    <definedName name="HTML_OS" hidden="1">0</definedName>
    <definedName name="HTML_PathFile" hidden="1">"C:\2002\hung\PCCC.htm"</definedName>
    <definedName name="HTML_Title" hidden="1">"HETHON~1"</definedName>
    <definedName name="HTN">#REF!</definedName>
    <definedName name="HTNC">#REF!</definedName>
    <definedName name="HTS">#REF!</definedName>
    <definedName name="HTU">#REF!</definedName>
    <definedName name="HTVL">#REF!</definedName>
    <definedName name="Hthan">#N/A</definedName>
    <definedName name="HTHH">#REF!</definedName>
    <definedName name="hu" localSheetId="9" hidden="1">{"'Sheet1'!$L$16"}</definedName>
    <definedName name="hu" localSheetId="0" hidden="1">{"'Sheet1'!$L$16"}</definedName>
    <definedName name="hu" localSheetId="10" hidden="1">{"'Sheet1'!$L$16"}</definedName>
    <definedName name="hu" localSheetId="1" hidden="1">{"'Sheet1'!$L$16"}</definedName>
    <definedName name="hu" localSheetId="6" hidden="1">{"'Sheet1'!$L$16"}</definedName>
    <definedName name="hu" localSheetId="5" hidden="1">{"'Sheet1'!$L$16"}</definedName>
    <definedName name="hu" localSheetId="4" hidden="1">{"'Sheet1'!$L$16"}</definedName>
    <definedName name="hu" localSheetId="8" hidden="1">{"'Sheet1'!$L$16"}</definedName>
    <definedName name="hu" localSheetId="7" hidden="1">{"'Sheet1'!$L$16"}</definedName>
    <definedName name="hu" hidden="1">{"'Sheet1'!$L$16"}</definedName>
    <definedName name="hui" localSheetId="9" hidden="1">{"'Sheet1'!$L$16"}</definedName>
    <definedName name="hui" localSheetId="0" hidden="1">{"'Sheet1'!$L$16"}</definedName>
    <definedName name="hui" localSheetId="10" hidden="1">{"'Sheet1'!$L$16"}</definedName>
    <definedName name="hui" localSheetId="1" hidden="1">{"'Sheet1'!$L$16"}</definedName>
    <definedName name="hui" localSheetId="6" hidden="1">{"'Sheet1'!$L$16"}</definedName>
    <definedName name="hui" localSheetId="5" hidden="1">{"'Sheet1'!$L$16"}</definedName>
    <definedName name="hui" localSheetId="4" hidden="1">{"'Sheet1'!$L$16"}</definedName>
    <definedName name="hui" localSheetId="8" hidden="1">{"'Sheet1'!$L$16"}</definedName>
    <definedName name="hui" localSheetId="7" hidden="1">{"'Sheet1'!$L$16"}</definedName>
    <definedName name="hui" hidden="1">{"'Sheet1'!$L$16"}</definedName>
    <definedName name="huong">#REF!</definedName>
    <definedName name="huy" localSheetId="9" hidden="1">{"'Sheet1'!$L$16"}</definedName>
    <definedName name="huy" localSheetId="0" hidden="1">{"'Sheet1'!$L$16"}</definedName>
    <definedName name="huy" localSheetId="10" hidden="1">{"'Sheet1'!$L$16"}</definedName>
    <definedName name="huy" localSheetId="1" hidden="1">{"'Sheet1'!$L$16"}</definedName>
    <definedName name="huy" localSheetId="6" hidden="1">{"'Sheet1'!$L$16"}</definedName>
    <definedName name="huy" localSheetId="5" hidden="1">{"'Sheet1'!$L$16"}</definedName>
    <definedName name="huy" localSheetId="4" hidden="1">{"'Sheet1'!$L$16"}</definedName>
    <definedName name="huy" localSheetId="8" hidden="1">{"'Sheet1'!$L$16"}</definedName>
    <definedName name="huy" localSheetId="7" hidden="1">{"'Sheet1'!$L$16"}</definedName>
    <definedName name="huy" hidden="1">{"'Sheet1'!$L$16"}</definedName>
    <definedName name="huyen" localSheetId="9" hidden="1">{"'Sheet1'!$L$16"}</definedName>
    <definedName name="huyen" localSheetId="0" hidden="1">{"'Sheet1'!$L$16"}</definedName>
    <definedName name="huyen" localSheetId="10" hidden="1">{"'Sheet1'!$L$16"}</definedName>
    <definedName name="huyen" localSheetId="1" hidden="1">{"'Sheet1'!$L$16"}</definedName>
    <definedName name="huyen" localSheetId="6" hidden="1">{"'Sheet1'!$L$16"}</definedName>
    <definedName name="huyen" localSheetId="5" hidden="1">{"'Sheet1'!$L$16"}</definedName>
    <definedName name="huyen" localSheetId="4" hidden="1">{"'Sheet1'!$L$16"}</definedName>
    <definedName name="huyen" localSheetId="8" hidden="1">{"'Sheet1'!$L$16"}</definedName>
    <definedName name="huyen" localSheetId="7" hidden="1">{"'Sheet1'!$L$16"}</definedName>
    <definedName name="huyen" hidden="1">{"'Sheet1'!$L$16"}</definedName>
    <definedName name="huynh">#REF!</definedName>
    <definedName name="HV">#REF!</definedName>
    <definedName name="Hvb">#REF!</definedName>
    <definedName name="HVBC">#REF!</definedName>
    <definedName name="HVC">#REF!</definedName>
    <definedName name="HVL">#REF!</definedName>
    <definedName name="HVP">#REF!</definedName>
    <definedName name="hw">#REF!</definedName>
    <definedName name="hy">#REF!</definedName>
    <definedName name="i">#REF!</definedName>
    <definedName name="I_A">#REF!</definedName>
    <definedName name="I_B">#REF!</definedName>
    <definedName name="I_c">#REF!</definedName>
    <definedName name="I2É6">#REF!</definedName>
    <definedName name="I757.">#REF!</definedName>
    <definedName name="iakhinamconson">#REF!</definedName>
    <definedName name="Ic">#REF!</definedName>
    <definedName name="iCount">3</definedName>
    <definedName name="IDLAB_COST">#REF!</definedName>
    <definedName name="Idm">#REF!</definedName>
    <definedName name="igd">#REF!</definedName>
    <definedName name="igs">#REF!</definedName>
    <definedName name="II_A">#REF!</definedName>
    <definedName name="II_B">#REF!</definedName>
    <definedName name="II_c">#REF!</definedName>
    <definedName name="III_a">#REF!</definedName>
    <definedName name="III_B">#REF!</definedName>
    <definedName name="III_c">#REF!</definedName>
    <definedName name="im.">#REF!</definedName>
    <definedName name="Impact">#REF!</definedName>
    <definedName name="IND_LAB">#REF!</definedName>
    <definedName name="index">#REF!</definedName>
    <definedName name="INDMANP">#REF!</definedName>
    <definedName name="INF">#REF!</definedName>
    <definedName name="InfoDialog">"Dialogfeldrahmen 1"</definedName>
    <definedName name="inputCosti">#REF!</definedName>
    <definedName name="inputLf">#REF!</definedName>
    <definedName name="inputWTP">#REF!</definedName>
    <definedName name="INT">#REF!</definedName>
    <definedName name="Interim">#REF!</definedName>
    <definedName name="Interim1">#REF!</definedName>
    <definedName name="InteriorWork">#REF!</definedName>
    <definedName name="IO">#REF!</definedName>
    <definedName name="Ip">#REF!</definedName>
    <definedName name="IPX">#REF!</definedName>
    <definedName name="IPY">#REF!</definedName>
    <definedName name="IWTP">#REF!</definedName>
    <definedName name="IX">#REF!</definedName>
    <definedName name="IY">#REF!</definedName>
    <definedName name="j">#REF!</definedName>
    <definedName name="J.O">#REF!</definedName>
    <definedName name="J.O_GT">#REF!</definedName>
    <definedName name="j356C8">#REF!</definedName>
    <definedName name="JGFK" localSheetId="9" hidden="1">{"'Sheet1'!$L$16"}</definedName>
    <definedName name="JGFK" localSheetId="0" hidden="1">{"'Sheet1'!$L$16"}</definedName>
    <definedName name="JGFK" localSheetId="10" hidden="1">{"'Sheet1'!$L$16"}</definedName>
    <definedName name="JGFK" localSheetId="1" hidden="1">{"'Sheet1'!$L$16"}</definedName>
    <definedName name="JGFK" localSheetId="6" hidden="1">{"'Sheet1'!$L$16"}</definedName>
    <definedName name="JGFK" localSheetId="5" hidden="1">{"'Sheet1'!$L$16"}</definedName>
    <definedName name="JGFK" localSheetId="4" hidden="1">{"'Sheet1'!$L$16"}</definedName>
    <definedName name="JGFK" localSheetId="8" hidden="1">{"'Sheet1'!$L$16"}</definedName>
    <definedName name="JGFK" localSheetId="7" hidden="1">{"'Sheet1'!$L$16"}</definedName>
    <definedName name="JGFK" hidden="1">{"'Sheet1'!$L$16"}</definedName>
    <definedName name="jidi1">#REF!</definedName>
    <definedName name="jj">#REF!</definedName>
    <definedName name="jkjk">#REF!</definedName>
    <definedName name="JPYVND1">#REF!</definedName>
    <definedName name="JPYVND2">#REF!</definedName>
    <definedName name="k">#REF!</definedName>
    <definedName name="K_1" localSheetId="0">#REF!</definedName>
    <definedName name="K_1" localSheetId="10">#REF!</definedName>
    <definedName name="K_1" localSheetId="1">#REF!</definedName>
    <definedName name="K_1" localSheetId="6">#REF!</definedName>
    <definedName name="K_1" localSheetId="5">#REF!</definedName>
    <definedName name="K_1" localSheetId="4">#REF!</definedName>
    <definedName name="K_1" localSheetId="7">#REF!</definedName>
    <definedName name="K_1">#REF!</definedName>
    <definedName name="K_2" localSheetId="0">#REF!</definedName>
    <definedName name="K_2" localSheetId="10">#REF!</definedName>
    <definedName name="K_2" localSheetId="1">#REF!</definedName>
    <definedName name="K_2" localSheetId="6">#REF!</definedName>
    <definedName name="K_2" localSheetId="5">#REF!</definedName>
    <definedName name="K_2" localSheetId="4">#REF!</definedName>
    <definedName name="K_2" localSheetId="7">#REF!</definedName>
    <definedName name="K_2">#REF!</definedName>
    <definedName name="K_L">#REF!</definedName>
    <definedName name="K0.001">#REF!</definedName>
    <definedName name="K0.011">#REF!</definedName>
    <definedName name="K0.101">#REF!</definedName>
    <definedName name="K0.111">#REF!</definedName>
    <definedName name="K0.201">#REF!</definedName>
    <definedName name="K0.211">#REF!</definedName>
    <definedName name="K0.301">#REF!</definedName>
    <definedName name="K0.311">#REF!</definedName>
    <definedName name="K0.400">#REF!</definedName>
    <definedName name="K0.410">#REF!</definedName>
    <definedName name="K0.501">#REF!</definedName>
    <definedName name="K0.511">#REF!</definedName>
    <definedName name="K0.61">#REF!</definedName>
    <definedName name="K0.71">#REF!</definedName>
    <definedName name="K1.001">#REF!</definedName>
    <definedName name="K1.021">#REF!</definedName>
    <definedName name="K1.041">#REF!</definedName>
    <definedName name="K1.121">#REF!</definedName>
    <definedName name="K1.201">#REF!</definedName>
    <definedName name="K1.211">#REF!</definedName>
    <definedName name="K1.221">#REF!</definedName>
    <definedName name="K1.301">#REF!</definedName>
    <definedName name="K1.321">#REF!</definedName>
    <definedName name="K1.331">#REF!</definedName>
    <definedName name="K1.341">#REF!</definedName>
    <definedName name="K1.401">#REF!</definedName>
    <definedName name="K1.411">#REF!</definedName>
    <definedName name="K1.421">#REF!</definedName>
    <definedName name="K1.431">#REF!</definedName>
    <definedName name="K1.441">#REF!</definedName>
    <definedName name="k14s">#REF!</definedName>
    <definedName name="K2.001">#REF!</definedName>
    <definedName name="K2.011">#REF!</definedName>
    <definedName name="K2.021">#REF!</definedName>
    <definedName name="K2.031">#REF!</definedName>
    <definedName name="K2.041">#REF!</definedName>
    <definedName name="K2.101">#REF!</definedName>
    <definedName name="K2.111">#REF!</definedName>
    <definedName name="K2.121">#REF!</definedName>
    <definedName name="K2.131">#REF!</definedName>
    <definedName name="K2.141">#REF!</definedName>
    <definedName name="K2.201">#REF!</definedName>
    <definedName name="K2.211">#REF!</definedName>
    <definedName name="K2.221">#REF!</definedName>
    <definedName name="K2.231">#REF!</definedName>
    <definedName name="K2.241">#REF!</definedName>
    <definedName name="K2.301">#REF!</definedName>
    <definedName name="K2.321">#REF!</definedName>
    <definedName name="K2.341">#REF!</definedName>
    <definedName name="K2.400">#REF!</definedName>
    <definedName name="K2.420">#REF!</definedName>
    <definedName name="K2.440">#REF!</definedName>
    <definedName name="K2.500">#REF!</definedName>
    <definedName name="K2.520">#REF!</definedName>
    <definedName name="K2.540">#REF!</definedName>
    <definedName name="k2b">#REF!</definedName>
    <definedName name="K3.210">#REF!</definedName>
    <definedName name="K3.220">#REF!</definedName>
    <definedName name="K3.230">#REF!</definedName>
    <definedName name="K3.310">#REF!</definedName>
    <definedName name="K3.320">#REF!</definedName>
    <definedName name="K3.330">#REF!</definedName>
    <definedName name="K3.410">#REF!</definedName>
    <definedName name="K3.430">#REF!</definedName>
    <definedName name="K3.450">#REF!</definedName>
    <definedName name="K4.010">#REF!</definedName>
    <definedName name="K4.020">#REF!</definedName>
    <definedName name="K4.110">#REF!</definedName>
    <definedName name="K4.120">#REF!</definedName>
    <definedName name="K4.210">#REF!</definedName>
    <definedName name="K4.220">#REF!</definedName>
    <definedName name="K4.230">#REF!</definedName>
    <definedName name="K4.240">#REF!</definedName>
    <definedName name="Ka">#REF!</definedName>
    <definedName name="KB">#N/A</definedName>
    <definedName name="Kc">#REF!</definedName>
    <definedName name="kcong">#REF!</definedName>
    <definedName name="KcTieuChuan">#REF!</definedName>
    <definedName name="Kd">#REF!</definedName>
    <definedName name="kdien">#REF!</definedName>
    <definedName name="KE_HOACH_VON_PHU_THU">#REF!</definedName>
    <definedName name="Kf">#REF!</definedName>
    <definedName name="Kg_">#REF!</definedName>
    <definedName name="KgBM">#REF!</definedName>
    <definedName name="Kgcot">#REF!</definedName>
    <definedName name="KgCTd4">#REF!</definedName>
    <definedName name="KgCTt4">#REF!</definedName>
    <definedName name="Kgdamd4">#REF!</definedName>
    <definedName name="Kgdamt4">#REF!</definedName>
    <definedName name="Kgmong">#REF!</definedName>
    <definedName name="KgNXOLdk">#REF!</definedName>
    <definedName name="Kgsan">#REF!</definedName>
    <definedName name="kich250">#REF!</definedName>
    <definedName name="kich500">#REF!</definedName>
    <definedName name="kiem">#REF!</definedName>
    <definedName name="Kiem_tra_trung_ten">#REF!</definedName>
    <definedName name="KINH_PHI_DEN_BU">#REF!</definedName>
    <definedName name="KINH_PHI_DZ0.4KV">#REF!</definedName>
    <definedName name="KINH_PHI_DZ22KV">#REF!</definedName>
    <definedName name="KINH_PHI_KHAO_SAT__LAP_BCNCKT__TKKTTC">#REF!</definedName>
    <definedName name="KINH_PHI_KHO_BAI">#REF!</definedName>
    <definedName name="KINH_PHI_TBA">#REF!</definedName>
    <definedName name="kk">#REF!</definedName>
    <definedName name="kkkk">#REF!</definedName>
    <definedName name="KKTHO">#REF!</definedName>
    <definedName name="kl">#REF!</definedName>
    <definedName name="KL_C">#REF!</definedName>
    <definedName name="kl_ME">#REF!</definedName>
    <definedName name="KLAM">#REF!</definedName>
    <definedName name="KLC">#REF!</definedName>
    <definedName name="kldd1p">#REF!</definedName>
    <definedName name="kldd3p">#REF!</definedName>
    <definedName name="KLDV">#REF!</definedName>
    <definedName name="KLGT1">#REF!</definedName>
    <definedName name="KLGT2">#REF!</definedName>
    <definedName name="KLGT3">#REF!</definedName>
    <definedName name="KLTHDN">#REF!</definedName>
    <definedName name="kltho">#REF!</definedName>
    <definedName name="KLVANKHUON">#REF!</definedName>
    <definedName name="KLVLD">#REF!</definedName>
    <definedName name="KLVLD1">#REF!</definedName>
    <definedName name="kmong">#REF!</definedName>
    <definedName name="kn">#REF!</definedName>
    <definedName name="kno">#REF!</definedName>
    <definedName name="kp1ph">#REF!</definedName>
    <definedName name="kplong">#REF!</definedName>
    <definedName name="kq">#REF!</definedName>
    <definedName name="KS">#REF!</definedName>
    <definedName name="KS_1">#REF!</definedName>
    <definedName name="KS_2">#REF!</definedName>
    <definedName name="ksbn" localSheetId="9" hidden="1">{"'Sheet1'!$L$16"}</definedName>
    <definedName name="ksbn" localSheetId="0" hidden="1">{"'Sheet1'!$L$16"}</definedName>
    <definedName name="ksbn" localSheetId="10" hidden="1">{"'Sheet1'!$L$16"}</definedName>
    <definedName name="ksbn" localSheetId="1" hidden="1">{"'Sheet1'!$L$16"}</definedName>
    <definedName name="ksbn" localSheetId="6" hidden="1">{"'Sheet1'!$L$16"}</definedName>
    <definedName name="ksbn" localSheetId="5" hidden="1">{"'Sheet1'!$L$16"}</definedName>
    <definedName name="ksbn" localSheetId="4" hidden="1">{"'Sheet1'!$L$16"}</definedName>
    <definedName name="ksbn" localSheetId="8" hidden="1">{"'Sheet1'!$L$16"}</definedName>
    <definedName name="ksbn" localSheetId="7" hidden="1">{"'Sheet1'!$L$16"}</definedName>
    <definedName name="ksbn" hidden="1">{"'Sheet1'!$L$16"}</definedName>
    <definedName name="KSDA" localSheetId="9" hidden="1">{"'Sheet1'!$L$16"}</definedName>
    <definedName name="KSDA" localSheetId="0" hidden="1">{"'Sheet1'!$L$16"}</definedName>
    <definedName name="KSDA" localSheetId="10" hidden="1">{"'Sheet1'!$L$16"}</definedName>
    <definedName name="KSDA" localSheetId="1" hidden="1">{"'Sheet1'!$L$16"}</definedName>
    <definedName name="KSDA" localSheetId="6" hidden="1">{"'Sheet1'!$L$16"}</definedName>
    <definedName name="KSDA" localSheetId="5" hidden="1">{"'Sheet1'!$L$16"}</definedName>
    <definedName name="KSDA" localSheetId="4" hidden="1">{"'Sheet1'!$L$16"}</definedName>
    <definedName name="KSDA" localSheetId="8" hidden="1">{"'Sheet1'!$L$16"}</definedName>
    <definedName name="KSDA" localSheetId="7" hidden="1">{"'Sheet1'!$L$16"}</definedName>
    <definedName name="KSDA" hidden="1">{"'Sheet1'!$L$16"}</definedName>
    <definedName name="kshn" localSheetId="9" hidden="1">{"'Sheet1'!$L$16"}</definedName>
    <definedName name="kshn" localSheetId="0" hidden="1">{"'Sheet1'!$L$16"}</definedName>
    <definedName name="kshn" localSheetId="10" hidden="1">{"'Sheet1'!$L$16"}</definedName>
    <definedName name="kshn" localSheetId="1" hidden="1">{"'Sheet1'!$L$16"}</definedName>
    <definedName name="kshn" localSheetId="6" hidden="1">{"'Sheet1'!$L$16"}</definedName>
    <definedName name="kshn" localSheetId="5" hidden="1">{"'Sheet1'!$L$16"}</definedName>
    <definedName name="kshn" localSheetId="4" hidden="1">{"'Sheet1'!$L$16"}</definedName>
    <definedName name="kshn" localSheetId="8" hidden="1">{"'Sheet1'!$L$16"}</definedName>
    <definedName name="kshn" localSheetId="7" hidden="1">{"'Sheet1'!$L$16"}</definedName>
    <definedName name="kshn" hidden="1">{"'Sheet1'!$L$16"}</definedName>
    <definedName name="ksls" localSheetId="9" hidden="1">{"'Sheet1'!$L$16"}</definedName>
    <definedName name="ksls" localSheetId="0" hidden="1">{"'Sheet1'!$L$16"}</definedName>
    <definedName name="ksls" localSheetId="10" hidden="1">{"'Sheet1'!$L$16"}</definedName>
    <definedName name="ksls" localSheetId="1" hidden="1">{"'Sheet1'!$L$16"}</definedName>
    <definedName name="ksls" localSheetId="6" hidden="1">{"'Sheet1'!$L$16"}</definedName>
    <definedName name="ksls" localSheetId="5" hidden="1">{"'Sheet1'!$L$16"}</definedName>
    <definedName name="ksls" localSheetId="4" hidden="1">{"'Sheet1'!$L$16"}</definedName>
    <definedName name="ksls" localSheetId="8" hidden="1">{"'Sheet1'!$L$16"}</definedName>
    <definedName name="ksls" localSheetId="7" hidden="1">{"'Sheet1'!$L$16"}</definedName>
    <definedName name="ksls" hidden="1">{"'Sheet1'!$L$16"}</definedName>
    <definedName name="KSTK">#REF!</definedName>
    <definedName name="Kte">#REF!</definedName>
    <definedName name="KTTRAMD1">#REF!</definedName>
    <definedName name="KTHD">#REF!</definedName>
    <definedName name="KtraXau">#REF!</definedName>
    <definedName name="KVC">#REF!</definedName>
    <definedName name="Ký_nép">#REF!</definedName>
    <definedName name="KH">#REF!</definedName>
    <definedName name="Kh_6t_1">#REF!</definedName>
    <definedName name="Kh_6t_10">#REF!</definedName>
    <definedName name="Kh_6t_11">#REF!</definedName>
    <definedName name="Kh_6t_12">#REF!</definedName>
    <definedName name="Kh_6t_17">#REF!</definedName>
    <definedName name="Kh_6t_19">#REF!</definedName>
    <definedName name="Kh_6t_2">#REF!</definedName>
    <definedName name="Kh_6t_3">#REF!</definedName>
    <definedName name="Kh_6t_4">#REF!</definedName>
    <definedName name="Kh_6t_5">#REF!</definedName>
    <definedName name="Kh_6t_6">#REF!</definedName>
    <definedName name="Kh_6t_7">#REF!</definedName>
    <definedName name="Kh_6t_8">#REF!</definedName>
    <definedName name="Kh_6t_9">#REF!</definedName>
    <definedName name="KH_Chang">#REF!</definedName>
    <definedName name="Kh_q3_1">#REF!</definedName>
    <definedName name="Kh_q3_10">#REF!</definedName>
    <definedName name="Kh_q3_11">#REF!</definedName>
    <definedName name="Kh_q3_12">#REF!</definedName>
    <definedName name="Kh_q3_17">#REF!</definedName>
    <definedName name="Kh_q3_19">#REF!</definedName>
    <definedName name="Kh_q3_2">#REF!</definedName>
    <definedName name="Kh_q3_3">#REF!</definedName>
    <definedName name="Kh_q3_4">#REF!</definedName>
    <definedName name="Kh_q3_5">#REF!</definedName>
    <definedName name="Kh_q3_6">#REF!</definedName>
    <definedName name="Kh_q3_7">#REF!</definedName>
    <definedName name="Kh_q3_8">#REF!</definedName>
    <definedName name="Kh_q3_9">#REF!</definedName>
    <definedName name="kh3.0">#REF!</definedName>
    <definedName name="khac">2</definedName>
    <definedName name="khanang">#REF!</definedName>
    <definedName name="khi">#REF!</definedName>
    <definedName name="khidot">#REF!</definedName>
    <definedName name="khoa">#REF!</definedName>
    <definedName name="khoan">#REF!</definedName>
    <definedName name="khoanloBT">#REF!</definedName>
    <definedName name="khoannhoi">#REF!</definedName>
    <definedName name="Khocau">#REF!</definedName>
    <definedName name="KHOI_LUONG_DAT_DAO_DAP">#REF!</definedName>
    <definedName name="KHOILUONGTL">#REF!</definedName>
    <definedName name="khong">#REF!</definedName>
    <definedName name="khongtruotgia" localSheetId="9" hidden="1">{"'Sheet1'!$L$16"}</definedName>
    <definedName name="khongtruotgia" localSheetId="0" hidden="1">{"'Sheet1'!$L$16"}</definedName>
    <definedName name="khongtruotgia" localSheetId="10" hidden="1">{"'Sheet1'!$L$16"}</definedName>
    <definedName name="khongtruotgia" localSheetId="1" hidden="1">{"'Sheet1'!$L$16"}</definedName>
    <definedName name="khongtruotgia" localSheetId="6" hidden="1">{"'Sheet1'!$L$16"}</definedName>
    <definedName name="khongtruotgia" localSheetId="5" hidden="1">{"'Sheet1'!$L$16"}</definedName>
    <definedName name="khongtruotgia" localSheetId="4" hidden="1">{"'Sheet1'!$L$16"}</definedName>
    <definedName name="khongtruotgia" localSheetId="8" hidden="1">{"'Sheet1'!$L$16"}</definedName>
    <definedName name="khongtruotgia" localSheetId="7" hidden="1">{"'Sheet1'!$L$16"}</definedName>
    <definedName name="khongtruotgia" hidden="1">{"'Sheet1'!$L$16"}</definedName>
    <definedName name="KhuyenmaiUPS">"AutoShape 264"</definedName>
    <definedName name="L">#REF!</definedName>
    <definedName name="L_">#REF!</definedName>
    <definedName name="L_1">#REF!</definedName>
    <definedName name="L_2">#REF!</definedName>
    <definedName name="L_mong">#REF!</definedName>
    <definedName name="L63x6">5800</definedName>
    <definedName name="la">#REF!</definedName>
    <definedName name="laj">#REF!</definedName>
    <definedName name="Lam_phat">#REF!</definedName>
    <definedName name="LAMTUBE">#REF!</definedName>
    <definedName name="Lan" localSheetId="9">{"Thuxm2.xls","Sheet1"}</definedName>
    <definedName name="Lan" localSheetId="0">{"Thuxm2.xls","Sheet1"}</definedName>
    <definedName name="Lan" localSheetId="10">{"Thuxm2.xls","Sheet1"}</definedName>
    <definedName name="Lan" localSheetId="1">{"Thuxm2.xls","Sheet1"}</definedName>
    <definedName name="Lan" localSheetId="6">{"Thuxm2.xls","Sheet1"}</definedName>
    <definedName name="Lan" localSheetId="5">{"Thuxm2.xls","Sheet1"}</definedName>
    <definedName name="Lan" localSheetId="4">{"Thuxm2.xls","Sheet1"}</definedName>
    <definedName name="Lan" localSheetId="8">{"Thuxm2.xls","Sheet1"}</definedName>
    <definedName name="Lan" localSheetId="7">{"Thuxm2.xls","Sheet1"}</definedName>
    <definedName name="Lan">{"Thuxm2.xls","Sheet1"}</definedName>
    <definedName name="Land">#REF!</definedName>
    <definedName name="LANDIMP">#REF!</definedName>
    <definedName name="LANDREV">#REF!</definedName>
    <definedName name="langson" localSheetId="9" hidden="1">{"'Sheet1'!$L$16"}</definedName>
    <definedName name="langson" localSheetId="0" hidden="1">{"'Sheet1'!$L$16"}</definedName>
    <definedName name="langson" localSheetId="10" hidden="1">{"'Sheet1'!$L$16"}</definedName>
    <definedName name="langson" localSheetId="1" hidden="1">{"'Sheet1'!$L$16"}</definedName>
    <definedName name="langson" localSheetId="6" hidden="1">{"'Sheet1'!$L$16"}</definedName>
    <definedName name="langson" localSheetId="5" hidden="1">{"'Sheet1'!$L$16"}</definedName>
    <definedName name="langson" localSheetId="4" hidden="1">{"'Sheet1'!$L$16"}</definedName>
    <definedName name="langson" localSheetId="8" hidden="1">{"'Sheet1'!$L$16"}</definedName>
    <definedName name="langson" localSheetId="7" hidden="1">{"'Sheet1'!$L$16"}</definedName>
    <definedName name="langson" hidden="1">{"'Sheet1'!$L$16"}</definedName>
    <definedName name="lanh_bq">#REF!</definedName>
    <definedName name="lanh_bv">#REF!</definedName>
    <definedName name="lanh_ck">#REF!</definedName>
    <definedName name="lanh_d1">#REF!</definedName>
    <definedName name="lanh_d2">#REF!</definedName>
    <definedName name="lanh_d3">#REF!</definedName>
    <definedName name="lanh_dl">#REF!</definedName>
    <definedName name="lanh_kcs">#REF!</definedName>
    <definedName name="lanh_nb">#REF!</definedName>
    <definedName name="lanh_nv">#REF!</definedName>
    <definedName name="lanh_ngio">#REF!</definedName>
    <definedName name="lanh_t3">#REF!</definedName>
    <definedName name="lanh_t4">#REF!</definedName>
    <definedName name="lanh_t5">#REF!</definedName>
    <definedName name="lanh_t6">#REF!</definedName>
    <definedName name="lanh_tc">#REF!</definedName>
    <definedName name="lanh_tm">#REF!</definedName>
    <definedName name="lanh_vs">#REF!</definedName>
    <definedName name="lanh_xh">#REF!</definedName>
    <definedName name="LAP_DAT_TBA">#REF!</definedName>
    <definedName name="Lap_dat_td">#REF!</definedName>
    <definedName name="lapa">#REF!</definedName>
    <definedName name="lapb">#REF!</definedName>
    <definedName name="lapc">#REF!</definedName>
    <definedName name="Lapco">#REF!</definedName>
    <definedName name="Lapdien">#REF!</definedName>
    <definedName name="LapDungDam">#REF!</definedName>
    <definedName name="lapgheptayvin">#REF!</definedName>
    <definedName name="LargerSpan">IF(#REF!&gt;#REF!,#REF!,#REF!)</definedName>
    <definedName name="lasss">#REF!</definedName>
    <definedName name="Lb">#REF!</definedName>
    <definedName name="lb1.">#REF!</definedName>
    <definedName name="lb2.">#REF!</definedName>
    <definedName name="lbcnckt" localSheetId="0">#REF!</definedName>
    <definedName name="lbcnckt" localSheetId="10">#REF!</definedName>
    <definedName name="lbcnckt" localSheetId="1">#REF!</definedName>
    <definedName name="lbcnckt" localSheetId="6">#REF!</definedName>
    <definedName name="lbcnckt" localSheetId="5">#REF!</definedName>
    <definedName name="lbcnckt" localSheetId="4">#REF!</definedName>
    <definedName name="lbcnckt" localSheetId="7">#REF!</definedName>
    <definedName name="lbcnckt">#REF!</definedName>
    <definedName name="Lbe">#REF!</definedName>
    <definedName name="LBS_22">107800000</definedName>
    <definedName name="lc">#REF!</definedName>
    <definedName name="LC_TOTAL">#REF!</definedName>
    <definedName name="LC5_total">#REF!</definedName>
    <definedName name="LC6_total">#REF!</definedName>
    <definedName name="Lcanh">#REF!</definedName>
    <definedName name="LCB">#REF!</definedName>
    <definedName name="lcb_bq">#REF!</definedName>
    <definedName name="lcb_bv">#REF!</definedName>
    <definedName name="lcb_ck">#REF!</definedName>
    <definedName name="lcb_d1">#REF!</definedName>
    <definedName name="lcb_d2">#REF!</definedName>
    <definedName name="lcb_d3">#REF!</definedName>
    <definedName name="lcb_dl">#REF!</definedName>
    <definedName name="lcb_kcs">#REF!</definedName>
    <definedName name="lcb_nb">#REF!</definedName>
    <definedName name="lcb_nv">#REF!</definedName>
    <definedName name="lcb_ngio">#REF!</definedName>
    <definedName name="lcb_t3">#REF!</definedName>
    <definedName name="lcb_t4">#REF!</definedName>
    <definedName name="lcb_t5">#REF!</definedName>
    <definedName name="lcb_t6">#REF!</definedName>
    <definedName name="lcb_tc">#REF!</definedName>
    <definedName name="lcb_tm">#REF!</definedName>
    <definedName name="lcb_vs">#REF!</definedName>
    <definedName name="lcb_xh">#REF!</definedName>
    <definedName name="lcc">#REF!</definedName>
    <definedName name="LCN">#REF!</definedName>
    <definedName name="ld">#REF!</definedName>
    <definedName name="Ldinh">#N/A</definedName>
    <definedName name="le_bq">#REF!</definedName>
    <definedName name="le_bv">#REF!</definedName>
    <definedName name="le_ck">#REF!</definedName>
    <definedName name="le_d1">#REF!</definedName>
    <definedName name="le_d2">#REF!</definedName>
    <definedName name="le_d3">#REF!</definedName>
    <definedName name="le_dl">#REF!</definedName>
    <definedName name="le_kcs">#REF!</definedName>
    <definedName name="le_nb">#REF!</definedName>
    <definedName name="le_nv">#REF!</definedName>
    <definedName name="le_ngio">#REF!</definedName>
    <definedName name="le_t3">#REF!</definedName>
    <definedName name="le_t4">#REF!</definedName>
    <definedName name="le_t5">#REF!</definedName>
    <definedName name="le_t6">#REF!</definedName>
    <definedName name="le_tc">#REF!</definedName>
    <definedName name="le_tm">#REF!</definedName>
    <definedName name="le_vs">#REF!</definedName>
    <definedName name="le_xh">#REF!</definedName>
    <definedName name="Lf">#REF!</definedName>
    <definedName name="LFX">#REF!</definedName>
    <definedName name="LFY">#REF!</definedName>
    <definedName name="Lgoi">#REF!</definedName>
    <definedName name="LH">#REF!</definedName>
    <definedName name="LHD">#REF!</definedName>
    <definedName name="LHDS">#REF!</definedName>
    <definedName name="LHS">#REF!</definedName>
    <definedName name="LI">#REF!</definedName>
    <definedName name="LIET_KE_VI_TRI_DZ0.4KV">#REF!</definedName>
    <definedName name="LIET_KE_VI_TRI_DZ22KV">#REF!</definedName>
    <definedName name="Line1">#REF!</definedName>
    <definedName name="Line2">#REF!</definedName>
    <definedName name="Line3">#REF!</definedName>
    <definedName name="Linhvuc">#REF!</definedName>
    <definedName name="list">#REF!</definedName>
    <definedName name="ListCompanyCode">#REF!</definedName>
    <definedName name="ListDivision">#REF!</definedName>
    <definedName name="ListDVT">#REF!</definedName>
    <definedName name="ListMRP">#REF!</definedName>
    <definedName name="ListSalesOrg">#REF!</definedName>
    <definedName name="ListValuationClass">#REF!</definedName>
    <definedName name="lj">#REF!</definedName>
    <definedName name="LK_hathe">#REF!</definedName>
    <definedName name="lkjjjjjj">#REF!</definedName>
    <definedName name="LL">#REF!</definedName>
    <definedName name="LLD">#REF!</definedName>
    <definedName name="LLDS">#REF!</definedName>
    <definedName name="LLS">#REF!</definedName>
    <definedName name="LM">#REF!</definedName>
    <definedName name="Lmk">#REF!</definedName>
    <definedName name="Lmong">#N/A</definedName>
    <definedName name="ln">#REF!</definedName>
    <definedName name="Lnsc">#REF!</definedName>
    <definedName name="lntt">#REF!</definedName>
    <definedName name="lnhuan">#REF!</definedName>
    <definedName name="Lo">#REF!</definedName>
    <definedName name="LOAI_DUONG">#REF!</definedName>
    <definedName name="Loai_TD">#REF!</definedName>
    <definedName name="Loaiday">#REF!</definedName>
    <definedName name="loaiduong">#REF!</definedName>
    <definedName name="loak">#REF!</definedName>
    <definedName name="LOCATION">#REF!</definedName>
    <definedName name="lon">#REF!</definedName>
    <definedName name="lón2">#REF!</definedName>
    <definedName name="lón3">#REF!</definedName>
    <definedName name="lón5">#REF!</definedName>
    <definedName name="lonthoi">#REF!</definedName>
    <definedName name="LOP1.7" localSheetId="9">IF(LEFT(#REF!,2)="NG",#REF!&amp;_MongCotNeo&amp;IF(#REF!&gt;12,"a",""),IF(LEFT(#REF!,3)="NCD","2MT-4",VLOOKUP(#REF!,_Mong,MATCH(#REF!,KcTieuChuan,0)+1,0)))</definedName>
    <definedName name="LOP1.7" localSheetId="0">IF(LEFT(#REF!,2)="NG",#REF!&amp;_MongCotNeo&amp;IF(#REF!&gt;12,"a",""),IF(LEFT(#REF!,3)="NCD","2MT-4",VLOOKUP(#REF!,_Mong,MATCH(#REF!,KcTieuChuan,0)+1,0)))</definedName>
    <definedName name="LOP1.7" localSheetId="10">IF(LEFT(#REF!,2)="NG",#REF!&amp;[0]!_MongCotNeo&amp;IF(#REF!&gt;12,"a",""),IF(LEFT(#REF!,3)="NCD","2MT-4",VLOOKUP(#REF!,[0]!_Mong,MATCH(#REF!,[0]!KcTieuChuan,0)+1,0)))</definedName>
    <definedName name="LOP1.7" localSheetId="1">IF(LEFT(#REF!,2)="NG",#REF!&amp;[0]!_MongCotNeo&amp;IF(#REF!&gt;12,"a",""),IF(LEFT(#REF!,3)="NCD","2MT-4",VLOOKUP(#REF!,[0]!_Mong,MATCH(#REF!,[0]!KcTieuChuan,0)+1,0)))</definedName>
    <definedName name="LOP1.7" localSheetId="6">IF(LEFT(#REF!,2)="NG",#REF!&amp;[0]!_MongCotNeo&amp;IF(#REF!&gt;12,"a",""),IF(LEFT(#REF!,3)="NCD","2MT-4",VLOOKUP(#REF!,[0]!_Mong,MATCH(#REF!,[0]!KcTieuChuan,0)+1,0)))</definedName>
    <definedName name="LOP1.7" localSheetId="5">IF(LEFT(#REF!,2)="NG",#REF!&amp;[0]!_MongCotNeo&amp;IF(#REF!&gt;12,"a",""),IF(LEFT(#REF!,3)="NCD","2MT-4",VLOOKUP(#REF!,[0]!_Mong,MATCH(#REF!,[0]!KcTieuChuan,0)+1,0)))</definedName>
    <definedName name="LOP1.7" localSheetId="4">IF(LEFT(#REF!,2)="NG",#REF!&amp;[0]!_MongCotNeo&amp;IF(#REF!&gt;12,"a",""),IF(LEFT(#REF!,3)="NCD","2MT-4",VLOOKUP(#REF!,[0]!_Mong,MATCH(#REF!,[0]!KcTieuChuan,0)+1,0)))</definedName>
    <definedName name="LOP1.7" localSheetId="8">IF(LEFT(#REF!,2)="NG",#REF!&amp;_MongCotNeo&amp;IF(#REF!&gt;12,"a",""),IF(LEFT(#REF!,3)="NCD","2MT-4",VLOOKUP(#REF!,_Mong,MATCH(#REF!,KcTieuChuan,0)+1,0)))</definedName>
    <definedName name="LOP1.7" localSheetId="7">IF(LEFT(#REF!,2)="NG",#REF!&amp;[0]!_MongCotNeo&amp;IF(#REF!&gt;12,"a",""),IF(LEFT(#REF!,3)="NCD","2MT-4",VLOOKUP(#REF!,[0]!_Mong,MATCH(#REF!,[0]!KcTieuChuan,0)+1,0)))</definedName>
    <definedName name="LOP1.7">IF(LEFT(#REF!,2)="NG",#REF!&amp;_MongCotNeo&amp;IF(#REF!&gt;12,"a",""),IF(LEFT(#REF!,3)="NCD","2MT-4",VLOOKUP(#REF!,_Mong,MATCH(#REF!,KcTieuChuan,0)+1,0)))</definedName>
    <definedName name="LOSS">#REF!</definedName>
    <definedName name="Lp">#REF!</definedName>
    <definedName name="LRAP">#REF!</definedName>
    <definedName name="LRMC">#REF!</definedName>
    <definedName name="ls">#REF!</definedName>
    <definedName name="lsbn">#REF!</definedName>
    <definedName name="lset">#REF!</definedName>
    <definedName name="lsp">#REF!</definedName>
    <definedName name="lsr">#REF!</definedName>
    <definedName name="lss">#REF!</definedName>
    <definedName name="lst">#REF!</definedName>
    <definedName name="lt">#REF!</definedName>
    <definedName name="lt1.">#REF!</definedName>
    <definedName name="lt2.">#REF!</definedName>
    <definedName name="Ltai">#REF!</definedName>
    <definedName name="ltbngoc">#REF!</definedName>
    <definedName name="Ltt">#REF!</definedName>
    <definedName name="Lthan">#N/A</definedName>
    <definedName name="ltre">#REF!</definedName>
    <definedName name="Luanthanh">#REF!</definedName>
    <definedName name="lulop16">#REF!</definedName>
    <definedName name="luoithephan">#REF!</definedName>
    <definedName name="luoncap">#REF!</definedName>
    <definedName name="luong8">#REF!</definedName>
    <definedName name="lurung16">#REF!</definedName>
    <definedName name="luthep10">#REF!</definedName>
    <definedName name="Luyen">#REF!</definedName>
    <definedName name="lv">#REF!</definedName>
    <definedName name="lv.">#REF!</definedName>
    <definedName name="lv..">#REF!</definedName>
    <definedName name="lVC">#REF!</definedName>
    <definedName name="lvr">#REF!</definedName>
    <definedName name="lvr.">#REF!</definedName>
    <definedName name="lvr..">#REF!</definedName>
    <definedName name="lxenang">#REF!</definedName>
    <definedName name="Ly">#REF!</definedName>
    <definedName name="M">#REF!</definedName>
    <definedName name="m_">#REF!</definedName>
    <definedName name="M_1">#REF!</definedName>
    <definedName name="M_2">#REF!</definedName>
    <definedName name="m_3">#REF!</definedName>
    <definedName name="m_4">#REF!</definedName>
    <definedName name="M0.4">#REF!</definedName>
    <definedName name="m1_">#REF!</definedName>
    <definedName name="m100_">#REF!</definedName>
    <definedName name="m102bnnc">#REF!</definedName>
    <definedName name="m102bnvl">#REF!</definedName>
    <definedName name="m10aamtc">#REF!</definedName>
    <definedName name="m10aanc">#REF!</definedName>
    <definedName name="M10aavc">#REF!</definedName>
    <definedName name="m10aavl">#REF!</definedName>
    <definedName name="m10anc">#REF!</definedName>
    <definedName name="m10avl">#REF!</definedName>
    <definedName name="m10banc">#REF!</definedName>
    <definedName name="m10bavl">#REF!</definedName>
    <definedName name="m122bnnc">#REF!</definedName>
    <definedName name="m122bnvl">#REF!</definedName>
    <definedName name="m12aanc">#REF!</definedName>
    <definedName name="m12aavl">#REF!</definedName>
    <definedName name="m12anc">#REF!</definedName>
    <definedName name="m12avl">#REF!</definedName>
    <definedName name="M12ba3p">#REF!</definedName>
    <definedName name="m12banc">#REF!</definedName>
    <definedName name="m12bavl">#REF!</definedName>
    <definedName name="M12bb1p">#REF!</definedName>
    <definedName name="m12bbnc">#REF!</definedName>
    <definedName name="m12bbvl">#REF!</definedName>
    <definedName name="M12bnnc">#REF!</definedName>
    <definedName name="M12bnvl">#REF!</definedName>
    <definedName name="M12cbnc">#REF!</definedName>
    <definedName name="M12cbvl">#REF!</definedName>
    <definedName name="m142bnnc">#REF!</definedName>
    <definedName name="m142bnvl">#REF!</definedName>
    <definedName name="M14bb1p">#REF!</definedName>
    <definedName name="m14bbnc">#REF!</definedName>
    <definedName name="M14bbvc">#REF!</definedName>
    <definedName name="m14bbvl">#REF!</definedName>
    <definedName name="m150_">#REF!</definedName>
    <definedName name="M150M">#REF!</definedName>
    <definedName name="M150T">#REF!</definedName>
    <definedName name="M8a">#REF!</definedName>
    <definedName name="M8aa">#REF!</definedName>
    <definedName name="m8aanc">#REF!</definedName>
    <definedName name="m8aavl">#REF!</definedName>
    <definedName name="m8amtc">#REF!</definedName>
    <definedName name="m8anc">#REF!</definedName>
    <definedName name="m8avl">#REF!</definedName>
    <definedName name="ma">#REF!</definedName>
    <definedName name="MA_CT">#REF!</definedName>
    <definedName name="MA_KH">#REF!</definedName>
    <definedName name="Ma3pnc">#REF!</definedName>
    <definedName name="Ma3pvl">#REF!</definedName>
    <definedName name="Maa3pnc">#REF!</definedName>
    <definedName name="Maa3pvl">#REF!</definedName>
    <definedName name="MACP">#REF!</definedName>
    <definedName name="Macro1">#REF!</definedName>
    <definedName name="Macro2">#REF!</definedName>
    <definedName name="Macro3">#REF!</definedName>
    <definedName name="MACTANG_BD">#REF!</definedName>
    <definedName name="MACTANG_HT_BD">#REF!</definedName>
    <definedName name="MACTANG_HT_KT">#REF!</definedName>
    <definedName name="MACTANG_KT">#REF!</definedName>
    <definedName name="MACTY">#REF!</definedName>
    <definedName name="MADONVI">OFFSET(#REF!,COUNTA(#REF!)-1,0,1)</definedName>
    <definedName name="MADONGIA">#REF!</definedName>
    <definedName name="mahang_tondk">#REF!</definedName>
    <definedName name="MAJ_CON_EQP">#REF!</definedName>
    <definedName name="MaMay_Q">#REF!</definedName>
    <definedName name="Manufacture">#REF!</definedName>
    <definedName name="Masonry">#REF!</definedName>
    <definedName name="MAT">#REF!</definedName>
    <definedName name="Material">#REF!</definedName>
    <definedName name="matit">#REF!</definedName>
    <definedName name="MATK_CD">#REF!</definedName>
    <definedName name="MATK_M">#REF!</definedName>
    <definedName name="MATS">#REF!</definedName>
    <definedName name="MAVANKHUON">#REF!</definedName>
    <definedName name="MAVL">#REF!</definedName>
    <definedName name="MAVLD">#REF!</definedName>
    <definedName name="MAVLD1">#REF!</definedName>
    <definedName name="MAVLTHDN">#REF!</definedName>
    <definedName name="MAY">#REF!</definedName>
    <definedName name="mazut">#REF!</definedName>
    <definedName name="MB_Intel_Server_C440GX_Dual_Sl2_ATX">#REF!</definedName>
    <definedName name="MB_Tomato_810B_Twin">#REF!</definedName>
    <definedName name="Mba1p">#REF!</definedName>
    <definedName name="Mba3p">#REF!</definedName>
    <definedName name="Mbb3p">#REF!</definedName>
    <definedName name="Mbn1p">#REF!</definedName>
    <definedName name="mbnc">#REF!</definedName>
    <definedName name="mbvl">#REF!</definedName>
    <definedName name="mc">#REF!</definedName>
    <definedName name="Mcasea">#REF!</definedName>
    <definedName name="Mcr">#REF!</definedName>
    <definedName name="md">#REF!</definedName>
    <definedName name="MDC">#REF!</definedName>
    <definedName name="mdna">#REF!</definedName>
    <definedName name="me">#REF!</definedName>
    <definedName name="Mè_A1">#REF!</definedName>
    <definedName name="Mè_A2">#REF!</definedName>
    <definedName name="MetalWork">#REF!</definedName>
    <definedName name="MF">#REF!</definedName>
    <definedName name="mg">#REF!</definedName>
    <definedName name="MG_A">#REF!</definedName>
    <definedName name="mg1.">#REF!</definedName>
    <definedName name="mg1h">#REF!</definedName>
    <definedName name="mg1l2">#REF!</definedName>
    <definedName name="mg1x">#REF!</definedName>
    <definedName name="mg2.">#REF!</definedName>
    <definedName name="mg3l8">#REF!</definedName>
    <definedName name="mgh">#REF!</definedName>
    <definedName name="mglai">#REF!</definedName>
    <definedName name="MH">#REF!</definedName>
    <definedName name="mi">#REF!</definedName>
    <definedName name="mis">#REF!</definedName>
    <definedName name="MiscellaneousWork">#REF!</definedName>
    <definedName name="mjhhv">#REF!</definedName>
    <definedName name="mk">#REF!</definedName>
    <definedName name="mktum">#REF!</definedName>
    <definedName name="ML">#REF!</definedName>
    <definedName name="MmExcelLinker_EB2011BA_99DB_4733_8E0D_2B063081EB57">#REF!</definedName>
    <definedName name="mmm">#REF!</definedName>
    <definedName name="MN">#REF!</definedName>
    <definedName name="MNTN">#REF!</definedName>
    <definedName name="MNTT">#REF!</definedName>
    <definedName name="MNTHTH">#REF!</definedName>
    <definedName name="mo">#REF!</definedName>
    <definedName name="Mods">#REF!</definedName>
    <definedName name="Module1.cplhsmt" localSheetId="0">#REF!</definedName>
    <definedName name="Module1.cplhsmt" localSheetId="10">#REF!</definedName>
    <definedName name="Module1.cplhsmt" localSheetId="1">#REF!</definedName>
    <definedName name="Module1.cplhsmt" localSheetId="6">#REF!</definedName>
    <definedName name="Module1.cplhsmt" localSheetId="5">#REF!</definedName>
    <definedName name="Module1.cplhsmt" localSheetId="4">#REF!</definedName>
    <definedName name="Module1.cplhsmt" localSheetId="7">#REF!</definedName>
    <definedName name="Module1.cplhsmt">#REF!</definedName>
    <definedName name="Module1.cptdhsmt" localSheetId="0">#REF!</definedName>
    <definedName name="Module1.cptdhsmt" localSheetId="10">#REF!</definedName>
    <definedName name="Module1.cptdhsmt" localSheetId="1">#REF!</definedName>
    <definedName name="Module1.cptdhsmt" localSheetId="6">#REF!</definedName>
    <definedName name="Module1.cptdhsmt" localSheetId="5">#REF!</definedName>
    <definedName name="Module1.cptdhsmt" localSheetId="4">#REF!</definedName>
    <definedName name="Module1.cptdhsmt" localSheetId="7">#REF!</definedName>
    <definedName name="Module1.cptdhsmt">#REF!</definedName>
    <definedName name="Module1.cptdtdt" localSheetId="0">#REF!</definedName>
    <definedName name="Module1.cptdtdt" localSheetId="10">#REF!</definedName>
    <definedName name="Module1.cptdtdt" localSheetId="1">#REF!</definedName>
    <definedName name="Module1.cptdtdt" localSheetId="6">#REF!</definedName>
    <definedName name="Module1.cptdtdt" localSheetId="5">#REF!</definedName>
    <definedName name="Module1.cptdtdt" localSheetId="4">#REF!</definedName>
    <definedName name="Module1.cptdtdt" localSheetId="7">#REF!</definedName>
    <definedName name="Module1.cptdtdt">#REF!</definedName>
    <definedName name="Module1.cptdtkkt" localSheetId="0">#REF!</definedName>
    <definedName name="Module1.cptdtkkt" localSheetId="10">#REF!</definedName>
    <definedName name="Module1.cptdtkkt" localSheetId="1">#REF!</definedName>
    <definedName name="Module1.cptdtkkt" localSheetId="6">#REF!</definedName>
    <definedName name="Module1.cptdtkkt" localSheetId="5">#REF!</definedName>
    <definedName name="Module1.cptdtkkt" localSheetId="4">#REF!</definedName>
    <definedName name="Module1.cptdtkkt" localSheetId="7">#REF!</definedName>
    <definedName name="Module1.cptdtkkt">#REF!</definedName>
    <definedName name="Module1.gsktxd" localSheetId="0">#REF!</definedName>
    <definedName name="Module1.gsktxd" localSheetId="10">#REF!</definedName>
    <definedName name="Module1.gsktxd" localSheetId="1">#REF!</definedName>
    <definedName name="Module1.gsktxd" localSheetId="6">#REF!</definedName>
    <definedName name="Module1.gsktxd" localSheetId="5">#REF!</definedName>
    <definedName name="Module1.gsktxd" localSheetId="4">#REF!</definedName>
    <definedName name="Module1.gsktxd" localSheetId="7">#REF!</definedName>
    <definedName name="Module1.gsktxd">#REF!</definedName>
    <definedName name="Module1.qlda" localSheetId="0">#REF!</definedName>
    <definedName name="Module1.qlda" localSheetId="10">#REF!</definedName>
    <definedName name="Module1.qlda" localSheetId="1">#REF!</definedName>
    <definedName name="Module1.qlda" localSheetId="6">#REF!</definedName>
    <definedName name="Module1.qlda" localSheetId="5">#REF!</definedName>
    <definedName name="Module1.qlda" localSheetId="4">#REF!</definedName>
    <definedName name="Module1.qlda" localSheetId="7">#REF!</definedName>
    <definedName name="Module1.qlda">#REF!</definedName>
    <definedName name="Module1.tinhqt" localSheetId="0">#REF!</definedName>
    <definedName name="Module1.tinhqt" localSheetId="10">#REF!</definedName>
    <definedName name="Module1.tinhqt" localSheetId="1">#REF!</definedName>
    <definedName name="Module1.tinhqt" localSheetId="6">#REF!</definedName>
    <definedName name="Module1.tinhqt" localSheetId="5">#REF!</definedName>
    <definedName name="Module1.tinhqt" localSheetId="4">#REF!</definedName>
    <definedName name="Module1.tinhqt" localSheetId="7">#REF!</definedName>
    <definedName name="Module1.tinhqt">#REF!</definedName>
    <definedName name="Moduyn_TK">#REF!</definedName>
    <definedName name="moi">#REF!</definedName>
    <definedName name="MOKthuat">#REF!</definedName>
    <definedName name="MoM0">#REF!</definedName>
    <definedName name="month">#REF!</definedName>
    <definedName name="Months">#REF!</definedName>
    <definedName name="MONG">#REF!</definedName>
    <definedName name="mophanchi">#REF!</definedName>
    <definedName name="Morong">#REF!</definedName>
    <definedName name="Morong4054_85">#REF!</definedName>
    <definedName name="Moùng">#REF!</definedName>
    <definedName name="mp1x25">#REF!</definedName>
    <definedName name="mqnam">#REF!</definedName>
    <definedName name="mqngai">#REF!</definedName>
    <definedName name="Mr">#REF!</definedName>
    <definedName name="MRP">#REF!</definedName>
    <definedName name="MRPC">#REF!</definedName>
    <definedName name="MRPG">#REF!</definedName>
    <definedName name="MRPT">#REF!</definedName>
    <definedName name="ms">#REF!</definedName>
    <definedName name="MSCT">#REF!</definedName>
    <definedName name="MSHH">#REF!</definedName>
    <definedName name="mt">#REF!</definedName>
    <definedName name="MT_5">#REF!</definedName>
    <definedName name="MT_7">#REF!</definedName>
    <definedName name="MT_8">#REF!</definedName>
    <definedName name="MT_9">#REF!</definedName>
    <definedName name="MTC">#REF!</definedName>
    <definedName name="MTC1P">#REF!</definedName>
    <definedName name="MTC3P">#REF!</definedName>
    <definedName name="mtcc">#REF!</definedName>
    <definedName name="mtcdg">#REF!</definedName>
    <definedName name="MTCLD">#REF!</definedName>
    <definedName name="MTCMB">#REF!</definedName>
    <definedName name="MTCNT">#REF!</definedName>
    <definedName name="MTCHC">#REF!</definedName>
    <definedName name="MTMAC12">#REF!</definedName>
    <definedName name="MTN">#REF!</definedName>
    <definedName name="mttn">#REF!</definedName>
    <definedName name="mtr">#REF!</definedName>
    <definedName name="mtram">#REF!</definedName>
    <definedName name="Mtran">#REF!</definedName>
    <definedName name="Mu">#REF!</definedName>
    <definedName name="Mu_">#REF!</definedName>
    <definedName name="MV">#REF!</definedName>
    <definedName name="MVC">#REF!</definedName>
    <definedName name="mw1_">#REF!</definedName>
    <definedName name="mx">#REF!</definedName>
    <definedName name="my">#REF!</definedName>
    <definedName name="myle">#REF!</definedName>
    <definedName name="n">#REF!</definedName>
    <definedName name="n.d1">#REF!</definedName>
    <definedName name="n.d2">#REF!</definedName>
    <definedName name="n_vÞ">#REF!</definedName>
    <definedName name="N1IN">#REF!</definedName>
    <definedName name="n1pig">#REF!</definedName>
    <definedName name="n1pignc">#REF!</definedName>
    <definedName name="N1pIGvc">#REF!</definedName>
    <definedName name="n1pigvl">#REF!</definedName>
    <definedName name="n1pind">#REF!</definedName>
    <definedName name="n1pindnc">#REF!</definedName>
    <definedName name="N1pINDvc">#REF!</definedName>
    <definedName name="n1pindvl">#REF!</definedName>
    <definedName name="n1pint">#REF!</definedName>
    <definedName name="n1pintnc">#REF!</definedName>
    <definedName name="N1pINTvc">#REF!</definedName>
    <definedName name="n1pintvl">#REF!</definedName>
    <definedName name="n1ping">#REF!</definedName>
    <definedName name="n1pingnc">#REF!</definedName>
    <definedName name="N1pINGvc">#REF!</definedName>
    <definedName name="n1pingvl">#REF!</definedName>
    <definedName name="N1pNLnc">#REF!</definedName>
    <definedName name="N1pNLvc">#REF!</definedName>
    <definedName name="N1pNLvl">#REF!</definedName>
    <definedName name="n24nc">#REF!</definedName>
    <definedName name="n24vl">#REF!</definedName>
    <definedName name="n2mignc">#REF!</definedName>
    <definedName name="n2migvl">#REF!</definedName>
    <definedName name="n2min1nc">#REF!</definedName>
    <definedName name="n2min1vl">#REF!</definedName>
    <definedName name="Nam">#REF!</definedName>
    <definedName name="Nam_khoi_cong">#REF!</definedName>
    <definedName name="Nan_khoi_cong">#REF!</definedName>
    <definedName name="nanghang">#REF!</definedName>
    <definedName name="naovet">#REF!</definedName>
    <definedName name="NC">#REF!</definedName>
    <definedName name="nc_betong200">#REF!</definedName>
    <definedName name="nc_btm10">#REF!</definedName>
    <definedName name="nc_btm100">#REF!</definedName>
    <definedName name="nc_btm150">#REF!</definedName>
    <definedName name="nc_btm200">#REF!</definedName>
    <definedName name="nc_btm50">#REF!</definedName>
    <definedName name="nc_cotpha">#REF!</definedName>
    <definedName name="nc100a">#REF!</definedName>
    <definedName name="nc1nc">#REF!</definedName>
    <definedName name="nc1p">#REF!</definedName>
    <definedName name="nc1vl">#REF!</definedName>
    <definedName name="nc2.1I">#REF!</definedName>
    <definedName name="nc2.1II">#REF!</definedName>
    <definedName name="nc2.1III">#REF!</definedName>
    <definedName name="nc2.1IV">#REF!</definedName>
    <definedName name="nc2.2I">#REF!</definedName>
    <definedName name="nc2.2II">#REF!</definedName>
    <definedName name="nc2.2III">#REF!</definedName>
    <definedName name="nc2.2IV">#REF!</definedName>
    <definedName name="nc2.3I">#REF!</definedName>
    <definedName name="nc2.3II">#REF!</definedName>
    <definedName name="nc2.3III">#REF!</definedName>
    <definedName name="nc2.3IV">#REF!</definedName>
    <definedName name="nc2.4I">#REF!</definedName>
    <definedName name="nc2.4II">#REF!</definedName>
    <definedName name="nc2.4III">#REF!</definedName>
    <definedName name="nc2.4IV">#REF!</definedName>
    <definedName name="nc2.5I">#REF!</definedName>
    <definedName name="nc2.5II">#REF!</definedName>
    <definedName name="nc2.5III">#REF!</definedName>
    <definedName name="nc2.5IV">#REF!</definedName>
    <definedName name="nc2.6I">#REF!</definedName>
    <definedName name="nc2.6II">#REF!</definedName>
    <definedName name="nc2.6III">#REF!</definedName>
    <definedName name="nc2.6IV">#REF!</definedName>
    <definedName name="nc2.7">#REF!</definedName>
    <definedName name="nc2.7I">#REF!</definedName>
    <definedName name="nc2.7II">#REF!</definedName>
    <definedName name="nc2.7III">#REF!</definedName>
    <definedName name="nc2.7IV">#REF!</definedName>
    <definedName name="nc2.8I">#REF!</definedName>
    <definedName name="nc2.8II">#REF!</definedName>
    <definedName name="nc2.8III">#REF!</definedName>
    <definedName name="nc2.8IV">#REF!</definedName>
    <definedName name="nc2.9I">#REF!</definedName>
    <definedName name="nc2.9II">#REF!</definedName>
    <definedName name="nc2.9III">#REF!</definedName>
    <definedName name="nc2.9IV">#REF!</definedName>
    <definedName name="nc24nc">#REF!</definedName>
    <definedName name="nc24vl">#REF!</definedName>
    <definedName name="nc2I">#REF!</definedName>
    <definedName name="nc2II">#REF!</definedName>
    <definedName name="nc2III">#REF!</definedName>
    <definedName name="nc2IV">#REF!</definedName>
    <definedName name="nc3.1I">#REF!</definedName>
    <definedName name="nc3.1II">#REF!</definedName>
    <definedName name="nc3.1III">#REF!</definedName>
    <definedName name="nc3.1IV">#REF!</definedName>
    <definedName name="nc3.2I">#REF!</definedName>
    <definedName name="nc3.2II">#REF!</definedName>
    <definedName name="nc3.2III">#REF!</definedName>
    <definedName name="nc3.2IV">#REF!</definedName>
    <definedName name="nc3.3I">#REF!</definedName>
    <definedName name="nc3.3II">#REF!</definedName>
    <definedName name="nc3.3III">#REF!</definedName>
    <definedName name="nc3.3IV">#REF!</definedName>
    <definedName name="nc3.4I">#REF!</definedName>
    <definedName name="nc3.4II">#REF!</definedName>
    <definedName name="nc3.4III">#REF!</definedName>
    <definedName name="nc3.4IV">#REF!</definedName>
    <definedName name="nc3.5">#REF!</definedName>
    <definedName name="nc3.5I">#REF!</definedName>
    <definedName name="nc3.5II">#REF!</definedName>
    <definedName name="nc3.5III">#REF!</definedName>
    <definedName name="nc3.5IV">#REF!</definedName>
    <definedName name="nc3.6I">#REF!</definedName>
    <definedName name="nc3.6II">#REF!</definedName>
    <definedName name="nc3.6III">#REF!</definedName>
    <definedName name="nc3.6IV">#REF!</definedName>
    <definedName name="nc3.7">#REF!</definedName>
    <definedName name="nc3.7I">#REF!</definedName>
    <definedName name="nc3.7II">#REF!</definedName>
    <definedName name="nc3.7III">#REF!</definedName>
    <definedName name="nc3.7IV">#REF!</definedName>
    <definedName name="nc3.8I">#REF!</definedName>
    <definedName name="nc3.8II">#REF!</definedName>
    <definedName name="nc3.8III">#REF!</definedName>
    <definedName name="nc3.8IV">#REF!</definedName>
    <definedName name="nc3.9I">#REF!</definedName>
    <definedName name="nc3.9II">#REF!</definedName>
    <definedName name="nc3.9III">#REF!</definedName>
    <definedName name="nc3.9IV">#REF!</definedName>
    <definedName name="nc3_5">#REF!</definedName>
    <definedName name="nc3I">#REF!</definedName>
    <definedName name="nc3II">#REF!</definedName>
    <definedName name="nc3III">#REF!</definedName>
    <definedName name="nc3IV">#REF!</definedName>
    <definedName name="nc3p">#REF!</definedName>
    <definedName name="nc4.1I">#REF!</definedName>
    <definedName name="nc4.1II">#REF!</definedName>
    <definedName name="nc4.1III">#REF!</definedName>
    <definedName name="nc4.1IV">#REF!</definedName>
    <definedName name="nc4.2I">#REF!</definedName>
    <definedName name="nc4.2II">#REF!</definedName>
    <definedName name="nc4.2III">#REF!</definedName>
    <definedName name="nc4.2IV">#REF!</definedName>
    <definedName name="nc4.3I">#REF!</definedName>
    <definedName name="nc4.3II">#REF!</definedName>
    <definedName name="nc4.3III">#REF!</definedName>
    <definedName name="nc4.3IV">#REF!</definedName>
    <definedName name="nc4.4I">#REF!</definedName>
    <definedName name="nc4.4II">#REF!</definedName>
    <definedName name="nc4.4III">#REF!</definedName>
    <definedName name="nc4.4IV">#REF!</definedName>
    <definedName name="nc4.5">#REF!</definedName>
    <definedName name="nc4.5I">#REF!</definedName>
    <definedName name="nc4.5II">#REF!</definedName>
    <definedName name="nc4.5III">#REF!</definedName>
    <definedName name="nc4.5IV">#REF!</definedName>
    <definedName name="nc4.6I">#REF!</definedName>
    <definedName name="nc4.6II">#REF!</definedName>
    <definedName name="nc4.6III">#REF!</definedName>
    <definedName name="nc4.6IV">#REF!</definedName>
    <definedName name="nc4.7I">#REF!</definedName>
    <definedName name="nc4.7II">#REF!</definedName>
    <definedName name="nc4.7III">#REF!</definedName>
    <definedName name="nc4.7IV">#REF!</definedName>
    <definedName name="nc4.8I">#REF!</definedName>
    <definedName name="nc4.8II">#REF!</definedName>
    <definedName name="nc4.8III">#REF!</definedName>
    <definedName name="nc4.8IV">#REF!</definedName>
    <definedName name="nc4.9I">#REF!</definedName>
    <definedName name="nc4.9II">#REF!</definedName>
    <definedName name="nc4.9III">#REF!</definedName>
    <definedName name="nc4.9IV">#REF!</definedName>
    <definedName name="nc4I">#REF!</definedName>
    <definedName name="nc4II">#REF!</definedName>
    <definedName name="nc4III">#REF!</definedName>
    <definedName name="nc4IV">#REF!</definedName>
    <definedName name="nc5I">#REF!</definedName>
    <definedName name="nc5II">#REF!</definedName>
    <definedName name="nc5III">#REF!</definedName>
    <definedName name="nc5IV">#REF!</definedName>
    <definedName name="NCBD">#REF!</definedName>
    <definedName name="NCBD100">#REF!</definedName>
    <definedName name="NCBD200">#REF!</definedName>
    <definedName name="NCBD250">#REF!</definedName>
    <definedName name="ncc">#REF!</definedName>
    <definedName name="ncc3.5">#REF!</definedName>
    <definedName name="ncc3.7">#REF!</definedName>
    <definedName name="NCcap0.7">#REF!</definedName>
    <definedName name="NCcap1">#REF!</definedName>
    <definedName name="nccc2">#REF!</definedName>
    <definedName name="nccs">#REF!</definedName>
    <definedName name="NCCT3p">#REF!</definedName>
    <definedName name="ncd">#REF!</definedName>
    <definedName name="ncdd">#REF!</definedName>
    <definedName name="NCDD2">#REF!</definedName>
    <definedName name="ncdg">#REF!</definedName>
    <definedName name="NCGF">#REF!</definedName>
    <definedName name="ncgff">#REF!</definedName>
    <definedName name="NCKday">#REF!</definedName>
    <definedName name="NCKT">#REF!</definedName>
    <definedName name="NCLD">#REF!</definedName>
    <definedName name="ncmt2">#REF!</definedName>
    <definedName name="NCMTC">#REF!</definedName>
    <definedName name="NCNCS">#REF!</definedName>
    <definedName name="Ncol">#REF!</definedName>
    <definedName name="ncong">#REF!</definedName>
    <definedName name="NCPP">#REF!</definedName>
    <definedName name="NCSBV">#REF!</definedName>
    <definedName name="nctn">#REF!</definedName>
    <definedName name="nctr">#REF!</definedName>
    <definedName name="nctram">#REF!</definedName>
    <definedName name="NCVC">#REF!</definedName>
    <definedName name="NCVC_BD">#REF!</definedName>
    <definedName name="NCVC100">#REF!</definedName>
    <definedName name="NCVC200">#REF!</definedName>
    <definedName name="NCVC250">#REF!</definedName>
    <definedName name="NCVC3P">#REF!</definedName>
    <definedName name="NCXL">#REF!</definedName>
    <definedName name="ncxlkcs">#REF!</definedName>
    <definedName name="ncxlkd">#REF!</definedName>
    <definedName name="ncxlkt">#REF!</definedName>
    <definedName name="ncxlktda">#REF!</definedName>
    <definedName name="ncxlktnl">#REF!</definedName>
    <definedName name="ncxlkh">#REF!</definedName>
    <definedName name="ncxlpxsx">#REF!</definedName>
    <definedName name="ncxltc">#REF!</definedName>
    <definedName name="NCHC">#REF!</definedName>
    <definedName name="nd">#REF!</definedName>
    <definedName name="nd_8">#REF!</definedName>
    <definedName name="nd_9">#REF!</definedName>
    <definedName name="Ne" localSheetId="9" hidden="1">{"'Sheet1'!$L$16"}</definedName>
    <definedName name="Ne" localSheetId="0" hidden="1">{"'Sheet1'!$L$16"}</definedName>
    <definedName name="Ne" localSheetId="10" hidden="1">{"'Sheet1'!$L$16"}</definedName>
    <definedName name="Ne" localSheetId="1" hidden="1">{"'Sheet1'!$L$16"}</definedName>
    <definedName name="Ne" localSheetId="6" hidden="1">{"'Sheet1'!$L$16"}</definedName>
    <definedName name="Ne" localSheetId="5" hidden="1">{"'Sheet1'!$L$16"}</definedName>
    <definedName name="Ne" localSheetId="4" hidden="1">{"'Sheet1'!$L$16"}</definedName>
    <definedName name="Ne" localSheetId="8" hidden="1">{"'Sheet1'!$L$16"}</definedName>
    <definedName name="Ne" localSheetId="7" hidden="1">{"'Sheet1'!$L$16"}</definedName>
    <definedName name="Ne" hidden="1">{"'Sheet1'!$L$16"}</definedName>
    <definedName name="neff">#REF!</definedName>
    <definedName name="nenkhi10m3">#REF!</definedName>
    <definedName name="nenkhi1200">#REF!</definedName>
    <definedName name="neo32mm">#REF!</definedName>
    <definedName name="neo4T">#REF!</definedName>
    <definedName name="NET">#REF!</definedName>
    <definedName name="NET_1">#REF!</definedName>
    <definedName name="NET_ANA">#REF!</definedName>
    <definedName name="NET_ANA_1">#REF!</definedName>
    <definedName name="NET_ANA_2">#REF!</definedName>
    <definedName name="new">#REF!</definedName>
    <definedName name="New_L">#REF!</definedName>
    <definedName name="NewPOS">#REF!</definedName>
    <definedName name="nig">#REF!</definedName>
    <definedName name="NIG13p">#REF!</definedName>
    <definedName name="nig1p">#REF!</definedName>
    <definedName name="nig3p">#REF!</definedName>
    <definedName name="night">#REF!</definedName>
    <definedName name="night.">#REF!</definedName>
    <definedName name="nightnc">#REF!</definedName>
    <definedName name="nightvl">#REF!</definedName>
    <definedName name="NIGnc">#REF!</definedName>
    <definedName name="nignc1p">#REF!</definedName>
    <definedName name="nignc3p">#REF!</definedName>
    <definedName name="NIGvc">#REF!</definedName>
    <definedName name="NIGvl">#REF!</definedName>
    <definedName name="nigvl1p">#REF!</definedName>
    <definedName name="nigvl3p">#REF!</definedName>
    <definedName name="nin">#REF!</definedName>
    <definedName name="nin14nc3p">#REF!</definedName>
    <definedName name="nin14vl3p">#REF!</definedName>
    <definedName name="nin1903p">#REF!</definedName>
    <definedName name="nin190nc">#REF!</definedName>
    <definedName name="nin190nc3p">#REF!</definedName>
    <definedName name="nin190vl">#REF!</definedName>
    <definedName name="nin190vl3p">#REF!</definedName>
    <definedName name="nin1pnc">#REF!</definedName>
    <definedName name="nin1pvl">#REF!</definedName>
    <definedName name="nin2903p">#REF!</definedName>
    <definedName name="nin290nc3p">#REF!</definedName>
    <definedName name="nin290vl3p">#REF!</definedName>
    <definedName name="nin3p">#REF!</definedName>
    <definedName name="nind">#REF!</definedName>
    <definedName name="nind1p">#REF!</definedName>
    <definedName name="nind3p">#REF!</definedName>
    <definedName name="nindnc">#REF!</definedName>
    <definedName name="nindnc1p">#REF!</definedName>
    <definedName name="nindnc3p">#REF!</definedName>
    <definedName name="NINDvc">#REF!</definedName>
    <definedName name="nindvl">#REF!</definedName>
    <definedName name="nindvl1p">#REF!</definedName>
    <definedName name="nindvl3p">#REF!</definedName>
    <definedName name="ninnc">#REF!</definedName>
    <definedName name="ninnc3p">#REF!</definedName>
    <definedName name="nint1p">#REF!</definedName>
    <definedName name="nintnc1p">#REF!</definedName>
    <definedName name="nintvl1p">#REF!</definedName>
    <definedName name="NINvc">#REF!</definedName>
    <definedName name="ninvl">#REF!</definedName>
    <definedName name="ninvl3p">#REF!</definedName>
    <definedName name="ning1p">#REF!</definedName>
    <definedName name="ningnc1p">#REF!</definedName>
    <definedName name="ningvl1p">#REF!</definedName>
    <definedName name="nl">#REF!</definedName>
    <definedName name="NL12nc">#REF!</definedName>
    <definedName name="NL12vl">#REF!</definedName>
    <definedName name="nl1p">#REF!</definedName>
    <definedName name="nl3p">#REF!</definedName>
    <definedName name="NlapName">#REF!</definedName>
    <definedName name="nlht">#REF!</definedName>
    <definedName name="nlmtc">#REF!</definedName>
    <definedName name="nlnc">#REF!</definedName>
    <definedName name="nlnc3p">#REF!</definedName>
    <definedName name="nlnc3pha">#REF!</definedName>
    <definedName name="NLTK1p">#REF!</definedName>
    <definedName name="nlvl">#REF!</definedName>
    <definedName name="nlvl1">#REF!</definedName>
    <definedName name="nlvl3p">#REF!</definedName>
    <definedName name="Nms">#REF!</definedName>
    <definedName name="nn">#REF!</definedName>
    <definedName name="nn1p">#REF!</definedName>
    <definedName name="nn3p">#REF!</definedName>
    <definedName name="nnn" localSheetId="9" hidden="1">{"'Sheet1'!$L$16"}</definedName>
    <definedName name="nnn" localSheetId="0" hidden="1">{"'Sheet1'!$L$16"}</definedName>
    <definedName name="nnn" localSheetId="10" hidden="1">{"'Sheet1'!$L$16"}</definedName>
    <definedName name="nnn" localSheetId="1" hidden="1">{"'Sheet1'!$L$16"}</definedName>
    <definedName name="nnn" localSheetId="6" hidden="1">{"'Sheet1'!$L$16"}</definedName>
    <definedName name="nnn" localSheetId="5" hidden="1">{"'Sheet1'!$L$16"}</definedName>
    <definedName name="nnn" localSheetId="4" hidden="1">{"'Sheet1'!$L$16"}</definedName>
    <definedName name="nnn" localSheetId="8" hidden="1">{"'Sheet1'!$L$16"}</definedName>
    <definedName name="nnn" localSheetId="7" hidden="1">{"'Sheet1'!$L$16"}</definedName>
    <definedName name="nnn" hidden="1">{"'Sheet1'!$L$16"}</definedName>
    <definedName name="nnnc">#REF!</definedName>
    <definedName name="nnnc3p">#REF!</definedName>
    <definedName name="nnvl">#REF!</definedName>
    <definedName name="nnvl3p">#REF!</definedName>
    <definedName name="NO">#REF!</definedName>
    <definedName name="NODL">#REF!</definedName>
    <definedName name="NOIDUNG">OFFSET(#REF!,COUNTA(#REF!)-1,0,1)</definedName>
    <definedName name="none">#REF!</definedName>
    <definedName name="Notes">#REF!</definedName>
    <definedName name="Np">#REF!</definedName>
    <definedName name="NPK_SAP_1204_1299">#REF!</definedName>
    <definedName name="Nps">#REF!</definedName>
    <definedName name="Nq">#REF!</definedName>
    <definedName name="NR">#REF!</definedName>
    <definedName name="ns">#REF!</definedName>
    <definedName name="ns.">#REF!</definedName>
    <definedName name="ns..">#REF!</definedName>
    <definedName name="nsc">#REF!</definedName>
    <definedName name="nsk">#REF!</definedName>
    <definedName name="NsoatName">#REF!</definedName>
    <definedName name="Ntcd">#REF!</definedName>
    <definedName name="NToS" localSheetId="0">#REF!</definedName>
    <definedName name="NToS" localSheetId="10">#REF!</definedName>
    <definedName name="NToS" localSheetId="1">#REF!</definedName>
    <definedName name="NToS" localSheetId="6">#REF!</definedName>
    <definedName name="NToS" localSheetId="5">#REF!</definedName>
    <definedName name="NToS" localSheetId="4">#REF!</definedName>
    <definedName name="NToS" localSheetId="7">#REF!</definedName>
    <definedName name="NToS">#REF!</definedName>
    <definedName name="Ntt">#REF!</definedName>
    <definedName name="nuoc">#REF!</definedName>
    <definedName name="nv">#REF!</definedName>
    <definedName name="NVH">#REF!</definedName>
    <definedName name="NVLCT">#REF!</definedName>
    <definedName name="nx">#REF!</definedName>
    <definedName name="nxmtc">#REF!</definedName>
    <definedName name="ng">#REF!</definedName>
    <definedName name="ng1.">#REF!</definedName>
    <definedName name="ng2.">#REF!</definedName>
    <definedName name="ngan" localSheetId="9">{"Thuxm2.xls","Sheet1"}</definedName>
    <definedName name="ngan" localSheetId="0">{"Thuxm2.xls","Sheet1"}</definedName>
    <definedName name="ngan" localSheetId="10">{"Thuxm2.xls","Sheet1"}</definedName>
    <definedName name="ngan" localSheetId="1">{"Thuxm2.xls","Sheet1"}</definedName>
    <definedName name="ngan" localSheetId="6">{"Thuxm2.xls","Sheet1"}</definedName>
    <definedName name="ngan" localSheetId="5">{"Thuxm2.xls","Sheet1"}</definedName>
    <definedName name="ngan" localSheetId="4">{"Thuxm2.xls","Sheet1"}</definedName>
    <definedName name="ngan" localSheetId="8">{"Thuxm2.xls","Sheet1"}</definedName>
    <definedName name="ngan" localSheetId="7">{"Thuxm2.xls","Sheet1"}</definedName>
    <definedName name="ngan">{"Thuxm2.xls","Sheet1"}</definedName>
    <definedName name="NGANHANG">OFFSET(#REF!,COUNTIF(#REF!,"&lt;&gt;0")-1,0,1)</definedName>
    <definedName name="NGAØY">#REF!</definedName>
    <definedName name="ngau">#REF!</definedName>
    <definedName name="NGAY">OFFSET(#REF!,COUNTA(#REF!)-1,0,1)</definedName>
    <definedName name="NGH">#REF!</definedName>
    <definedName name="nghi_bq">#REF!</definedName>
    <definedName name="nghi_bv">#REF!</definedName>
    <definedName name="nghi_ck">#REF!</definedName>
    <definedName name="nghi_d1">#REF!</definedName>
    <definedName name="nghi_d2">#REF!</definedName>
    <definedName name="nghi_d3">#REF!</definedName>
    <definedName name="nghi_dl">#REF!</definedName>
    <definedName name="nghi_kcs">#REF!</definedName>
    <definedName name="nghi_nb">#REF!</definedName>
    <definedName name="nghi_nv">#REF!</definedName>
    <definedName name="nghi_ngio">#REF!</definedName>
    <definedName name="nghi_t3">#REF!</definedName>
    <definedName name="nghi_t4">#REF!</definedName>
    <definedName name="nghi_t5">#REF!</definedName>
    <definedName name="nghi_t6">#REF!</definedName>
    <definedName name="nghi_tc">#REF!</definedName>
    <definedName name="nghi_tm">#REF!</definedName>
    <definedName name="nghi_vs">#REF!</definedName>
    <definedName name="nghi_xh">#REF!</definedName>
    <definedName name="nght">#REF!</definedName>
    <definedName name="ngu" localSheetId="9" hidden="1">{"'Sheet1'!$L$16"}</definedName>
    <definedName name="ngu" localSheetId="0" hidden="1">{"'Sheet1'!$L$16"}</definedName>
    <definedName name="ngu" localSheetId="10" hidden="1">{"'Sheet1'!$L$16"}</definedName>
    <definedName name="ngu" localSheetId="1" hidden="1">{"'Sheet1'!$L$16"}</definedName>
    <definedName name="ngu" localSheetId="6" hidden="1">{"'Sheet1'!$L$16"}</definedName>
    <definedName name="ngu" localSheetId="5" hidden="1">{"'Sheet1'!$L$16"}</definedName>
    <definedName name="ngu" localSheetId="4" hidden="1">{"'Sheet1'!$L$16"}</definedName>
    <definedName name="ngu" localSheetId="8" hidden="1">{"'Sheet1'!$L$16"}</definedName>
    <definedName name="ngu" localSheetId="7" hidden="1">{"'Sheet1'!$L$16"}</definedName>
    <definedName name="ngu" hidden="1">{"'Sheet1'!$L$16"}</definedName>
    <definedName name="nguoikyQD">#REF!</definedName>
    <definedName name="NH">#REF!</definedName>
    <definedName name="Nha">#REF!</definedName>
    <definedName name="NHAÂN_COÂNG">#N/A</definedName>
    <definedName name="Nhan_xet_cua_dai">"Picture 1"</definedName>
    <definedName name="NHChat">#REF!</definedName>
    <definedName name="NHChinh">#REF!</definedName>
    <definedName name="nhfffd" localSheetId="9">{"DZ-TDTB2.XLS","Dcksat.xls"}</definedName>
    <definedName name="nhfffd" localSheetId="0">{"DZ-TDTB2.XLS","Dcksat.xls"}</definedName>
    <definedName name="nhfffd" localSheetId="10">{"DZ-TDTB2.XLS","Dcksat.xls"}</definedName>
    <definedName name="nhfffd" localSheetId="1">{"DZ-TDTB2.XLS","Dcksat.xls"}</definedName>
    <definedName name="nhfffd" localSheetId="6">{"DZ-TDTB2.XLS","Dcksat.xls"}</definedName>
    <definedName name="nhfffd" localSheetId="5">{"DZ-TDTB2.XLS","Dcksat.xls"}</definedName>
    <definedName name="nhfffd" localSheetId="4">{"DZ-TDTB2.XLS","Dcksat.xls"}</definedName>
    <definedName name="nhfffd" localSheetId="8">{"DZ-TDTB2.XLS","Dcksat.xls"}</definedName>
    <definedName name="nhfffd" localSheetId="7">{"DZ-TDTB2.XLS","Dcksat.xls"}</definedName>
    <definedName name="nhfffd">{"DZ-TDTB2.XLS","Dcksat.xls"}</definedName>
    <definedName name="nhiettri">#REF!</definedName>
    <definedName name="nhiettrikhi">#REF!</definedName>
    <definedName name="nhn">#REF!</definedName>
    <definedName name="nhnnc">#REF!</definedName>
    <definedName name="nhnvl">#REF!</definedName>
    <definedName name="nhom">#REF!</definedName>
    <definedName name="NHot">#REF!</definedName>
    <definedName name="nhu">#REF!</definedName>
    <definedName name="nhua">#REF!</definedName>
    <definedName name="nhuad">#REF!</definedName>
    <definedName name="Nhuadan">#REF!</definedName>
    <definedName name="nhuaduong">#REF!</definedName>
    <definedName name="o">#REF!</definedName>
    <definedName name="O_M">#REF!</definedName>
    <definedName name="o_n_phÝ_1__thu_nhËp_th_ng">#REF!</definedName>
    <definedName name="O_TO">#REF!</definedName>
    <definedName name="oc">#REF!</definedName>
    <definedName name="òc76">#REF!</definedName>
    <definedName name="OD">#REF!</definedName>
    <definedName name="ODC">#REF!</definedName>
    <definedName name="ODDT">#REF!</definedName>
    <definedName name="ODS">#REF!</definedName>
    <definedName name="ODU">#REF!</definedName>
    <definedName name="OE">#REF!</definedName>
    <definedName name="OHG">#REF!</definedName>
    <definedName name="oi">#REF!</definedName>
    <definedName name="Oil_increase_ratio">#REF!</definedName>
    <definedName name="OM">#REF!</definedName>
    <definedName name="OMC">#REF!</definedName>
    <definedName name="OME">#REF!</definedName>
    <definedName name="OMW">#REF!</definedName>
    <definedName name="OÑT">#REF!</definedName>
    <definedName name="ong">#REF!</definedName>
    <definedName name="ongPVC">#REF!</definedName>
    <definedName name="ongsattrangkem">#REF!</definedName>
    <definedName name="OOM">#REF!</definedName>
    <definedName name="ophom">#REF!</definedName>
    <definedName name="ORD">#REF!</definedName>
    <definedName name="ORF">#REF!</definedName>
    <definedName name="osc">#REF!</definedName>
    <definedName name="oto">#REF!</definedName>
    <definedName name="Other">#REF!</definedName>
    <definedName name="OTHER_PANEL">#REF!</definedName>
    <definedName name="OtherWork">#REF!</definedName>
    <definedName name="oü0">#REF!</definedName>
    <definedName name="Óu75">#REF!</definedName>
    <definedName name="oxy">#REF!</definedName>
    <definedName name="oy">#REF!</definedName>
    <definedName name="P">#REF!</definedName>
    <definedName name="p.m">#REF!</definedName>
    <definedName name="P_M">#REF!</definedName>
    <definedName name="p1.">#REF!</definedName>
    <definedName name="p2.">#REF!</definedName>
    <definedName name="PA">#REF!</definedName>
    <definedName name="pa.">#REF!</definedName>
    <definedName name="PA.2314">#REF!</definedName>
    <definedName name="PA.3114">#REF!</definedName>
    <definedName name="PA1_1">#REF!</definedName>
    <definedName name="PA2CAU39M" localSheetId="9" hidden="1">{"'Sheet1'!$L$16"}</definedName>
    <definedName name="PA2CAU39M" localSheetId="0" hidden="1">{"'Sheet1'!$L$16"}</definedName>
    <definedName name="PA2CAU39M" localSheetId="10" hidden="1">{"'Sheet1'!$L$16"}</definedName>
    <definedName name="PA2CAU39M" localSheetId="1" hidden="1">{"'Sheet1'!$L$16"}</definedName>
    <definedName name="PA2CAU39M" localSheetId="6" hidden="1">{"'Sheet1'!$L$16"}</definedName>
    <definedName name="PA2CAU39M" localSheetId="5" hidden="1">{"'Sheet1'!$L$16"}</definedName>
    <definedName name="PA2CAU39M" localSheetId="4" hidden="1">{"'Sheet1'!$L$16"}</definedName>
    <definedName name="PA2CAU39M" localSheetId="8" hidden="1">{"'Sheet1'!$L$16"}</definedName>
    <definedName name="PA2CAU39M" localSheetId="7" hidden="1">{"'Sheet1'!$L$16"}</definedName>
    <definedName name="PA2CAU39M" hidden="1">{"'Sheet1'!$L$16"}</definedName>
    <definedName name="PAIII_" localSheetId="9" hidden="1">{"'Sheet1'!$L$16"}</definedName>
    <definedName name="PAIII_" localSheetId="0" hidden="1">{"'Sheet1'!$L$16"}</definedName>
    <definedName name="PAIII_" localSheetId="10" hidden="1">{"'Sheet1'!$L$16"}</definedName>
    <definedName name="PAIII_" localSheetId="1" hidden="1">{"'Sheet1'!$L$16"}</definedName>
    <definedName name="PAIII_" localSheetId="6" hidden="1">{"'Sheet1'!$L$16"}</definedName>
    <definedName name="PAIII_" localSheetId="5" hidden="1">{"'Sheet1'!$L$16"}</definedName>
    <definedName name="PAIII_" localSheetId="4" hidden="1">{"'Sheet1'!$L$16"}</definedName>
    <definedName name="PAIII_" localSheetId="8" hidden="1">{"'Sheet1'!$L$16"}</definedName>
    <definedName name="PAIII_" localSheetId="7" hidden="1">{"'Sheet1'!$L$16"}</definedName>
    <definedName name="PAIII_" hidden="1">{"'Sheet1'!$L$16"}</definedName>
    <definedName name="Painting">#REF!</definedName>
    <definedName name="Parem">#REF!</definedName>
    <definedName name="paremÞ">#REF!</definedName>
    <definedName name="PChe">#REF!</definedName>
    <definedName name="Pd">#REF!</definedName>
    <definedName name="PdoanName">#REF!</definedName>
    <definedName name="PEJM">#REF!</definedName>
    <definedName name="PercentComplete" localSheetId="6">PercentCompleteBeyond*PeriodInPlan</definedName>
    <definedName name="PercentComplete" localSheetId="5">PercentCompleteBeyond*PeriodInPlan</definedName>
    <definedName name="PercentComplete" localSheetId="4">PercentCompleteBeyond*PeriodInPlan</definedName>
    <definedName name="PercentComplete" localSheetId="7">[0]!PercentCompleteBeyond*[0]!PeriodInPlan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F">#REF!</definedName>
    <definedName name="PG">#REF!</definedName>
    <definedName name="pgia">#REF!</definedName>
    <definedName name="pile">#REF!</definedName>
    <definedName name="PileSize">#REF!</definedName>
    <definedName name="PileType">#REF!</definedName>
    <definedName name="PIP" localSheetId="9">BlankMacro1</definedName>
    <definedName name="PIP" localSheetId="0">BlankMacro1</definedName>
    <definedName name="PIP" localSheetId="10">BlankMacro1</definedName>
    <definedName name="PIP" localSheetId="1">BlankMacro1</definedName>
    <definedName name="PIP" localSheetId="6">BlankMacro1</definedName>
    <definedName name="PIP" localSheetId="5">BlankMacro1</definedName>
    <definedName name="PIP" localSheetId="4">BlankMacro1</definedName>
    <definedName name="PIP" localSheetId="8">BlankMacro1</definedName>
    <definedName name="PIP" localSheetId="7">BlankMacro1</definedName>
    <definedName name="PIP">BlankMacro1</definedName>
    <definedName name="PIPE2" localSheetId="9">BlankMacro1</definedName>
    <definedName name="PIPE2" localSheetId="0">BlankMacro1</definedName>
    <definedName name="PIPE2" localSheetId="10">BlankMacro1</definedName>
    <definedName name="PIPE2" localSheetId="1">BlankMacro1</definedName>
    <definedName name="PIPE2" localSheetId="6">BlankMacro1</definedName>
    <definedName name="PIPE2" localSheetId="5">BlankMacro1</definedName>
    <definedName name="PIPE2" localSheetId="4">BlankMacro1</definedName>
    <definedName name="PIPE2" localSheetId="8">BlankMacro1</definedName>
    <definedName name="PIPE2" localSheetId="7">BlankMacro1</definedName>
    <definedName name="PIPE2">BlankMacro1</definedName>
    <definedName name="PK">#REF!</definedName>
    <definedName name="PL" localSheetId="9" hidden="1">{"'Sheet1'!$L$16"}</definedName>
    <definedName name="PL" localSheetId="0" hidden="1">{"'Sheet1'!$L$16"}</definedName>
    <definedName name="PL" localSheetId="10" hidden="1">{"'Sheet1'!$L$16"}</definedName>
    <definedName name="PL" localSheetId="1" hidden="1">{"'Sheet1'!$L$16"}</definedName>
    <definedName name="PL" localSheetId="6" hidden="1">{"'Sheet1'!$L$16"}</definedName>
    <definedName name="PL" localSheetId="5" hidden="1">{"'Sheet1'!$L$16"}</definedName>
    <definedName name="PL" localSheetId="4" hidden="1">{"'Sheet1'!$L$16"}</definedName>
    <definedName name="PL" localSheetId="8" hidden="1">{"'Sheet1'!$L$16"}</definedName>
    <definedName name="PL" localSheetId="7" hidden="1">{"'Sheet1'!$L$16"}</definedName>
    <definedName name="PL" hidden="1">{"'Sheet1'!$L$16"}</definedName>
    <definedName name="PL_???___P.B.___REST_P.B._????">#REF!</definedName>
    <definedName name="PL_指示燈___P.B.___REST_P.B._壓扣開關">#REF!</definedName>
    <definedName name="PL4.3" localSheetId="9">{"Thuxm2.xls","Sheet1"}</definedName>
    <definedName name="PL4.3" localSheetId="0">{"Thuxm2.xls","Sheet1"}</definedName>
    <definedName name="PL4.3" localSheetId="10">{"Thuxm2.xls","Sheet1"}</definedName>
    <definedName name="PL4.3" localSheetId="1">{"Thuxm2.xls","Sheet1"}</definedName>
    <definedName name="PL4.3" localSheetId="6">{"Thuxm2.xls","Sheet1"}</definedName>
    <definedName name="PL4.3" localSheetId="5">{"Thuxm2.xls","Sheet1"}</definedName>
    <definedName name="PL4.3" localSheetId="4">{"Thuxm2.xls","Sheet1"}</definedName>
    <definedName name="PL4.3" localSheetId="8">{"Thuxm2.xls","Sheet1"}</definedName>
    <definedName name="PL4.3" localSheetId="7">{"Thuxm2.xls","Sheet1"}</definedName>
    <definedName name="PL4.3">{"Thuxm2.xls","Sheet1"}</definedName>
    <definedName name="Plan" localSheetId="6">PeriodInPlan*(#REF!&gt;0)</definedName>
    <definedName name="Plan" localSheetId="5">PeriodInPlan*(#REF!&gt;0)</definedName>
    <definedName name="Plan" localSheetId="4">PeriodInPlan*(#REF!&gt;0)</definedName>
    <definedName name="Plan" localSheetId="7">[0]!PeriodInPlan*(#REF!&gt;0)</definedName>
    <definedName name="Plan">PeriodInPlan*(#REF!&gt;0)</definedName>
    <definedName name="Planner">#REF!</definedName>
    <definedName name="Plaster">#REF!</definedName>
    <definedName name="PlucBcaoTD" localSheetId="9" hidden="1">{"'Sheet1'!$L$16"}</definedName>
    <definedName name="PlucBcaoTD" localSheetId="0" hidden="1">{"'Sheet1'!$L$16"}</definedName>
    <definedName name="PlucBcaoTD" localSheetId="10" hidden="1">{"'Sheet1'!$L$16"}</definedName>
    <definedName name="PlucBcaoTD" localSheetId="1" hidden="1">{"'Sheet1'!$L$16"}</definedName>
    <definedName name="PlucBcaoTD" localSheetId="6" hidden="1">{"'Sheet1'!$L$16"}</definedName>
    <definedName name="PlucBcaoTD" localSheetId="5" hidden="1">{"'Sheet1'!$L$16"}</definedName>
    <definedName name="PlucBcaoTD" localSheetId="4" hidden="1">{"'Sheet1'!$L$16"}</definedName>
    <definedName name="PlucBcaoTD" localSheetId="8" hidden="1">{"'Sheet1'!$L$16"}</definedName>
    <definedName name="PlucBcaoTD" localSheetId="7" hidden="1">{"'Sheet1'!$L$16"}</definedName>
    <definedName name="PlucBcaoTD" hidden="1">{"'Sheet1'!$L$16"}</definedName>
    <definedName name="PM">#REF!</definedName>
    <definedName name="pm..">#REF!</definedName>
    <definedName name="PMS" localSheetId="9" hidden="1">{"'Sheet1'!$L$16"}</definedName>
    <definedName name="PMS" localSheetId="0" hidden="1">{"'Sheet1'!$L$16"}</definedName>
    <definedName name="PMS" localSheetId="10" hidden="1">{"'Sheet1'!$L$16"}</definedName>
    <definedName name="PMS" localSheetId="1" hidden="1">{"'Sheet1'!$L$16"}</definedName>
    <definedName name="PMS" localSheetId="6" hidden="1">{"'Sheet1'!$L$16"}</definedName>
    <definedName name="PMS" localSheetId="5" hidden="1">{"'Sheet1'!$L$16"}</definedName>
    <definedName name="PMS" localSheetId="4" hidden="1">{"'Sheet1'!$L$16"}</definedName>
    <definedName name="PMS" localSheetId="8" hidden="1">{"'Sheet1'!$L$16"}</definedName>
    <definedName name="PMS" localSheetId="7" hidden="1">{"'Sheet1'!$L$16"}</definedName>
    <definedName name="PMS" hidden="1">{"'Sheet1'!$L$16"}</definedName>
    <definedName name="Poisson">#REF!</definedName>
    <definedName name="Position">#REF!</definedName>
    <definedName name="POType">#REF!</definedName>
    <definedName name="PowerCord">#REF!</definedName>
    <definedName name="PPP" localSheetId="9">BlankMacro1</definedName>
    <definedName name="PPP" localSheetId="0">BlankMacro1</definedName>
    <definedName name="PPP" localSheetId="10">BlankMacro1</definedName>
    <definedName name="PPP" localSheetId="1">BlankMacro1</definedName>
    <definedName name="PPP" localSheetId="6">BlankMacro1</definedName>
    <definedName name="PPP" localSheetId="5">BlankMacro1</definedName>
    <definedName name="PPP" localSheetId="4">BlankMacro1</definedName>
    <definedName name="PPP" localSheetId="8">BlankMacro1</definedName>
    <definedName name="PPP" localSheetId="7">BlankMacro1</definedName>
    <definedName name="PPP">BlankMacro1</definedName>
    <definedName name="PR">#REF!</definedName>
    <definedName name="PRC">#REF!</definedName>
    <definedName name="PRICE">#REF!</definedName>
    <definedName name="PRICE1">#REF!</definedName>
    <definedName name="Prin1">#REF!</definedName>
    <definedName name="Prin10">#REF!</definedName>
    <definedName name="Prin11">#REF!</definedName>
    <definedName name="Prin12">#REF!</definedName>
    <definedName name="Prin13">#REF!</definedName>
    <definedName name="Prin14">#REF!</definedName>
    <definedName name="Prin15">#REF!</definedName>
    <definedName name="Prin16">#REF!</definedName>
    <definedName name="Prin17">#REF!</definedName>
    <definedName name="Prin18">#REF!</definedName>
    <definedName name="Prin19">#REF!</definedName>
    <definedName name="Prin2">#REF!</definedName>
    <definedName name="Prin20">#REF!</definedName>
    <definedName name="Prin21">#REF!</definedName>
    <definedName name="Prin3">#REF!</definedName>
    <definedName name="Prin4">#REF!</definedName>
    <definedName name="Prin5">#REF!</definedName>
    <definedName name="Prin6">#REF!</definedName>
    <definedName name="Prin7">#REF!</definedName>
    <definedName name="Prin8">#REF!</definedName>
    <definedName name="Prin9">#REF!</definedName>
    <definedName name="_xlnm.Print_Area" localSheetId="9">NTĐG!$A$1:$B$14</definedName>
    <definedName name="_xlnm.Print_Area" localSheetId="6">TBCH!$A$1:$V$44</definedName>
    <definedName name="_xlnm.Print_Area" localSheetId="5">TBĐ!$A$1:$P$39</definedName>
    <definedName name="_xlnm.Print_Area" localSheetId="4">TBHTĐK!$A$1:$R$39</definedName>
    <definedName name="_xlnm.Print_Area" localSheetId="8">TCĐG!$A$1:$C$6</definedName>
    <definedName name="_xlnm.Print_Area" localSheetId="7">TCĐK!$A$2:$Q$46</definedName>
    <definedName name="_xlnm.Print_Area">#REF!</definedName>
    <definedName name="Print_Area_MI">#REF!</definedName>
    <definedName name="print_title">#REF!</definedName>
    <definedName name="_xlnm.Print_Titles" localSheetId="6">TBCH!$2:$2</definedName>
    <definedName name="_xlnm.Print_Titles">#N/A</definedName>
    <definedName name="PRINT_TITLES_MI">#REF!</definedName>
    <definedName name="PRINTA">#REF!</definedName>
    <definedName name="PRINTB">#REF!</definedName>
    <definedName name="PRINTC">#REF!</definedName>
    <definedName name="priority">#REF!</definedName>
    <definedName name="prjName">#REF!</definedName>
    <definedName name="prjNo">#REF!</definedName>
    <definedName name="Probability">#REF!</definedName>
    <definedName name="PROJ">#REF!</definedName>
    <definedName name="ProjectList">#REF!</definedName>
    <definedName name="ProjectStart">#REF!</definedName>
    <definedName name="PROPOSAL">#REF!</definedName>
    <definedName name="Protex">#REF!</definedName>
    <definedName name="Province">#REF!</definedName>
    <definedName name="PST">#REF!</definedName>
    <definedName name="pt">#REF!</definedName>
    <definedName name="PT_A1">#REF!</definedName>
    <definedName name="PT_A2">#REF!</definedName>
    <definedName name="PT_Duong">#REF!</definedName>
    <definedName name="PT_P1">#REF!</definedName>
    <definedName name="PT_P10">#REF!</definedName>
    <definedName name="PT_P11">#REF!</definedName>
    <definedName name="PT_P2">#REF!</definedName>
    <definedName name="PT_P3">#REF!</definedName>
    <definedName name="PT_P4">#REF!</definedName>
    <definedName name="PT_P5">#REF!</definedName>
    <definedName name="PT_P6">#REF!</definedName>
    <definedName name="PT_P7">#REF!</definedName>
    <definedName name="PT_P8">#REF!</definedName>
    <definedName name="PT_P9">#REF!</definedName>
    <definedName name="ptdg">#REF!</definedName>
    <definedName name="PTDG_cau">#REF!</definedName>
    <definedName name="ptdg_cong">#REF!</definedName>
    <definedName name="PTDG_DCV">#REF!</definedName>
    <definedName name="ptdg_duong">#REF!</definedName>
    <definedName name="ptien">#REF!</definedName>
    <definedName name="PTL">#REF!</definedName>
    <definedName name="PTNC">#REF!</definedName>
    <definedName name="PTST">#REF!</definedName>
    <definedName name="ptvt">#REF!</definedName>
    <definedName name="PTH">#REF!</definedName>
    <definedName name="ptran">#REF!</definedName>
    <definedName name="Pu">#REF!</definedName>
    <definedName name="pvd">#REF!</definedName>
    <definedName name="pw">#REF!</definedName>
    <definedName name="PH">#REF!</definedName>
    <definedName name="Ph_n__oan__Km______Km">#REF!</definedName>
    <definedName name="PHAN_DIEN_DZ0.4KV">#REF!</definedName>
    <definedName name="PHAN_DIEN_DZ22KV">#REF!</definedName>
    <definedName name="PHAN_DIEN_TBA">#REF!</definedName>
    <definedName name="PHAN_MUA_SAM_DZ0.4KV">#REF!</definedName>
    <definedName name="PHAN_MUA_SAM_DZ22KV">#REF!</definedName>
    <definedName name="Phan1">#REF!</definedName>
    <definedName name="Phat_quang_tuyen">#REF!</definedName>
    <definedName name="PHC">#REF!</definedName>
    <definedName name="phi_inertial">#REF!</definedName>
    <definedName name="phu_luc_vua">#REF!</definedName>
    <definedName name="phugia">#REF!</definedName>
    <definedName name="q">#REF!</definedName>
    <definedName name="Q_sudung">#REF!</definedName>
    <definedName name="qc">#REF!</definedName>
    <definedName name="qe">#REF!</definedName>
    <definedName name="Qfd">#REF!</definedName>
    <definedName name="qh">#REF!</definedName>
    <definedName name="qhCu">#REF!</definedName>
    <definedName name="qlda" localSheetId="0">#REF!</definedName>
    <definedName name="qlda" localSheetId="10">#REF!</definedName>
    <definedName name="qlda" localSheetId="1">#REF!</definedName>
    <definedName name="qlda" localSheetId="6">#REF!</definedName>
    <definedName name="qlda" localSheetId="5">#REF!</definedName>
    <definedName name="qlda" localSheetId="4">#REF!</definedName>
    <definedName name="qlda" localSheetId="7">#REF!</definedName>
    <definedName name="qlda">#REF!</definedName>
    <definedName name="qq">#REF!</definedName>
    <definedName name="qqq">#REF!</definedName>
    <definedName name="qSF">#REF!</definedName>
    <definedName name="Qsong">#REF!</definedName>
    <definedName name="qt">#REF!</definedName>
    <definedName name="qtdm">#REF!</definedName>
    <definedName name="qth">#REF!</definedName>
    <definedName name="qW">#REF!</definedName>
    <definedName name="qx">#REF!</definedName>
    <definedName name="Qxenang">#REF!</definedName>
    <definedName name="qu">#REF!</definedName>
    <definedName name="Quantities">#REF!</definedName>
    <definedName name="quehan">#REF!</definedName>
    <definedName name="QUYLUONG">#REF!</definedName>
    <definedName name="R_">#REF!</definedName>
    <definedName name="R_mong">#REF!</definedName>
    <definedName name="R0_1">#REF!</definedName>
    <definedName name="R0_2">#REF!</definedName>
    <definedName name="R00">#REF!</definedName>
    <definedName name="R00t">#REF!</definedName>
    <definedName name="ra.">#REF!</definedName>
    <definedName name="Ra_">#REF!</definedName>
    <definedName name="ra11p">#REF!</definedName>
    <definedName name="ra13p">#REF!</definedName>
    <definedName name="rack1">#REF!</definedName>
    <definedName name="rack2">#REF!</definedName>
    <definedName name="rack3">#REF!</definedName>
    <definedName name="rack4">#REF!</definedName>
    <definedName name="raiasphalt100">#REF!</definedName>
    <definedName name="raiasphalt65">#REF!</definedName>
    <definedName name="Rain">#REF!</definedName>
    <definedName name="rain.">#REF!</definedName>
    <definedName name="rain..">#REF!</definedName>
    <definedName name="RANGE">#REF!</definedName>
    <definedName name="RANGE2">#REF!</definedName>
    <definedName name="Ranhxay" localSheetId="9" hidden="1">{"'Sheet1'!$L$16"}</definedName>
    <definedName name="Ranhxay" localSheetId="0" hidden="1">{"'Sheet1'!$L$16"}</definedName>
    <definedName name="Ranhxay" localSheetId="10" hidden="1">{"'Sheet1'!$L$16"}</definedName>
    <definedName name="Ranhxay" localSheetId="1" hidden="1">{"'Sheet1'!$L$16"}</definedName>
    <definedName name="Ranhxay" localSheetId="6" hidden="1">{"'Sheet1'!$L$16"}</definedName>
    <definedName name="Ranhxay" localSheetId="5" hidden="1">{"'Sheet1'!$L$16"}</definedName>
    <definedName name="Ranhxay" localSheetId="4" hidden="1">{"'Sheet1'!$L$16"}</definedName>
    <definedName name="Ranhxay" localSheetId="8" hidden="1">{"'Sheet1'!$L$16"}</definedName>
    <definedName name="Ranhxay" localSheetId="7" hidden="1">{"'Sheet1'!$L$16"}</definedName>
    <definedName name="Ranhxay" hidden="1">{"'Sheet1'!$L$16"}</definedName>
    <definedName name="RATE">#REF!</definedName>
    <definedName name="Raûi_pheân_tre">#REF!</definedName>
    <definedName name="raypb43">#REF!</definedName>
    <definedName name="rb.">#REF!</definedName>
    <definedName name="rc.">#REF!</definedName>
    <definedName name="Rc_">#REF!</definedName>
    <definedName name="RCF">#REF!</definedName>
    <definedName name="RCKM">#REF!</definedName>
    <definedName name="Rctpt">#REF!</definedName>
    <definedName name="RDEC">#REF!</definedName>
    <definedName name="RDEFF">#REF!</definedName>
    <definedName name="RDFC">#REF!</definedName>
    <definedName name="RDFU">#REF!</definedName>
    <definedName name="RDLIF">#REF!</definedName>
    <definedName name="RDOM">#REF!</definedName>
    <definedName name="RDPC">#REF!</definedName>
    <definedName name="rdpcf">#REF!</definedName>
    <definedName name="RDRC">#REF!</definedName>
    <definedName name="RDRF">#REF!</definedName>
    <definedName name="Rdtc">#REF!</definedName>
    <definedName name="_xlnm.Recorder">#REF!</definedName>
    <definedName name="RECOUT">#N/A</definedName>
    <definedName name="REG">#REF!</definedName>
    <definedName name="Region">#REF!</definedName>
    <definedName name="reytukjljlkj" localSheetId="9">{"'Sheet1'!$L$16"}</definedName>
    <definedName name="reytukjljlkj" localSheetId="0">{"'Sheet1'!$L$16"}</definedName>
    <definedName name="reytukjljlkj" localSheetId="10">{"'Sheet1'!$L$16"}</definedName>
    <definedName name="reytukjljlkj" localSheetId="1">{"'Sheet1'!$L$16"}</definedName>
    <definedName name="reytukjljlkj" localSheetId="6">{"'Sheet1'!$L$16"}</definedName>
    <definedName name="reytukjljlkj" localSheetId="5">{"'Sheet1'!$L$16"}</definedName>
    <definedName name="reytukjljlkj" localSheetId="4">{"'Sheet1'!$L$16"}</definedName>
    <definedName name="reytukjljlkj" localSheetId="8">{"'Sheet1'!$L$16"}</definedName>
    <definedName name="reytukjljlkj" localSheetId="7">{"'Sheet1'!$L$16"}</definedName>
    <definedName name="reytukjljlkj">{"'Sheet1'!$L$16"}</definedName>
    <definedName name="rểưytyytuuiyuiyiuu">#REF!</definedName>
    <definedName name="RFNZ3">#REF!</definedName>
    <definedName name="RFP003A">#REF!</definedName>
    <definedName name="RFP003B">#REF!</definedName>
    <definedName name="RFP003C">#REF!</definedName>
    <definedName name="RFP003D">#REF!</definedName>
    <definedName name="RFP003E">#REF!</definedName>
    <definedName name="RFP003F">#REF!</definedName>
    <definedName name="rgfgdfhg">#REF!</definedName>
    <definedName name="RGLIF">#REF!</definedName>
    <definedName name="Rh">#REF!</definedName>
    <definedName name="RHEC">#REF!</definedName>
    <definedName name="RHEFF">#REF!</definedName>
    <definedName name="RHHC">#REF!</definedName>
    <definedName name="RHLIF">#REF!</definedName>
    <definedName name="RHOM">#REF!</definedName>
    <definedName name="ri">#REF!</definedName>
    <definedName name="RIR">#REF!</definedName>
    <definedName name="RiskFactor">#REF!</definedName>
    <definedName name="RiskType">#REF!</definedName>
    <definedName name="River">#REF!</definedName>
    <definedName name="River_Code">#REF!</definedName>
    <definedName name="Rk">#REF!</definedName>
    <definedName name="RL">#REF!</definedName>
    <definedName name="RLd">#REF!</definedName>
    <definedName name="RLF">#REF!</definedName>
    <definedName name="RLKM">#REF!</definedName>
    <definedName name="RLL">#REF!</definedName>
    <definedName name="RLOM">#REF!</definedName>
    <definedName name="Rnp">#REF!</definedName>
    <definedName name="ro0">#REF!</definedName>
    <definedName name="Road_Code">#REF!</definedName>
    <definedName name="Road_Name">#REF!</definedName>
    <definedName name="RoadNo_373">#REF!</definedName>
    <definedName name="RoofingWork">#REF!</definedName>
    <definedName name="Round">#REF!</definedName>
    <definedName name="RoundUps">#REF!</definedName>
    <definedName name="RPLA" localSheetId="9" hidden="1">{"'Sheet1'!$L$16"}</definedName>
    <definedName name="RPLA" localSheetId="0" hidden="1">{"'Sheet1'!$L$16"}</definedName>
    <definedName name="RPLA" localSheetId="10" hidden="1">{"'Sheet1'!$L$16"}</definedName>
    <definedName name="RPLA" localSheetId="1" hidden="1">{"'Sheet1'!$L$16"}</definedName>
    <definedName name="RPLA" localSheetId="6" hidden="1">{"'Sheet1'!$L$16"}</definedName>
    <definedName name="RPLA" localSheetId="5" hidden="1">{"'Sheet1'!$L$16"}</definedName>
    <definedName name="RPLA" localSheetId="4" hidden="1">{"'Sheet1'!$L$16"}</definedName>
    <definedName name="RPLA" localSheetId="8" hidden="1">{"'Sheet1'!$L$16"}</definedName>
    <definedName name="RPLA" localSheetId="7" hidden="1">{"'Sheet1'!$L$16"}</definedName>
    <definedName name="RPLA" hidden="1">{"'Sheet1'!$L$16"}</definedName>
    <definedName name="RPHEC">#REF!</definedName>
    <definedName name="RPHLIF">#REF!</definedName>
    <definedName name="RPHOM">#REF!</definedName>
    <definedName name="RPHPC">#REF!</definedName>
    <definedName name="rr5we6twryt">#REF!</definedName>
    <definedName name="Rrpo">#REF!</definedName>
    <definedName name="RSBC">#REF!</definedName>
    <definedName name="RSBLIF">#REF!</definedName>
    <definedName name="RSIC">#REF!</definedName>
    <definedName name="RSIN">#REF!</definedName>
    <definedName name="RSLIF">#REF!</definedName>
    <definedName name="RSOM">#REF!</definedName>
    <definedName name="RSPI">#REF!</definedName>
    <definedName name="RSSC">#REF!</definedName>
    <definedName name="RT">#REF!</definedName>
    <definedName name="Rtd">#REF!</definedName>
    <definedName name="Ru">#REF!</definedName>
    <definedName name="rung25">#REF!</definedName>
    <definedName name="RWTPlo">#REF!</definedName>
    <definedName name="RWTPhi">#REF!</definedName>
    <definedName name="s">#REF!</definedName>
    <definedName name="s.">#REF!</definedName>
    <definedName name="s_0">#REF!</definedName>
    <definedName name="s_0cd">#REF!</definedName>
    <definedName name="S_1">#REF!</definedName>
    <definedName name="S_2">#REF!</definedName>
    <definedName name="s_58">#REF!</definedName>
    <definedName name="s_58g">#REF!</definedName>
    <definedName name="s_59">#REF!</definedName>
    <definedName name="s_59g">#REF!</definedName>
    <definedName name="s_Icd">#REF!</definedName>
    <definedName name="s75F29">#REF!</definedName>
    <definedName name="sa.">#REF!</definedName>
    <definedName name="sae" localSheetId="9">BlankMacro1</definedName>
    <definedName name="sae" localSheetId="0">BlankMacro1</definedName>
    <definedName name="sae" localSheetId="10">BlankMacro1</definedName>
    <definedName name="sae" localSheetId="1">BlankMacro1</definedName>
    <definedName name="sae" localSheetId="6">BlankMacro1</definedName>
    <definedName name="sae" localSheetId="5">BlankMacro1</definedName>
    <definedName name="sae" localSheetId="4">BlankMacro1</definedName>
    <definedName name="sae" localSheetId="8">BlankMacro1</definedName>
    <definedName name="sae" localSheetId="7">BlankMacro1</definedName>
    <definedName name="sae">BlankMacro1</definedName>
    <definedName name="salan200">#REF!</definedName>
    <definedName name="salan400">#REF!</definedName>
    <definedName name="San_truoc">#REF!</definedName>
    <definedName name="sand">#REF!</definedName>
    <definedName name="sanluongamo">#REF!</definedName>
    <definedName name="sanluongamo1">#REF!</definedName>
    <definedName name="sanluongbao">#REF!</definedName>
    <definedName name="sanluongbao1">#REF!</definedName>
    <definedName name="sanluongco2">#REF!</definedName>
    <definedName name="sanluongdien">#REF!</definedName>
    <definedName name="sanluongdien1">#REF!</definedName>
    <definedName name="sanluongure">#REF!</definedName>
    <definedName name="sanluongure1">#REF!</definedName>
    <definedName name="sat">#REF!</definedName>
    <definedName name="satCT10">#REF!</definedName>
    <definedName name="SatCTlon10">#REF!</definedName>
    <definedName name="SatCThon10">#REF!</definedName>
    <definedName name="satf10">#REF!</definedName>
    <definedName name="satf27">#REF!</definedName>
    <definedName name="satf6">#REF!</definedName>
    <definedName name="satf8">#REF!</definedName>
    <definedName name="satt">#REF!</definedName>
    <definedName name="sattron">#REF!</definedName>
    <definedName name="satu">#REF!</definedName>
    <definedName name="Sau">#REF!</definedName>
    <definedName name="Sau_cong_to">#REF!</definedName>
    <definedName name="SB">#REF!</definedName>
    <definedName name="sb_8">#REF!</definedName>
    <definedName name="sb_8g">#REF!</definedName>
    <definedName name="sb_9">#REF!</definedName>
    <definedName name="sb_9g">#REF!</definedName>
    <definedName name="sbd">#REF!</definedName>
    <definedName name="sbet">#REF!</definedName>
    <definedName name="sbsd">#REF!</definedName>
    <definedName name="sc">#REF!</definedName>
    <definedName name="SC_date">#REF!</definedName>
    <definedName name="SC_name">#REF!</definedName>
    <definedName name="scan">#REF!</definedName>
    <definedName name="scm">#REF!</definedName>
    <definedName name="scr">#REF!</definedName>
    <definedName name="SCT">#REF!</definedName>
    <definedName name="scv">#REF!</definedName>
    <definedName name="SCH">#REF!</definedName>
    <definedName name="sd1p">#REF!</definedName>
    <definedName name="sd3p">#REF!</definedName>
    <definedName name="sda">#REF!</definedName>
    <definedName name="sdaasf">#REF!</definedName>
    <definedName name="sdad">#REF!</definedName>
    <definedName name="sdd">#REF!</definedName>
    <definedName name="SDDL">#REF!</definedName>
    <definedName name="SDF" localSheetId="9" hidden="1">{"'Sheet1'!$L$16"}</definedName>
    <definedName name="SDF" localSheetId="0" hidden="1">{"'Sheet1'!$L$16"}</definedName>
    <definedName name="SDF" localSheetId="10" hidden="1">{"'Sheet1'!$L$16"}</definedName>
    <definedName name="SDF" localSheetId="1" hidden="1">{"'Sheet1'!$L$16"}</definedName>
    <definedName name="SDF" localSheetId="6" hidden="1">{"'Sheet1'!$L$16"}</definedName>
    <definedName name="SDF" localSheetId="5" hidden="1">{"'Sheet1'!$L$16"}</definedName>
    <definedName name="SDF" localSheetId="4" hidden="1">{"'Sheet1'!$L$16"}</definedName>
    <definedName name="SDF" localSheetId="8" hidden="1">{"'Sheet1'!$L$16"}</definedName>
    <definedName name="SDF" localSheetId="7" hidden="1">{"'Sheet1'!$L$16"}</definedName>
    <definedName name="SDF" hidden="1">{"'Sheet1'!$L$16"}</definedName>
    <definedName name="sdfgfhjgjhjkhk" localSheetId="9">{"Thuxm2.xls","Sheet1"}</definedName>
    <definedName name="sdfgfhjgjhjkhk" localSheetId="0">{"Thuxm2.xls","Sheet1"}</definedName>
    <definedName name="sdfgfhjgjhjkhk" localSheetId="10">{"Thuxm2.xls","Sheet1"}</definedName>
    <definedName name="sdfgfhjgjhjkhk" localSheetId="1">{"Thuxm2.xls","Sheet1"}</definedName>
    <definedName name="sdfgfhjgjhjkhk" localSheetId="6">{"Thuxm2.xls","Sheet1"}</definedName>
    <definedName name="sdfgfhjgjhjkhk" localSheetId="5">{"Thuxm2.xls","Sheet1"}</definedName>
    <definedName name="sdfgfhjgjhjkhk" localSheetId="4">{"Thuxm2.xls","Sheet1"}</definedName>
    <definedName name="sdfgfhjgjhjkhk" localSheetId="8">{"Thuxm2.xls","Sheet1"}</definedName>
    <definedName name="sdfgfhjgjhjkhk" localSheetId="7">{"Thuxm2.xls","Sheet1"}</definedName>
    <definedName name="sdfgfhjgjhjkhk">{"Thuxm2.xls","Sheet1"}</definedName>
    <definedName name="sdfs">#REF!</definedName>
    <definedName name="sdfsa" localSheetId="9">BlankMacro1</definedName>
    <definedName name="sdfsa" localSheetId="0">BlankMacro1</definedName>
    <definedName name="sdfsa" localSheetId="10">BlankMacro1</definedName>
    <definedName name="sdfsa" localSheetId="1">BlankMacro1</definedName>
    <definedName name="sdfsa" localSheetId="6">BlankMacro1</definedName>
    <definedName name="sdfsa" localSheetId="5">BlankMacro1</definedName>
    <definedName name="sdfsa" localSheetId="4">BlankMacro1</definedName>
    <definedName name="sdfsa" localSheetId="8">BlankMacro1</definedName>
    <definedName name="sdfsa" localSheetId="7">BlankMacro1</definedName>
    <definedName name="sdfsa">BlankMacro1</definedName>
    <definedName name="sdfsdfsd" localSheetId="9" hidden="1">{"'Sheet1'!$L$16"}</definedName>
    <definedName name="sdfsdfsd" localSheetId="0" hidden="1">{"'Sheet1'!$L$16"}</definedName>
    <definedName name="sdfsdfsd" localSheetId="10" hidden="1">{"'Sheet1'!$L$16"}</definedName>
    <definedName name="sdfsdfsd" localSheetId="1" hidden="1">{"'Sheet1'!$L$16"}</definedName>
    <definedName name="sdfsdfsd" localSheetId="6" hidden="1">{"'Sheet1'!$L$16"}</definedName>
    <definedName name="sdfsdfsd" localSheetId="5" hidden="1">{"'Sheet1'!$L$16"}</definedName>
    <definedName name="sdfsdfsd" localSheetId="4" hidden="1">{"'Sheet1'!$L$16"}</definedName>
    <definedName name="sdfsdfsd" localSheetId="8" hidden="1">{"'Sheet1'!$L$16"}</definedName>
    <definedName name="sdfsdfsd" localSheetId="7" hidden="1">{"'Sheet1'!$L$16"}</definedName>
    <definedName name="sdfsdfsd" hidden="1">{"'Sheet1'!$L$16"}</definedName>
    <definedName name="SDMONG">#REF!</definedName>
    <definedName name="sdo">#REF!</definedName>
    <definedName name="sdx">#REF!</definedName>
    <definedName name="Sen_CPA">#REF!</definedName>
    <definedName name="SEN_DAP">#REF!</definedName>
    <definedName name="Sen_luongCPA">#REF!</definedName>
    <definedName name="SEN_Margin">#REF!</definedName>
    <definedName name="Sen_NaturalGas">#REF!</definedName>
    <definedName name="Sen_NL_NPK">#REF!</definedName>
    <definedName name="Sen_Nguyenlieu">#REF!</definedName>
    <definedName name="Sen_NH3">#REF!</definedName>
    <definedName name="Sen_PriceOfK">#REF!</definedName>
    <definedName name="Sen_PriceOfN">#REF!</definedName>
    <definedName name="Sen_PriceOfP">#REF!</definedName>
    <definedName name="Sen_PriceOfS">#REF!</definedName>
    <definedName name="Sen_PriceOfUrea">#REF!</definedName>
    <definedName name="Sen_sanpham">#REF!</definedName>
    <definedName name="Sen_SP_NPK">#REF!</definedName>
    <definedName name="Sen_TMDT_Both">#REF!</definedName>
    <definedName name="Sen_TMDT_NPK">#REF!</definedName>
    <definedName name="SEN_TyLeVanHanh">#REF!</definedName>
    <definedName name="sencount" hidden="1">2</definedName>
    <definedName name="Sensation">#REF!</definedName>
    <definedName name="SETVAR">#REF!</definedName>
    <definedName name="sfsd" localSheetId="9" hidden="1">{"'Sheet1'!$L$16"}</definedName>
    <definedName name="sfsd" localSheetId="0" hidden="1">{"'Sheet1'!$L$16"}</definedName>
    <definedName name="sfsd" localSheetId="10" hidden="1">{"'Sheet1'!$L$16"}</definedName>
    <definedName name="sfsd" localSheetId="1" hidden="1">{"'Sheet1'!$L$16"}</definedName>
    <definedName name="sfsd" localSheetId="6" hidden="1">{"'Sheet1'!$L$16"}</definedName>
    <definedName name="sfsd" localSheetId="5" hidden="1">{"'Sheet1'!$L$16"}</definedName>
    <definedName name="sfsd" localSheetId="4" hidden="1">{"'Sheet1'!$L$16"}</definedName>
    <definedName name="sfsd" localSheetId="8" hidden="1">{"'Sheet1'!$L$16"}</definedName>
    <definedName name="sfsd" localSheetId="7" hidden="1">{"'Sheet1'!$L$16"}</definedName>
    <definedName name="sfsd" hidden="1">{"'Sheet1'!$L$16"}</definedName>
    <definedName name="SFX">#REF!</definedName>
    <definedName name="SFY">#REF!</definedName>
    <definedName name="sg">#REF!</definedName>
    <definedName name="sg1.">#REF!</definedName>
    <definedName name="sg2.">#REF!</definedName>
    <definedName name="sgnc">#REF!</definedName>
    <definedName name="sgvl">#REF!</definedName>
    <definedName name="Sharing_factor">#REF!</definedName>
    <definedName name="SHCUOC">#REF!</definedName>
    <definedName name="Sheet1">#REF!</definedName>
    <definedName name="SheetName">"[Bao_cao_cua_NVTK_tai_NPP_bieu_mau_moi_4___Mau_moi.xls]~         "</definedName>
    <definedName name="sho">#REF!</definedName>
    <definedName name="sht">#REF!</definedName>
    <definedName name="sht1p">#REF!</definedName>
    <definedName name="sht3p">#REF!</definedName>
    <definedName name="sieucao">#REF!</definedName>
    <definedName name="SIZE">#REF!</definedName>
    <definedName name="sj">#REF!</definedName>
    <definedName name="skd">#REF!</definedName>
    <definedName name="SKUcoverage">#REF!</definedName>
    <definedName name="SL">#REF!</definedName>
    <definedName name="SL_5">(#REF!,#REF!,#REF!,#REF!,#REF!,#REF!,#REF!)</definedName>
    <definedName name="SL_7">(#REF!,#REF!,#REF!,#REF!,#REF!,#REF!,#REF!)</definedName>
    <definedName name="SL_8">(#REF!,#REF!,#REF!,#REF!,#REF!,#REF!,#REF!)</definedName>
    <definedName name="SL_9">(#REF!,#REF!,#REF!,#REF!,#REF!,#REF!,#REF!)</definedName>
    <definedName name="SL_CRD">#REF!</definedName>
    <definedName name="SL_CRS">#REF!</definedName>
    <definedName name="SL_CS">#REF!</definedName>
    <definedName name="SL_DD">#REF!</definedName>
    <definedName name="slk">#REF!</definedName>
    <definedName name="sll">#REF!</definedName>
    <definedName name="SLQI">#REF!</definedName>
    <definedName name="SLQII">#REF!</definedName>
    <definedName name="SLQIII">#REF!</definedName>
    <definedName name="SLQIV">#REF!</definedName>
    <definedName name="SLTS">#REF!</definedName>
    <definedName name="smax">#REF!</definedName>
    <definedName name="smax1">#REF!</definedName>
    <definedName name="smin">#REF!</definedName>
    <definedName name="sn">#REF!</definedName>
    <definedName name="SNV12Q2">#REF!</definedName>
    <definedName name="SO">OFFSET(#REF!,COUNTA(#REF!)-1,0,1)</definedName>
    <definedName name="soc3p">#REF!</definedName>
    <definedName name="SoChungTu">#REF!</definedName>
    <definedName name="Sogoi">#REF!</definedName>
    <definedName name="Sohd">#REF!</definedName>
    <definedName name="sohieuthua">#REF!</definedName>
    <definedName name="soho">#REF!</definedName>
    <definedName name="Soi">#REF!</definedName>
    <definedName name="Soi_HamYen">#REF!</definedName>
    <definedName name="soichon12">#REF!</definedName>
    <definedName name="soichon1x2">#REF!</definedName>
    <definedName name="soichon24">#REF!</definedName>
    <definedName name="soichon46">#REF!</definedName>
    <definedName name="soichon4x6">#REF!</definedName>
    <definedName name="soigai">#REF!</definedName>
    <definedName name="SoilType">#REF!</definedName>
    <definedName name="Solan">#REF!</definedName>
    <definedName name="solieu">#REF!</definedName>
    <definedName name="SOLUONG">#REF!</definedName>
    <definedName name="Son">#REF!</definedName>
    <definedName name="sonduong">#REF!</definedName>
    <definedName name="Sonth">#REF!</definedName>
    <definedName name="SORT">#REF!</definedName>
    <definedName name="SORT_AREA">#REF!</definedName>
    <definedName name="SOTIEN">OFFSET(#REF!,COUNTA(#REF!)-1,0,1)</definedName>
    <definedName name="SOTIEN_CO_NK">#REF!</definedName>
    <definedName name="SOTIEN_NO_NK">#REF!</definedName>
    <definedName name="SP">#REF!</definedName>
    <definedName name="sp_bq">#REF!</definedName>
    <definedName name="sp_bv">#REF!</definedName>
    <definedName name="sp_ck">#REF!</definedName>
    <definedName name="sp_d1">#REF!</definedName>
    <definedName name="sp_d2">#REF!</definedName>
    <definedName name="sp_d3">#REF!</definedName>
    <definedName name="sp_dl">#REF!</definedName>
    <definedName name="sp_kcs">#REF!</definedName>
    <definedName name="sp_nb">#REF!</definedName>
    <definedName name="sp_nv">#REF!</definedName>
    <definedName name="sp_ngio">#REF!</definedName>
    <definedName name="sp_t3">#REF!</definedName>
    <definedName name="sp_t4">#REF!</definedName>
    <definedName name="sp_t5">#REF!</definedName>
    <definedName name="sp_t6">#REF!</definedName>
    <definedName name="sp_tc">#REF!</definedName>
    <definedName name="sp_tm">#REF!</definedName>
    <definedName name="sp_vs">#REF!</definedName>
    <definedName name="sp_xh">#REF!</definedName>
    <definedName name="SPAN">#REF!</definedName>
    <definedName name="SPAN_No">#REF!</definedName>
    <definedName name="SPEC">#REF!</definedName>
    <definedName name="SPECSUMMARY">#REF!</definedName>
    <definedName name="spk1p">#REF!</definedName>
    <definedName name="spk3p">#REF!</definedName>
    <definedName name="SQ">#REF!</definedName>
    <definedName name="srbn" localSheetId="9">{"Thuxm2.xls","Sheet1"}</definedName>
    <definedName name="srbn" localSheetId="0">{"Thuxm2.xls","Sheet1"}</definedName>
    <definedName name="srbn" localSheetId="10">{"Thuxm2.xls","Sheet1"}</definedName>
    <definedName name="srbn" localSheetId="1">{"Thuxm2.xls","Sheet1"}</definedName>
    <definedName name="srbn" localSheetId="6">{"Thuxm2.xls","Sheet1"}</definedName>
    <definedName name="srbn" localSheetId="5">{"Thuxm2.xls","Sheet1"}</definedName>
    <definedName name="srbn" localSheetId="4">{"Thuxm2.xls","Sheet1"}</definedName>
    <definedName name="srbn" localSheetId="8">{"Thuxm2.xls","Sheet1"}</definedName>
    <definedName name="srbn" localSheetId="7">{"Thuxm2.xls","Sheet1"}</definedName>
    <definedName name="srbn">{"Thuxm2.xls","Sheet1"}</definedName>
    <definedName name="srtg">#REF!</definedName>
    <definedName name="ss" localSheetId="9">BlankMacro1</definedName>
    <definedName name="ss" localSheetId="0">BlankMacro1</definedName>
    <definedName name="ss" localSheetId="10">BlankMacro1</definedName>
    <definedName name="ss" localSheetId="1">BlankMacro1</definedName>
    <definedName name="ss" localSheetId="6">BlankMacro1</definedName>
    <definedName name="ss" localSheetId="5">BlankMacro1</definedName>
    <definedName name="ss" localSheetId="4">BlankMacro1</definedName>
    <definedName name="ss" localSheetId="8">BlankMacro1</definedName>
    <definedName name="ss" localSheetId="7">BlankMacro1</definedName>
    <definedName name="ss">BlankMacro1</definedName>
    <definedName name="sss">#REF!</definedName>
    <definedName name="ssss">#REF!</definedName>
    <definedName name="ST">#REF!</definedName>
    <definedName name="st1p">#REF!</definedName>
    <definedName name="st3p">#REF!</definedName>
    <definedName name="start">#REF!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art_year">#REF!</definedName>
    <definedName name="Statement_Date">#REF!</definedName>
    <definedName name="Statistic">#REF!</definedName>
    <definedName name="Stc">#REF!</definedName>
    <definedName name="STD">#REF!</definedName>
    <definedName name="STDL">#REF!</definedName>
    <definedName name="stsd">#REF!</definedName>
    <definedName name="str">#REF!</definedName>
    <definedName name="SU">#REF!</definedName>
    <definedName name="sub">#REF!</definedName>
    <definedName name="SUL">#REF!</definedName>
    <definedName name="sum">#REF!,#REF!</definedName>
    <definedName name="SUMITOMO">#REF!</definedName>
    <definedName name="SUMITOMO_GT">#REF!</definedName>
    <definedName name="SUMMARY">#REF!</definedName>
    <definedName name="SumXL">#REF!</definedName>
    <definedName name="Supervisor">#REF!</definedName>
    <definedName name="sur">#REF!</definedName>
    <definedName name="sv">#REF!</definedName>
    <definedName name="svn">#REF!</definedName>
    <definedName name="t">#REF!</definedName>
    <definedName name="t.">#REF!</definedName>
    <definedName name="t..">#REF!</definedName>
    <definedName name="T.3" localSheetId="9" hidden="1">{"'Sheet1'!$L$16"}</definedName>
    <definedName name="T.3" localSheetId="0" hidden="1">{"'Sheet1'!$L$16"}</definedName>
    <definedName name="T.3" localSheetId="10" hidden="1">{"'Sheet1'!$L$16"}</definedName>
    <definedName name="T.3" localSheetId="1" hidden="1">{"'Sheet1'!$L$16"}</definedName>
    <definedName name="T.3" localSheetId="6" hidden="1">{"'Sheet1'!$L$16"}</definedName>
    <definedName name="T.3" localSheetId="5" hidden="1">{"'Sheet1'!$L$16"}</definedName>
    <definedName name="T.3" localSheetId="4" hidden="1">{"'Sheet1'!$L$16"}</definedName>
    <definedName name="T.3" localSheetId="8" hidden="1">{"'Sheet1'!$L$16"}</definedName>
    <definedName name="T.3" localSheetId="7" hidden="1">{"'Sheet1'!$L$16"}</definedName>
    <definedName name="T.3" hidden="1">{"'Sheet1'!$L$16"}</definedName>
    <definedName name="T.nhËp">#REF!</definedName>
    <definedName name="t_1">#REF!</definedName>
    <definedName name="T_CH_00001_AC">#REF!</definedName>
    <definedName name="T_CH_AC">#REF!</definedName>
    <definedName name="T_dat">#REF!</definedName>
    <definedName name="t101p">#REF!</definedName>
    <definedName name="t103p">#REF!</definedName>
    <definedName name="t105mnc">#REF!</definedName>
    <definedName name="t10m">#REF!</definedName>
    <definedName name="t10nc">#REF!</definedName>
    <definedName name="t10nc1p">#REF!</definedName>
    <definedName name="t10ncm">#REF!</definedName>
    <definedName name="T10vc">#REF!</definedName>
    <definedName name="t10vl">#REF!</definedName>
    <definedName name="t10vl1p">#REF!</definedName>
    <definedName name="t121p">#REF!</definedName>
    <definedName name="t123p">#REF!</definedName>
    <definedName name="t12m">#REF!</definedName>
    <definedName name="t12mnc">#REF!</definedName>
    <definedName name="t12nc">#REF!</definedName>
    <definedName name="t12nc3p">#REF!</definedName>
    <definedName name="t12ncm">#REF!</definedName>
    <definedName name="T12vc">#REF!</definedName>
    <definedName name="t12vl">#REF!</definedName>
    <definedName name="t12vl3p">#REF!</definedName>
    <definedName name="t141p">#REF!</definedName>
    <definedName name="t143p">#REF!</definedName>
    <definedName name="t14m">#REF!</definedName>
    <definedName name="t14mnc">#REF!</definedName>
    <definedName name="t14nc">#REF!</definedName>
    <definedName name="t14nc3p">#REF!</definedName>
    <definedName name="t14ncm">#REF!</definedName>
    <definedName name="T14vc">#REF!</definedName>
    <definedName name="t14vl">#REF!</definedName>
    <definedName name="t14vl3p">#REF!</definedName>
    <definedName name="T203P">#REF!</definedName>
    <definedName name="t20m">#REF!</definedName>
    <definedName name="t20ncm">#REF!</definedName>
    <definedName name="t7m">#REF!</definedName>
    <definedName name="t7nc">#REF!</definedName>
    <definedName name="t7vl">#REF!</definedName>
    <definedName name="t84mnc">#REF!</definedName>
    <definedName name="t8m">#REF!</definedName>
    <definedName name="t8nc">#REF!</definedName>
    <definedName name="t8vl">#REF!</definedName>
    <definedName name="Table">#REF!</definedName>
    <definedName name="Table1">#REF!</definedName>
    <definedName name="Table3">#REF!</definedName>
    <definedName name="table4">#REF!</definedName>
    <definedName name="table5">#REF!</definedName>
    <definedName name="table6">#REF!</definedName>
    <definedName name="table6b">#REF!</definedName>
    <definedName name="table7">#REF!</definedName>
    <definedName name="Tach_NghinTy">#REF!</definedName>
    <definedName name="tadao">#REF!</definedName>
    <definedName name="Tai_trong">#REF!</definedName>
    <definedName name="Tai_Trong_Tinh_Toan">#REF!</definedName>
    <definedName name="Taikhoan">#REF!</definedName>
    <definedName name="Tam">#REF!</definedName>
    <definedName name="tamlop">#REF!</definedName>
    <definedName name="TAMT">#REF!</definedName>
    <definedName name="TAMTINH">#REF!</definedName>
    <definedName name="Tan" localSheetId="9" hidden="1">{"'Sheet1'!$L$16"}</definedName>
    <definedName name="Tan" localSheetId="0" hidden="1">{"'Sheet1'!$L$16"}</definedName>
    <definedName name="Tan" localSheetId="10" hidden="1">{"'Sheet1'!$L$16"}</definedName>
    <definedName name="Tan" localSheetId="1" hidden="1">{"'Sheet1'!$L$16"}</definedName>
    <definedName name="Tan" localSheetId="6" hidden="1">{"'Sheet1'!$L$16"}</definedName>
    <definedName name="Tan" localSheetId="5" hidden="1">{"'Sheet1'!$L$16"}</definedName>
    <definedName name="Tan" localSheetId="4" hidden="1">{"'Sheet1'!$L$16"}</definedName>
    <definedName name="Tan" localSheetId="8" hidden="1">{"'Sheet1'!$L$16"}</definedName>
    <definedName name="Tan" localSheetId="7" hidden="1">{"'Sheet1'!$L$16"}</definedName>
    <definedName name="Tan" hidden="1">{"'Sheet1'!$L$16"}</definedName>
    <definedName name="Tan_suat">#REF!</definedName>
    <definedName name="taukeo150">#REF!</definedName>
    <definedName name="taun">#REF!</definedName>
    <definedName name="Tax">#REF!</definedName>
    <definedName name="TaxTV">10%</definedName>
    <definedName name="TaxXL">5%</definedName>
    <definedName name="TayRiSon">#REF!</definedName>
    <definedName name="TayRyHan">#REF!</definedName>
    <definedName name="tb">#REF!</definedName>
    <definedName name="TB_CTO">#REF!</definedName>
    <definedName name="TBA">#REF!</definedName>
    <definedName name="tbagd1">#REF!</definedName>
    <definedName name="tbdd1p">#REF!</definedName>
    <definedName name="tbdd3p">#REF!</definedName>
    <definedName name="tbddsdl">#REF!</definedName>
    <definedName name="TBI">#REF!</definedName>
    <definedName name="TBNS">#REF!</definedName>
    <definedName name="TBRL">#REF!</definedName>
    <definedName name="tbtr">#REF!</definedName>
    <definedName name="tbtram">#REF!</definedName>
    <definedName name="TBXD">#REF!</definedName>
    <definedName name="TC">#REF!</definedName>
    <definedName name="tc_1">#REF!</definedName>
    <definedName name="tc_2">#REF!</definedName>
    <definedName name="TC_NHANH1">#REF!</definedName>
    <definedName name="TCVa">#REF!</definedName>
    <definedName name="TCXe">#REF!</definedName>
    <definedName name="tcxxnc">#REF!</definedName>
    <definedName name="Tchuan">#REF!</definedName>
    <definedName name="td">#REF!</definedName>
    <definedName name="td10vl">#REF!</definedName>
    <definedName name="td12nc">#REF!</definedName>
    <definedName name="TD12vl">#REF!</definedName>
    <definedName name="td1cnc">#REF!</definedName>
    <definedName name="td1cvl">#REF!</definedName>
    <definedName name="td1p">#REF!</definedName>
    <definedName name="TD1p1nc">#REF!</definedName>
    <definedName name="td1p1vc">#REF!</definedName>
    <definedName name="TD1p1vl">#REF!</definedName>
    <definedName name="TD1p2nc">#REF!</definedName>
    <definedName name="TD1p2vc">#REF!</definedName>
    <definedName name="TD1p2vl">#REF!</definedName>
    <definedName name="TD1pnc">#REF!</definedName>
    <definedName name="TD1pvl">#REF!</definedName>
    <definedName name="td3p">#REF!</definedName>
    <definedName name="tdbcnckt" localSheetId="0">#REF!</definedName>
    <definedName name="tdbcnckt" localSheetId="10">#REF!</definedName>
    <definedName name="tdbcnckt" localSheetId="1">#REF!</definedName>
    <definedName name="tdbcnckt" localSheetId="6">#REF!</definedName>
    <definedName name="tdbcnckt" localSheetId="5">#REF!</definedName>
    <definedName name="tdbcnckt" localSheetId="4">#REF!</definedName>
    <definedName name="tdbcnckt" localSheetId="7">#REF!</definedName>
    <definedName name="tdbcnckt">#REF!</definedName>
    <definedName name="tdc84nc">#REF!</definedName>
    <definedName name="tdcnc">#REF!</definedName>
    <definedName name="TDctnc">#REF!</definedName>
    <definedName name="TDctvc">#REF!</definedName>
    <definedName name="TDctvl">#REF!</definedName>
    <definedName name="tdgnc">#REF!</definedName>
    <definedName name="tdgvl">#REF!</definedName>
    <definedName name="tdhtnc">#REF!</definedName>
    <definedName name="tdhtvl">#REF!</definedName>
    <definedName name="tdia">#REF!</definedName>
    <definedName name="TDKB">#REF!</definedName>
    <definedName name="TDmnc">#REF!</definedName>
    <definedName name="TDmvc">#REF!</definedName>
    <definedName name="TDmvl">#REF!</definedName>
    <definedName name="tdnc">#REF!</definedName>
    <definedName name="tdnc1p">#REF!</definedName>
    <definedName name="tdnc3p">#REF!</definedName>
    <definedName name="tdo">#REF!</definedName>
    <definedName name="tdt">#REF!</definedName>
    <definedName name="tdt1pnc">#REF!</definedName>
    <definedName name="tdt1pvl">#REF!</definedName>
    <definedName name="tdt2cnc">#REF!</definedName>
    <definedName name="tdt2cvl">#REF!</definedName>
    <definedName name="tdtr2cnc">#REF!</definedName>
    <definedName name="tdtr2cvl">#REF!</definedName>
    <definedName name="tdtrnc">#REF!</definedName>
    <definedName name="tdtrvl">#REF!</definedName>
    <definedName name="TDV">#REF!</definedName>
    <definedName name="tdvl">#REF!</definedName>
    <definedName name="tdvl1p">#REF!</definedName>
    <definedName name="tdvl3p">#REF!</definedName>
    <definedName name="tecnuoc5">#REF!</definedName>
    <definedName name="tem" localSheetId="9" hidden="1">{"'Sheet1'!$L$16"}</definedName>
    <definedName name="tem" localSheetId="0" hidden="1">{"'Sheet1'!$L$16"}</definedName>
    <definedName name="tem" localSheetId="10" hidden="1">{"'Sheet1'!$L$16"}</definedName>
    <definedName name="tem" localSheetId="1" hidden="1">{"'Sheet1'!$L$16"}</definedName>
    <definedName name="tem" localSheetId="6" hidden="1">{"'Sheet1'!$L$16"}</definedName>
    <definedName name="tem" localSheetId="5" hidden="1">{"'Sheet1'!$L$16"}</definedName>
    <definedName name="tem" localSheetId="4" hidden="1">{"'Sheet1'!$L$16"}</definedName>
    <definedName name="tem" localSheetId="8" hidden="1">{"'Sheet1'!$L$16"}</definedName>
    <definedName name="tem" localSheetId="7" hidden="1">{"'Sheet1'!$L$16"}</definedName>
    <definedName name="tem" hidden="1">{"'Sheet1'!$L$16"}</definedName>
    <definedName name="temp">#REF!</definedName>
    <definedName name="Temp_Br">#REF!</definedName>
    <definedName name="TEMPBR">#REF!</definedName>
    <definedName name="TemporaryWork">#REF!</definedName>
    <definedName name="ten">#REF!</definedName>
    <definedName name="Ten_du_an">#REF!</definedName>
    <definedName name="tenvung">#REF!</definedName>
    <definedName name="TENH">#REF!</definedName>
    <definedName name="test">#REF!</definedName>
    <definedName name="Test5">#N/A</definedName>
    <definedName name="text">#REF!,#REF!,#REF!,#REF!,#REF!</definedName>
    <definedName name="tên1">#REF!</definedName>
    <definedName name="tfdd">#REF!</definedName>
    <definedName name="TG">#REF!</definedName>
    <definedName name="TI">#REF!</definedName>
    <definedName name="Ti_le_FC">#REF!</definedName>
    <definedName name="Tien">#REF!</definedName>
    <definedName name="Tien_do">#REF!</definedName>
    <definedName name="tiendau">#REF!</definedName>
    <definedName name="TIENLUONG">#REF!</definedName>
    <definedName name="tientu">#REF!</definedName>
    <definedName name="TienUSD">#REF!</definedName>
    <definedName name="tiengao">#REF!</definedName>
    <definedName name="Tiep_dia">#REF!</definedName>
    <definedName name="Tiepdia">#REF!</definedName>
    <definedName name="Tiepdiama">9500</definedName>
    <definedName name="TIEU_HAO_VAT_TU_DZ0.4KV">#REF!</definedName>
    <definedName name="TIEU_HAO_VAT_TU_DZ22KV">#REF!</definedName>
    <definedName name="TIEU_HAO_VAT_TU_TBA">#REF!</definedName>
    <definedName name="TileStone">#REF!</definedName>
    <definedName name="Tim_cong">#REF!</definedName>
    <definedName name="Tim_lan_xuat_hien">#REF!</definedName>
    <definedName name="tim_xuat_hien">#REF!</definedName>
    <definedName name="TimeFrame">#REF!</definedName>
    <definedName name="tinhqt" localSheetId="0">#REF!</definedName>
    <definedName name="tinhqt" localSheetId="10">#REF!</definedName>
    <definedName name="tinhqt" localSheetId="1">#REF!</definedName>
    <definedName name="tinhqt" localSheetId="6">#REF!</definedName>
    <definedName name="tinhqt" localSheetId="5">#REF!</definedName>
    <definedName name="tinhqt" localSheetId="4">#REF!</definedName>
    <definedName name="tinhqt" localSheetId="7">#REF!</definedName>
    <definedName name="tinhqt">#REF!</definedName>
    <definedName name="TINHTP">OFFSET(#REF!,COUNTIF(#REF!,"&lt;&gt;0")-1,0,1)</definedName>
    <definedName name="TITAN">#REF!</definedName>
    <definedName name="TitleRegion..BO60">#REF!</definedName>
    <definedName name="TK">#REF!</definedName>
    <definedName name="TK_LS_SC">#REF!</definedName>
    <definedName name="TKCO_NK">#REF!</definedName>
    <definedName name="TkCto">#REF!</definedName>
    <definedName name="TKNO_NK">#REF!</definedName>
    <definedName name="TKP">#REF!</definedName>
    <definedName name="tkpdt" localSheetId="0">#REF!</definedName>
    <definedName name="tkpdt" localSheetId="10">#REF!</definedName>
    <definedName name="tkpdt" localSheetId="1">#REF!</definedName>
    <definedName name="tkpdt" localSheetId="6">#REF!</definedName>
    <definedName name="tkpdt" localSheetId="5">#REF!</definedName>
    <definedName name="tkpdt" localSheetId="4">#REF!</definedName>
    <definedName name="tkpdt" localSheetId="7">#REF!</definedName>
    <definedName name="tkpdt">#REF!</definedName>
    <definedName name="TKYB">"TKYB"</definedName>
    <definedName name="TL">#REF!</definedName>
    <definedName name="TLAC120">#REF!</definedName>
    <definedName name="TLAC35">#REF!</definedName>
    <definedName name="TLAC50">#REF!</definedName>
    <definedName name="TLAC70">#REF!</definedName>
    <definedName name="TLAC95">#REF!</definedName>
    <definedName name="TLDa">#REF!</definedName>
    <definedName name="TLdat">#REF!</definedName>
    <definedName name="TLDM">#REF!</definedName>
    <definedName name="Tle">#REF!</definedName>
    <definedName name="TLPD">#REF!</definedName>
    <definedName name="tlrieng">#REF!</definedName>
    <definedName name="tluong">#REF!</definedName>
    <definedName name="TM">#REF!</definedName>
    <definedName name="tmbxd">#REF!</definedName>
    <definedName name="TMDT1">#REF!</definedName>
    <definedName name="TMDT2">#REF!</definedName>
    <definedName name="TMDTmoi">#REF!</definedName>
    <definedName name="TMProtection">#REF!</definedName>
    <definedName name="TN">#REF!</definedName>
    <definedName name="TN_0.4">#REF!</definedName>
    <definedName name="TN_22">#REF!</definedName>
    <definedName name="TN_b_qu_n">#REF!</definedName>
    <definedName name="TN_CTO">#REF!</definedName>
    <definedName name="tn1pinnc">#REF!</definedName>
    <definedName name="tn2mhnnc">#REF!</definedName>
    <definedName name="TNCM">#REF!</definedName>
    <definedName name="tnignc">#REF!</definedName>
    <definedName name="tnin190nc">#REF!</definedName>
    <definedName name="tnlnc">#REF!</definedName>
    <definedName name="tnnnc">#REF!</definedName>
    <definedName name="TNNT">#REF!</definedName>
    <definedName name="tno">#REF!</definedName>
    <definedName name="TNTNM">#REF!</definedName>
    <definedName name="tnh_bq">#REF!</definedName>
    <definedName name="tnh_bv">#REF!</definedName>
    <definedName name="tnh_ck">#REF!</definedName>
    <definedName name="tnh_d1">#REF!</definedName>
    <definedName name="tnh_d2">#REF!</definedName>
    <definedName name="tnh_d3">#REF!</definedName>
    <definedName name="tnh_dl">#REF!</definedName>
    <definedName name="tnh_kcs">#REF!</definedName>
    <definedName name="tnh_nb">#REF!</definedName>
    <definedName name="tnh_nv">#REF!</definedName>
    <definedName name="tnh_ngio">#REF!</definedName>
    <definedName name="tnh_t3">#REF!</definedName>
    <definedName name="tnh_t4">#REF!</definedName>
    <definedName name="tnh_t5">#REF!</definedName>
    <definedName name="tnh_t6">#REF!</definedName>
    <definedName name="tnh_tc">#REF!</definedName>
    <definedName name="tnh_tm">#REF!</definedName>
    <definedName name="tnh_vs">#REF!</definedName>
    <definedName name="tnh_xh">#REF!</definedName>
    <definedName name="tnhnnc">#REF!</definedName>
    <definedName name="to">#REF!</definedName>
    <definedName name="Toanbo">#REF!</definedName>
    <definedName name="toeic">#REF!</definedName>
    <definedName name="toi5t">#REF!</definedName>
    <definedName name="ton">#REF!</definedName>
    <definedName name="Tonmai">#REF!</definedName>
    <definedName name="TonQuyT4">#REF!</definedName>
    <definedName name="Tong">#REF!</definedName>
    <definedName name="Tong_co">#REF!</definedName>
    <definedName name="TONG_GIA_TRI_CONG_TRINH">#REF!</definedName>
    <definedName name="TONG_HOP_THI_NGHIEM_DZ0.4KV">#REF!</definedName>
    <definedName name="TONG_HOP_THI_NGHIEM_DZ22KV">#REF!</definedName>
    <definedName name="TONG_KE_DZ0.4KV">#REF!</definedName>
    <definedName name="TONG_KE_TBA">#REF!</definedName>
    <definedName name="Tong_no">#REF!</definedName>
    <definedName name="tongdt">#REF!</definedName>
    <definedName name="TONGDUTOAN">#REF!</definedName>
    <definedName name="TonghopHtxH">#REF!</definedName>
    <definedName name="TonghopHtxT">#REF!</definedName>
    <definedName name="TONGKHOILUONG">#REF!</definedName>
    <definedName name="TONGVATTU">#REF!</definedName>
    <definedName name="TOP">#REF!</definedName>
    <definedName name="TOTAL">#REF!</definedName>
    <definedName name="totb">#REF!</definedName>
    <definedName name="totb1">#REF!</definedName>
    <definedName name="totb2">#REF!</definedName>
    <definedName name="totb3">#REF!</definedName>
    <definedName name="totb4">#REF!</definedName>
    <definedName name="totb5">#REF!</definedName>
    <definedName name="totb6">#REF!</definedName>
    <definedName name="TP">#REF!</definedName>
    <definedName name="TPLRP">#REF!</definedName>
    <definedName name="TPT">#REF!</definedName>
    <definedName name="ts">#REF!</definedName>
    <definedName name="tsI">#REF!</definedName>
    <definedName name="TT">#REF!</definedName>
    <definedName name="TT_1P">#REF!</definedName>
    <definedName name="TT_3p">#REF!</definedName>
    <definedName name="TT_cot">#REF!</definedName>
    <definedName name="tt1pnc">#REF!</definedName>
    <definedName name="tt1pvl">#REF!</definedName>
    <definedName name="tt3pnc">#REF!</definedName>
    <definedName name="tt3pvl">#REF!</definedName>
    <definedName name="ttam">#REF!</definedName>
    <definedName name="ttao">#REF!</definedName>
    <definedName name="ttbt">#REF!</definedName>
    <definedName name="TTDD">#REF!+#REF!+#REF!</definedName>
    <definedName name="TTDD1P">#REF!</definedName>
    <definedName name="TTDD3P">#REF!</definedName>
    <definedName name="ttdd3pct">#REF!</definedName>
    <definedName name="TTDDCT3p">#REF!</definedName>
    <definedName name="TTDKKH">#REF!</definedName>
    <definedName name="ttinh">#REF!</definedName>
    <definedName name="TTK3p">#REF!</definedName>
    <definedName name="TTLo62">#REF!</definedName>
    <definedName name="ttt">#REF!</definedName>
    <definedName name="tttb">#REF!</definedName>
    <definedName name="tttt">#REF!</definedName>
    <definedName name="TTTR">#REF!</definedName>
    <definedName name="TTVAn5">#REF!</definedName>
    <definedName name="tth">#REF!</definedName>
    <definedName name="tthi">#REF!</definedName>
    <definedName name="ttronmk">#REF!</definedName>
    <definedName name="Tu_dung_ton_that">#REF!</definedName>
    <definedName name="Tuong_dau_HD">#REF!</definedName>
    <definedName name="TuVan">#REF!</definedName>
    <definedName name="tuyennhanh" localSheetId="9" hidden="1">{"'Sheet1'!$L$16"}</definedName>
    <definedName name="tuyennhanh" localSheetId="0" hidden="1">{"'Sheet1'!$L$16"}</definedName>
    <definedName name="tuyennhanh" localSheetId="10" hidden="1">{"'Sheet1'!$L$16"}</definedName>
    <definedName name="tuyennhanh" localSheetId="1" hidden="1">{"'Sheet1'!$L$16"}</definedName>
    <definedName name="tuyennhanh" localSheetId="6" hidden="1">{"'Sheet1'!$L$16"}</definedName>
    <definedName name="tuyennhanh" localSheetId="5" hidden="1">{"'Sheet1'!$L$16"}</definedName>
    <definedName name="tuyennhanh" localSheetId="4" hidden="1">{"'Sheet1'!$L$16"}</definedName>
    <definedName name="tuyennhanh" localSheetId="8" hidden="1">{"'Sheet1'!$L$16"}</definedName>
    <definedName name="tuyennhanh" localSheetId="7" hidden="1">{"'Sheet1'!$L$16"}</definedName>
    <definedName name="tuyennhanh" hidden="1">{"'Sheet1'!$L$16"}</definedName>
    <definedName name="tuyequang">#REF!</definedName>
    <definedName name="TV">#REF!</definedName>
    <definedName name="tv75nc">#REF!</definedName>
    <definedName name="tv75vl">#REF!</definedName>
    <definedName name="twdd">#REF!</definedName>
    <definedName name="Twister">#REF!</definedName>
    <definedName name="TX">#REF!</definedName>
    <definedName name="tx1pignc">#REF!</definedName>
    <definedName name="tx1pindnc">#REF!</definedName>
    <definedName name="tx1pintnc">#REF!</definedName>
    <definedName name="tx1pingnc">#REF!</definedName>
    <definedName name="tx1pitnc">#REF!</definedName>
    <definedName name="tx2mhnnc">#REF!</definedName>
    <definedName name="tx2mitnc">#REF!</definedName>
    <definedName name="txhnnc">#REF!</definedName>
    <definedName name="txig1nc">#REF!</definedName>
    <definedName name="txin190nc">#REF!</definedName>
    <definedName name="txinnc">#REF!</definedName>
    <definedName name="txit1nc">#REF!</definedName>
    <definedName name="TY">#REF!</definedName>
    <definedName name="Ty_gia">#REF!</definedName>
    <definedName name="Ty_gia_yen">#REF!</definedName>
    <definedName name="ty_le">#REF!</definedName>
    <definedName name="Ty_Le_1">#REF!</definedName>
    <definedName name="ty_le_BTN">#REF!</definedName>
    <definedName name="Ty_le1">#REF!</definedName>
    <definedName name="tygia">#REF!</definedName>
    <definedName name="tygia1">#REF!</definedName>
    <definedName name="Type_1">#REF!</definedName>
    <definedName name="Type_2">#REF!</definedName>
    <definedName name="TYT" localSheetId="9">BlankMacro1</definedName>
    <definedName name="TYT" localSheetId="0">BlankMacro1</definedName>
    <definedName name="TYT" localSheetId="10">BlankMacro1</definedName>
    <definedName name="TYT" localSheetId="1">BlankMacro1</definedName>
    <definedName name="TYT" localSheetId="6">BlankMacro1</definedName>
    <definedName name="TYT" localSheetId="5">BlankMacro1</definedName>
    <definedName name="TYT" localSheetId="4">BlankMacro1</definedName>
    <definedName name="TYT" localSheetId="8">BlankMacro1</definedName>
    <definedName name="TYT" localSheetId="7">BlankMacro1</definedName>
    <definedName name="TYT">BlankMacro1</definedName>
    <definedName name="Tytrong">#REF!</definedName>
    <definedName name="TH">#REF!</definedName>
    <definedName name="TH.tinh">#REF!</definedName>
    <definedName name="TH_0.4">#REF!</definedName>
    <definedName name="TH_22">#REF!</definedName>
    <definedName name="Th_6_th_ng_1">#REF!</definedName>
    <definedName name="Th_6_th_ng_2">#REF!</definedName>
    <definedName name="Th_6_th_ng_3">#REF!</definedName>
    <definedName name="Th_6_th_ng_4">#REF!</definedName>
    <definedName name="Th_6_th_ng_5">#REF!</definedName>
    <definedName name="Th_6_th_ng_6">#REF!</definedName>
    <definedName name="Th_6_th_ng_7">#REF!</definedName>
    <definedName name="Th_6th_ng_10">#REF!</definedName>
    <definedName name="Th_6th_ng_11">#REF!</definedName>
    <definedName name="Th_6th_ng_12">#REF!</definedName>
    <definedName name="Th_6th_ng_17">#REF!</definedName>
    <definedName name="Th_6th_ng_19">#REF!</definedName>
    <definedName name="Th_6th_ng_8">#REF!</definedName>
    <definedName name="Th_6th_ng_9">#REF!</definedName>
    <definedName name="Th_CT">#REF!</definedName>
    <definedName name="TH_VKHNN">#REF!</definedName>
    <definedName name="th3x15">#REF!</definedName>
    <definedName name="tha" localSheetId="9" hidden="1">{"'Sheet1'!$L$16"}</definedName>
    <definedName name="tha" localSheetId="0" hidden="1">{"'Sheet1'!$L$16"}</definedName>
    <definedName name="tha" localSheetId="10" hidden="1">{"'Sheet1'!$L$16"}</definedName>
    <definedName name="tha" localSheetId="1" hidden="1">{"'Sheet1'!$L$16"}</definedName>
    <definedName name="tha" localSheetId="6" hidden="1">{"'Sheet1'!$L$16"}</definedName>
    <definedName name="tha" localSheetId="5" hidden="1">{"'Sheet1'!$L$16"}</definedName>
    <definedName name="tha" localSheetId="4" hidden="1">{"'Sheet1'!$L$16"}</definedName>
    <definedName name="tha" localSheetId="8" hidden="1">{"'Sheet1'!$L$16"}</definedName>
    <definedName name="tha" localSheetId="7" hidden="1">{"'Sheet1'!$L$16"}</definedName>
    <definedName name="tha" hidden="1">{"'Sheet1'!$L$16"}</definedName>
    <definedName name="Thang" localSheetId="9" hidden="1">{"'Sheet1'!$L$16"}</definedName>
    <definedName name="Thang" localSheetId="0" hidden="1">{"'Sheet1'!$L$16"}</definedName>
    <definedName name="Thang" localSheetId="10" hidden="1">{"'Sheet1'!$L$16"}</definedName>
    <definedName name="Thang" localSheetId="1" hidden="1">{"'Sheet1'!$L$16"}</definedName>
    <definedName name="Thang" localSheetId="6" hidden="1">{"'Sheet1'!$L$16"}</definedName>
    <definedName name="Thang" localSheetId="5" hidden="1">{"'Sheet1'!$L$16"}</definedName>
    <definedName name="Thang" localSheetId="4" hidden="1">{"'Sheet1'!$L$16"}</definedName>
    <definedName name="Thang" localSheetId="8" hidden="1">{"'Sheet1'!$L$16"}</definedName>
    <definedName name="Thang" localSheetId="7" hidden="1">{"'Sheet1'!$L$16"}</definedName>
    <definedName name="Thang" hidden="1">{"'Sheet1'!$L$16"}</definedName>
    <definedName name="Thang_Long">#REF!</definedName>
    <definedName name="Thang_Long_GT">#REF!</definedName>
    <definedName name="Thang1" localSheetId="9" hidden="1">{"'Sheet1'!$L$16"}</definedName>
    <definedName name="Thang1" localSheetId="0" hidden="1">{"'Sheet1'!$L$16"}</definedName>
    <definedName name="Thang1" localSheetId="10" hidden="1">{"'Sheet1'!$L$16"}</definedName>
    <definedName name="Thang1" localSheetId="1" hidden="1">{"'Sheet1'!$L$16"}</definedName>
    <definedName name="Thang1" localSheetId="6" hidden="1">{"'Sheet1'!$L$16"}</definedName>
    <definedName name="Thang1" localSheetId="5" hidden="1">{"'Sheet1'!$L$16"}</definedName>
    <definedName name="Thang1" localSheetId="4" hidden="1">{"'Sheet1'!$L$16"}</definedName>
    <definedName name="Thang1" localSheetId="8" hidden="1">{"'Sheet1'!$L$16"}</definedName>
    <definedName name="Thang1" localSheetId="7" hidden="1">{"'Sheet1'!$L$16"}</definedName>
    <definedName name="Thang1" hidden="1">{"'Sheet1'!$L$16"}</definedName>
    <definedName name="thang10" localSheetId="9" hidden="1">{"'Sheet1'!$L$16"}</definedName>
    <definedName name="thang10" localSheetId="0" hidden="1">{"'Sheet1'!$L$16"}</definedName>
    <definedName name="thang10" localSheetId="10" hidden="1">{"'Sheet1'!$L$16"}</definedName>
    <definedName name="thang10" localSheetId="1" hidden="1">{"'Sheet1'!$L$16"}</definedName>
    <definedName name="thang10" localSheetId="6" hidden="1">{"'Sheet1'!$L$16"}</definedName>
    <definedName name="thang10" localSheetId="5" hidden="1">{"'Sheet1'!$L$16"}</definedName>
    <definedName name="thang10" localSheetId="4" hidden="1">{"'Sheet1'!$L$16"}</definedName>
    <definedName name="thang10" localSheetId="8" hidden="1">{"'Sheet1'!$L$16"}</definedName>
    <definedName name="thang10" localSheetId="7" hidden="1">{"'Sheet1'!$L$16"}</definedName>
    <definedName name="thang10" hidden="1">{"'Sheet1'!$L$16"}</definedName>
    <definedName name="thang101112">#REF!</definedName>
    <definedName name="thang6789">#REF!</definedName>
    <definedName name="thanh" localSheetId="9" hidden="1">{"'Sheet1'!$L$16"}</definedName>
    <definedName name="thanh" localSheetId="0" hidden="1">{"'Sheet1'!$L$16"}</definedName>
    <definedName name="thanh" localSheetId="10" hidden="1">{"'Sheet1'!$L$16"}</definedName>
    <definedName name="thanh" localSheetId="1" hidden="1">{"'Sheet1'!$L$16"}</definedName>
    <definedName name="thanh" localSheetId="6" hidden="1">{"'Sheet1'!$L$16"}</definedName>
    <definedName name="thanh" localSheetId="5" hidden="1">{"'Sheet1'!$L$16"}</definedName>
    <definedName name="thanh" localSheetId="4" hidden="1">{"'Sheet1'!$L$16"}</definedName>
    <definedName name="thanh" localSheetId="8" hidden="1">{"'Sheet1'!$L$16"}</definedName>
    <definedName name="thanh" localSheetId="7" hidden="1">{"'Sheet1'!$L$16"}</definedName>
    <definedName name="thanh" hidden="1">{"'Sheet1'!$L$16"}</definedName>
    <definedName name="Thanh_CT">#REF!</definedName>
    <definedName name="thanhdul">#REF!</definedName>
    <definedName name="ThanhXuan110">#REF!</definedName>
    <definedName name="ThaoCauCu">#REF!</definedName>
    <definedName name="Thautinh">#REF!</definedName>
    <definedName name="ÞBM">#REF!</definedName>
    <definedName name="Þcot">#REF!</definedName>
    <definedName name="ÞCTd4">#REF!</definedName>
    <definedName name="ÞCTt4">#REF!</definedName>
    <definedName name="THchon">#REF!</definedName>
    <definedName name="Þdamd4">#REF!</definedName>
    <definedName name="Þdamt4">#REF!</definedName>
    <definedName name="thdggt">#REF!</definedName>
    <definedName name="thdgxd">#REF!</definedName>
    <definedName name="thdien" localSheetId="9" hidden="1">{"'Sheet1'!$L$16"}</definedName>
    <definedName name="thdien" localSheetId="0" hidden="1">{"'Sheet1'!$L$16"}</definedName>
    <definedName name="thdien" localSheetId="10" hidden="1">{"'Sheet1'!$L$16"}</definedName>
    <definedName name="thdien" localSheetId="1" hidden="1">{"'Sheet1'!$L$16"}</definedName>
    <definedName name="thdien" localSheetId="6" hidden="1">{"'Sheet1'!$L$16"}</definedName>
    <definedName name="thdien" localSheetId="5" hidden="1">{"'Sheet1'!$L$16"}</definedName>
    <definedName name="thdien" localSheetId="4" hidden="1">{"'Sheet1'!$L$16"}</definedName>
    <definedName name="thdien" localSheetId="8" hidden="1">{"'Sheet1'!$L$16"}</definedName>
    <definedName name="thdien" localSheetId="7" hidden="1">{"'Sheet1'!$L$16"}</definedName>
    <definedName name="thdien" hidden="1">{"'Sheet1'!$L$16"}</definedName>
    <definedName name="THDS">#REF!</definedName>
    <definedName name="thdt">#REF!</definedName>
    <definedName name="THDT_CT_XOM_NOI">#REF!</definedName>
    <definedName name="THDT_HT_DAO_THUONG">#REF!</definedName>
    <definedName name="THDT_HT_XOM_NOI">#REF!</definedName>
    <definedName name="THDT_NPP_XOM_NOI">#REF!</definedName>
    <definedName name="THDT_TBA_XOM_NOI">#REF!</definedName>
    <definedName name="THEP_D32">#REF!</definedName>
    <definedName name="thepbuoc">#REF!</definedName>
    <definedName name="ThepCT3">#REF!</definedName>
    <definedName name="thepCT5">#REF!</definedName>
    <definedName name="ThepDet32x3">#REF!</definedName>
    <definedName name="ThepDet35x3">#REF!</definedName>
    <definedName name="ThepDet40x4">#REF!</definedName>
    <definedName name="ThepDet45x4">#REF!</definedName>
    <definedName name="ThepDet50x5">#REF!</definedName>
    <definedName name="ThepDet63x6">#REF!</definedName>
    <definedName name="ThepDet75x6">#REF!</definedName>
    <definedName name="thepDet75x7">#REF!</definedName>
    <definedName name="thepgoc25_60">#REF!</definedName>
    <definedName name="ThepGoc32x32x3">#REF!</definedName>
    <definedName name="ThepGoc35x35x3">#REF!</definedName>
    <definedName name="ThepGoc40x40x4">#REF!</definedName>
    <definedName name="ThepGoc45x45x4">#REF!</definedName>
    <definedName name="ThepGoc50x50x5">#REF!</definedName>
    <definedName name="thepgoc63_75">#REF!</definedName>
    <definedName name="ThepGoc63x63x6">#REF!</definedName>
    <definedName name="ThepGoc75x6">#REF!</definedName>
    <definedName name="ThepGoc75x75x6">#REF!</definedName>
    <definedName name="thepgoc80_100">#REF!</definedName>
    <definedName name="thepma">10500</definedName>
    <definedName name="theptam">#REF!</definedName>
    <definedName name="theptb">#REF!</definedName>
    <definedName name="theptron">#REF!</definedName>
    <definedName name="theptron12">#REF!</definedName>
    <definedName name="theptron14_22">#REF!</definedName>
    <definedName name="theptron6_8">#REF!</definedName>
    <definedName name="ThepTronD10D18">#REF!</definedName>
    <definedName name="ThepTronD6D8">#REF!</definedName>
    <definedName name="thepU">#REF!</definedName>
    <definedName name="thepxa">#REF!</definedName>
    <definedName name="thephinh">#REF!</definedName>
    <definedName name="THGO1pnc">#REF!</definedName>
    <definedName name="thgian_bq">#REF!</definedName>
    <definedName name="thgian_bv">#REF!</definedName>
    <definedName name="thgian_ck">#REF!</definedName>
    <definedName name="thgian_d1">#REF!</definedName>
    <definedName name="thgian_d2">#REF!</definedName>
    <definedName name="thgian_d3">#REF!</definedName>
    <definedName name="thgian_dl">#REF!</definedName>
    <definedName name="thgian_kcs">#REF!</definedName>
    <definedName name="thgian_nb">#REF!</definedName>
    <definedName name="thgian_nv">#REF!</definedName>
    <definedName name="thgian_ngio">#REF!</definedName>
    <definedName name="thgian_t3">#REF!</definedName>
    <definedName name="thgian_t4">#REF!</definedName>
    <definedName name="thgian_t5">#REF!</definedName>
    <definedName name="thgian_t6">#REF!</definedName>
    <definedName name="thgian_tc">#REF!</definedName>
    <definedName name="thgian_tm">#REF!</definedName>
    <definedName name="thgian_vs">#REF!</definedName>
    <definedName name="thgian_xh">#REF!</definedName>
    <definedName name="thgio_bq">#REF!</definedName>
    <definedName name="thgio_bv">#REF!</definedName>
    <definedName name="thgio_ck">#REF!</definedName>
    <definedName name="thgio_d1">#REF!</definedName>
    <definedName name="thgio_d2">#REF!</definedName>
    <definedName name="thgio_d3">#REF!</definedName>
    <definedName name="thgio_dl">#REF!</definedName>
    <definedName name="thgio_kcs">#REF!</definedName>
    <definedName name="thgio_nb">#REF!</definedName>
    <definedName name="thgio_nv">#REF!</definedName>
    <definedName name="thgio_ngio">#REF!</definedName>
    <definedName name="thgio_t3">#REF!</definedName>
    <definedName name="thgio_t4">#REF!</definedName>
    <definedName name="thgio_t5">#REF!</definedName>
    <definedName name="thgio_t6">#REF!</definedName>
    <definedName name="thgio_tc">#REF!</definedName>
    <definedName name="thgio_tm">#REF!</definedName>
    <definedName name="thgio_vs">#REF!</definedName>
    <definedName name="thgio_xh">#REF!</definedName>
    <definedName name="thht">#REF!</definedName>
    <definedName name="THI">#REF!</definedName>
    <definedName name="thietbidien">#REF!</definedName>
    <definedName name="thietbivesinh">#REF!</definedName>
    <definedName name="thinh">#REF!</definedName>
    <definedName name="THK">#REF!</definedName>
    <definedName name="THKP160">#REF!</definedName>
    <definedName name="thkp3">#REF!</definedName>
    <definedName name="thkh">#REF!</definedName>
    <definedName name="thm">#REF!</definedName>
    <definedName name="Þmong">#REF!</definedName>
    <definedName name="ÞNXoldk">#REF!</definedName>
    <definedName name="thong" localSheetId="9" hidden="1">{"'Sheet1'!$L$16"}</definedName>
    <definedName name="thong" localSheetId="0" hidden="1">{"'Sheet1'!$L$16"}</definedName>
    <definedName name="thong" localSheetId="10" hidden="1">{"'Sheet1'!$L$16"}</definedName>
    <definedName name="thong" localSheetId="1" hidden="1">{"'Sheet1'!$L$16"}</definedName>
    <definedName name="thong" localSheetId="6" hidden="1">{"'Sheet1'!$L$16"}</definedName>
    <definedName name="thong" localSheetId="5" hidden="1">{"'Sheet1'!$L$16"}</definedName>
    <definedName name="thong" localSheetId="4" hidden="1">{"'Sheet1'!$L$16"}</definedName>
    <definedName name="thong" localSheetId="8" hidden="1">{"'Sheet1'!$L$16"}</definedName>
    <definedName name="thong" localSheetId="7" hidden="1">{"'Sheet1'!$L$16"}</definedName>
    <definedName name="thong" hidden="1">{"'Sheet1'!$L$16"}</definedName>
    <definedName name="Thong_ke_dung_may">#REF!</definedName>
    <definedName name="thongso">#REF!</definedName>
    <definedName name="Thop">#REF!</definedName>
    <definedName name="THop2">#REF!</definedName>
    <definedName name="THp">#REF!</definedName>
    <definedName name="Þsan">#REF!</definedName>
    <definedName name="THT">#REF!</definedName>
    <definedName name="THToanBo">#REF!</definedName>
    <definedName name="THtoanbo2">#REF!</definedName>
    <definedName name="thtt">#REF!</definedName>
    <definedName name="thtu">#REF!</definedName>
    <definedName name="thth">#REF!</definedName>
    <definedName name="THTHEP">#REF!</definedName>
    <definedName name="thtr15">#REF!</definedName>
    <definedName name="thu" localSheetId="9" hidden="1">{"'Sheet1'!$L$16"}</definedName>
    <definedName name="thu" localSheetId="0" hidden="1">{"'Sheet1'!$L$16"}</definedName>
    <definedName name="thu" localSheetId="10" hidden="1">{"'Sheet1'!$L$16"}</definedName>
    <definedName name="thu" localSheetId="1" hidden="1">{"'Sheet1'!$L$16"}</definedName>
    <definedName name="thu" localSheetId="6" hidden="1">{"'Sheet1'!$L$16"}</definedName>
    <definedName name="thu" localSheetId="5" hidden="1">{"'Sheet1'!$L$16"}</definedName>
    <definedName name="thu" localSheetId="4" hidden="1">{"'Sheet1'!$L$16"}</definedName>
    <definedName name="thu" localSheetId="8" hidden="1">{"'Sheet1'!$L$16"}</definedName>
    <definedName name="thu" localSheetId="7" hidden="1">{"'Sheet1'!$L$16"}</definedName>
    <definedName name="thu" hidden="1">{"'Sheet1'!$L$16"}</definedName>
    <definedName name="thucthanh">#REF!</definedName>
    <definedName name="thue">6</definedName>
    <definedName name="thuevat">#REF!</definedName>
    <definedName name="thuy" localSheetId="9" hidden="1">{"'Sheet1'!$L$16"}</definedName>
    <definedName name="thuy" localSheetId="0" hidden="1">{"'Sheet1'!$L$16"}</definedName>
    <definedName name="thuy" localSheetId="10" hidden="1">{"'Sheet1'!$L$16"}</definedName>
    <definedName name="thuy" localSheetId="1" hidden="1">{"'Sheet1'!$L$16"}</definedName>
    <definedName name="thuy" localSheetId="6" hidden="1">{"'Sheet1'!$L$16"}</definedName>
    <definedName name="thuy" localSheetId="5" hidden="1">{"'Sheet1'!$L$16"}</definedName>
    <definedName name="thuy" localSheetId="4" hidden="1">{"'Sheet1'!$L$16"}</definedName>
    <definedName name="thuy" localSheetId="8" hidden="1">{"'Sheet1'!$L$16"}</definedName>
    <definedName name="thuy" localSheetId="7" hidden="1">{"'Sheet1'!$L$16"}</definedName>
    <definedName name="thuy" hidden="1">{"'Sheet1'!$L$16"}</definedName>
    <definedName name="THUYETMINH">#REF!</definedName>
    <definedName name="thxay">#REF!</definedName>
    <definedName name="THXD">#REF!</definedName>
    <definedName name="tr_">#REF!</definedName>
    <definedName name="TR15HT">#REF!</definedName>
    <definedName name="TR16HT">#REF!</definedName>
    <definedName name="TR19HT">#REF!</definedName>
    <definedName name="tr1x15">#REF!</definedName>
    <definedName name="TR20HT">#REF!</definedName>
    <definedName name="tr3x100">#REF!</definedName>
    <definedName name="Tra_Cot">#REF!</definedName>
    <definedName name="Tra_DM_su_dung">#REF!</definedName>
    <definedName name="Tra_DM_su_dung_cau">#REF!</definedName>
    <definedName name="Tra_don_gia_KS">#REF!</definedName>
    <definedName name="Tra_DTCT">#REF!</definedName>
    <definedName name="Tra_gtxl_cong">#REF!</definedName>
    <definedName name="Tra_GTXLST">#REF!</definedName>
    <definedName name="Tra_gia_VLKS">#REF!</definedName>
    <definedName name="Tra_phan_tram">#REF!</definedName>
    <definedName name="Tra_ten_cong">#REF!</definedName>
    <definedName name="Tra_tim_hang_mucPT_trung">#REF!</definedName>
    <definedName name="Tra_TL">#REF!</definedName>
    <definedName name="Tra_ty_le2">#REF!</definedName>
    <definedName name="Tra_ty_le3">#REF!</definedName>
    <definedName name="Tra_ty_le4">#REF!</definedName>
    <definedName name="Tra_ty_le5">#REF!</definedName>
    <definedName name="TRA_VAT_LIEU">#REF!</definedName>
    <definedName name="tra_vat_lieu1">#REF!</definedName>
    <definedName name="TRA_VL">#REF!</definedName>
    <definedName name="tra_VL_1">#REF!</definedName>
    <definedName name="traA103">#REF!</definedName>
    <definedName name="Tracuu">#REF!</definedName>
    <definedName name="Trade">#REF!</definedName>
    <definedName name="TRADE2">#REF!</definedName>
    <definedName name="tragiacuoc">#REF!</definedName>
    <definedName name="TRAM">#REF!</definedName>
    <definedName name="tram100">#REF!</definedName>
    <definedName name="tram1x25">#REF!</definedName>
    <definedName name="tramatcong1">#REF!</definedName>
    <definedName name="tramatcong2">#REF!</definedName>
    <definedName name="trambt60">#REF!</definedName>
    <definedName name="tran">#REF!</definedName>
    <definedName name="TRANSFORMER">#REF!</definedName>
    <definedName name="tranhietdo">#REF!</definedName>
    <definedName name="TraTH">#REF!</definedName>
    <definedName name="Trave">#REF!</definedName>
    <definedName name="TRAvH">#REF!</definedName>
    <definedName name="TRAVL">#REF!</definedName>
    <definedName name="TRIGIA">#REF!</definedName>
    <definedName name="TRISO">#REF!</definedName>
    <definedName name="tronbt250">#REF!</definedName>
    <definedName name="TronD10D18">#REF!</definedName>
    <definedName name="TronD6D8">#REF!</definedName>
    <definedName name="tronvua250">#REF!</definedName>
    <definedName name="Trô_P1">#REF!</definedName>
    <definedName name="Trô_P10">#REF!</definedName>
    <definedName name="Trô_P11">#REF!</definedName>
    <definedName name="Trô_P2">#REF!</definedName>
    <definedName name="Trô_P3">#REF!</definedName>
    <definedName name="Trô_P4">#REF!</definedName>
    <definedName name="Trô_P5">#REF!</definedName>
    <definedName name="Trô_P6">#REF!</definedName>
    <definedName name="Trô_P7">#REF!</definedName>
    <definedName name="Trô_P8">#REF!</definedName>
    <definedName name="Trô_P9">#REF!</definedName>
    <definedName name="trt">#REF!</definedName>
    <definedName name="trtỷyytutuyiyi">#REF!</definedName>
    <definedName name="tru10mtc">#REF!</definedName>
    <definedName name="tru8mtc">#REF!</definedName>
    <definedName name="trung" localSheetId="9">{"Thuxm2.xls","Sheet1"}</definedName>
    <definedName name="trung" localSheetId="0">{"Thuxm2.xls","Sheet1"}</definedName>
    <definedName name="trung" localSheetId="10">{"Thuxm2.xls","Sheet1"}</definedName>
    <definedName name="trung" localSheetId="1">{"Thuxm2.xls","Sheet1"}</definedName>
    <definedName name="trung" localSheetId="6">{"Thuxm2.xls","Sheet1"}</definedName>
    <definedName name="trung" localSheetId="5">{"Thuxm2.xls","Sheet1"}</definedName>
    <definedName name="trung" localSheetId="4">{"Thuxm2.xls","Sheet1"}</definedName>
    <definedName name="trung" localSheetId="8">{"Thuxm2.xls","Sheet1"}</definedName>
    <definedName name="trung" localSheetId="7">{"Thuxm2.xls","Sheet1"}</definedName>
    <definedName name="trung">{"Thuxm2.xls","Sheet1"}</definedName>
    <definedName name="Trung_chuyen_chung">#REF!</definedName>
    <definedName name="truotgia">#REF!</definedName>
    <definedName name="Truotgia2013">#REF!</definedName>
    <definedName name="truotgiadau">#REF!</definedName>
    <definedName name="truotgiaxang">#REF!</definedName>
    <definedName name="u">#REF!</definedName>
    <definedName name="U_tien">#REF!</definedName>
    <definedName name="Udm">#REF!</definedName>
    <definedName name="ugh">#REF!</definedName>
    <definedName name="ui">#REF!</definedName>
    <definedName name="unitt" localSheetId="9">BlankMacro1</definedName>
    <definedName name="unitt" localSheetId="0">BlankMacro1</definedName>
    <definedName name="unitt" localSheetId="10">BlankMacro1</definedName>
    <definedName name="unitt" localSheetId="1">BlankMacro1</definedName>
    <definedName name="unitt" localSheetId="6">BlankMacro1</definedName>
    <definedName name="unitt" localSheetId="5">BlankMacro1</definedName>
    <definedName name="unitt" localSheetId="4">BlankMacro1</definedName>
    <definedName name="unitt" localSheetId="8">BlankMacro1</definedName>
    <definedName name="unitt" localSheetId="7">BlankMacro1</definedName>
    <definedName name="unitt">BlankMacro1</definedName>
    <definedName name="UNL">#REF!</definedName>
    <definedName name="UOM">#REF!</definedName>
    <definedName name="UP">#REF!,#REF!,#REF!,#REF!,#REF!,#REF!,#REF!,#REF!,#REF!,#REF!,#REF!</definedName>
    <definedName name="upnoc">#REF!</definedName>
    <definedName name="usd">15000</definedName>
    <definedName name="ut">#REF!</definedName>
    <definedName name="UT_1">#REF!</definedName>
    <definedName name="UT1_373">#REF!</definedName>
    <definedName name="v">#REF!</definedName>
    <definedName name="V.1">#REF!</definedName>
    <definedName name="V.10">#REF!</definedName>
    <definedName name="V.11">#REF!</definedName>
    <definedName name="V.12">#REF!</definedName>
    <definedName name="V.13">#REF!</definedName>
    <definedName name="V.14">#REF!</definedName>
    <definedName name="V.15">#REF!</definedName>
    <definedName name="V.16">#REF!</definedName>
    <definedName name="V.17">#REF!</definedName>
    <definedName name="V.18">#REF!</definedName>
    <definedName name="V.2">#REF!</definedName>
    <definedName name="V.3">#REF!</definedName>
    <definedName name="V.4">#REF!</definedName>
    <definedName name="V.5">#REF!</definedName>
    <definedName name="V.6">#REF!</definedName>
    <definedName name="V.7">#REF!</definedName>
    <definedName name="V.8">#REF!</definedName>
    <definedName name="V.9">#REF!</definedName>
    <definedName name="V_1">#REF!</definedName>
    <definedName name="V_2">#REF!</definedName>
    <definedName name="V_3">#REF!</definedName>
    <definedName name="V_4">#REF!</definedName>
    <definedName name="V_i_ni_l_ng">#REF!</definedName>
    <definedName name="v100v">#REF!</definedName>
    <definedName name="v75d">#REF!</definedName>
    <definedName name="VA">#REF!</definedName>
    <definedName name="VAÄT_LIEÄU">"ATRAM"</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N">#REF!</definedName>
    <definedName name="VAN_CHUYEN_DUONG_DAI_DZ0.4KV">#REF!</definedName>
    <definedName name="VAN_CHUYEN_DUONG_DAI_DZ22KV">#REF!</definedName>
    <definedName name="VAN_CHUYEN_DUONG_DAI_TBA">#REF!</definedName>
    <definedName name="VAN_CHUYEN_VAT_TU_CHUNG">#REF!</definedName>
    <definedName name="VAN_TRUNG_CHUYEN_VAT_TU_CHUNG">#REF!</definedName>
    <definedName name="vanchuyencoc">#REF!</definedName>
    <definedName name="VanChuyenDam">#REF!</definedName>
    <definedName name="vankhuon">#REF!</definedName>
    <definedName name="VARIINST">#REF!</definedName>
    <definedName name="VARIPURC">#REF!</definedName>
    <definedName name="VAT">#REF!</definedName>
    <definedName name="VAT_LIEU_DEN_CHAN_CONG_TRINH">#REF!</definedName>
    <definedName name="Vat_tu">#REF!</definedName>
    <definedName name="vbtchongnuocm300">#REF!</definedName>
    <definedName name="vbtm150">#REF!</definedName>
    <definedName name="vbtm300">#REF!</definedName>
    <definedName name="vbtm400">#REF!</definedName>
    <definedName name="vc">#REF!</definedName>
    <definedName name="VC_0.4">#REF!</definedName>
    <definedName name="VC_22">#REF!</definedName>
    <definedName name="VC_chung1">#REF!</definedName>
    <definedName name="VC_TBA">#REF!</definedName>
    <definedName name="vc3.">#REF!</definedName>
    <definedName name="vca">#REF!</definedName>
    <definedName name="vcc">#REF!</definedName>
    <definedName name="vccot">#REF!</definedName>
    <definedName name="vccot.">#REF!</definedName>
    <definedName name="vcd">#REF!</definedName>
    <definedName name="vcdbt">#REF!</definedName>
    <definedName name="vcdc">#REF!</definedName>
    <definedName name="vcdc.">#REF!</definedName>
    <definedName name="vcdd">#REF!</definedName>
    <definedName name="vcdd_tba">#REF!</definedName>
    <definedName name="VCDD1P">#REF!</definedName>
    <definedName name="VCDD3p">#REF!</definedName>
    <definedName name="VCDDCT3p">#REF!</definedName>
    <definedName name="VCDDMBA">#REF!</definedName>
    <definedName name="vcdt">#REF!</definedName>
    <definedName name="vcdtb">#REF!</definedName>
    <definedName name="Vci">#REF!</definedName>
    <definedName name="vcn">#REF!</definedName>
    <definedName name="vcoto" localSheetId="9" hidden="1">{"'Sheet1'!$L$16"}</definedName>
    <definedName name="vcoto" localSheetId="0" hidden="1">{"'Sheet1'!$L$16"}</definedName>
    <definedName name="vcoto" localSheetId="10" hidden="1">{"'Sheet1'!$L$16"}</definedName>
    <definedName name="vcoto" localSheetId="1" hidden="1">{"'Sheet1'!$L$16"}</definedName>
    <definedName name="vcoto" localSheetId="6" hidden="1">{"'Sheet1'!$L$16"}</definedName>
    <definedName name="vcoto" localSheetId="5" hidden="1">{"'Sheet1'!$L$16"}</definedName>
    <definedName name="vcoto" localSheetId="4" hidden="1">{"'Sheet1'!$L$16"}</definedName>
    <definedName name="vcoto" localSheetId="8" hidden="1">{"'Sheet1'!$L$16"}</definedName>
    <definedName name="vcoto" localSheetId="7" hidden="1">{"'Sheet1'!$L$16"}</definedName>
    <definedName name="vcoto" hidden="1">{"'Sheet1'!$L$16"}</definedName>
    <definedName name="VCPK4">#REF!</definedName>
    <definedName name="vcsat">#REF!</definedName>
    <definedName name="vct">#REF!</definedName>
    <definedName name="vctb">#REF!</definedName>
    <definedName name="vctt">#REF!</definedName>
    <definedName name="VCVBT1">#REF!</definedName>
    <definedName name="VCVBT2">#REF!</definedName>
    <definedName name="Vcw">#REF!</definedName>
    <definedName name="vcxa">#REF!</definedName>
    <definedName name="vcxi">#REF!</definedName>
    <definedName name="VCHT">#REF!</definedName>
    <definedName name="VD">#REF!</definedName>
    <definedName name="vd3p">#REF!</definedName>
    <definedName name="VDCLY">#REF!</definedName>
    <definedName name="vdkt">#REF!</definedName>
    <definedName name="VDL">#REF!</definedName>
    <definedName name="Vendata">#REF!</definedName>
    <definedName name="Vf">#REF!</definedName>
    <definedName name="VHbom">#REF!</definedName>
    <definedName name="Vi">#REF!</definedName>
    <definedName name="viet">#REF!</definedName>
    <definedName name="Vietri">#REF!</definedName>
    <definedName name="vk">#REF!</definedName>
    <definedName name="vkcauthang">#REF!</definedName>
    <definedName name="vkds">#REF!</definedName>
    <definedName name="vksan">#REF!</definedName>
    <definedName name="vktc">#REF!</definedName>
    <definedName name="vkh">#REF!</definedName>
    <definedName name="vl">#REF!</definedName>
    <definedName name="VL_hien_truong_XL_chung">#REF!</definedName>
    <definedName name="vl100a">#REF!</definedName>
    <definedName name="vl1p">#REF!</definedName>
    <definedName name="vl3p">#REF!</definedName>
    <definedName name="VLBS">#N/A</definedName>
    <definedName name="vlc">#REF!</definedName>
    <definedName name="Vlcap0.7">#REF!</definedName>
    <definedName name="VLcap1">#REF!</definedName>
    <definedName name="vlct" localSheetId="9" hidden="1">{"'Sheet1'!$L$16"}</definedName>
    <definedName name="vlct" localSheetId="0" hidden="1">{"'Sheet1'!$L$16"}</definedName>
    <definedName name="vlct" localSheetId="10" hidden="1">{"'Sheet1'!$L$16"}</definedName>
    <definedName name="vlct" localSheetId="1" hidden="1">{"'Sheet1'!$L$16"}</definedName>
    <definedName name="vlct" localSheetId="6" hidden="1">{"'Sheet1'!$L$16"}</definedName>
    <definedName name="vlct" localSheetId="5" hidden="1">{"'Sheet1'!$L$16"}</definedName>
    <definedName name="vlct" localSheetId="4" hidden="1">{"'Sheet1'!$L$16"}</definedName>
    <definedName name="vlct" localSheetId="8" hidden="1">{"'Sheet1'!$L$16"}</definedName>
    <definedName name="vlct" localSheetId="7" hidden="1">{"'Sheet1'!$L$16"}</definedName>
    <definedName name="vlct" hidden="1">{"'Sheet1'!$L$16"}</definedName>
    <definedName name="VLCT3p">#REF!</definedName>
    <definedName name="vld">#REF!</definedName>
    <definedName name="vldd">#REF!</definedName>
    <definedName name="vldg">#REF!</definedName>
    <definedName name="vldn400">#REF!</definedName>
    <definedName name="vldn600">#REF!</definedName>
    <definedName name="VLHC">#REF!</definedName>
    <definedName name="VLIEU">#REF!</definedName>
    <definedName name="vlk">#REF!</definedName>
    <definedName name="VLKday">#REF!</definedName>
    <definedName name="vll">#REF!</definedName>
    <definedName name="VLM">#REF!</definedName>
    <definedName name="vlp">#REF!</definedName>
    <definedName name="vltco">#REF!</definedName>
    <definedName name="vltr">#REF!</definedName>
    <definedName name="vltram">#REF!</definedName>
    <definedName name="vm">#REF!</definedName>
    <definedName name="vm1.">#REF!</definedName>
    <definedName name="vm2.">#REF!</definedName>
    <definedName name="vn1.">#REF!</definedName>
    <definedName name="vn2.">#REF!</definedName>
    <definedName name="voi">#REF!</definedName>
    <definedName name="Von.KL">#REF!</definedName>
    <definedName name="Von_dau_tu_thuan">#REF!</definedName>
    <definedName name="Vp">#REF!</definedName>
    <definedName name="Vr">#REF!</definedName>
    <definedName name="vr3p">#REF!</definedName>
    <definedName name="Vs">#REF!</definedName>
    <definedName name="VT">#REF!</definedName>
    <definedName name="VT_0.4">#REF!</definedName>
    <definedName name="VT_1">#REF!</definedName>
    <definedName name="VT_22">#REF!</definedName>
    <definedName name="VT_TBA">#REF!</definedName>
    <definedName name="vt1pbs">#REF!</definedName>
    <definedName name="vtbs">#REF!</definedName>
    <definedName name="vtu">#REF!</definedName>
    <definedName name="Vu">#REF!</definedName>
    <definedName name="Vu_">#REF!</definedName>
    <definedName name="vua_75">#REF!</definedName>
    <definedName name="VuaBT200">#REF!</definedName>
    <definedName name="vuaepoxy">#REF!</definedName>
    <definedName name="vung">#REF!</definedName>
    <definedName name="vungdcd">#REF!</definedName>
    <definedName name="vungdcl">#REF!</definedName>
    <definedName name="vungnhapk">#REF!</definedName>
    <definedName name="vungnhapl">#REF!</definedName>
    <definedName name="vungxuatk">#REF!</definedName>
    <definedName name="vungxuatl">#REF!</definedName>
    <definedName name="VX">#REF!</definedName>
    <definedName name="VxlTBA">#REF!</definedName>
    <definedName name="vxuan">#REF!</definedName>
    <definedName name="W">#REF!</definedName>
    <definedName name="WATER_SUPPLY">#REF!</definedName>
    <definedName name="watertruck">#REF!</definedName>
    <definedName name="Wdaymong">#REF!</definedName>
    <definedName name="Wgct">#REF!</definedName>
    <definedName name="Wgkt">#REF!</definedName>
    <definedName name="WIRE1">5</definedName>
    <definedName name="wl">#REF!</definedName>
    <definedName name="WLX">#REF!</definedName>
    <definedName name="WLY">#REF!</definedName>
    <definedName name="WorkType">#REF!</definedName>
    <definedName name="WOT">#REF!</definedName>
    <definedName name="WPX">#REF!</definedName>
    <definedName name="WPY">#REF!</definedName>
    <definedName name="wrn.aaa." localSheetId="9" hidden="1">{#N/A,#N/A,FALSE,"Sheet1";#N/A,#N/A,FALSE,"Sheet1";#N/A,#N/A,FALSE,"Sheet1"}</definedName>
    <definedName name="wrn.aaa." localSheetId="0" hidden="1">{#N/A,#N/A,FALSE,"Sheet1";#N/A,#N/A,FALSE,"Sheet1";#N/A,#N/A,FALSE,"Sheet1"}</definedName>
    <definedName name="wrn.aaa." localSheetId="10" hidden="1">{#N/A,#N/A,FALSE,"Sheet1";#N/A,#N/A,FALSE,"Sheet1";#N/A,#N/A,FALSE,"Sheet1"}</definedName>
    <definedName name="wrn.aaa." localSheetId="1" hidden="1">{#N/A,#N/A,FALSE,"Sheet1";#N/A,#N/A,FALSE,"Sheet1";#N/A,#N/A,FALSE,"Sheet1"}</definedName>
    <definedName name="wrn.aaa." localSheetId="6" hidden="1">{#N/A,#N/A,FALSE,"Sheet1";#N/A,#N/A,FALSE,"Sheet1";#N/A,#N/A,FALSE,"Sheet1"}</definedName>
    <definedName name="wrn.aaa." localSheetId="5" hidden="1">{#N/A,#N/A,FALSE,"Sheet1";#N/A,#N/A,FALSE,"Sheet1";#N/A,#N/A,FALSE,"Sheet1"}</definedName>
    <definedName name="wrn.aaa." localSheetId="4" hidden="1">{#N/A,#N/A,FALSE,"Sheet1";#N/A,#N/A,FALSE,"Sheet1";#N/A,#N/A,FALSE,"Sheet1"}</definedName>
    <definedName name="wrn.aaa." localSheetId="8" hidden="1">{#N/A,#N/A,FALSE,"Sheet1";#N/A,#N/A,FALSE,"Sheet1";#N/A,#N/A,FALSE,"Sheet1"}</definedName>
    <definedName name="wrn.aaa." localSheetId="7" hidden="1">{#N/A,#N/A,FALSE,"Sheet1";#N/A,#N/A,FALSE,"Sheet1";#N/A,#N/A,FALSE,"Sheet1"}</definedName>
    <definedName name="wrn.aaa." hidden="1">{#N/A,#N/A,FALSE,"Sheet1";#N/A,#N/A,FALSE,"Sheet1";#N/A,#N/A,FALSE,"Sheet1"}</definedName>
    <definedName name="wrn.cong." localSheetId="9" hidden="1">{#N/A,#N/A,FALSE,"Sheet1"}</definedName>
    <definedName name="wrn.cong." localSheetId="0" hidden="1">{#N/A,#N/A,FALSE,"Sheet1"}</definedName>
    <definedName name="wrn.cong." localSheetId="10" hidden="1">{#N/A,#N/A,FALSE,"Sheet1"}</definedName>
    <definedName name="wrn.cong." localSheetId="1" hidden="1">{#N/A,#N/A,FALSE,"Sheet1"}</definedName>
    <definedName name="wrn.cong." localSheetId="6" hidden="1">{#N/A,#N/A,FALSE,"Sheet1"}</definedName>
    <definedName name="wrn.cong." localSheetId="5" hidden="1">{#N/A,#N/A,FALSE,"Sheet1"}</definedName>
    <definedName name="wrn.cong." localSheetId="4" hidden="1">{#N/A,#N/A,FALSE,"Sheet1"}</definedName>
    <definedName name="wrn.cong." localSheetId="8" hidden="1">{#N/A,#N/A,FALSE,"Sheet1"}</definedName>
    <definedName name="wrn.cong." localSheetId="7" hidden="1">{#N/A,#N/A,FALSE,"Sheet1"}</definedName>
    <definedName name="wrn.cong." hidden="1">{#N/A,#N/A,FALSE,"Sheet1"}</definedName>
    <definedName name="wrn.chi._.tiÆt." localSheetId="9" hidden="1">{#N/A,#N/A,FALSE,"Chi tiÆt"}</definedName>
    <definedName name="wrn.chi._.tiÆt." localSheetId="0" hidden="1">{#N/A,#N/A,FALSE,"Chi tiÆt"}</definedName>
    <definedName name="wrn.chi._.tiÆt." localSheetId="10" hidden="1">{#N/A,#N/A,FALSE,"Chi tiÆt"}</definedName>
    <definedName name="wrn.chi._.tiÆt." localSheetId="1" hidden="1">{#N/A,#N/A,FALSE,"Chi tiÆt"}</definedName>
    <definedName name="wrn.chi._.tiÆt." localSheetId="6" hidden="1">{#N/A,#N/A,FALSE,"Chi tiÆt"}</definedName>
    <definedName name="wrn.chi._.tiÆt." localSheetId="5" hidden="1">{#N/A,#N/A,FALSE,"Chi tiÆt"}</definedName>
    <definedName name="wrn.chi._.tiÆt." localSheetId="4" hidden="1">{#N/A,#N/A,FALSE,"Chi tiÆt"}</definedName>
    <definedName name="wrn.chi._.tiÆt." localSheetId="8" hidden="1">{#N/A,#N/A,FALSE,"Chi tiÆt"}</definedName>
    <definedName name="wrn.chi._.tiÆt." localSheetId="7" hidden="1">{#N/A,#N/A,FALSE,"Chi tiÆt"}</definedName>
    <definedName name="wrn.chi._.tiÆt." hidden="1">{#N/A,#N/A,FALSE,"Chi tiÆt"}</definedName>
    <definedName name="wrn.Monthly._.Statement." localSheetId="9" hidden="1">{#N/A,#N/A,FALSE,"Tabelle2";#N/A,#N/A,FALSE,"Tabelle1"}</definedName>
    <definedName name="wrn.Monthly._.Statement." localSheetId="0" hidden="1">{#N/A,#N/A,FALSE,"Tabelle2";#N/A,#N/A,FALSE,"Tabelle1"}</definedName>
    <definedName name="wrn.Monthly._.Statement." localSheetId="10" hidden="1">{#N/A,#N/A,FALSE,"Tabelle2";#N/A,#N/A,FALSE,"Tabelle1"}</definedName>
    <definedName name="wrn.Monthly._.Statement." localSheetId="1" hidden="1">{#N/A,#N/A,FALSE,"Tabelle2";#N/A,#N/A,FALSE,"Tabelle1"}</definedName>
    <definedName name="wrn.Monthly._.Statement." localSheetId="6" hidden="1">{#N/A,#N/A,FALSE,"Tabelle2";#N/A,#N/A,FALSE,"Tabelle1"}</definedName>
    <definedName name="wrn.Monthly._.Statement." localSheetId="5" hidden="1">{#N/A,#N/A,FALSE,"Tabelle2";#N/A,#N/A,FALSE,"Tabelle1"}</definedName>
    <definedName name="wrn.Monthly._.Statement." localSheetId="4" hidden="1">{#N/A,#N/A,FALSE,"Tabelle2";#N/A,#N/A,FALSE,"Tabelle1"}</definedName>
    <definedName name="wrn.Monthly._.Statement." localSheetId="8" hidden="1">{#N/A,#N/A,FALSE,"Tabelle2";#N/A,#N/A,FALSE,"Tabelle1"}</definedName>
    <definedName name="wrn.Monthly._.Statement." localSheetId="7" hidden="1">{#N/A,#N/A,FALSE,"Tabelle2";#N/A,#N/A,FALSE,"Tabelle1"}</definedName>
    <definedName name="wrn.Monthly._.Statement." hidden="1">{#N/A,#N/A,FALSE,"Tabelle2";#N/A,#N/A,FALSE,"Tabelle1"}</definedName>
    <definedName name="wrn.Report." localSheetId="9" hidden="1">{"Offgrid",#N/A,FALSE,"OFFGRID";"Region",#N/A,FALSE,"REGION";"Offgrid -2",#N/A,FALSE,"OFFGRID";"WTP",#N/A,FALSE,"WTP";"WTP -2",#N/A,FALSE,"WTP";"Project",#N/A,FALSE,"PROJECT";"Summary -2",#N/A,FALSE,"SUMMARY"}</definedName>
    <definedName name="wrn.Report." localSheetId="0" hidden="1">{"Offgrid",#N/A,FALSE,"OFFGRID";"Region",#N/A,FALSE,"REGION";"Offgrid -2",#N/A,FALSE,"OFFGRID";"WTP",#N/A,FALSE,"WTP";"WTP -2",#N/A,FALSE,"WTP";"Project",#N/A,FALSE,"PROJECT";"Summary -2",#N/A,FALSE,"SUMMARY"}</definedName>
    <definedName name="wrn.Report." localSheetId="10" hidden="1">{"Offgrid",#N/A,FALSE,"OFFGRID";"Region",#N/A,FALSE,"REGION";"Offgrid -2",#N/A,FALSE,"OFFGRID";"WTP",#N/A,FALSE,"WTP";"WTP -2",#N/A,FALSE,"WTP";"Project",#N/A,FALSE,"PROJECT";"Summary -2",#N/A,FALSE,"SUMMARY"}</definedName>
    <definedName name="wrn.Report." localSheetId="1" hidden="1">{"Offgrid",#N/A,FALSE,"OFFGRID";"Region",#N/A,FALSE,"REGION";"Offgrid -2",#N/A,FALSE,"OFFGRID";"WTP",#N/A,FALSE,"WTP";"WTP -2",#N/A,FALSE,"WTP";"Project",#N/A,FALSE,"PROJECT";"Summary -2",#N/A,FALSE,"SUMMARY"}</definedName>
    <definedName name="wrn.Report." localSheetId="6" hidden="1">{"Offgrid",#N/A,FALSE,"OFFGRID";"Region",#N/A,FALSE,"REGION";"Offgrid -2",#N/A,FALSE,"OFFGRID";"WTP",#N/A,FALSE,"WTP";"WTP -2",#N/A,FALSE,"WTP";"Project",#N/A,FALSE,"PROJECT";"Summary -2",#N/A,FALSE,"SUMMARY"}</definedName>
    <definedName name="wrn.Report." localSheetId="5" hidden="1">{"Offgrid",#N/A,FALSE,"OFFGRID";"Region",#N/A,FALSE,"REGION";"Offgrid -2",#N/A,FALSE,"OFFGRID";"WTP",#N/A,FALSE,"WTP";"WTP -2",#N/A,FALSE,"WTP";"Project",#N/A,FALSE,"PROJECT";"Summary -2",#N/A,FALSE,"SUMMARY"}</definedName>
    <definedName name="wrn.Report." localSheetId="4" hidden="1">{"Offgrid",#N/A,FALSE,"OFFGRID";"Region",#N/A,FALSE,"REGION";"Offgrid -2",#N/A,FALSE,"OFFGRID";"WTP",#N/A,FALSE,"WTP";"WTP -2",#N/A,FALSE,"WTP";"Project",#N/A,FALSE,"PROJECT";"Summary -2",#N/A,FALSE,"SUMMARY"}</definedName>
    <definedName name="wrn.Report." localSheetId="8" hidden="1">{"Offgrid",#N/A,FALSE,"OFFGRID";"Region",#N/A,FALSE,"REGION";"Offgrid -2",#N/A,FALSE,"OFFGRID";"WTP",#N/A,FALSE,"WTP";"WTP -2",#N/A,FALSE,"WTP";"Project",#N/A,FALSE,"PROJECT";"Summary -2",#N/A,FALSE,"SUMMARY"}</definedName>
    <definedName name="wrn.Report." localSheetId="7"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f.report" localSheetId="9" hidden="1">{"Offgrid",#N/A,FALSE,"OFFGRID";"Region",#N/A,FALSE,"REGION";"Offgrid -2",#N/A,FALSE,"OFFGRID";"WTP",#N/A,FALSE,"WTP";"WTP -2",#N/A,FALSE,"WTP";"Project",#N/A,FALSE,"PROJECT";"Summary -2",#N/A,FALSE,"SUMMARY"}</definedName>
    <definedName name="wrnf.report" localSheetId="0" hidden="1">{"Offgrid",#N/A,FALSE,"OFFGRID";"Region",#N/A,FALSE,"REGION";"Offgrid -2",#N/A,FALSE,"OFFGRID";"WTP",#N/A,FALSE,"WTP";"WTP -2",#N/A,FALSE,"WTP";"Project",#N/A,FALSE,"PROJECT";"Summary -2",#N/A,FALSE,"SUMMARY"}</definedName>
    <definedName name="wrnf.report" localSheetId="10" hidden="1">{"Offgrid",#N/A,FALSE,"OFFGRID";"Region",#N/A,FALSE,"REGION";"Offgrid -2",#N/A,FALSE,"OFFGRID";"WTP",#N/A,FALSE,"WTP";"WTP -2",#N/A,FALSE,"WTP";"Project",#N/A,FALSE,"PROJECT";"Summary -2",#N/A,FALSE,"SUMMARY"}</definedName>
    <definedName name="wrnf.report" localSheetId="1" hidden="1">{"Offgrid",#N/A,FALSE,"OFFGRID";"Region",#N/A,FALSE,"REGION";"Offgrid -2",#N/A,FALSE,"OFFGRID";"WTP",#N/A,FALSE,"WTP";"WTP -2",#N/A,FALSE,"WTP";"Project",#N/A,FALSE,"PROJECT";"Summary -2",#N/A,FALSE,"SUMMARY"}</definedName>
    <definedName name="wrnf.report" localSheetId="6" hidden="1">{"Offgrid",#N/A,FALSE,"OFFGRID";"Region",#N/A,FALSE,"REGION";"Offgrid -2",#N/A,FALSE,"OFFGRID";"WTP",#N/A,FALSE,"WTP";"WTP -2",#N/A,FALSE,"WTP";"Project",#N/A,FALSE,"PROJECT";"Summary -2",#N/A,FALSE,"SUMMARY"}</definedName>
    <definedName name="wrnf.report" localSheetId="5" hidden="1">{"Offgrid",#N/A,FALSE,"OFFGRID";"Region",#N/A,FALSE,"REGION";"Offgrid -2",#N/A,FALSE,"OFFGRID";"WTP",#N/A,FALSE,"WTP";"WTP -2",#N/A,FALSE,"WTP";"Project",#N/A,FALSE,"PROJECT";"Summary -2",#N/A,FALSE,"SUMMARY"}</definedName>
    <definedName name="wrnf.report" localSheetId="4" hidden="1">{"Offgrid",#N/A,FALSE,"OFFGRID";"Region",#N/A,FALSE,"REGION";"Offgrid -2",#N/A,FALSE,"OFFGRID";"WTP",#N/A,FALSE,"WTP";"WTP -2",#N/A,FALSE,"WTP";"Project",#N/A,FALSE,"PROJECT";"Summary -2",#N/A,FALSE,"SUMMARY"}</definedName>
    <definedName name="wrnf.report" localSheetId="8" hidden="1">{"Offgrid",#N/A,FALSE,"OFFGRID";"Region",#N/A,FALSE,"REGION";"Offgrid -2",#N/A,FALSE,"OFFGRID";"WTP",#N/A,FALSE,"WTP";"WTP -2",#N/A,FALSE,"WTP";"Project",#N/A,FALSE,"PROJECT";"Summary -2",#N/A,FALSE,"SUMMARY"}</definedName>
    <definedName name="wrnf.report" localSheetId="7"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s">#REF!</definedName>
    <definedName name="WSD">#REF!</definedName>
    <definedName name="WSDS">#REF!</definedName>
    <definedName name="Wss">#REF!</definedName>
    <definedName name="Wst">#REF!</definedName>
    <definedName name="wt">#REF!</definedName>
    <definedName name="ww" localSheetId="9">{"Thuxm2.xls","Sheet1"}</definedName>
    <definedName name="ww" localSheetId="0">{"Thuxm2.xls","Sheet1"}</definedName>
    <definedName name="ww" localSheetId="10">{"Thuxm2.xls","Sheet1"}</definedName>
    <definedName name="ww" localSheetId="1">{"Thuxm2.xls","Sheet1"}</definedName>
    <definedName name="ww" localSheetId="6">{"Thuxm2.xls","Sheet1"}</definedName>
    <definedName name="ww" localSheetId="5">{"Thuxm2.xls","Sheet1"}</definedName>
    <definedName name="ww" localSheetId="4">{"Thuxm2.xls","Sheet1"}</definedName>
    <definedName name="ww" localSheetId="8">{"Thuxm2.xls","Sheet1"}</definedName>
    <definedName name="ww" localSheetId="7">{"Thuxm2.xls","Sheet1"}</definedName>
    <definedName name="ww">{"Thuxm2.xls","Sheet1"}</definedName>
    <definedName name="WX">#REF!</definedName>
    <definedName name="WY">#REF!</definedName>
    <definedName name="X">#REF!</definedName>
    <definedName name="x_1">#REF!</definedName>
    <definedName name="x_2">#REF!</definedName>
    <definedName name="x_3">#REF!</definedName>
    <definedName name="x_4">#REF!</definedName>
    <definedName name="x_8I">#REF!</definedName>
    <definedName name="x_8IV">#REF!</definedName>
    <definedName name="x_9I">#REF!</definedName>
    <definedName name="x_9IV">#REF!</definedName>
    <definedName name="X_ng">#REF!</definedName>
    <definedName name="X0GFCFw">#REF!</definedName>
    <definedName name="x1_">#REF!</definedName>
    <definedName name="x17dnc">#REF!</definedName>
    <definedName name="x17dvl">#REF!</definedName>
    <definedName name="x17knc">#REF!</definedName>
    <definedName name="x17kvl">#REF!</definedName>
    <definedName name="X1GFCFw">#REF!</definedName>
    <definedName name="X1pFCOnc">#REF!</definedName>
    <definedName name="X1pFCOvc">#REF!</definedName>
    <definedName name="X1pFCOvl">#REF!</definedName>
    <definedName name="x1pignc">#REF!</definedName>
    <definedName name="X1pIGvc">#REF!</definedName>
    <definedName name="x1pigvl">#REF!</definedName>
    <definedName name="x1pind">#REF!</definedName>
    <definedName name="x1pindnc">#REF!</definedName>
    <definedName name="X1pINDvc">#REF!</definedName>
    <definedName name="x1pindvl">#REF!</definedName>
    <definedName name="x1pint">#REF!</definedName>
    <definedName name="x1pintnc">#REF!</definedName>
    <definedName name="X1pINTvc">#REF!</definedName>
    <definedName name="x1pintvl">#REF!</definedName>
    <definedName name="x1ping">#REF!</definedName>
    <definedName name="x1pingnc">#REF!</definedName>
    <definedName name="X1pINGvc">#REF!</definedName>
    <definedName name="x1pingvl">#REF!</definedName>
    <definedName name="x1pitnc">#REF!</definedName>
    <definedName name="X1pITvc">#REF!</definedName>
    <definedName name="x1pitvl">#REF!</definedName>
    <definedName name="x2_">#REF!</definedName>
    <definedName name="x20knc">#REF!</definedName>
    <definedName name="x20kvl">#REF!</definedName>
    <definedName name="x22knc">#REF!</definedName>
    <definedName name="x22kvl">#REF!</definedName>
    <definedName name="x2mig1nc">#REF!</definedName>
    <definedName name="x2mig1vl">#REF!</definedName>
    <definedName name="x2min1nc">#REF!</definedName>
    <definedName name="x2min1vl">#REF!</definedName>
    <definedName name="x2mit1vl">#REF!</definedName>
    <definedName name="x2mitnc">#REF!</definedName>
    <definedName name="x4.1.1">#REF!</definedName>
    <definedName name="x4.3.21">#REF!</definedName>
    <definedName name="x4.3.22">#REF!</definedName>
    <definedName name="xa">#REF!</definedName>
    <definedName name="xama">#REF!</definedName>
    <definedName name="xaydung">#REF!</definedName>
    <definedName name="XCCT">0.5</definedName>
    <definedName name="xd" localSheetId="9" hidden="1">{"'Sheet1'!$L$16"}</definedName>
    <definedName name="xd" localSheetId="0" hidden="1">{"'Sheet1'!$L$16"}</definedName>
    <definedName name="xd" localSheetId="10" hidden="1">{"'Sheet1'!$L$16"}</definedName>
    <definedName name="xd" localSheetId="1" hidden="1">{"'Sheet1'!$L$16"}</definedName>
    <definedName name="xd" localSheetId="6" hidden="1">{"'Sheet1'!$L$16"}</definedName>
    <definedName name="xd" localSheetId="5" hidden="1">{"'Sheet1'!$L$16"}</definedName>
    <definedName name="xd" localSheetId="4" hidden="1">{"'Sheet1'!$L$16"}</definedName>
    <definedName name="xd" localSheetId="8" hidden="1">{"'Sheet1'!$L$16"}</definedName>
    <definedName name="xd" localSheetId="7" hidden="1">{"'Sheet1'!$L$16"}</definedName>
    <definedName name="xd" hidden="1">{"'Sheet1'!$L$16"}</definedName>
    <definedName name="xd0.6">#REF!</definedName>
    <definedName name="xd1.3">#REF!</definedName>
    <definedName name="xd1.5">#REF!</definedName>
    <definedName name="XDNT">#REF!</definedName>
    <definedName name="XDNHC">#REF!</definedName>
    <definedName name="xdra">#REF!</definedName>
    <definedName name="xdsnc">#REF!</definedName>
    <definedName name="xdsvl">#REF!</definedName>
    <definedName name="xelaodam">#REF!</definedName>
    <definedName name="xethung10t">#REF!</definedName>
    <definedName name="xetreo">#REF!</definedName>
    <definedName name="xfco">#REF!</definedName>
    <definedName name="xfco3p">#REF!</definedName>
    <definedName name="xfconc">#REF!</definedName>
    <definedName name="xfconc3p">#REF!</definedName>
    <definedName name="xfcotnc">#REF!</definedName>
    <definedName name="xfcotvl">#REF!</definedName>
    <definedName name="XFCOvc">#REF!</definedName>
    <definedName name="xfcovl">#REF!</definedName>
    <definedName name="xfcovl3p">#REF!</definedName>
    <definedName name="xfnc">#REF!</definedName>
    <definedName name="xfvl">#REF!</definedName>
    <definedName name="xgc100">#REF!</definedName>
    <definedName name="xgc150">#REF!</definedName>
    <definedName name="xgc200">#REF!</definedName>
    <definedName name="xh">#REF!</definedName>
    <definedName name="xh_bq">#REF!</definedName>
    <definedName name="xh_bv">#REF!</definedName>
    <definedName name="xh_ck">#REF!</definedName>
    <definedName name="xh_d1">#REF!</definedName>
    <definedName name="xh_d2">#REF!</definedName>
    <definedName name="xh_d3">#REF!</definedName>
    <definedName name="xh_dl">#REF!</definedName>
    <definedName name="xh_kcs">#REF!</definedName>
    <definedName name="xh_nb">#REF!</definedName>
    <definedName name="xh_nv">#REF!</definedName>
    <definedName name="xh_ngio">#REF!</definedName>
    <definedName name="xh_t3">#REF!</definedName>
    <definedName name="xh_t4">#REF!</definedName>
    <definedName name="xh_t5">#REF!</definedName>
    <definedName name="xh_t6">#REF!</definedName>
    <definedName name="xh_tc">#REF!</definedName>
    <definedName name="xh_tm">#REF!</definedName>
    <definedName name="xh_vs">#REF!</definedName>
    <definedName name="xh_xh">#REF!</definedName>
    <definedName name="xhn">#REF!</definedName>
    <definedName name="xhnnc">#REF!</definedName>
    <definedName name="xhnvl">#REF!</definedName>
    <definedName name="xi">#REF!</definedName>
    <definedName name="Xi_m_ng_PC30">#REF!</definedName>
    <definedName name="xig">#REF!</definedName>
    <definedName name="xig1">#REF!</definedName>
    <definedName name="xig1nc">#REF!</definedName>
    <definedName name="xig1p">#REF!</definedName>
    <definedName name="xig1pnc">#REF!</definedName>
    <definedName name="xig1pvl">#REF!</definedName>
    <definedName name="xig1vl">#REF!</definedName>
    <definedName name="xig2nc">#REF!</definedName>
    <definedName name="xig2vl">#REF!</definedName>
    <definedName name="xig3p">#REF!</definedName>
    <definedName name="xiggnc">#REF!</definedName>
    <definedName name="xiggvl">#REF!</definedName>
    <definedName name="xignc">#REF!</definedName>
    <definedName name="xignc3p">#REF!</definedName>
    <definedName name="XIGvc">#REF!</definedName>
    <definedName name="xigvl">#REF!</definedName>
    <definedName name="xigvl3p">#REF!</definedName>
    <definedName name="Xim_ng_PC40">#REF!</definedName>
    <definedName name="Ximang">#REF!</definedName>
    <definedName name="XiMangPCB30">#REF!</definedName>
    <definedName name="xin">#REF!</definedName>
    <definedName name="xin190">#REF!</definedName>
    <definedName name="xin1903p">#REF!</definedName>
    <definedName name="xin190nc">#REF!</definedName>
    <definedName name="xin190nc3p">#REF!</definedName>
    <definedName name="XIN190vc">#REF!</definedName>
    <definedName name="xin190vl">#REF!</definedName>
    <definedName name="xin190vl3p">#REF!</definedName>
    <definedName name="xin2903p">#REF!</definedName>
    <definedName name="xin290nc3p">#REF!</definedName>
    <definedName name="xin290vl3p">#REF!</definedName>
    <definedName name="xin3p">#REF!</definedName>
    <definedName name="xin901nc">#REF!</definedName>
    <definedName name="xin901vl">#REF!</definedName>
    <definedName name="xind">#REF!</definedName>
    <definedName name="xind1p">#REF!</definedName>
    <definedName name="xind1pnc">#REF!</definedName>
    <definedName name="xind1pvl">#REF!</definedName>
    <definedName name="xind3p">#REF!</definedName>
    <definedName name="xindnc">#REF!</definedName>
    <definedName name="xindnc1p">#REF!</definedName>
    <definedName name="xindnc3p">#REF!</definedName>
    <definedName name="XINDvc">#REF!</definedName>
    <definedName name="xindvl">#REF!</definedName>
    <definedName name="xindvl1p">#REF!</definedName>
    <definedName name="xindvl3p">#REF!</definedName>
    <definedName name="xinnc">#REF!</definedName>
    <definedName name="xinnc3p">#REF!</definedName>
    <definedName name="xint1p">#REF!</definedName>
    <definedName name="XINvc">#REF!</definedName>
    <definedName name="xinvl">#REF!</definedName>
    <definedName name="xinvl3p">#REF!</definedName>
    <definedName name="xing1p">#REF!</definedName>
    <definedName name="xing1pnc">#REF!</definedName>
    <definedName name="xing1pvl">#REF!</definedName>
    <definedName name="xingnc1p">#REF!</definedName>
    <definedName name="xingvl1p">#REF!</definedName>
    <definedName name="xit">#REF!</definedName>
    <definedName name="xit1">#REF!</definedName>
    <definedName name="xit1nc">#REF!</definedName>
    <definedName name="xit1p">#REF!</definedName>
    <definedName name="xit1pnc">#REF!</definedName>
    <definedName name="xit1pvl">#REF!</definedName>
    <definedName name="xit1vl">#REF!</definedName>
    <definedName name="xit2nc">#REF!</definedName>
    <definedName name="xit2nc3p">#REF!</definedName>
    <definedName name="xit2vl">#REF!</definedName>
    <definedName name="xit2vl3p">#REF!</definedName>
    <definedName name="xit3p">#REF!</definedName>
    <definedName name="xitnc">#REF!</definedName>
    <definedName name="xitnc3p">#REF!</definedName>
    <definedName name="xittnc">#REF!</definedName>
    <definedName name="xittvl">#REF!</definedName>
    <definedName name="XITvc">#REF!</definedName>
    <definedName name="xitvl">#REF!</definedName>
    <definedName name="xitvl3p">#REF!</definedName>
    <definedName name="xk0.6">#REF!</definedName>
    <definedName name="xk1.3">#REF!</definedName>
    <definedName name="xk1.5">#REF!</definedName>
    <definedName name="xl">#REF!</definedName>
    <definedName name="Xl_CTO">#REF!</definedName>
    <definedName name="xlc">#REF!</definedName>
    <definedName name="xld1.4">#REF!</definedName>
    <definedName name="xlk">#REF!</definedName>
    <definedName name="xlk1.4">#REF!</definedName>
    <definedName name="XLP">#REF!</definedName>
    <definedName name="xlttbninh" localSheetId="9" hidden="1">{"'Sheet1'!$L$16"}</definedName>
    <definedName name="xlttbninh" localSheetId="0" hidden="1">{"'Sheet1'!$L$16"}</definedName>
    <definedName name="xlttbninh" localSheetId="10" hidden="1">{"'Sheet1'!$L$16"}</definedName>
    <definedName name="xlttbninh" localSheetId="1" hidden="1">{"'Sheet1'!$L$16"}</definedName>
    <definedName name="xlttbninh" localSheetId="6" hidden="1">{"'Sheet1'!$L$16"}</definedName>
    <definedName name="xlttbninh" localSheetId="5" hidden="1">{"'Sheet1'!$L$16"}</definedName>
    <definedName name="xlttbninh" localSheetId="4" hidden="1">{"'Sheet1'!$L$16"}</definedName>
    <definedName name="xlttbninh" localSheetId="8" hidden="1">{"'Sheet1'!$L$16"}</definedName>
    <definedName name="xlttbninh" localSheetId="7" hidden="1">{"'Sheet1'!$L$16"}</definedName>
    <definedName name="xlttbninh" hidden="1">{"'Sheet1'!$L$16"}</definedName>
    <definedName name="XLxa">#REF!</definedName>
    <definedName name="xm">#REF!</definedName>
    <definedName name="xmcax">#REF!</definedName>
    <definedName name="XMG">#REF!</definedName>
    <definedName name="xmp40">#REF!</definedName>
    <definedName name="xn">#REF!</definedName>
    <definedName name="xo">#REF!</definedName>
    <definedName name="xo0">#REF!</definedName>
    <definedName name="XOANHAP">#REF!,#REF!</definedName>
    <definedName name="xoanhapk">#REF!,#REF!</definedName>
    <definedName name="xoanhapl">#REF!,#REF!</definedName>
    <definedName name="xoaxuatk">#REF!</definedName>
    <definedName name="xoaxuatl">#REF!</definedName>
    <definedName name="xr1nc">#REF!</definedName>
    <definedName name="xr1vl">#REF!</definedName>
    <definedName name="XTN">#REF!</definedName>
    <definedName name="xtr3pnc">#REF!</definedName>
    <definedName name="xtr3pvl">#REF!</definedName>
    <definedName name="xuat_hien">#REF!</definedName>
    <definedName name="Xuat_hien1">#REF!</definedName>
    <definedName name="xuclat1">#REF!</definedName>
    <definedName name="xvxcvxc" localSheetId="9" hidden="1">{"'Sheet1'!$L$16"}</definedName>
    <definedName name="xvxcvxc" localSheetId="0" hidden="1">{"'Sheet1'!$L$16"}</definedName>
    <definedName name="xvxcvxc" localSheetId="10" hidden="1">{"'Sheet1'!$L$16"}</definedName>
    <definedName name="xvxcvxc" localSheetId="1" hidden="1">{"'Sheet1'!$L$16"}</definedName>
    <definedName name="xvxcvxc" localSheetId="6" hidden="1">{"'Sheet1'!$L$16"}</definedName>
    <definedName name="xvxcvxc" localSheetId="5" hidden="1">{"'Sheet1'!$L$16"}</definedName>
    <definedName name="xvxcvxc" localSheetId="4" hidden="1">{"'Sheet1'!$L$16"}</definedName>
    <definedName name="xvxcvxc" localSheetId="8" hidden="1">{"'Sheet1'!$L$16"}</definedName>
    <definedName name="xvxcvxc" localSheetId="7" hidden="1">{"'Sheet1'!$L$16"}</definedName>
    <definedName name="xvxcvxc" hidden="1">{"'Sheet1'!$L$16"}</definedName>
    <definedName name="xx">#REF!</definedName>
    <definedName name="XXX1">#REF!</definedName>
    <definedName name="xy2.5.1">#REF!</definedName>
    <definedName name="xy5.3.1">#REF!</definedName>
    <definedName name="xz2.5.1">#REF!</definedName>
    <definedName name="xz5.3.1">#REF!</definedName>
    <definedName name="xzfa" localSheetId="9" hidden="1">{"'Sheet1'!$L$16"}</definedName>
    <definedName name="xzfa" localSheetId="0" hidden="1">{"'Sheet1'!$L$16"}</definedName>
    <definedName name="xzfa" localSheetId="10" hidden="1">{"'Sheet1'!$L$16"}</definedName>
    <definedName name="xzfa" localSheetId="1" hidden="1">{"'Sheet1'!$L$16"}</definedName>
    <definedName name="xzfa" localSheetId="6" hidden="1">{"'Sheet1'!$L$16"}</definedName>
    <definedName name="xzfa" localSheetId="5" hidden="1">{"'Sheet1'!$L$16"}</definedName>
    <definedName name="xzfa" localSheetId="4" hidden="1">{"'Sheet1'!$L$16"}</definedName>
    <definedName name="xzfa" localSheetId="8" hidden="1">{"'Sheet1'!$L$16"}</definedName>
    <definedName name="xzfa" localSheetId="7" hidden="1">{"'Sheet1'!$L$16"}</definedName>
    <definedName name="xzfa" hidden="1">{"'Sheet1'!$L$16"}</definedName>
    <definedName name="y">#REF!</definedName>
    <definedName name="y_1I">#REF!</definedName>
    <definedName name="y_1II">#REF!</definedName>
    <definedName name="y_1III">#REF!</definedName>
    <definedName name="y_1IV">#REF!</definedName>
    <definedName name="y_2I">#REF!</definedName>
    <definedName name="y_2II">#REF!</definedName>
    <definedName name="y_2III">#REF!</definedName>
    <definedName name="y_2IV">#REF!</definedName>
    <definedName name="y_3I">#REF!</definedName>
    <definedName name="y_3II">#REF!</definedName>
    <definedName name="y_3III">#REF!</definedName>
    <definedName name="y_3IV">#REF!</definedName>
    <definedName name="y_4I">#REF!</definedName>
    <definedName name="y_4II">#REF!</definedName>
    <definedName name="y_4III">#REF!</definedName>
    <definedName name="y_4IV">#REF!</definedName>
    <definedName name="y_9bI">#REF!</definedName>
    <definedName name="y_9bII">#REF!</definedName>
    <definedName name="y_9bIII">#REF!</definedName>
    <definedName name="y_9bIV">#REF!</definedName>
    <definedName name="y_9I">#REF!</definedName>
    <definedName name="y_9II">#REF!</definedName>
    <definedName name="y_9III">#REF!</definedName>
    <definedName name="y_9IV">#REF!</definedName>
    <definedName name="ybc">#REF!</definedName>
    <definedName name="yc">#REF!</definedName>
    <definedName name="year">#REF!</definedName>
    <definedName name="Years">#REF!</definedName>
    <definedName name="Yellow2000">#REF!</definedName>
    <definedName name="yf">#REF!</definedName>
    <definedName name="yg">#REF!</definedName>
    <definedName name="yi">#REF!</definedName>
    <definedName name="YR0">#REF!</definedName>
    <definedName name="YRP">#REF!</definedName>
    <definedName name="yt">#REF!</definedName>
    <definedName name="yt_bq">#REF!</definedName>
    <definedName name="yt_bv">#REF!</definedName>
    <definedName name="yt_ck">#REF!</definedName>
    <definedName name="yt_d1">#REF!</definedName>
    <definedName name="yt_d2">#REF!</definedName>
    <definedName name="yt_d3">#REF!</definedName>
    <definedName name="yt_dl">#REF!</definedName>
    <definedName name="yt_kcs">#REF!</definedName>
    <definedName name="yt_nb">#REF!</definedName>
    <definedName name="yt_nv">#REF!</definedName>
    <definedName name="yt_ngio">#REF!</definedName>
    <definedName name="yt_t3">#REF!</definedName>
    <definedName name="yt_t4">#REF!</definedName>
    <definedName name="yt_t5">#REF!</definedName>
    <definedName name="yt_t6">#REF!</definedName>
    <definedName name="yt_tc">#REF!</definedName>
    <definedName name="yt_tm">#REF!</definedName>
    <definedName name="yt_vs">#REF!</definedName>
    <definedName name="yt_xh">#REF!</definedName>
    <definedName name="ytc">#REF!</definedName>
    <definedName name="ytd">#REF!</definedName>
    <definedName name="ytuygluicilu" localSheetId="9">{"Thuxm2.xls","Sheet1"}</definedName>
    <definedName name="ytuygluicilu" localSheetId="0">{"Thuxm2.xls","Sheet1"}</definedName>
    <definedName name="ytuygluicilu" localSheetId="10">{"Thuxm2.xls","Sheet1"}</definedName>
    <definedName name="ytuygluicilu" localSheetId="1">{"Thuxm2.xls","Sheet1"}</definedName>
    <definedName name="ytuygluicilu" localSheetId="6">{"Thuxm2.xls","Sheet1"}</definedName>
    <definedName name="ytuygluicilu" localSheetId="5">{"Thuxm2.xls","Sheet1"}</definedName>
    <definedName name="ytuygluicilu" localSheetId="4">{"Thuxm2.xls","Sheet1"}</definedName>
    <definedName name="ytuygluicilu" localSheetId="8">{"Thuxm2.xls","Sheet1"}</definedName>
    <definedName name="ytuygluicilu" localSheetId="7">{"Thuxm2.xls","Sheet1"}</definedName>
    <definedName name="ytuygluicilu">{"Thuxm2.xls","Sheet1"}</definedName>
    <definedName name="ỷtuytuytu">#REF!</definedName>
    <definedName name="yy">#REF!</definedName>
    <definedName name="z">#REF!</definedName>
    <definedName name="Z_">#REF!</definedName>
    <definedName name="Z_B6D82DE0_6701_11DA_9820_00304F1E4471_.wvu.Cols" hidden="1">#REF!</definedName>
    <definedName name="z112.4.3">#REF!</definedName>
    <definedName name="ZD">#REF!</definedName>
    <definedName name="zl">#REF!</definedName>
    <definedName name="Zloadmin">#REF!</definedName>
    <definedName name="ZloadminS">#REF!</definedName>
    <definedName name="ZS1A">#REF!</definedName>
    <definedName name="ZS1C">#REF!</definedName>
    <definedName name="Ztl">#REF!</definedName>
    <definedName name="Zw">#REF!</definedName>
    <definedName name="ZXD">#REF!</definedName>
    <definedName name="ZXzX" localSheetId="9" hidden="1">{"'Sheet1'!$L$16"}</definedName>
    <definedName name="ZXzX" localSheetId="0" hidden="1">{"'Sheet1'!$L$16"}</definedName>
    <definedName name="ZXzX" localSheetId="10" hidden="1">{"'Sheet1'!$L$16"}</definedName>
    <definedName name="ZXzX" localSheetId="1" hidden="1">{"'Sheet1'!$L$16"}</definedName>
    <definedName name="ZXzX" localSheetId="6" hidden="1">{"'Sheet1'!$L$16"}</definedName>
    <definedName name="ZXzX" localSheetId="5" hidden="1">{"'Sheet1'!$L$16"}</definedName>
    <definedName name="ZXzX" localSheetId="4" hidden="1">{"'Sheet1'!$L$16"}</definedName>
    <definedName name="ZXzX" localSheetId="8" hidden="1">{"'Sheet1'!$L$16"}</definedName>
    <definedName name="ZXzX" localSheetId="7" hidden="1">{"'Sheet1'!$L$16"}</definedName>
    <definedName name="ZXzX" hidden="1">{"'Sheet1'!$L$16"}</definedName>
    <definedName name="ZYX">#REF!</definedName>
    <definedName name="ZZZ">#REF!</definedName>
    <definedName name="전">#REF!</definedName>
    <definedName name="주택사업본부">#REF!</definedName>
    <definedName name="철구사업본부">#REF!</definedName>
    <definedName name="템플리트모듈1" localSheetId="9">BlankMacro1</definedName>
    <definedName name="템플리트모듈1" localSheetId="0">BlankMacro1</definedName>
    <definedName name="템플리트모듈1" localSheetId="10">BlankMacro1</definedName>
    <definedName name="템플리트모듈1" localSheetId="1">BlankMacro1</definedName>
    <definedName name="템플리트모듈1" localSheetId="6">BlankMacro1</definedName>
    <definedName name="템플리트모듈1" localSheetId="5">BlankMacro1</definedName>
    <definedName name="템플리트모듈1" localSheetId="4">BlankMacro1</definedName>
    <definedName name="템플리트모듈1" localSheetId="8">BlankMacro1</definedName>
    <definedName name="템플리트모듈1" localSheetId="7">BlankMacro1</definedName>
    <definedName name="템플리트모듈1">BlankMacro1</definedName>
    <definedName name="템플리트모듈2" localSheetId="9">BlankMacro1</definedName>
    <definedName name="템플리트모듈2" localSheetId="0">BlankMacro1</definedName>
    <definedName name="템플리트모듈2" localSheetId="10">BlankMacro1</definedName>
    <definedName name="템플리트모듈2" localSheetId="1">BlankMacro1</definedName>
    <definedName name="템플리트모듈2" localSheetId="6">BlankMacro1</definedName>
    <definedName name="템플리트모듈2" localSheetId="5">BlankMacro1</definedName>
    <definedName name="템플리트모듈2" localSheetId="4">BlankMacro1</definedName>
    <definedName name="템플리트모듈2" localSheetId="8">BlankMacro1</definedName>
    <definedName name="템플리트모듈2" localSheetId="7">BlankMacro1</definedName>
    <definedName name="템플리트모듈2">BlankMacro1</definedName>
    <definedName name="템플리트모듈3" localSheetId="9">BlankMacro1</definedName>
    <definedName name="템플리트모듈3" localSheetId="0">BlankMacro1</definedName>
    <definedName name="템플리트모듈3" localSheetId="10">BlankMacro1</definedName>
    <definedName name="템플리트모듈3" localSheetId="1">BlankMacro1</definedName>
    <definedName name="템플리트모듈3" localSheetId="6">BlankMacro1</definedName>
    <definedName name="템플리트모듈3" localSheetId="5">BlankMacro1</definedName>
    <definedName name="템플리트모듈3" localSheetId="4">BlankMacro1</definedName>
    <definedName name="템플리트모듈3" localSheetId="8">BlankMacro1</definedName>
    <definedName name="템플리트모듈3" localSheetId="7">BlankMacro1</definedName>
    <definedName name="템플리트모듈3">BlankMacro1</definedName>
    <definedName name="템플리트모듈4" localSheetId="9">BlankMacro1</definedName>
    <definedName name="템플리트모듈4" localSheetId="0">BlankMacro1</definedName>
    <definedName name="템플리트모듈4" localSheetId="10">BlankMacro1</definedName>
    <definedName name="템플리트모듈4" localSheetId="1">BlankMacro1</definedName>
    <definedName name="템플리트모듈4" localSheetId="6">BlankMacro1</definedName>
    <definedName name="템플리트모듈4" localSheetId="5">BlankMacro1</definedName>
    <definedName name="템플리트모듈4" localSheetId="4">BlankMacro1</definedName>
    <definedName name="템플리트모듈4" localSheetId="8">BlankMacro1</definedName>
    <definedName name="템플리트모듈4" localSheetId="7">BlankMacro1</definedName>
    <definedName name="템플리트모듈4">BlankMacro1</definedName>
    <definedName name="템플리트모듈5" localSheetId="9">BlankMacro1</definedName>
    <definedName name="템플리트모듈5" localSheetId="0">BlankMacro1</definedName>
    <definedName name="템플리트모듈5" localSheetId="10">BlankMacro1</definedName>
    <definedName name="템플리트모듈5" localSheetId="1">BlankMacro1</definedName>
    <definedName name="템플리트모듈5" localSheetId="6">BlankMacro1</definedName>
    <definedName name="템플리트모듈5" localSheetId="5">BlankMacro1</definedName>
    <definedName name="템플리트모듈5" localSheetId="4">BlankMacro1</definedName>
    <definedName name="템플리트모듈5" localSheetId="8">BlankMacro1</definedName>
    <definedName name="템플리트모듈5" localSheetId="7">BlankMacro1</definedName>
    <definedName name="템플리트모듈5">BlankMacro1</definedName>
    <definedName name="템플리트모듈6" localSheetId="9">BlankMacro1</definedName>
    <definedName name="템플리트모듈6" localSheetId="0">BlankMacro1</definedName>
    <definedName name="템플리트모듈6" localSheetId="10">BlankMacro1</definedName>
    <definedName name="템플리트모듈6" localSheetId="1">BlankMacro1</definedName>
    <definedName name="템플리트모듈6" localSheetId="6">BlankMacro1</definedName>
    <definedName name="템플리트모듈6" localSheetId="5">BlankMacro1</definedName>
    <definedName name="템플리트모듈6" localSheetId="4">BlankMacro1</definedName>
    <definedName name="템플리트모듈6" localSheetId="8">BlankMacro1</definedName>
    <definedName name="템플리트모듈6" localSheetId="7">BlankMacro1</definedName>
    <definedName name="템플리트모듈6">BlankMacro1</definedName>
    <definedName name="피팅" localSheetId="9">BlankMacro1</definedName>
    <definedName name="피팅" localSheetId="0">BlankMacro1</definedName>
    <definedName name="피팅" localSheetId="10">BlankMacro1</definedName>
    <definedName name="피팅" localSheetId="1">BlankMacro1</definedName>
    <definedName name="피팅" localSheetId="6">BlankMacro1</definedName>
    <definedName name="피팅" localSheetId="5">BlankMacro1</definedName>
    <definedName name="피팅" localSheetId="4">BlankMacro1</definedName>
    <definedName name="피팅" localSheetId="8">BlankMacro1</definedName>
    <definedName name="피팅" localSheetId="7">BlankMacro1</definedName>
    <definedName name="피팅">BlankMacro1</definedName>
  </definedNames>
  <calcPr calcId="191029" calcMode="autoNoTable"/>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3" i="16" l="1"/>
  <c r="D24" i="16"/>
  <c r="D4" i="16"/>
  <c r="C4" i="16"/>
  <c r="B4" i="16"/>
  <c r="H44" i="30" l="1"/>
  <c r="G42" i="29"/>
  <c r="R39" i="29"/>
  <c r="R35" i="29"/>
  <c r="N14" i="29"/>
  <c r="N12" i="29"/>
  <c r="K15" i="14" l="1"/>
  <c r="J15" i="14"/>
  <c r="F15" i="14"/>
  <c r="B63" i="16" l="1"/>
  <c r="D62" i="16"/>
  <c r="D60" i="16" l="1"/>
  <c r="D61" i="16" l="1"/>
  <c r="B84" i="16" l="1"/>
  <c r="D47" i="16" l="1"/>
  <c r="C15" i="16" l="1"/>
  <c r="D58" i="16" l="1"/>
  <c r="N104" i="16" l="1"/>
  <c r="D57" i="16" l="1"/>
  <c r="D69" i="16"/>
  <c r="D56" i="16" l="1"/>
  <c r="C35" i="16"/>
  <c r="B35" i="16"/>
  <c r="D84" i="16"/>
  <c r="D35" i="16" l="1"/>
  <c r="C127" i="16" l="1"/>
  <c r="B127" i="16"/>
  <c r="D119" i="16"/>
  <c r="D120" i="16"/>
  <c r="D121" i="16"/>
  <c r="D122" i="16"/>
  <c r="D123" i="16"/>
  <c r="D124" i="16"/>
  <c r="D125" i="16"/>
  <c r="D126" i="16"/>
  <c r="D118" i="16"/>
  <c r="D127" i="16" s="1"/>
  <c r="D55" i="16" l="1"/>
  <c r="H159" i="18" l="1"/>
  <c r="D54" i="16" l="1"/>
  <c r="B15" i="16"/>
  <c r="D15" i="16" s="1"/>
  <c r="D40" i="16" l="1"/>
  <c r="D41" i="16"/>
  <c r="D94" i="16" l="1"/>
  <c r="D93" i="16"/>
  <c r="D92" i="16"/>
  <c r="D91" i="16"/>
  <c r="D53" i="16"/>
  <c r="C103" i="16" l="1"/>
  <c r="D103" i="16"/>
  <c r="E103" i="16"/>
  <c r="F103" i="16"/>
  <c r="G103" i="16"/>
  <c r="H103" i="16"/>
  <c r="I103" i="16"/>
  <c r="J103" i="16"/>
  <c r="K103" i="16"/>
  <c r="L103" i="16"/>
  <c r="B103" i="16"/>
  <c r="N103" i="16" l="1"/>
  <c r="D107" i="16"/>
  <c r="D89" i="16"/>
  <c r="D88" i="16"/>
  <c r="D87" i="16"/>
  <c r="D86" i="16"/>
  <c r="H46" i="17"/>
  <c r="D6" i="14" l="1"/>
  <c r="F6" i="14" s="1"/>
  <c r="D5" i="14" l="1"/>
  <c r="F5" i="14" s="1"/>
  <c r="D23" i="16" l="1"/>
  <c r="D51" i="16"/>
  <c r="D52" i="16"/>
  <c r="D3" i="16"/>
  <c r="J25" i="16" l="1"/>
  <c r="K23" i="16"/>
  <c r="K7" i="16"/>
  <c r="D70" i="16" l="1"/>
  <c r="D68" i="16"/>
  <c r="D67" i="16"/>
  <c r="D38" i="16"/>
  <c r="D37" i="16"/>
  <c r="D21" i="16"/>
  <c r="D18" i="16"/>
  <c r="D17" i="16"/>
  <c r="D16" i="16"/>
</calcChain>
</file>

<file path=xl/sharedStrings.xml><?xml version="1.0" encoding="utf-8"?>
<sst xmlns="http://schemas.openxmlformats.org/spreadsheetml/2006/main" count="3456" uniqueCount="1051">
  <si>
    <t>STT</t>
  </si>
  <si>
    <t>Ngày bắt đầu thực hiện</t>
  </si>
  <si>
    <t>Ngày hoàn thành dự kiến</t>
  </si>
  <si>
    <t>Mã mục tiêu phòng xưởng</t>
  </si>
  <si>
    <t>Mã mục tiêu NM</t>
  </si>
  <si>
    <t>Tên mục tiêu / Kết quả then chốt
(cụ thể, đo lường được) và kế hoạch hành động</t>
  </si>
  <si>
    <t>Trọng số</t>
  </si>
  <si>
    <t>ĐK.1</t>
  </si>
  <si>
    <t>ĐK.1.1</t>
  </si>
  <si>
    <t>ĐK.1.2</t>
  </si>
  <si>
    <t>ĐK.1.3</t>
  </si>
  <si>
    <t>ĐCM.1.2</t>
  </si>
  <si>
    <t>ĐK.2</t>
  </si>
  <si>
    <t>ĐK.2.1</t>
  </si>
  <si>
    <t>ĐK.2.2</t>
  </si>
  <si>
    <t>ĐK.2.3</t>
  </si>
  <si>
    <t>Không có tai nạn và sự cố liên quan đến an toàn sức khỏe môi trường bị xử lý bởi cơ quan chức năng</t>
  </si>
  <si>
    <t>ĐK.3</t>
  </si>
  <si>
    <t>ĐK.3.1</t>
  </si>
  <si>
    <t>ĐK.4</t>
  </si>
  <si>
    <t>ĐK.5</t>
  </si>
  <si>
    <t>ĐK.6</t>
  </si>
  <si>
    <t>ĐK.6.1</t>
  </si>
  <si>
    <t>ĐK.1.4</t>
  </si>
  <si>
    <t>ĐK.1.5</t>
  </si>
  <si>
    <t>ĐK.7</t>
  </si>
  <si>
    <t>ĐK.7.1</t>
  </si>
  <si>
    <t>Lập kế hoạch bảo dưỡng thường xuyên, bảo dưỡng trước đợt sản xuất đảm bảo các thiết bị có kế hoạch phù hợp với tình trạng</t>
  </si>
  <si>
    <t>ĐCM.2.3</t>
  </si>
  <si>
    <t>ĐCM.3.1</t>
  </si>
  <si>
    <t>Văn hóa doanh nghiệp</t>
  </si>
  <si>
    <t>Ghi chú</t>
  </si>
  <si>
    <t>Tháng 4</t>
  </si>
  <si>
    <t>ĐK1.1</t>
  </si>
  <si>
    <t>Tháng 5</t>
  </si>
  <si>
    <t>Tháng 6</t>
  </si>
  <si>
    <t>Tháng 7</t>
  </si>
  <si>
    <t>Tháng 8</t>
  </si>
  <si>
    <t>Tháng 9</t>
  </si>
  <si>
    <t>Tháng 10</t>
  </si>
  <si>
    <t>Tháng 11</t>
  </si>
  <si>
    <t>Tháng 12</t>
  </si>
  <si>
    <t>Đội thiết bị Hệ thống điều khiển</t>
  </si>
  <si>
    <t>Đội thiết bị chấp hành</t>
  </si>
  <si>
    <t>Đội thiết bị Đo lường</t>
  </si>
  <si>
    <t>Đội thiết bị Chấp hành</t>
  </si>
  <si>
    <t>Tổ trực ca điều khiển</t>
  </si>
  <si>
    <t>CAM van điều khiển</t>
  </si>
  <si>
    <t>CAM thiết bị đo</t>
  </si>
  <si>
    <t>CAM tủ ĐK</t>
  </si>
  <si>
    <t>Thay thế ống dẫn dây PCCC (m)</t>
  </si>
  <si>
    <t>Bảo dưỡng định kỳ NPK</t>
  </si>
  <si>
    <t>Đội thiết bị đo lường</t>
  </si>
  <si>
    <t>Chương trình stop</t>
  </si>
  <si>
    <t>Tháng 2</t>
  </si>
  <si>
    <t>Tháng 3</t>
  </si>
  <si>
    <t>Tổ trực ca</t>
  </si>
  <si>
    <t>Đội thiết bị hệ thống điều khiển</t>
  </si>
  <si>
    <t>Đội thiết bị đo</t>
  </si>
  <si>
    <t>Đội thiết bị cơ cấu chấp hành</t>
  </si>
  <si>
    <t xml:space="preserve">Tổng nhân sự </t>
  </si>
  <si>
    <t>A1</t>
  </si>
  <si>
    <t>A2</t>
  </si>
  <si>
    <t>KẾ HOẠCH /MỤC TIÊU 2025 XƯỞNG ĐIỀU KHIỂN  (ÁP DỤNG ĐỂ KIỂM SOÁT NỘI BỘ)</t>
  </si>
  <si>
    <t>Báo cáo tình hình thực hiện tháng 2</t>
  </si>
  <si>
    <t>Báo cáo tình hình thực hiện tháng 3</t>
  </si>
  <si>
    <t>Báo cáo tình hình thực hiện tháng 4</t>
  </si>
  <si>
    <t>Báo cáo tình hình thực hiện tháng 5</t>
  </si>
  <si>
    <t>Báo cáo tình hình thực hiện tháng 6</t>
  </si>
  <si>
    <t>Báo cáo tình hình thực hiện tháng 7</t>
  </si>
  <si>
    <t>Báo cáo tình hình thực hiện tháng 8</t>
  </si>
  <si>
    <t>Báo cáo tình hình thực hiện tháng 9</t>
  </si>
  <si>
    <t>Báo cáo tình hình thực hiện tháng 10</t>
  </si>
  <si>
    <t>Báo cáo tình hình thực hiện tháng 11</t>
  </si>
  <si>
    <t>Báo cáo tình hình thực hiện tháng 12</t>
  </si>
  <si>
    <t>Đo lường</t>
  </si>
  <si>
    <t>Mục tiêu</t>
  </si>
  <si>
    <t>Tần suất đo lường</t>
  </si>
  <si>
    <t>Kế hoạch hành động</t>
  </si>
  <si>
    <t>LĐ xưởng Phụ trách</t>
  </si>
  <si>
    <t>Đầu mối tổ chức/Kiểm soát</t>
  </si>
  <si>
    <t>Đội/tổ triển khai/Phối hợp</t>
  </si>
  <si>
    <r>
      <t xml:space="preserve">Tình hình thực hiện
</t>
    </r>
    <r>
      <rPr>
        <i/>
        <sz val="12"/>
        <color theme="1"/>
        <rFont val="Times New Roman"/>
        <family val="1"/>
      </rPr>
      <t>- % Hoàn thành (HM hoàn thành/Tổng số) - Lý do chưa hoàn thành
- Số thẻ STOP ghi nhận
- Số Sáng kiến/ý tưởng/CTKT trong tháng được thông qua cấp Xưởng/Cấp tiểu ban điều khiển
- Số giờ đào tạo NB đã thực hiện trong tháng (tích lũy trên tổng số)
- % Nhân sự tham gia các hoạt động/chương trình (Số lượng nhân sự tham gia/ Tổng số nhân sự Đội/Tổ)
- Đối với các hoạt động/chương trình không tổ chức trong tháng, Đội/Tổ điền Hoàn thành
…</t>
    </r>
  </si>
  <si>
    <r>
      <t xml:space="preserve">Đánh giá
</t>
    </r>
    <r>
      <rPr>
        <i/>
        <sz val="12"/>
        <color theme="1"/>
        <rFont val="Times New Roman"/>
        <family val="1"/>
      </rPr>
      <t xml:space="preserve">- Không hoàn thành
- Hoàn thành
- Hoàn thành tốt
- Hoàn thành xuất sắc
</t>
    </r>
  </si>
  <si>
    <t>Đảm bảo tính ổn định của thiết bị</t>
  </si>
  <si>
    <t xml:space="preserve">Sản lượng Urê bị mất hay sụt giảm do lỗi thiết bị </t>
  </si>
  <si>
    <t>&lt;=10.000 Tấn</t>
  </si>
  <si>
    <t>Năm</t>
  </si>
  <si>
    <r>
      <t xml:space="preserve">Triển khai công tác BD định kỳ theo kế hoạch đảm bảo </t>
    </r>
    <r>
      <rPr>
        <b/>
        <sz val="12"/>
        <color theme="1"/>
        <rFont val="Times New Roman"/>
        <family val="1"/>
      </rPr>
      <t>chất lượng</t>
    </r>
    <r>
      <rPr>
        <sz val="12"/>
        <color theme="1"/>
        <rFont val="Times New Roman"/>
        <family val="1"/>
      </rPr>
      <t xml:space="preserve"> và đúng </t>
    </r>
    <r>
      <rPr>
        <b/>
        <sz val="12"/>
        <color theme="1"/>
        <rFont val="Times New Roman"/>
        <family val="1"/>
      </rPr>
      <t>tiến độ</t>
    </r>
  </si>
  <si>
    <t>% HM BDĐK hoàn thành theo kế hoạch</t>
  </si>
  <si>
    <t>&gt;= 98%</t>
  </si>
  <si>
    <t>Tháng</t>
  </si>
  <si>
    <t>Đội/Tổ cập nhật</t>
  </si>
  <si>
    <t>Quách Kía
Nguyễn Văn Trắng</t>
  </si>
  <si>
    <t>N/A</t>
  </si>
  <si>
    <t>Đội hành chính</t>
  </si>
  <si>
    <r>
      <t>Triển khai công tác sửa chữa đột xuất đảm bảo</t>
    </r>
    <r>
      <rPr>
        <b/>
        <sz val="12"/>
        <color theme="1"/>
        <rFont val="Times New Roman"/>
        <family val="1"/>
      </rPr>
      <t xml:space="preserve"> kịp thời</t>
    </r>
    <r>
      <rPr>
        <sz val="12"/>
        <color theme="1"/>
        <rFont val="Times New Roman"/>
        <family val="1"/>
      </rPr>
      <t xml:space="preserve"> và </t>
    </r>
    <r>
      <rPr>
        <b/>
        <sz val="12"/>
        <color theme="1"/>
        <rFont val="Times New Roman"/>
        <family val="1"/>
      </rPr>
      <t>chất lượng</t>
    </r>
  </si>
  <si>
    <t>% HM SCĐX hoàn thành trên tổng số</t>
  </si>
  <si>
    <t>&gt;= 99%</t>
  </si>
  <si>
    <t>Quách Kía</t>
  </si>
  <si>
    <r>
      <t xml:space="preserve">Triển khai công tác BDTT theo kế hoạch đảm bảo </t>
    </r>
    <r>
      <rPr>
        <b/>
        <sz val="12"/>
        <color theme="1"/>
        <rFont val="Times New Roman"/>
        <family val="1"/>
      </rPr>
      <t>chất lượng</t>
    </r>
  </si>
  <si>
    <t>% HM BDTT hoàn thành theo kế hoạch</t>
  </si>
  <si>
    <t>Nhóm BDTT</t>
  </si>
  <si>
    <t>Số giờ (h) vượt kế hoạch</t>
  </si>
  <si>
    <t>&gt;= 4h</t>
  </si>
  <si>
    <r>
      <t xml:space="preserve">Triển khai hạng mục </t>
    </r>
    <r>
      <rPr>
        <b/>
        <sz val="12"/>
        <color theme="1"/>
        <rFont val="Times New Roman"/>
        <family val="1"/>
      </rPr>
      <t xml:space="preserve">voting </t>
    </r>
    <r>
      <rPr>
        <sz val="12"/>
        <color theme="1"/>
        <rFont val="Times New Roman"/>
        <family val="1"/>
      </rPr>
      <t xml:space="preserve"> cho thiết bị đo lường và hệ thống điều khiển theo kế hoạch được phê duyệt</t>
    </r>
  </si>
  <si>
    <t xml:space="preserve">% HM hoàn thành theo kế hoạch </t>
  </si>
  <si>
    <r>
      <t xml:space="preserve">Triển khai hạng mục </t>
    </r>
    <r>
      <rPr>
        <b/>
        <sz val="12"/>
        <color theme="1"/>
        <rFont val="Times New Roman"/>
        <family val="1"/>
      </rPr>
      <t>voting</t>
    </r>
    <r>
      <rPr>
        <sz val="12"/>
        <color theme="1"/>
        <rFont val="Times New Roman"/>
        <family val="1"/>
      </rPr>
      <t xml:space="preserve"> hệ thống MPS</t>
    </r>
  </si>
  <si>
    <t>ĐK.1.6</t>
  </si>
  <si>
    <r>
      <t xml:space="preserve">Triển khai công tác chống ăn mòn thường xuyên theo kế hoạch đảm bảo </t>
    </r>
    <r>
      <rPr>
        <b/>
        <sz val="12"/>
        <color theme="1"/>
        <rFont val="Times New Roman"/>
        <family val="1"/>
      </rPr>
      <t>chất lượn</t>
    </r>
    <r>
      <rPr>
        <sz val="12"/>
        <color theme="1"/>
        <rFont val="Times New Roman"/>
        <family val="1"/>
      </rPr>
      <t>g và đúng t</t>
    </r>
    <r>
      <rPr>
        <b/>
        <sz val="12"/>
        <color theme="1"/>
        <rFont val="Times New Roman"/>
        <family val="1"/>
      </rPr>
      <t>iến độ</t>
    </r>
  </si>
  <si>
    <t>&gt;= 95%</t>
  </si>
  <si>
    <t>ĐK.1.7</t>
  </si>
  <si>
    <t>Triển khai hành động KPPN (Căn cứ theo KL điều tra sự cố)</t>
  </si>
  <si>
    <t xml:space="preserve">% HM triển khai hành động KPPN trên tổng số </t>
  </si>
  <si>
    <t>&gt;= 90%</t>
  </si>
  <si>
    <t>Hữu Văn Cưng</t>
  </si>
  <si>
    <t>ĐCM.1.4</t>
  </si>
  <si>
    <t>Số vụ</t>
  </si>
  <si>
    <t xml:space="preserve">Tổ chức kiểm tra an toàn cấp 2 đầy đủ, nghiêm túc </t>
  </si>
  <si>
    <t>Số lần tổ chức</t>
  </si>
  <si>
    <t>Lý Ngọc Lĩnh</t>
  </si>
  <si>
    <t>Đội hành chính
Tổ trực ca</t>
  </si>
  <si>
    <t>Tham gia chương trình STOP</t>
  </si>
  <si>
    <t>Số thẻ được công nhận</t>
  </si>
  <si>
    <t>Nguyễn Mạnh Quỳnh</t>
  </si>
  <si>
    <t>Tham gia các khóa đào tạo an toàn theo yêu cầu từ đầu mối</t>
  </si>
  <si>
    <t>% CBCNV tham gia</t>
  </si>
  <si>
    <t>Đảm bảo tính ổn định của máy móc thiết bị xưởng NPK</t>
  </si>
  <si>
    <t>Thời gian gián đoạn sản xuất do lỗi thiết bị trong 01 đợt sản xuất (quý)</t>
  </si>
  <si>
    <t>≤ 7 ngày/ đợt sản xuất</t>
  </si>
  <si>
    <t>Thiết bị được bảo dưỡng phù hơp</t>
  </si>
  <si>
    <t>ĐK.3.2</t>
  </si>
  <si>
    <t>ĐK.3.3</t>
  </si>
  <si>
    <r>
      <t xml:space="preserve">Triển khai công tác sửa chữa đột xuất đảm bảo </t>
    </r>
    <r>
      <rPr>
        <b/>
        <sz val="12"/>
        <color theme="1"/>
        <rFont val="Times New Roman"/>
        <family val="1"/>
      </rPr>
      <t>kịp thời</t>
    </r>
    <r>
      <rPr>
        <sz val="12"/>
        <color theme="1"/>
        <rFont val="Times New Roman"/>
        <family val="1"/>
      </rPr>
      <t xml:space="preserve"> và </t>
    </r>
    <r>
      <rPr>
        <b/>
        <sz val="12"/>
        <color theme="1"/>
        <rFont val="Times New Roman"/>
        <family val="1"/>
      </rPr>
      <t>chất lượng</t>
    </r>
  </si>
  <si>
    <t>ĐK.3.4</t>
  </si>
  <si>
    <t>Triển khai các hạng mục cải hoán thuộc chuyên môn phụ trách</t>
  </si>
  <si>
    <t>ĐK 4.1</t>
  </si>
  <si>
    <t>Hoàn thành triển khai công tác cải hoán thuộc chuyên môn phụ trách khi có yêu cầu từ đầu mối</t>
  </si>
  <si>
    <t xml:space="preserve">% HM hoàn thành theo sự phân công </t>
  </si>
  <si>
    <t>ĐK 4.2</t>
  </si>
  <si>
    <t>Cải tiến hệ thống cân đóng bao NPK</t>
  </si>
  <si>
    <t>% Hoàn thành</t>
  </si>
  <si>
    <t>ĐK 4.3</t>
  </si>
  <si>
    <t>Cải tiến hệ thống robot NPK</t>
  </si>
  <si>
    <t>ĐK 4.4</t>
  </si>
  <si>
    <t>Cải tiến 04AT5001</t>
  </si>
  <si>
    <t>ĐCM.4.1</t>
  </si>
  <si>
    <t>Triền khai chương trình TPM</t>
  </si>
  <si>
    <t>ĐK 5.1</t>
  </si>
  <si>
    <t>Trụ cột ET: Xây dựng khung năng lực</t>
  </si>
  <si>
    <t>Số vị trí chức danh</t>
  </si>
  <si>
    <t>Phạm Thanh Quyền</t>
  </si>
  <si>
    <t>Đội hành chính
Tổ trực ca
Hữu Văn Cưng</t>
  </si>
  <si>
    <t>ĐK 5.2</t>
  </si>
  <si>
    <t>Trụ cột ET: Đánh giá năng lực cho CBCNV</t>
  </si>
  <si>
    <t>Số CBCNV hoàn thành đánh giá</t>
  </si>
  <si>
    <t>ĐK 5.3</t>
  </si>
  <si>
    <t xml:space="preserve">Tham gia lớp đào tạo nội bộ tổng quan TPM </t>
  </si>
  <si>
    <t>&gt;= 80%</t>
  </si>
  <si>
    <t>ĐK 5.4</t>
  </si>
  <si>
    <t>Phát triển nhân viên đào tạo trụ cột PM &amp; AM</t>
  </si>
  <si>
    <t xml:space="preserve">Số nhân viên đào tạo </t>
  </si>
  <si>
    <t>Quách Kía (PM)
Nguyễn Văn Trắng (AM)</t>
  </si>
  <si>
    <t>ĐK 5.5</t>
  </si>
  <si>
    <t>Trụ cột AM: Xây dựng các module đào tạo cho vận hành theo chương trình triển khai (Thực hiện chuyên môn phụ trách theo sự phân công)</t>
  </si>
  <si>
    <t xml:space="preserve">% module hoàn thành theo sự phân công </t>
  </si>
  <si>
    <t>ĐK 5.6</t>
  </si>
  <si>
    <t xml:space="preserve">Rà soát cập nhật lại kế hoạch bảo dưỡng theo phương thức bảo dưỡng để tăng hiệu quả trong công tác bảo dưỡng (áp dụng đối với Phân xưởng/hệ thống do X. ĐK phụ trách công tác lập kế hoạch)
</t>
  </si>
  <si>
    <t>Cụm thiết bị/hệ thống Xưởng phụ trách</t>
  </si>
  <si>
    <t>- Đội TBCH: TB SP/NPK/GN/Quan trắc;
- Đội TB Đo: PI,TI/ ACC/ PA/Camera/Bộ đàm;
- Đội TBHTĐK: Hệ thống phòng cháy</t>
  </si>
  <si>
    <t>ĐCM.5</t>
  </si>
  <si>
    <t>Phát triển nguồn lực và nâng cao năng lực hệ thống quản trị</t>
  </si>
  <si>
    <t>Tham gia các chương trình đào tạo và hoạt động coaching do Nhà máy tổ chức</t>
  </si>
  <si>
    <t>% CBCNV phân công tham gia</t>
  </si>
  <si>
    <t>ĐK.6.2</t>
  </si>
  <si>
    <t>Có Sáng kiến được công nhận cấp tiểu ban Điều khiển (Mỗi Đội/tổ 2 cái)</t>
  </si>
  <si>
    <t>Số lượng Sáng kiến được công nhận</t>
  </si>
  <si>
    <t>Nguyễn Văn Trắng</t>
  </si>
  <si>
    <t>ĐK.6.3</t>
  </si>
  <si>
    <t>Có ý tưởng/CTKT được công nhận Cấp Xưởng</t>
  </si>
  <si>
    <t>Số lượng ý tưởng/CTKT được công nhận</t>
  </si>
  <si>
    <t>ĐK.6.4</t>
  </si>
  <si>
    <t>Triển khai đào tạo nội bộ theo kế hoạch được phê duyệt</t>
  </si>
  <si>
    <t>% hoàn thành giờ đào tạo nội bộ</t>
  </si>
  <si>
    <t>Trần Tuyết Quyên</t>
  </si>
  <si>
    <t>ĐK.6.5</t>
  </si>
  <si>
    <t>Công tác triển khai đào tạo bên ngoài theo kế hoạch được phê duyệt</t>
  </si>
  <si>
    <t>% hoàn thành khóa đào tạo bên ngoài theo kế hoạch</t>
  </si>
  <si>
    <t>ĐK.6.6</t>
  </si>
  <si>
    <t>Công tác triển khai chuẩn hóa giáo trình đào tạo theo kế hoạch được phê duyệt</t>
  </si>
  <si>
    <t>% hoàn thành chuẩn hóa giáo trình theo kế hoạch</t>
  </si>
  <si>
    <t>ĐK.6.7</t>
  </si>
  <si>
    <t>Thực hiện hội thảo chuyên đề được trình bày bởi các chức danh kỹ sư/kỹ sư chính</t>
  </si>
  <si>
    <t>Số hội thảo</t>
  </si>
  <si>
    <t>ĐK.6.8</t>
  </si>
  <si>
    <t>Xây dựng Smart Factory thuộc chuyên môn phụ trách theo sự phân công</t>
  </si>
  <si>
    <t xml:space="preserve">Rèn luyện chạy bộ </t>
  </si>
  <si>
    <t>2 tuần</t>
  </si>
  <si>
    <t>ĐTN</t>
  </si>
  <si>
    <t>ĐK.7.2</t>
  </si>
  <si>
    <t>Tổ chức hội thao</t>
  </si>
  <si>
    <t>Quý</t>
  </si>
  <si>
    <t>ĐK.7.3</t>
  </si>
  <si>
    <t>Chia sẽ văn hoá /Quy trình</t>
  </si>
  <si>
    <t>OK</t>
  </si>
  <si>
    <t>GOOD</t>
  </si>
  <si>
    <t>Đánh giá</t>
  </si>
  <si>
    <t>(Dữ liệu được cập nhật vào ngày 25 hàng tháng)</t>
  </si>
  <si>
    <t>Đã phân bổ</t>
  </si>
  <si>
    <t>Còn lại</t>
  </si>
  <si>
    <t>Được Phân bổ</t>
  </si>
  <si>
    <t>Đào tạo nội bộ</t>
  </si>
  <si>
    <t>T2</t>
  </si>
  <si>
    <t>T3</t>
  </si>
  <si>
    <t>T4</t>
  </si>
  <si>
    <t>T5</t>
  </si>
  <si>
    <t>T6</t>
  </si>
  <si>
    <t>T7</t>
  </si>
  <si>
    <t>T8</t>
  </si>
  <si>
    <t>T9</t>
  </si>
  <si>
    <t>T10</t>
  </si>
  <si>
    <t>T11</t>
  </si>
  <si>
    <t>T12</t>
  </si>
  <si>
    <t>T1</t>
  </si>
  <si>
    <t>Phân bổ</t>
  </si>
  <si>
    <t>Hoàn thành tốt</t>
  </si>
  <si>
    <t>Hoàn thành</t>
  </si>
  <si>
    <t>AND</t>
  </si>
  <si>
    <t>OR</t>
  </si>
  <si>
    <t>Không hoàn thành</t>
  </si>
  <si>
    <r>
      <rPr>
        <b/>
        <sz val="16"/>
        <color rgb="FF00B050"/>
        <rFont val="Times New Roman"/>
        <family val="1"/>
      </rPr>
      <t>Không vi phạm</t>
    </r>
    <r>
      <rPr>
        <sz val="16"/>
        <rFont val="Times New Roman"/>
        <family val="1"/>
      </rPr>
      <t xml:space="preserve"> QĐ/QT</t>
    </r>
  </si>
  <si>
    <r>
      <rPr>
        <b/>
        <sz val="16"/>
        <color rgb="FFFF0000"/>
        <rFont val="Times New Roman"/>
        <family val="1"/>
      </rPr>
      <t>Vi phạm</t>
    </r>
    <r>
      <rPr>
        <sz val="16"/>
        <rFont val="Times New Roman"/>
        <family val="1"/>
      </rPr>
      <t xml:space="preserve"> QĐ/QT</t>
    </r>
  </si>
  <si>
    <t>Thay máng cáp Composite</t>
  </si>
  <si>
    <t>Sáng kiến</t>
  </si>
  <si>
    <t xml:space="preserve">Kế hoạch </t>
  </si>
  <si>
    <t>thực hiện</t>
  </si>
  <si>
    <t>HT tốt</t>
  </si>
  <si>
    <t>HT</t>
  </si>
  <si>
    <t>Đội/Tổ</t>
  </si>
  <si>
    <t>KẾ HOẠCH /MỤC TIÊU 2025 XƯỞNG ĐIỀU KHIỂN</t>
  </si>
  <si>
    <t>Báo cáo tình hình thực hiện</t>
  </si>
  <si>
    <t>Mã mục tiêu/Kết quả then chốt phòng xưởng</t>
  </si>
  <si>
    <t>Tên mục tiêu / Kết quả then chốt (Các kết quả then chốt (KR) phải đo lường được)</t>
  </si>
  <si>
    <t>Đo 
lường</t>
  </si>
  <si>
    <t>Mục 
đích</t>
  </si>
  <si>
    <t>Tỷ trọng 
mục tiêu</t>
  </si>
  <si>
    <t xml:space="preserve">Kế hoạch 
hành động  </t>
  </si>
  <si>
    <t>Ngân sách
thực hiện
(tỷ đồng)</t>
  </si>
  <si>
    <t>Người thực hiện</t>
  </si>
  <si>
    <t>Người kiểm tra/đánh giá</t>
  </si>
  <si>
    <t>Tình hình thực hiện</t>
  </si>
  <si>
    <t>Ngày hoàn thành thực tế</t>
  </si>
  <si>
    <t>Ngân sách thực hiện</t>
  </si>
  <si>
    <t>Mức độ hoàn thành (%) so với KH</t>
  </si>
  <si>
    <t xml:space="preserve">Tiến độ thực hiện </t>
  </si>
  <si>
    <t>Nguyên nhân chưa hoàn thành, ngân sách không đạt KH</t>
  </si>
  <si>
    <t>Phổ biến kế hoạch/mục tiêu và các chỉ số đo lường của Xưởng đến các đội hành chính</t>
  </si>
  <si>
    <t>Minhvq; Haint; Linhln</t>
  </si>
  <si>
    <t>Kiaq;
Trangnv</t>
  </si>
  <si>
    <t>Xây dựng kế hoạch/mục tiêu và các chỉ số đo lường đến các đội hành chính</t>
  </si>
  <si>
    <t>Sắp xếp/tổ chức nguồn lực các đội đảm bảo đủ để triển khai kế hoạch bảo dưỡng định kỳ</t>
  </si>
  <si>
    <t>Tuần đầu tiên của tháng</t>
  </si>
  <si>
    <t>Lập kế hoạch tổ chức triển khai kế hoạch BD ĐK hàng tháng</t>
  </si>
  <si>
    <t xml:space="preserve">Triển khai kế hoạch BDĐK hàng ngày theo kế hoạch triển khai </t>
  </si>
  <si>
    <t>Cuối tháng</t>
  </si>
  <si>
    <t>Đánh giá tiến độ triển khai hàng tuần để điều chỉnh, đảm bảo kiểm soát các hạng mục triển khai đúng kế hoạch; có giải pháp trong trường hợp các hạng mục triển khai không đúng kế hoạch</t>
  </si>
  <si>
    <t>Báo cáo kết quả triển khai KH BDĐK hàng tháng</t>
  </si>
  <si>
    <t>Phổ biến kế hoạch/mục tiêu và các chỉ số đo lường của Xưởng đến các tổ trực ca Điều khiển</t>
  </si>
  <si>
    <t>Thanhdq; Doint; Chienpq; Loitt</t>
  </si>
  <si>
    <t>Kiaq</t>
  </si>
  <si>
    <t>Xây dựng kế hoạch/mục tiêu và các chỉ số đo lường đến các Tổ trực ca Điều khiển</t>
  </si>
  <si>
    <t>Sắp xếp/tổ chức nguồn lực Tổ trực ca đảm bảo đủ về số lượng và đáp ứng về chuyên môn để triển khai công việc</t>
  </si>
  <si>
    <t xml:space="preserve"> Lập kế hoạch tổ chức triển khai khi có hư hỏng đột xuất phát sinh</t>
  </si>
  <si>
    <t>Triển khai thực hiện công tác sửa chữa theo kế hoạch</t>
  </si>
  <si>
    <t>Đánh giá tồn động hàng ngày để điều chỉnh, đảm bảo kiểm soát các hạng mục triển khai đúng kế hoạch; có giải pháp trong trường hợp các hạng mục triển khai không đúng kế hoạch</t>
  </si>
  <si>
    <t>Báo cáo kết quả triển khai hàng ca, hàng tuần và hàng tháng</t>
  </si>
  <si>
    <t>% HM BDTT hoàn thành theo kế hoạch &amp; Số giờ (h) vượt kế hoạch</t>
  </si>
  <si>
    <t>&gt;= 99%, &gt;= 4h</t>
  </si>
  <si>
    <t>Phổ biến kế hoạch/mục tiêu và các chỉ số đo lường của Xưởng đến các đội/tổ và nhóm theo sơ đồ BDTT</t>
  </si>
  <si>
    <t>Trước BDTT</t>
  </si>
  <si>
    <t>Xây dựng kế hoạch/mục tiêu và các chỉ số đo lường đến các đội/tổ và nhóm theo sơ đồ BDTT</t>
  </si>
  <si>
    <t>Xây dựng Sơ đồ tổ chức/chức năng nhiệm vụ Tổ thiết bị đo lường và điều khiển</t>
  </si>
  <si>
    <t>Lập kế hoạch công tác chuẩn bị bảo dưỡng tổng thể</t>
  </si>
  <si>
    <t>Triển khai kế hoạch công tác chuẩn bị bảo dưỡng tổng thể</t>
  </si>
  <si>
    <t xml:space="preserve">Lên tiến độ triển khai công tác bảo dưỡng tổng thể </t>
  </si>
  <si>
    <t>Triển khai công tác bảo dưỡng tổng thể theo tiến độ đã ban hành</t>
  </si>
  <si>
    <t>Bắt đầu BDTT</t>
  </si>
  <si>
    <t>Kết thúc BDTT</t>
  </si>
  <si>
    <t>Đánh giá rà soát tiến độ/chất lượng công tác triển khai hàng ngày, điều chỉnh khi tiến độ/chất lượng bị ảnh hưởng</t>
  </si>
  <si>
    <t>Báo cáo kết quả triển khai công tác bảo dưỡng tổng thể</t>
  </si>
  <si>
    <t>Sau BDTT</t>
  </si>
  <si>
    <t>Tổ chức nhóm để triển khai thực hiện công việc</t>
  </si>
  <si>
    <t xml:space="preserve"> Lập kế hoạch tổ chức triển khai</t>
  </si>
  <si>
    <t>Triển khai mua sắm vật tư/thiết bị và CCDC để thực hiện công việc</t>
  </si>
  <si>
    <t>Triển khai các công tác chuẩn bị bao gồm: Phương án kỹ thuật, Phương án thi công, ĐGRR về kỹ thuật/an toàn, nhân sự giám sát/thực hiện</t>
  </si>
  <si>
    <t>Lập YCDV để lựa chọn NCC thực hiện công việc thi công/lắp đặt hạ tầng hệ thống cáp/thiết bị</t>
  </si>
  <si>
    <t>Triển khai giám sát công tác thi công lắp đặt hạ tầng hệ thống cáp/thiết bị trước BDTT</t>
  </si>
  <si>
    <t>Lắp đặt thiết bị, kiểm tra chức năng và bàn giao trong BDTT</t>
  </si>
  <si>
    <t xml:space="preserve">Báo cáo kết quả thực hiện công việc </t>
  </si>
  <si>
    <t>Lập kế hoạch tổ chức triển khai</t>
  </si>
  <si>
    <t>Triển khai thực hiện theo Phương án đã phê duyệt trong BDTT</t>
  </si>
  <si>
    <t>Lập kế hoạch tổ chức triển khai hàng tháng</t>
  </si>
  <si>
    <t>Mua sắm vật tư chính, vật tư tiêu hao phục vụ công tác chống ăn mòn</t>
  </si>
  <si>
    <t>Tổ chức triển khai công việc theo kế hoạch</t>
  </si>
  <si>
    <t>Đánh giá/báo cáo kết quả thực hiện công việc hàng tháng</t>
  </si>
  <si>
    <t>Theo dõi, tiếp nhận các yêu cầu KPPN định kỳ hàng ngày</t>
  </si>
  <si>
    <t>Cunghv; Minhvq; Haint; Linhln</t>
  </si>
  <si>
    <t>Triển khai thực hiện các yêu cầu KPPN khi có đủ điều kiện</t>
  </si>
  <si>
    <t>Báo cáo kết quả thực hiện</t>
  </si>
  <si>
    <t>Tổ chức nhân sự chịu trách nhiệm đầu mối công tác kiểm tra an toàn cấp 2 định kỳ hàng tháng</t>
  </si>
  <si>
    <t>Minhvq; Haint; Linhln; 
Thanhdq; Doint; Chienpq; Loitt</t>
  </si>
  <si>
    <t>Định kỳ kiểm tra an toàn cấp 2 hàng tháng</t>
  </si>
  <si>
    <t>Xử lý các vi phạm được phát hiện trong quá trình kiểm tra</t>
  </si>
  <si>
    <t>Báo cáo kết quả kiểm tra đến P. ATMT</t>
  </si>
  <si>
    <t>Xây dựng chỉ tiêu nhân sự tham gia chương trình hàng tháng</t>
  </si>
  <si>
    <t>Tổ chức nhân sự chịu trách nhiệm đầu mối xem xét/đánh giá các thẻ được ghi nhận</t>
  </si>
  <si>
    <t>Báo cáo các thẻ được ghi nhận định kỳ hàng tháng đến P. ATMT</t>
  </si>
  <si>
    <t>Tiếp nhận thông tin yêu cầu từ P. ATMT/P. NSĐT</t>
  </si>
  <si>
    <t>Lập danh sách nhân sự phù hợp tham gia các khóa đào tạo</t>
  </si>
  <si>
    <t xml:space="preserve"> Sắp xếp công việc phù hợp để nhân sự tham gia khóa đào tạo</t>
  </si>
  <si>
    <t xml:space="preserve">Theo dõi đánh giá thường xuyên các hư hỏng của thiết bị </t>
  </si>
  <si>
    <t>Lập và trình kế hoạch bảo dưỡng định kỳ hàng tháng</t>
  </si>
  <si>
    <t>Lập và trình kế hoạch mua sắm vật tư phục vụ cho công tác bảo dưỡng/sửa chữa thường xuyên</t>
  </si>
  <si>
    <t>Triển khai mua sắm vật tư phục vụ cho công tác BD/SC</t>
  </si>
  <si>
    <t>Sắp xếp/tổ chức nguồn lực các Tổ trực ca đảm bảo đủ về số lượng và đáp ứng về chuyên môn để triển khai công việc</t>
  </si>
  <si>
    <t>Lập kế hoạch tổ chức triển khai khi có hư hỏng đột xuất phát sinh</t>
  </si>
  <si>
    <t>Tiếp nhận yêu cầu từ đầu mối các dự án đối với phần công việc PVCFC tự thực hiện</t>
  </si>
  <si>
    <t>Tổ chức nguồn lực tổ/nhóm chuyên trách để triển khai thực hiện (áp dụng cho các hạng mục cải hoán phức tạp)</t>
  </si>
  <si>
    <t xml:space="preserve"> Xây dựng phương án thi công để triển khai thi công</t>
  </si>
  <si>
    <t>Tổ chức triển khai thi công/chạy thử theo phương án</t>
  </si>
  <si>
    <t>Đánh giá nguyên nhân và tìm giải pháp để tăng độ chính xác và nâng cao độ ổn định của hệ thống</t>
  </si>
  <si>
    <t>Cưnghv</t>
  </si>
  <si>
    <t>Báo cáo và đề xuất giải pháp đến GĐNM</t>
  </si>
  <si>
    <t>Lập phương án kỹ thuật</t>
  </si>
  <si>
    <t>Mua sắm vật tư theo phương án kỹ thuật</t>
  </si>
  <si>
    <t>Triển khai thực hiện thi công</t>
  </si>
  <si>
    <t>Chạy thử để đánh giá kết quả</t>
  </si>
  <si>
    <t>Báo cáo quá trình thực hiện và kết quả đạt được</t>
  </si>
  <si>
    <t>Đánh giá và tìm giải pháp để cải tiến Robot vận hành được bao 25 Kg</t>
  </si>
  <si>
    <t xml:space="preserve">Đánh giá nguyên nhân và tìm giải pháp để thực hiện nâng cấp hệ thống phân tích </t>
  </si>
  <si>
    <t>Lập yêu cầu kỹ thuật để thuê NCC cung cấp dịch vụ và thiết bị</t>
  </si>
  <si>
    <t>Phối hợp triển khai lựa chọn NCC</t>
  </si>
  <si>
    <t>Giám sát công tác lắp đặt/chạy thử của Nhà cung cấp</t>
  </si>
  <si>
    <t>Nghiệm thu các công việc theo phạm vi của Nhà cung cấp</t>
  </si>
  <si>
    <t>Bàn giao đến các bộ phận có liên quan</t>
  </si>
  <si>
    <t>Rà soát chức năng nhiệm vụ cho từng vị trí chức danh</t>
  </si>
  <si>
    <t>Minhvq; Haint; Linhln; 
Thanhdq; Doint; Chienpq; Loitt;
Cunghv; Quyenpt</t>
  </si>
  <si>
    <t>Nghiên cứu chương trình đào tạo, chuẩn đầu ra chuyên ngành Tự động hóa/Cơ điện tử ở các trường đại học Cần thơ, Bách khoa.</t>
  </si>
  <si>
    <t>Tham khảo cách triển khai từ các đơn vị trong ngành/ các bộ phận trong nhà máy</t>
  </si>
  <si>
    <t>Rà soát kiến thức/kỹ năng cần thiết cho công việc hiện tại và tương lai</t>
  </si>
  <si>
    <t>Triển khai xây dựng từ điển năng lực</t>
  </si>
  <si>
    <t>Báo cáo định kỳ tình hình thực hiện</t>
  </si>
  <si>
    <t>Lấy ý kiến từ bộ phận tư vấn và tùy chỉnh phù hợp</t>
  </si>
  <si>
    <t>Báo cáo kết quả triển khai đến Ban GĐNM</t>
  </si>
  <si>
    <t>01/011/2025</t>
  </si>
  <si>
    <t xml:space="preserve">Phổ biến cho CBCNV về tiêu chí đánh giá </t>
  </si>
  <si>
    <t>Sắp xếp công việc, phân bổ thời gian cho CBCNV nghiên cứu từ điển năng lực.</t>
  </si>
  <si>
    <t>Xây dựng hội đồng đánh giá</t>
  </si>
  <si>
    <t>Xây dựng biểu mẫu kết quả đánh giá</t>
  </si>
  <si>
    <t>Triển khai đánh giá</t>
  </si>
  <si>
    <t xml:space="preserve"> Sắp xếp nguồn lực, phân bổ công việc phù hợp </t>
  </si>
  <si>
    <t>Báo cáo định kỳ, theo dõi tình hình nhân sự tham gia.</t>
  </si>
  <si>
    <t>Đôn đốc, nhắc nhở CBCNV tham gia đầy đủ theo kế hoạch</t>
  </si>
  <si>
    <t>Tham gia các khóa học giảng viên đào tạo, nâng cao kỹ năng giảng dạy</t>
  </si>
  <si>
    <t>Kiaq; Trangnv</t>
  </si>
  <si>
    <t xml:space="preserve">Triển khai đào tạo khi có yêu cầu </t>
  </si>
  <si>
    <t>Sắp xếp nguồn lực tham gia</t>
  </si>
  <si>
    <t xml:space="preserve">Minhvq; Haint; Linhln; </t>
  </si>
  <si>
    <t>Thực hiện xây dựng các module theo chuyên môn phụ trách</t>
  </si>
  <si>
    <t>Đôn đốc, báo cáo, theo dõi tình hình thực hiện</t>
  </si>
  <si>
    <t>Gửi đầu mối kết quả thực hiện</t>
  </si>
  <si>
    <t>Nghiên cứu các tiêu chuẩn, qui định pháp luật cho các hệ thống đặc thù.</t>
  </si>
  <si>
    <t>Rà soát tình trạng thực tế của hệ thống</t>
  </si>
  <si>
    <t xml:space="preserve">Cập nhật phương thức bảo dưỡng </t>
  </si>
  <si>
    <t>Gửi đầu mối cập nhật trên hệ thống SAP</t>
  </si>
  <si>
    <t>Khuyến khích, đôn đốc CBCNV tham gia</t>
  </si>
  <si>
    <t>Tạo động lực cho CBCNV có sáng kiến bằng cách phân bổ KPI</t>
  </si>
  <si>
    <t>Trangnv</t>
  </si>
  <si>
    <t xml:space="preserve">Đăng ký sáng kiến/ý tưởng/cải tiến kỹ thuật hàng tháng </t>
  </si>
  <si>
    <t xml:space="preserve"> Triển khai thực hiện và đăng ký trên EO theo qui trình</t>
  </si>
  <si>
    <t xml:space="preserve"> Bảo vệ và hoàn thiện hồ sơ </t>
  </si>
  <si>
    <t>Tổ chức triển khai đào tạo nội bộ theo kế hoạch đã được phê duyệt</t>
  </si>
  <si>
    <t>Đánh giá thường xuyên/đột xuất việc triển khai đào tạo nội bộ</t>
  </si>
  <si>
    <t>Hoàn thiện hồ sơ đào tạo nội bộ theo qui trình</t>
  </si>
  <si>
    <t>Tổ chức đầu mối triển khai</t>
  </si>
  <si>
    <t xml:space="preserve">Thường xuyên khuyến khích, vận động CBCNV tham gia </t>
  </si>
  <si>
    <t>Cân nhắc phân bổ KPI đối với Đội tổ/cá nhân tích cực tham gia và hoàn thành tốt công việc chuyên môn</t>
  </si>
  <si>
    <t>Cuối Quý</t>
  </si>
  <si>
    <t>TIÊU CHÍ ĐÁNH GIÁ MỨC ĐỘ HOÀN THÀNH KH/MT HÀNG THÁNG 
XƯỞNG ĐIỀU KHIỂN</t>
  </si>
  <si>
    <t>Không hoàn thành nhiệm vụ</t>
  </si>
  <si>
    <t>Đội/tổ thực hiện không hoàn thành một trong các chỉ tiêu theo kế hoạch/mục tiêu đã đăng ký hoặc vi phạm bất kỳ qui định/qui trình của Nhà máy/Công ty</t>
  </si>
  <si>
    <t>Hoàn thành nhiệm vụ</t>
  </si>
  <si>
    <t>Đội/tổ thực hiện hoàn thành các chỉ tiêu theo kế hoạch/mục tiêu đã đăng ký và 
- Không vi phạm bất kỳ qui định/qui trình của Nhà máy/Công ty</t>
  </si>
  <si>
    <t>Hoàn thành tốt nhiệm vụ</t>
  </si>
  <si>
    <t>Hoàn thành xuất sắc nhiệm vụ</t>
  </si>
  <si>
    <t>NGUYÊN TẮC CHUNG TRONG QUÁ TRÌNH ĐÁNH GIÁ</t>
  </si>
  <si>
    <t xml:space="preserve">Nguyên tắc </t>
  </si>
  <si>
    <t>Nội dung</t>
  </si>
  <si>
    <t xml:space="preserve">Nguyên tắc 1 </t>
  </si>
  <si>
    <t>Đối với nhóm nhân sự không thuộc các đội/tổ quản lý, QĐX sẽ tự đánh giá và QĐ sau đó mới phân bổ chỉ tiêu đến các đội/tổ</t>
  </si>
  <si>
    <t xml:space="preserve">Nguyên tắc 2 </t>
  </si>
  <si>
    <t>Đối với các đội/tổ hoàn thành đúng tiến độ/chất lượng các hạng mục công việc phát sinh với khối lượng lớn, LĐX sẽ xem xét đánh giá và phân bổ bổ sung các chỉ tiêu A1, A2 đến đội/tổ</t>
  </si>
  <si>
    <t xml:space="preserve">Nguyên tắc 3 </t>
  </si>
  <si>
    <t xml:space="preserve">Nguyên tắc 4 </t>
  </si>
  <si>
    <t>Đối với hoạt động đoàn thể BT.ĐTN, TT. CĐ có đánh giá đoàn viên thanh niên/công đoàn viên tham gia tích cực để các đội/tổ xem xét đánh giá A1/A2 cho đoàn viên thanh niên/công đoàn viên</t>
  </si>
  <si>
    <t xml:space="preserve">Nguyên tắc 5 </t>
  </si>
  <si>
    <r>
      <t>Đối với các cá nhân đi thực hiện dịch vụ bên ngoài/hỗ trợ đơn vị trong ngành:</t>
    </r>
    <r>
      <rPr>
        <sz val="11"/>
        <color rgb="FFFF0000"/>
        <rFont val="Times New Roman"/>
        <family val="1"/>
      </rPr>
      <t xml:space="preserve">
</t>
    </r>
    <r>
      <rPr>
        <sz val="11"/>
        <rFont val="Times New Roman"/>
        <family val="1"/>
      </rPr>
      <t xml:space="preserve">- Trên 3 tuần: LĐX xem xét đánh giá A1/A2
- Dưới 3 tuần: KPI của Đội </t>
    </r>
  </si>
  <si>
    <t xml:space="preserve">Nguyên tắc 6 </t>
  </si>
  <si>
    <t>Đội/tổ không hoàn thành nhiệm vụ sẽ không phân bổ KPI tháng đó</t>
  </si>
  <si>
    <t>Nguyên tắc 7</t>
  </si>
  <si>
    <t>Đội/tổ hoàn thành tốt nhiệm vụ được phân bổ KPI nhiều hơn đội/tổ chỉ hoàn thành nhiệm vụ</t>
  </si>
  <si>
    <t>Nguyên tắc 8</t>
  </si>
  <si>
    <t>Đội/tổ hoàn thành xuất sắc nhiệm vụ được phân bổ KPI nhiều hơn đội/tổ chỉ hoàn thành tốt nhiệm vụ</t>
  </si>
  <si>
    <t>Nguyên tắc 9</t>
  </si>
  <si>
    <t>Nguyên tắc 10</t>
  </si>
  <si>
    <t xml:space="preserve">Nguyên tắc 11 </t>
  </si>
  <si>
    <t>Nguyên tắc 12</t>
  </si>
  <si>
    <t>Đối với hoạt động phong trào/Đầu mục công việc trong tháng đầu mối Xưởng không tổ chức chương trình thì không xét vào tiêu chí đánh giá của tháng</t>
  </si>
  <si>
    <t>Tuần 14</t>
  </si>
  <si>
    <t>Tồn động</t>
  </si>
  <si>
    <t>Tuần 15</t>
  </si>
  <si>
    <t>Tuần 16</t>
  </si>
  <si>
    <t>Tuần 17</t>
  </si>
  <si>
    <t>Tuần 18</t>
  </si>
  <si>
    <t>Tuần 19</t>
  </si>
  <si>
    <t>Tuần 20</t>
  </si>
  <si>
    <t>Tuần 21</t>
  </si>
  <si>
    <t>Tuần 22</t>
  </si>
  <si>
    <t xml:space="preserve">Lũy kế </t>
  </si>
  <si>
    <t>Nguyễn Hoàng Mai</t>
  </si>
  <si>
    <t>Tháng 1</t>
  </si>
  <si>
    <t>KẾ HOẠCH /MỤC TIÊU 2026 XƯỞNG ĐIỀU KHIỂN</t>
  </si>
  <si>
    <t>Mã Mục tiêu (O), Kết quả then chốt (KR), Kế hoạch hành động (KHHĐ) Nhà máy</t>
  </si>
  <si>
    <t>Tên Mục tiêu (O), Kết quả then chốt (KR), Kế hoạch hành động (KHHĐ) Nhà máy</t>
  </si>
  <si>
    <t>Tỷ trọng Mục tiêu (O), Kết quả then chốt (KR), Kế hoạch hành động (KHHĐ) Nhà máy</t>
  </si>
  <si>
    <t>Tỷ trọng mục tiêu</t>
  </si>
  <si>
    <t>Người thực hiện/Đầu mối</t>
  </si>
  <si>
    <t>Kiểm tra đánh giá</t>
  </si>
  <si>
    <t>ĐCM.O1</t>
  </si>
  <si>
    <t>Mục tiêu 1: Đảm bảo Nhà máy hoạt động an toàn, ổn định đạt sản lượng sản xuất 935K tấn Urê quy đổi</t>
  </si>
  <si>
    <t>ĐCM.O1.KR1</t>
  </si>
  <si>
    <t>Đảm bảo không có Sự cố gây dừng máy hay mất sản lượng do lỗi chủ quan của con người</t>
  </si>
  <si>
    <t>ĐCM.O1.KR1.ĐK.O1</t>
  </si>
  <si>
    <t>Số sự cố</t>
  </si>
  <si>
    <t>ĐCM.O1.KR1.ĐK.O1.KR1</t>
  </si>
  <si>
    <t>Đảm bảo công tác BD có kế hoạch có đầy đủ hướng dẫn</t>
  </si>
  <si>
    <t xml:space="preserve">Hướng dẫn bảo dưỡng </t>
  </si>
  <si>
    <r>
      <rPr>
        <sz val="14"/>
        <color rgb="FFFF0000"/>
        <rFont val="Times New Roman"/>
        <family val="1"/>
      </rPr>
      <t xml:space="preserve">- Thực hiện đúng phương án cách ly cô lập được ban hành
- Rà soát kế hoạch bảo dưỡng và cập nhật đầy đủ các hướng dẫn bảo dưỡng theo kế hoạch được ban hành
</t>
    </r>
    <r>
      <rPr>
        <sz val="14"/>
        <color theme="1"/>
        <rFont val="Times New Roman"/>
        <family val="1"/>
      </rPr>
      <t>- Từng bước chuẩn hóa các hướng dẫn có bổ sung nội dung đánh giá rủi ro về an toàn lao động
- Đảm bảo từng CBCNV thực hiện công tác bảo dưỡng phải nắm rõ các hướng dẫn được ban hành và thực hiện đúng
- Quản lý hồ sơ tài liệu của đơn vị, đảm bảo dễ  thấy, dễ  lấy, dễ  sử  dụng, không hư hỏng, không thất lạc</t>
    </r>
  </si>
  <si>
    <t>ĐCM.O1.KR1.ĐK.O1.KR2</t>
  </si>
  <si>
    <r>
      <t xml:space="preserve">Đảm bảo công tác sửa chữa đột xuất có nhận diện mối nguy và ĐGRR đối với hạng mục có mối nguy </t>
    </r>
    <r>
      <rPr>
        <sz val="14"/>
        <color rgb="FFFF0000"/>
        <rFont val="Times New Roman"/>
        <family val="1"/>
      </rPr>
      <t>ảnh hưởng đến giảm tải, gián đoạn sản xuất</t>
    </r>
  </si>
  <si>
    <t>Có thực hiện ĐGRR cho hạng mục có mối nguy</t>
  </si>
  <si>
    <t>- Nâng cao năng lực nhận diện mối nguy khi thực hiện công việc
- Kiến nghị TCNM/ĐVCQ triển khai thực hiện phân tích an toàn trong công việc/phân tích ảnh hưởng vận hành trước khi tiến hành công việc
- Triển khai thực hiện phân tích an toàn công việc/phân tích ảnh hưởng vận hành để có hành động phòng ngừa phù hợp đối với các công việc có mối nguy giảm tải, gián đoạn sản xuất
- Quản lý, lưu trữ các phương án cách ly đã được ban hành để đảm bảo truy xuất dễ nhất</t>
  </si>
  <si>
    <t xml:space="preserve">Thanhdq; Doint; Chienpq; Loitt
Minhvq; Haint; Linhln; </t>
  </si>
  <si>
    <t>ĐCM.O1.KR1.ĐK.O1.KR3</t>
  </si>
  <si>
    <t>Đảm bảo công tác lắp đặt cải tiến cải tạo có nhận diện mối nguy và ĐGRR đối với hạng mục có mối nguy</t>
  </si>
  <si>
    <t>- Nâng cao năng lực nhận diện mối nguy khi thực hiện công việc
- Kiến nghị TCNM/ĐVCQ triển khai thực hiện phân tích an toàn trong công việc/phân tích ảnh hưởng vận hành trước khi tiến hành công việc
- Triển khai thực hiện phân tích an toàn công việc/phân tích ảnh hưởng vận hành để có hành động phòng ngừa phù hợp đối với các công việc có mối nguy giảm tải, gián đoạn sản xuất</t>
  </si>
  <si>
    <t>ĐCM.O1.KR2</t>
  </si>
  <si>
    <t>ĐCM.O1.KR2.ĐK.O2</t>
  </si>
  <si>
    <t>Số ngày dừng máy do lỗi thiết bị (không tính thời gian dừng và khởi động Nhà máy)</t>
  </si>
  <si>
    <t>≤ 4,19 ngày hoặc 
100,5 giờ</t>
  </si>
  <si>
    <t>ĐCM.O1.KR2.ĐK.O2.KR1</t>
  </si>
  <si>
    <t>Quản trị rủi ro thiết bị</t>
  </si>
  <si>
    <t>- Tổ chức nhân sự chủ trì và thành phần tham gia
- Tổ chức họp định kỳ hàng quý
- Nhận diện mối nguy và lên kế hoạch triển khai thực hiện
- Phân công  nhân sự triển khai thực hiện
- Phân công nhân sự đầu mối theo dõi tình hình thực hiện, báo cáo kết quả thực hiện hàng tháng</t>
  </si>
  <si>
    <t>Quyenpt</t>
  </si>
  <si>
    <t>Kiaq;</t>
  </si>
  <si>
    <t>ĐCM.O1.KR2.ĐK.O2.KR2</t>
  </si>
  <si>
    <r>
      <t xml:space="preserve">Triển khai công tác BD định kỳ theo kế hoạch đảm bảo </t>
    </r>
    <r>
      <rPr>
        <b/>
        <sz val="14"/>
        <color theme="1"/>
        <rFont val="Times New Roman"/>
        <family val="1"/>
      </rPr>
      <t>chất lượng</t>
    </r>
    <r>
      <rPr>
        <sz val="14"/>
        <color theme="1"/>
        <rFont val="Times New Roman"/>
        <family val="1"/>
      </rPr>
      <t xml:space="preserve"> và đúng </t>
    </r>
    <r>
      <rPr>
        <b/>
        <sz val="14"/>
        <color theme="1"/>
        <rFont val="Times New Roman"/>
        <family val="1"/>
      </rPr>
      <t>tiến độ</t>
    </r>
  </si>
  <si>
    <t>- Phổ biến kế hoạch/mục tiêu và các chỉ số đo lường của Xưởng đến các đội hành chính
- Xây dựng kế hoạch/mục tiêu và các chỉ số đo lường đến các đội hành chính
- Sắp xếp/tổ chức nguồn lực các đội đảm bảo đủ để triển khai kế hoạch bảo dưỡng định kỳ
- Lập kế hoạch tổ chức triển khai kế hoạch BD ĐK hàng tháng
- Triển khai kế hoạch BDĐK hàng ngày theo kế hoạch triển khai 
- Đánh giá tiến độ triển khai hàng tuần để điều chỉnh, đảm bảo kiểm soát các hạng mục triển khai đúng kế hoạch; có giải pháp trong trường hợp các hạng mục triển khai không đúng kế hoạch
- Báo cáo kết quả triển khai KH BDĐK hàng tháng</t>
  </si>
  <si>
    <t>ĐCM.O1.KR2.ĐK.O2.KR3</t>
  </si>
  <si>
    <r>
      <t>Triển khai công tác sửa chữa đột xuất đảm bảo</t>
    </r>
    <r>
      <rPr>
        <b/>
        <sz val="14"/>
        <color theme="1"/>
        <rFont val="Times New Roman"/>
        <family val="1"/>
      </rPr>
      <t xml:space="preserve"> kịp thời</t>
    </r>
    <r>
      <rPr>
        <sz val="14"/>
        <color theme="1"/>
        <rFont val="Times New Roman"/>
        <family val="1"/>
      </rPr>
      <t xml:space="preserve"> và </t>
    </r>
    <r>
      <rPr>
        <b/>
        <sz val="14"/>
        <color theme="1"/>
        <rFont val="Times New Roman"/>
        <family val="1"/>
      </rPr>
      <t>chất lượng</t>
    </r>
  </si>
  <si>
    <t>- Phổ biến kế hoạch/mục tiêu và các chỉ số đo lường của Xưởng đến các tổ trực ca Điều khiển
- Xây dựng kế hoạch/mục tiêu và các chỉ số đo lường đến các Tổ trực ca Điều khiển
- Sắp xếp/tổ chức nguồn lực các Tổ trực ca đảm bảo đủ về số lượng và đáp ứng về chuyên môn để triển khai công việc
- Lập kế hoạch tổ chức triển khai khi có hư hỏng đột xuất phát sinh
- Triển khai thực hiện công tác sửa chữa theo kế hoạch
- Đánh giá tồn động hàng ngày để điều chỉnh, đảm bảo kiểm soát các hạng mục triển khai đúng kế hoạch; có giải pháp trong trường hợp các hạng mục triển khai không đúng kế hoạch
- Báo cáo kết quả triển khai hàng ca, hàng tuần và hàng tháng</t>
  </si>
  <si>
    <t>ĐCM.O1.KR2.ĐK.O2.KR4</t>
  </si>
  <si>
    <r>
      <t xml:space="preserve">Triển khai công tác BDTT theo kế hoạch đảm bảo </t>
    </r>
    <r>
      <rPr>
        <b/>
        <sz val="14"/>
        <color theme="1"/>
        <rFont val="Times New Roman"/>
        <family val="1"/>
      </rPr>
      <t>chất lượng</t>
    </r>
    <r>
      <rPr>
        <sz val="14"/>
        <color theme="1"/>
        <rFont val="Times New Roman"/>
        <family val="1"/>
      </rPr>
      <t xml:space="preserve"> và </t>
    </r>
    <r>
      <rPr>
        <sz val="14"/>
        <color rgb="FFFF0000"/>
        <rFont val="Times New Roman"/>
        <family val="1"/>
      </rPr>
      <t>vượt tiến độ</t>
    </r>
  </si>
  <si>
    <t>% HM BDTT hoàn thành theo kế hoạch;
Số giờ (h) vượt kế hoạch</t>
  </si>
  <si>
    <t>&gt;= 99%;
&gt;= 4h</t>
  </si>
  <si>
    <t>- Phổ biến kế hoạch/mục tiêu và các chỉ số đo lường của Xưởng đến các đội/tổ và nhóm theo sơ đồ BDTT
- Xây dựng kế hoạch/mục tiêu và các chỉ số đo lường đến các đội/tổ và nhóm theo sơ đồ BDTT
- Xây dựng Sơ đồ tổ chức/chức năng nhiệm vụ Tổ thiết bị đo lường và điều khiển
- Lập kế hoạch công tác chuẩn bị bảo dưỡng tổng thể
- Triển khai kế hoạch công tác chuẩn bị bảo dưỡng tổng thể
- Lên tiến độ triển khai công tác bảo dưỡng tổng thể 
- Triển khai công tác bảo dưỡng tổng thể theo tiến độ đã ban hành
- Đánh giá rà soát tiến độ/chất lượng công tác triển khai hàng ngày, điều chỉnh khi tiến độ/chất lượng bị ảnh hưởng
- Báo cáo kết quả triển khai công tác bảo dưỡng tổng thể</t>
  </si>
  <si>
    <t>ĐCM.O1.KR2.ĐK.O2.KR5</t>
  </si>
  <si>
    <t>Triển khai hạng mục nâng cao độ tin cậy:
- Chuyển đổi positioner FF-4.20mmA
- Chuyển Redundant Solenoid</t>
  </si>
  <si>
    <t>%Hoàn thành theo kế hoạch</t>
  </si>
  <si>
    <t>- Tổ chức nhóm để triển khai thực hiện công việc
- Lập kế hoạch tổ chức triển khai
- Triển khai các công tác chuẩn bị bao gồm: Phương án kỹ thuật, -    Phương án thi công, ĐGRR về kỹ thuật/an toàn, nhân sự giám sát/thực hiện
- Triển khai thực hiện theo Phương án đã phê duyệt trong BDTT
- Báo cáo kết quả thực hiện công việc</t>
  </si>
  <si>
    <t>ĐCM.O1.KR2.ĐK.O2.KR6</t>
  </si>
  <si>
    <t xml:space="preserve">- Theo dõi, tiếp nhận các yêu cầu KPPN định kỳ hàng ngày
- Triển khai thực hiện các yêu cầu KPPN khi có đủ điều kiện
- Báo cáo kết quả thực hiện </t>
  </si>
  <si>
    <t>Minhvq; Haint; Linhln;'Thanhdq; Doint; Chienpq; Loitt</t>
  </si>
  <si>
    <t>ĐCM.O1.KR3</t>
  </si>
  <si>
    <t>ĐCM.O1.KR3.ĐK.O3</t>
  </si>
  <si>
    <t>ĐCM.O1.KR3.ĐK.O3.KR1</t>
  </si>
  <si>
    <t>- Tổ chức nhân sự chịu trách nhiệm đầu mối công tác kiểm tra an toàn cấp 2 định kỳ hàng tháng
- Định kỳ kiểm tra an toàn cấp 2 hàng tháng
- Xử lý các vi phạm được phát hiện trong quá trình kiểm tra
- Báo cáo kết quả kiểm tra đến P. ATMT</t>
  </si>
  <si>
    <t>ĐCM.O1.KR3.ĐK.O3.KR2</t>
  </si>
  <si>
    <t>200</t>
  </si>
  <si>
    <t>- Xây dựng chỉ tiêu nhân sự tham gia chương trình hàng tháng
- Tổ chức nhân sự chịu trách nhiệm đầu mối xem xét/đánh giá các thẻ được ghi nhận
- Báo cáo các thẻ được ghi nhận định kỳ hàng tháng đến P. ATMT</t>
  </si>
  <si>
    <t>ĐCM.O1.KR3.ĐK.O3.KR3</t>
  </si>
  <si>
    <t>- Tiếp nhận thông tin yêu cầu từ P. ATMT/P. NSĐT
- Lập danh sách nhân sự phù hợp tham gia các khóa đào tạo
- Sắp xếp công việc phù hợp để nhân sự tham gia khóa đào tạo</t>
  </si>
  <si>
    <t>ĐCM.O3</t>
  </si>
  <si>
    <t>Mục tiêu 3: Duy trì Tổng tiêu hao năng lượng ≤ 21,639 GJ/ T. Ure bao (Bộ năng lượng kỹ thuật; mục IV; tải NM ≥ 115%; không bao gồm sự cố)</t>
  </si>
  <si>
    <t>ĐCM.O3.KR1</t>
  </si>
  <si>
    <t>Triển khai công tác cải hoán và tối ưu hóa</t>
  </si>
  <si>
    <t>ĐCM.O3.KR1.ĐK.O4</t>
  </si>
  <si>
    <t>ĐCM.O3.KR1.ĐK.O4.KR1</t>
  </si>
  <si>
    <t>Triển khai công tác cải hoán thuộc chuyên môn phụ trách khi có yêu cầu từ đầu mối</t>
  </si>
  <si>
    <t>- Tiếp nhận yêu cầu từ đầu mối các dự án đối với phần công việc PVCFC tự thực hiện
- Tổ chức nguồn lực tổ/nhóm chuyên trách để triển khai thực hiện (áp dụng cho các hạng mục cải hoán phức tạp)
- Xây dựng phương án thi công để triển khai thi công
- Tổ chức triển khai thi công/chạy thử theo phương án
- Báo cáo kết quả thực hiện</t>
  </si>
  <si>
    <t>ĐCM.O3.KR1.ĐK.O4.KR2</t>
  </si>
  <si>
    <t>Cải tiến hệ thống robot NPK gấp được bao 25Kg</t>
  </si>
  <si>
    <t>- Đánh giá và tìm giải pháp để cải tiến Robot vận hành được bao 25 Kg
- Lập phương án kỹ thuật
- Mua sắm vật tư theo phương án kỹ thuật
- Triển khai thực hiện thi công
- Chạy thử để đánh giá kết quả
- Báo cáo quá trình thực hiện và kết quả đạt được</t>
  </si>
  <si>
    <t>Cunghv</t>
  </si>
  <si>
    <t>ĐCM.O3.KR1.ĐK.O4.KR3</t>
  </si>
  <si>
    <t>Triển khai dự án lắp đặt 2 Robot Depalletizing</t>
  </si>
  <si>
    <t>- Khảo sát và trình phê duyệt PA triển khai
- Thiết kế kỹ thuật
- Lập yêu cầu kỹ thuật thuê NCC cung cấp dịch vụ
- Phối hợp triển khai lựa chọn NCC
- Xây dựng PA kỹ thuật và thi công
- Giám sát công tác lắp đặt/chạy thử của Nhà cung cấp
- Nghiệm thu các công việc theo phạm vi của Nhà cung cấp
- Bàn giao đến các bộ phận có liên quan</t>
  </si>
  <si>
    <t>ĐCM.O3.KR1.ĐK.O4.KR4</t>
  </si>
  <si>
    <t>Mở rộng  hệ thống Fire and Gas theo kết quả Gas mapping report</t>
  </si>
  <si>
    <t>- Khảo sát và trình phê duyệt PA triển khai
- Thiết kế kỹ thuật
- Bốc tách vật tư và triển khai mua sắm
- Lập yêu cầu kỹ thuật thuê NCC cung cấp dịch vụ
- Phối hợp triển khai lựa chọn NCC
- Xây dựng PA kỹ thuật và thi công
- Giám sát công tác lắp đặt/chạy thử của Nhà cung cấp
- Nghiệm thu các công việc theo phạm vi của Nhà cung cấp
- Bàn giao đến các bộ phận có liên quan</t>
  </si>
  <si>
    <t>ĐCM.O3.KR1.ĐK.O4.KR5</t>
  </si>
  <si>
    <t>Cải tạo hệ thống tiếp địa cho thiết bị đo lường, van điều khiển và hệ thống điều khiển</t>
  </si>
  <si>
    <t>- Khảo sát và trình phê duyệt PA triển khai
- Thiết kế kỹ thuật
- Bốc tách vật tư và triển khai mua sắm
- Xây dựng PA kỹ thuật và thi công
- Thực hiện thi công
- Báo cáo kết quả thực hiện</t>
  </si>
  <si>
    <t>Haint</t>
  </si>
  <si>
    <t>ĐCM.O3.KR1.ĐK.O4.KR6</t>
  </si>
  <si>
    <t>Cải tạo hệ thống máng cáp</t>
  </si>
  <si>
    <t>% Hoàn thành theo kế hoạch</t>
  </si>
  <si>
    <t>Linhln</t>
  </si>
  <si>
    <t>ĐCM.O4</t>
  </si>
  <si>
    <t>Nâng mức độ triển khai TPM toàn Nhà máy lên đạt tối thiểu 60% theo bộ tiêu chuẩn TPM Excellence Award</t>
  </si>
  <si>
    <t>ĐCM.O4.ĐK.O5</t>
  </si>
  <si>
    <t xml:space="preserve">Triển khai các trụ cột TPM thuộc chuyên môn phụ trách </t>
  </si>
  <si>
    <t>ĐCM.O4.ĐK.O5.KR1</t>
  </si>
  <si>
    <t>- Rà soát nhiệm vụ cho từng vị trí chức danh
- Nghiên cứu chương trình đào tạo, chuẩn đầu ra chuyên ngành Tự động hóa/Cơ điện tử ở các trường đại học Cần thơ, Bách khoa.
- Tham khảo cách triển khai từ các đơn vị trong ngành/ các bộ phận trong nhà máy
- Rà soát kiến thức/kỹ năng cần thiết cho công việc hiện tại và tương lai
- Triển khai xây dựng từ điển năng lực
- Báo cáo định kỳ tình hình thực hiện
- Lấy ý kiến từ bộ phận tư vấn và tùy chỉnh phù hợp
- Báo cáo kết quả triển khai đến Ban GĐNM
- Gia đoạn I: 6 tháng đầu năm (4 KNL KTV)
- Giai đoạn II: 6 tháng cuối năm (4 KNL KS)</t>
  </si>
  <si>
    <t>ĐCM.O4.ĐK.O5.KR2</t>
  </si>
  <si>
    <t>Số KTV hoàn thành đánh giá</t>
  </si>
  <si>
    <t>- Phổ biến cho CBCNV về tiêu chí đánh giá 
- Sắp xếp công việc, phân bổ thời gian cho CBCNV nghiên cứu từ điển năng lực.
- Xây dựng hội đồng đánh giá
- Xây dựng biểu mẫu kết quả đánh giá
- Lấy ý kiến từ bộ phận tư vấn và tùy chỉnh phù hợp
- Triển khai đánh giá
- Báo cáo định kỳ tình hình thực hiện
- Báo cáo kết quả triển khai đến Ban GĐNM</t>
  </si>
  <si>
    <t>ĐCM.O4.ĐK.O5.KR3</t>
  </si>
  <si>
    <t>Trụ cột ET: Triển khai đào tạo nội bộ theo kế hoạch được phê duyệt</t>
  </si>
  <si>
    <t>%Hoàn thành giờ đào tạo nội bộ</t>
  </si>
  <si>
    <t>- Tổ chức triển khai đào tạo nội bộ theo kế hoạch đã được phê duyệt
- Đánh giá thường xuyên/đột xuất việc triển khai đào tạo nội bộ
- Hoàn thiện hồ sơ đào tạo nội bộ theo qui trình</t>
  </si>
  <si>
    <t>Quyentt</t>
  </si>
  <si>
    <t>ĐCM.O4.ĐK.O5.KR4</t>
  </si>
  <si>
    <t>Trụ cột ET: Tổ chức hội thảo chuyên môn 
(Bắt buộc với chức danh Kỹ sư và khuyến khích đối với chức danh KTV)</t>
  </si>
  <si>
    <t>- Xây dựng kế hoạch hội thảo
- Phân công nhân sự thực hiện
- Vận động và khuyến khích CBCNV tham gia
- Tổ chức thực hiện
- Đánh giá &amp; cải tiến</t>
  </si>
  <si>
    <t>ĐCM.O4.ĐK.O5.KR5</t>
  </si>
  <si>
    <t>Trụ cột ET: Triển khai đào tạo bên ngoài theo kế hoạch được phê duyệt</t>
  </si>
  <si>
    <t>- Rà soát kế hoạch đào tạo bên ngoài đã được phê duyệt
- Lập danh sách CBCNV tham gia 
- Phối hợp đăng ký và tổ chức cho CBCNV tham gia đào tạo
- Tổ chức chia sẻ, chuyển giao kiến thức sau đào tạo</t>
  </si>
  <si>
    <t>ĐCM.O4.ĐK.O5.KR6</t>
  </si>
  <si>
    <t>Trụ cột ET: Triển khai chuẩn hóa giáo trình đào tạo theo kế hoạch được phê duyệt</t>
  </si>
  <si>
    <t>- Rà soát xây dựng kế hoạch và phân công nhân sự xây dựng giáo trình
- Chuẩn hóa và phê duyệt theo quy trình quản lý tài liệu.
- Triển khai áp dụng
- Hoàn thiện hồ sơ</t>
  </si>
  <si>
    <t>ĐCM.O4.ĐK.O5.KR7</t>
  </si>
  <si>
    <t>Trụ cột AM: Thiết kế tagname dán lên thiết bị, Junction box thể hiện chức năng, thông số thiết bị range đo, môi chất đo,… thông tin chức năng được mã hóa bằng màu sắc ví dụ: màu đỏ thể interlock, cam điều khiển, xanh hiển thị,…</t>
  </si>
  <si>
    <t>- Xây dựng quy chuẩn nội dung tagname (chức năng, range đo, môi chất đo…)
- Thiết kế mẫu tagname và trình phê duyệt
- Lên kế hoạch thực hiện, mua sắm
- Triển khai thực hiện
- Đánh giá, hiệu chỉnh.
- Báo cáo kết quả thực hiện</t>
  </si>
  <si>
    <t xml:space="preserve">Haint </t>
  </si>
  <si>
    <t>ĐCM.O4.ĐK.O5.KR8</t>
  </si>
  <si>
    <t>Trụ cột AM: Rà soát ống turbing van điều khiển và thiết bị đo</t>
  </si>
  <si>
    <t>- Rà soát hiện trạng
- Phân loại và xử lý bất thường
- Chuẩn hóa
- Đánh giá và duy trì
- Báo cáo kết quả thực hiện</t>
  </si>
  <si>
    <t xml:space="preserve">Haint; Linhln; </t>
  </si>
  <si>
    <t>ĐCM.O4.ĐK.O5.KR9</t>
  </si>
  <si>
    <t>Trụ cột AM: Tiêu chuẩn hóa lắp đặt thiết bị đo lường và van điều khiển</t>
  </si>
  <si>
    <t>- Rà soát hiện trạng lắp đặt
- Xây dựng và chuẩn hóa tiêu chuẩn lắp đặt
- Triển khai áp dụng
- Đánh giá và duy trì
- Báo cáo kết quả thực hiện</t>
  </si>
  <si>
    <t xml:space="preserve">Haint; </t>
  </si>
  <si>
    <t>ĐCM.O4.ĐK.O5.KR10</t>
  </si>
  <si>
    <t>Trụ cột AM: Xử lý các thẻ TPM tag</t>
  </si>
  <si>
    <t>- Thu thập và phân loại TPM Tag
- Chuyển giao đến Đội/Tổ chuyên môn
- Xử lý và khắc phục
- Theo dõi tình hình thực hiện 
- Đánh giá và duy trì
- Báo cáo kết quả thực hiện</t>
  </si>
  <si>
    <t xml:space="preserve">Doint </t>
  </si>
  <si>
    <t>ĐCM.O4.ĐK.O5.KR11</t>
  </si>
  <si>
    <t>Trụ cột PM: Rà soát cập nhật lại kế hoạch bảo dưỡng theo phương thức bảo dưỡng để tăng hiệu quả trong công tác bảo dưỡng (áp dụng đối với Phân xưởng/hệ thống do X. ĐK phụ trách công tác lập kế hoạch)
- Đội TBCH: TB SP/NPK/GN/Quan trắc/Phân tích/TB đo khí cầm tay;
- Đội TB Đo: PI,TI/ ACC/ PA/Camera/Bộ đàm;
- Đội TBHTĐK: Hệ thống phòng cháy</t>
  </si>
  <si>
    <t>- Nghiên cứu các tiêu chuẩn, qui định pháp luật cho các hệ thống đặc thù.
- Rà soát tình trạng thực tế của hệ thống
- Cập nhật phương thức bảo dưỡng 
- Gửi đầu mối cập nhật trên hệ thống SAP</t>
  </si>
  <si>
    <t>ĐCM.O4.ĐK.O5.KR12</t>
  </si>
  <si>
    <t>Trụ cột FI: Có Sáng kiến được công nhận cấp tiểu ban Điều khiển (Mỗi Đội/tổ 2 cái)</t>
  </si>
  <si>
    <t>Số sáng kiến được công nhận</t>
  </si>
  <si>
    <t xml:space="preserve">- Đề xuất các giải pháp cải tiến, cải tạo, nâng cấp
- Tạo động lực cho CBCNV có sáng kiến bằng cách phân bổ KPI
- Đăng ký sáng kiến/ý tưởng/cải tiến kỹ thuật hàng tháng 
- Triển khai thực hiện và đăng ký trên EO theo qui trình
- Bảo vệ và hoàn thiện hồ sơ </t>
  </si>
  <si>
    <t>ĐCM.O4.ĐK.O5.KR13</t>
  </si>
  <si>
    <t>Trụ cột FI: Mỗi Đội/Tổ có ý tưởng/CTKT được công nhận Cấp Xưởng</t>
  </si>
  <si>
    <t>- Phát động và đăng ký ý tưởng
- Triển khai thực hiện
- Kiểm tra hoàn thiện
- Đánh giá và công nhận
- Chuẩn hóa và nhân rộng</t>
  </si>
  <si>
    <t>ĐCM.O4.ĐK.O5.KR14</t>
  </si>
  <si>
    <t>Trụ cột OI: Thực hiện theo yêu cầu TPM center</t>
  </si>
  <si>
    <t>%Hoàn thành theo kế hoạch của TPM center</t>
  </si>
  <si>
    <t xml:space="preserve">- Tiếp nhận và triển khai yêu cầu
- Triển khai thực hiện
- Tổng hợp, báo cáo kết quả </t>
  </si>
  <si>
    <t>Mainh</t>
  </si>
  <si>
    <t>ĐCM.O4.ĐK.O5.KR15</t>
  </si>
  <si>
    <t>Trụ cột SHE: Thực hiện theo yêu cầu TPM center</t>
  </si>
  <si>
    <t xml:space="preserve">- Tiếp nhận và phổ biến yêu cầu
- Triển khai thực hiện
- Giám sát và đánh giá
- Tổng hợp, báo cáo kết quả </t>
  </si>
  <si>
    <t>ĐK.O6</t>
  </si>
  <si>
    <t>ĐK.O6.KR1</t>
  </si>
  <si>
    <t>Tháng
(Trừ Tháng thực hiện BDTT, Tết nguyên đán)</t>
  </si>
  <si>
    <t>- Tổ chức đầu mối triển khai
- Thường xuyên khuyến khích, vận động CBCNV tham gia 
- Cân nhắc phân bổ KPI đối với Đội tổ/cá nhân tích cực tham gia và hoàn thành tốt công việc chuyên môn</t>
  </si>
  <si>
    <t>ĐK.O6.KR2</t>
  </si>
  <si>
    <t>ĐK.O6.KR3</t>
  </si>
  <si>
    <t>Chia sẽ văn hoá /Quy trình/Chuyên môn chung
(Chiều thứ 6, tuần cuối cùng của tháng)</t>
  </si>
  <si>
    <t>- Tổ chức đầu mối triển khai
- Xây dựng kế hoạch triển khai
- Thường xuyên khuyến khích, vận động CBCNV tham gia 
- Cân nhắc phân bổ KPI đối với Đội tổ/cá nhân tích cực tham gia và hoàn thành tốt công việc chuyên môn
- Gợi ý: Tháng 7: Hội thảo công tác chuẩn bị BDTT
- Gợi ý: Tháng 9: Hội thảo đúc kết kinh nghiệm BDTT
- Đối tượng đứng: Nhóm Cán bộ được công nhận Giảng viên nội bộ</t>
  </si>
  <si>
    <t>ĐK.O6.KR4</t>
  </si>
  <si>
    <t>Truyền thông Xưởng Điều khiển trên GapoWork</t>
  </si>
  <si>
    <t>Số lần thực hiện</t>
  </si>
  <si>
    <t>- Phân công đầu mối phụ trách truyền thông Xưởng
- Thu thập nội dung từ các Đội/Tổ
- Biên tập bài viết, hình ảnh
- Đăng tải trên GapoWork
- Theo dõi tương tác, phản hồi</t>
  </si>
  <si>
    <r>
      <t xml:space="preserve"> Đội/tổ thực hiện hoàn thành nhiệm vụ và 
- Thực hiện vượt tiêu chí </t>
    </r>
    <r>
      <rPr>
        <sz val="13"/>
        <color rgb="FFFF0000"/>
        <rFont val="Times New Roman"/>
        <family val="1"/>
      </rPr>
      <t>KR ĐK.6.11 (3 ý tưởng/CTKT)</t>
    </r>
    <r>
      <rPr>
        <sz val="13"/>
        <rFont val="Times New Roman"/>
        <family val="1"/>
      </rPr>
      <t xml:space="preserve">
- Là đội/tổ có tỉ lệ tham gia trên 50% đối với </t>
    </r>
    <r>
      <rPr>
        <sz val="13"/>
        <color rgb="FFFF0000"/>
        <rFont val="Times New Roman"/>
        <family val="1"/>
      </rPr>
      <t xml:space="preserve">ĐK.8.1 &amp; 8.2 (*) </t>
    </r>
    <r>
      <rPr>
        <sz val="13"/>
        <rFont val="Times New Roman"/>
        <family val="1"/>
      </rPr>
      <t xml:space="preserve">
- Là đội/tổ có tỉ lệ tham gia trên 50% các hoạt động phong trào chung của Xưởng (*)
+ Tính theo tỷ lệ cá nhân tham gia
+ Chương trình: Hội thao PVCFC</t>
    </r>
  </si>
  <si>
    <r>
      <t xml:space="preserve">Đội/tổ thực hiện hoàn thành tốt nhiệm vụ và 
- Là đội/tổ có tỉ lệ tham gia tất cả các hoạt động tại KR </t>
    </r>
    <r>
      <rPr>
        <sz val="13"/>
        <color rgb="FFFF0000"/>
        <rFont val="Times New Roman"/>
        <family val="1"/>
      </rPr>
      <t>ĐK.8.1 &amp; 8.2 đạt 90%</t>
    </r>
    <r>
      <rPr>
        <sz val="13"/>
        <color theme="1"/>
        <rFont val="Times New Roman"/>
        <family val="1"/>
      </rPr>
      <t xml:space="preserve"> hoặc (*)
- Có giải pháp xử lý được vấn đề phức tạp do LĐX đánh giá hoặc
- Có giải pháp mang lại hiệu quả lớn do LĐX đánh giá</t>
    </r>
  </si>
  <si>
    <r>
      <t xml:space="preserve">(*) Đối với tổ trực ca điều khiển vì tính chất đi ca/kip không có mặt thường xuyên ở Nhà máy cho nên:
- Chỉ tính tỉ lệ trên 02 KIP cụ thể là 7 nhân sự
</t>
    </r>
    <r>
      <rPr>
        <sz val="13"/>
        <color rgb="FFFF0000"/>
        <rFont val="Times New Roman"/>
        <family val="1"/>
      </rPr>
      <t>- Trừ nhân sự đi công tác hoặc điều ca đối với nhân sự hành chính</t>
    </r>
  </si>
  <si>
    <t>Đối với các tổ chức đoàn thể, tùy vào phong trào Xưởng sẽ có đánh giá trực tiếp A1/A2 cho BT. ĐTN, TT. CĐ sau đó mới phân bổ chỉ tiêu đến các đội/tổ</t>
  </si>
  <si>
    <t>Đội/tổ hoàn thành xuất sắc nhiệm vụ đội/tổ trưởng sẽ được phân bổ 01 A1 (Đối với tổ trực ca chỉ tính 01 chỉ tiêu) sau đó mới phân bổ chỉ tiêu đến các đội/tổ</t>
  </si>
  <si>
    <t>Đội/tổ hoàn thành tốt nhiệm vụ trong 02 tháng liên tiếp đội/tổ trưởng sẽ được phân bổ 01 A2 (Đối với tổ trực ca chỉ tính 01 chỉ tiêu) sau đó mới phân bổ chỉ tiêu đến các đội/tổ</t>
  </si>
  <si>
    <t>Đội/tổ hoàn thành tốt nhiệm vụ trong 04 tháng liên tiếp đội/tổ trưởng sẽ được phân bổ 01 A1 (Đối với tổ trực ca chỉ tính 01 chỉ tiêu) sau đó mới phân bổ chỉ tiêu đến các đội/tổ</t>
  </si>
  <si>
    <t>Đối với tháng triển khai thực hiện BDTT các nhóm theo sơ đồ tổ chức BDTT</t>
  </si>
  <si>
    <t>Nguyên tắc 13</t>
  </si>
  <si>
    <t>Nhóm nhân sự trực Tết âm lịch được xem xét ưu tiên</t>
  </si>
  <si>
    <t>Nguyên tắc 14</t>
  </si>
  <si>
    <t>Nguyên tắc 15</t>
  </si>
  <si>
    <t>Đối với Tháng 12 sẽ ưu tiên đánh giá các cá nhân có thành tích nổi bật trong năm sau đó mới phân bổ chỉ tiêu đến các đội/tổ</t>
  </si>
  <si>
    <t>O1</t>
  </si>
  <si>
    <t>KR1</t>
  </si>
  <si>
    <t>KR2</t>
  </si>
  <si>
    <t>KR3</t>
  </si>
  <si>
    <t>O2</t>
  </si>
  <si>
    <t>O3</t>
  </si>
  <si>
    <t>O4</t>
  </si>
  <si>
    <t>KR4</t>
  </si>
  <si>
    <t>KR5</t>
  </si>
  <si>
    <t>KR6</t>
  </si>
  <si>
    <t>O5</t>
  </si>
  <si>
    <t>KR7</t>
  </si>
  <si>
    <t>KR8</t>
  </si>
  <si>
    <t>KR9</t>
  </si>
  <si>
    <t>KR10</t>
  </si>
  <si>
    <t>KR11</t>
  </si>
  <si>
    <t>KR12</t>
  </si>
  <si>
    <t>KR13</t>
  </si>
  <si>
    <t>KR14</t>
  </si>
  <si>
    <t>KR15</t>
  </si>
  <si>
    <t>O6</t>
  </si>
  <si>
    <r>
      <t xml:space="preserve">O1 - O5 </t>
    </r>
    <r>
      <rPr>
        <b/>
        <sz val="15"/>
        <color rgb="FF00B050"/>
        <rFont val="Times New Roman"/>
        <family val="1"/>
      </rPr>
      <t>NOT NG</t>
    </r>
  </si>
  <si>
    <r>
      <t xml:space="preserve">O1- O5 </t>
    </r>
    <r>
      <rPr>
        <sz val="15"/>
        <color rgb="FFFF0000"/>
        <rFont val="Times New Roman"/>
        <family val="1"/>
      </rPr>
      <t xml:space="preserve">= </t>
    </r>
    <r>
      <rPr>
        <b/>
        <sz val="15"/>
        <color rgb="FFFF0000"/>
        <rFont val="Times New Roman"/>
        <family val="1"/>
      </rPr>
      <t>NG</t>
    </r>
  </si>
  <si>
    <t xml:space="preserve">CHUNG MỘT NIỀM TIN - VƯƠN MÌNH PHÁT TRIỂN  </t>
  </si>
  <si>
    <t>BÁO CÁO KẾ HOẠCH /MỤC TIÊU 2026 ĐỘI THIẾT BỊ HỆ THỐNG ĐIỀU KHIỂN</t>
  </si>
  <si>
    <t>Mã mục tiêu/Kết quả then chốt Đội/Tổ</t>
  </si>
  <si>
    <t>Báo cáo tình hình thực hiện tháng 1</t>
  </si>
  <si>
    <t>ĐK.O1.TBHTĐK.O1</t>
  </si>
  <si>
    <t>ĐK.O1.KR1.TBHTĐK.O1.KR1</t>
  </si>
  <si>
    <t>Các hạng mục BD có kế hoạch cần có đầy đủ hướng dẫn</t>
  </si>
  <si>
    <t>- Rà soát nội dung bảo dưỡng liên đới tới hướng dẫn thực hiện
- Cập nhật hướng dẫn, bổ sung và nhận diện các mối nguy có thể xảy ra trong quá trình thực hiện
- Quản lý hồ  sơ tài liệu của đơn vị, đảm bảo dễ  thấy, dễ  lấy, dễ  sử  dụng, không hư hỏng, không thất lạc
- Kiểm soát việc thực hiện có hiệu lực các tài liệu, quy trình, hướng dẫn</t>
  </si>
  <si>
    <t>31/12/2026</t>
  </si>
  <si>
    <t>Minhvq</t>
  </si>
  <si>
    <t>Đã rà soát các hạng mục BD có đầy đủ HD</t>
  </si>
  <si>
    <t>ĐK.O1.KR2.TBHTĐK.O1.KR2</t>
  </si>
  <si>
    <t xml:space="preserve">Công tác sửa chữa đột xuất cần có nhận diện mối nguy và ĐGRR đối với hạng mục có mối nguy ảnh hưởng đến giảm tải, gián đoạn sản xuất được giao </t>
  </si>
  <si>
    <t>- Thực hiện đúng phương án cách ly cô lập
- Nâng cao nâng lực nhận diện mối nguy
- Thường xuyên cập nhật các MOC, yêu cầu đơn vị chuyên môn chuẩn hóa, bổ sung tài liệu kỹ thuật</t>
  </si>
  <si>
    <t>Trong tháng không có hạng mục</t>
  </si>
  <si>
    <t>ĐK.O1.KR3.TBHTĐK.O1.KR3</t>
  </si>
  <si>
    <t>Công tác lắp đặt cải tiến cải tạo cần có nhận diện mối nguy và ĐGRR đối với hạng mục có mối nguy</t>
  </si>
  <si>
    <t>- Nâng cao nâng lực nhận diện mối nguy
- Thực hiện ĐRGG nếu có mối nguy
- Tăng cường giám sát và dừng việc nếu nhận diện có mối nguy mới</t>
  </si>
  <si>
    <t>ĐK.O2.TBHTĐK.O2</t>
  </si>
  <si>
    <t>ĐK.O2.KR1.TBHTĐK.O2.KR1</t>
  </si>
  <si>
    <t>Tham gia đầy đủ các cuộc họp và thực hiện hoàn thành các kết luận được giao</t>
  </si>
  <si>
    <t>- Tổ chức và sắp xếp công việc phù hợp đảm bảo có nhân sự tham gia 
- Lên kế hoạch triển khai thực hiện các kết luận được giao
- Triển khai thực hiện
- Báo cáo kết quả thực hiện hàng tháng</t>
  </si>
  <si>
    <t>Trong tháng chưa đến lịch họp</t>
  </si>
  <si>
    <t>ĐK.O2.KR3.TBHTĐK.O2.KR2</t>
  </si>
  <si>
    <t>Triển khai công tác BD định kỳ theo kế hoạch đảm bảo chất lượng và đúng tiến độ</t>
  </si>
  <si>
    <t>% số hạng mục hoàn thành đảm bảo đảm bảo chất lượng và đúng tiến độ</t>
  </si>
  <si>
    <t xml:space="preserve">&gt; 98% </t>
  </si>
  <si>
    <t>- Lập kế hoạch tổ chức triển khai theo kế hoạch bảo dưỡng đã được ban hành
- Đề xuất nguồn lực đảm bảo đủ để triển khai kế hoạch bảo dưỡng hàng tháng
- Triển khai công tác BD định kỳ theo kế hoạch đã ban hành
- Giám sát chất lượng công tác triển khai phương pháp kiểm tra trực tiếp và gián tiếp 10% trên tổng số hạng mục được triển khai
- Báo cáo kết quả triển khai công tác BD định kỳ đầy đủ theo kế hoạch</t>
  </si>
  <si>
    <t>Hoàn thành 254/254 hạng mục theo kế hoạch ngày 28/01</t>
  </si>
  <si>
    <t>ĐK.O2.KR4.TBHTĐK.O2.KR3</t>
  </si>
  <si>
    <t>Triển khai công tác BDTT theo kế hoạch đảm bảo chất lượng và vượt tiến độ</t>
  </si>
  <si>
    <t>% thực hiện hoàn thành công tác BDTT theo kế hoạch, đảm bảo chất lượng và vượt tiến độ so với kế hoạch 4h</t>
  </si>
  <si>
    <t>&gt; 99% và vượt tiến độ 4h</t>
  </si>
  <si>
    <t>Tháng BDTT</t>
  </si>
  <si>
    <t>- Đảm bảo hoàn thành công tác chuẩn bị theo kế hoạch của tổ
- Tổ chức nguồn lực đảm bảo hoàn thành thực hiện các hạng mục bảo dưỡng theo kế hoạch
- Lập kế hoạch triển khai chi tiết cho tất cả hạng mục theo kế hoạch đa được ban hành
- Triển khai thực hiện các hạng mục theo kế hoạch đã ban hành
- Giám sát chất lượng công tác triển khai kiểm tra trực tiếp/report các hạng mục theo ngày
- Báo cáo kết quả các hạng mục BDTT</t>
  </si>
  <si>
    <t>ĐK.O2.KR5.TBHTĐK.O2.KR4</t>
  </si>
  <si>
    <t xml:space="preserve">- Tổ chức nguồn lực đảm bảo hoàn thành thực hiện các hạng mục bảo dưỡng theo kế hoạch
- Lập kế hoạch triển khai chi tiết cho tất cả hạng mục theo kế hoạch đa được ban hành
- Triển khai thực hiện các hạng mục theo kế hoạch đã ban hành
- Giám sát chất lượng công tác triển khai kiểm tra trực tiếp/report các hạng mục theo ngày
- Báo cáo kết quả </t>
  </si>
  <si>
    <t>ĐK.O2.KR6.TBHTĐK.O2.KR5</t>
  </si>
  <si>
    <t>% Hoàn thành phiếu KPPN được giao</t>
  </si>
  <si>
    <t xml:space="preserve">- Tiếp nhận phiếu KPPN thuộc chuyên môn của đội
- Triển khai thực hiện phiếu KPPN 
- Báo cáo kết quả thực hiện </t>
  </si>
  <si>
    <t>Hoàn thành phiếu KPPN sự cố mất alram các HIS</t>
  </si>
  <si>
    <t>ĐK.O3.TBHTĐK.O3</t>
  </si>
  <si>
    <t>ĐK.O3.KR1.TBHTĐK.O3.KR1</t>
  </si>
  <si>
    <t>Hoàn thành phối hợp công tác kiểm tra an toàn cấp 1, 2, 3 đầy đủ, nghiêm túc</t>
  </si>
  <si>
    <t xml:space="preserve">Theo kế hoạch </t>
  </si>
  <si>
    <t>- Phối hợp thực hiện kiểm tra an toàn cấp 2 đầy đủ, nghiêm túc theo kế hoạch
- Phối hợp thực hiện kiểm tra an toàn cấp 3 theo lịch, đảm bảo 100% các điểm không phù hợp được khắc phục đúng thời hạn;</t>
  </si>
  <si>
    <t>Hoàn thành phối hợp đầu mối kiểm tra an toàn cấp 2</t>
  </si>
  <si>
    <t>ĐK.O3.KR2.TBHTĐK.O3.KR2</t>
  </si>
  <si>
    <t>Số thẻ ghi được trong tháng</t>
  </si>
  <si>
    <t>5 thẻ</t>
  </si>
  <si>
    <t>Tổ chức và sắp xếp công việc phù hợp đảm bảo hoàn thành chỉ tiêu ghi thẻ</t>
  </si>
  <si>
    <t>Trong tháng có 17 thẻ được ghi nhận</t>
  </si>
  <si>
    <t>ĐK.O3.KR3.TBHTĐK.O3.KR3</t>
  </si>
  <si>
    <t xml:space="preserve">% CBCNV tham gia </t>
  </si>
  <si>
    <t>Tổ chức và sắp xếp công việc phù hợp đảm bảo tất cả CBCNV tham gia các khóa đào tạo an toàn</t>
  </si>
  <si>
    <t>Trong tháng không có khóa học</t>
  </si>
  <si>
    <t>ĐK.O4.TBHTĐK.O4</t>
  </si>
  <si>
    <t>ĐK.O4.KR1.TBHTĐK.O4.KR1</t>
  </si>
  <si>
    <t>- Sắp xếp nguồn lực để triển khai công việc
- Xây dựng phương án thi công 
- Tổ chức triển khai thi công/chạy thử theo phương án
- Báo cáo kết quả thực hiện</t>
  </si>
  <si>
    <t>Hoàn thành hạng mục khái báo modbus dự án CO2 thực phẩm trên DCS</t>
  </si>
  <si>
    <t>ĐK.O4.KR4.TBHTĐK.O4.KR2</t>
  </si>
  <si>
    <t>- Cử nhân sự tham gia
- Sắp xếp nguồn lực để triển khai công việc
- Xây dựng phương án thi công 
- Tổ chức triển khai thi công/chạy thử theo phương án
- Báo cáo kết quả thực hiện</t>
  </si>
  <si>
    <t>Trong tháng không có hạng mục được giao</t>
  </si>
  <si>
    <t>ĐK.O4.KR5.TBHTĐK.O4.KR3</t>
  </si>
  <si>
    <t>Cải tạo hệ thống tiếp địa cho thiết bị hệ thống điều khiển</t>
  </si>
  <si>
    <t xml:space="preserve">- Lập danh mục vật tư cần mua sắm
- Gửi đầu mối triển khai mua sắm và theo dõi mua sắm
- Đưa hạng mục vào KH DBTT 2026
- Triển khai thực hiện: lắp bar tiếp địa trên tường, đấu cáp tiếp địa lên bar, thay cáp tiếp địa nối giữa các tủ điều khiển trong rack room CCR
- Báo cáo kết quả </t>
  </si>
  <si>
    <t>Trong tháng không có kế hoạch</t>
  </si>
  <si>
    <t>ĐK.O5.TBHTĐK.O5</t>
  </si>
  <si>
    <t>ĐK.O5.KR1.TBHTĐK.O5.KR1</t>
  </si>
  <si>
    <t>% hoàn thành công việc được giao</t>
  </si>
  <si>
    <t>Phối hợp thực hiện theo yêu cầu của đầu mối</t>
  </si>
  <si>
    <t>Trong tháng không có công việc được giao</t>
  </si>
  <si>
    <t>ĐK.O5.KR2.TBHTĐK.O5.KR2</t>
  </si>
  <si>
    <t>Tham gia đánh giá năng lực CBCNV khi có yêu cầu</t>
  </si>
  <si>
    <t>ĐK.O5.KR3.TBHTĐK.O5.KR3</t>
  </si>
  <si>
    <t>% hoàn thành triển khai đào tạo nội bộ theo kế hoạch được phê duyệt</t>
  </si>
  <si>
    <t xml:space="preserve"> Tháng</t>
  </si>
  <si>
    <r>
      <t>- Tổ chức triển khai đào tạo nội bộ theo kế hoạch đã được phê duyệt như</t>
    </r>
    <r>
      <rPr>
        <sz val="14"/>
        <color rgb="FFFF0000"/>
        <rFont val="Times New Roman"/>
        <family val="1"/>
      </rPr>
      <t xml:space="preserve"> Phụ lục 1</t>
    </r>
    <r>
      <rPr>
        <sz val="14"/>
        <rFont val="Times New Roman"/>
        <family val="1"/>
      </rPr>
      <t xml:space="preserve">
- Đánh giá thường xuyên/đột xuất việc triển khai đào tạo nội bộ trong đội
- Hoàn thiện hồ sơ đào tạo nội bộ theo qui chế</t>
    </r>
  </si>
  <si>
    <t>Trong tháng không có kế hoạch, bắt đầu tháng 2</t>
  </si>
  <si>
    <t>ĐK.O5.KR4.TBHTĐK.O5.KR4</t>
  </si>
  <si>
    <t>Trụ cột ET:  Tổ chức hội thảo chuyên môn (KSC 2 HT, Kỹ sư 1 HT và khuyến khích đối với chức danh KTV)</t>
  </si>
  <si>
    <t>% hoàn thành hội thảo chuyên môn theo kế hoạch được phê duyệt</t>
  </si>
  <si>
    <r>
      <t>- Tổ chức triển khai hội thảo theo kế hoạch như</t>
    </r>
    <r>
      <rPr>
        <sz val="14"/>
        <color rgb="FFFF0000"/>
        <rFont val="Times New Roman"/>
        <family val="1"/>
      </rPr>
      <t xml:space="preserve"> Phụ lục 2</t>
    </r>
    <r>
      <rPr>
        <sz val="14"/>
        <rFont val="Times New Roman"/>
        <family val="1"/>
      </rPr>
      <t xml:space="preserve">
- Báo cáo kết quả thực hiện</t>
    </r>
  </si>
  <si>
    <t>Trong tháng không có kế hoạch, bắt đầu tháng 3</t>
  </si>
  <si>
    <t>ĐK.O5.KR5.TBHTĐK.O5.KR5</t>
  </si>
  <si>
    <t>% hoàn thành triển khai đào tạo đào tạo bên ngoài theo kế hoạch được phê duyệt</t>
  </si>
  <si>
    <r>
      <t xml:space="preserve">- Đề xuất triển khai đào tạo theo kế hoạch đã được phê duyệt như </t>
    </r>
    <r>
      <rPr>
        <sz val="14"/>
        <color rgb="FFFF0000"/>
        <rFont val="Times New Roman"/>
        <family val="1"/>
      </rPr>
      <t>Phụ lục 1</t>
    </r>
    <r>
      <rPr>
        <sz val="14"/>
        <rFont val="Times New Roman"/>
        <family val="1"/>
      </rPr>
      <t xml:space="preserve">
- Báo cáo kết quả đào tạo</t>
    </r>
  </si>
  <si>
    <t>SIMATIC S7-400H Redundant System &amp; Advanced Programming, thời gian đào tạo quý 2</t>
  </si>
  <si>
    <t>ĐK.O5.KR6.TBHTĐK.O5.KR6</t>
  </si>
  <si>
    <t>% tài liệu hoàn thành chuẩn hóa theo kế hoạch được phê duyệt</t>
  </si>
  <si>
    <r>
      <t xml:space="preserve">- Thực hiện chuẩn hóa giáo trình như </t>
    </r>
    <r>
      <rPr>
        <sz val="14"/>
        <color rgb="FFFF0000"/>
        <rFont val="Times New Roman"/>
        <family val="1"/>
      </rPr>
      <t>Phụ lục 3</t>
    </r>
    <r>
      <rPr>
        <sz val="14"/>
        <rFont val="Times New Roman"/>
        <family val="1"/>
      </rPr>
      <t xml:space="preserve">
- Gửi file tài liệu đã chuẩn hóa cho đầu mối và chỉnh sửa theo yêu cầu (nếu có)</t>
    </r>
  </si>
  <si>
    <t>ĐK.O5.KR9.TBHTĐK.O5.KR7</t>
  </si>
  <si>
    <t>Trụ cột AM: Tiêu chuẩn hóa thiết bị hệ thống điều khiển và thiết bị phòng cháy</t>
  </si>
  <si>
    <t>% hoàn thành theo kế hoạch</t>
  </si>
  <si>
    <t>- Rà soát hiện trạng thiết bị, lập danh mục thiết bị cần chuẩn hóa
- Xây dựng và chuẩn hóa tiêu chuẩn cho thiết bị
- Triển khai áp dụng
- Đánh giá và duy trì
- Báo cáo kết quả thực hiện</t>
  </si>
  <si>
    <t>ĐK.O5.KR10.TBHTĐK.O5.K8</t>
  </si>
  <si>
    <t>% hoàn thành theo kế hoạch của TPM center</t>
  </si>
  <si>
    <t>- Tổ chức triển khai thực hiện công việc thuộc chuyên môn phụ trách 
- Báo cáo kết quả thực hiện</t>
  </si>
  <si>
    <t>ĐK.O5.KR11.TBHTĐK.O5.KR9</t>
  </si>
  <si>
    <t>Rà soát cập nhật lại kế hoạch bảo dưỡng theo phương thức bảo dưỡng để tăng hiệu quả trong công tác bảo dưỡng (áp dụng đối với Phân xưởng/hệ thống do X. ĐK phụ trách công tác lập kế hoạch)</t>
  </si>
  <si>
    <t>% hoàn thành các thiết bị/hệ thống phòng cháy</t>
  </si>
  <si>
    <t xml:space="preserve">- Tổ TBHTPC thực hiện rà soát cập nhật hàng tháng các thiết bị thệ thống phòng cháy gửi lại cho đội trưởng
- Đội trưởng sẽ tổng hợp vào file theo dõi.
- Gửi đầu mối SAP cập nhật dữ liệu master nếu có điều chỉnh </t>
  </si>
  <si>
    <t>30/10/2026</t>
  </si>
  <si>
    <t>ĐK.O5.KR12.TBHTĐK.O5.KR10</t>
  </si>
  <si>
    <t>Số lượng sáng kiến được cấp Tiểu Ban công nhận</t>
  </si>
  <si>
    <t>- Đăng ký sáng kiến hàng tháng nếu có
- Triển khai thực hiện và đăng ký trên EO sau khi xưởng phê duyệt
- Bảo vệ và hoàn thiện hồ sơ theo yêu cầu</t>
  </si>
  <si>
    <t>Trong tháng không có đợt xét của tiểu ban</t>
  </si>
  <si>
    <t>ĐK.O5.KR13.TBHTĐK.O5.KR11</t>
  </si>
  <si>
    <t>Số lượng ý tưởng/CTKT được cấp Xưởng công nhận</t>
  </si>
  <si>
    <t>1 ý tưởng/ CTKT</t>
  </si>
  <si>
    <t>- Đăng ký ý tưởng/CTKT hàng tháng
- Triển khai thực hiện sau khi xưởng phê duyệt
- Báo cáo kết quả thực hiện</t>
  </si>
  <si>
    <t>Đăng ký 1 SK/CTKT đã được LĐX công nhận</t>
  </si>
  <si>
    <t>ĐK.O5.KR14.TBHTĐK.O5.KR12</t>
  </si>
  <si>
    <t>- Tổ chức triển khai thực hiện công việc được phân công 
- Báo cáo kết quả thực hiện</t>
  </si>
  <si>
    <t>ĐK.O5.KR15.TBHTĐK.O5.KR13</t>
  </si>
  <si>
    <t>ĐK.O6.TBHTĐK.O6</t>
  </si>
  <si>
    <t>ĐK.O6.KR1.TBHTĐK.O6.KR1</t>
  </si>
  <si>
    <t>Khuyến khích tham gia chương trình chạy bộ giao lưu 01 lần/02 tuần</t>
  </si>
  <si>
    <t>Có nhân sự đội tham gia chương trình</t>
  </si>
  <si>
    <t>Tham gia</t>
  </si>
  <si>
    <t>Thường xuyên khuyến khích, vận động CBCNV tham gia (Trừ cá nhân đang có bệnh hiểm nghèo)</t>
  </si>
  <si>
    <t>Minhnc</t>
  </si>
  <si>
    <t>Chạy bộ 17/01: Kiều, Quỳnh, Đình, Hải. Đạt 50% ( tính 8 nhân sự, trừ Tứ và Tiến tham gia BDTT ĐPM)</t>
  </si>
  <si>
    <t>Không tính Tứ</t>
  </si>
  <si>
    <t>ĐK.O6.KR2.TBHTĐK.O6.KR2</t>
  </si>
  <si>
    <t>Khuyến khích tham gia chương trình thể thao giao lưu 01 lần/01 quý</t>
  </si>
  <si>
    <t>Trong tháng chưa có kế hoạch</t>
  </si>
  <si>
    <t>ĐK.O6.KR3.TBHTĐK.O6.KR3</t>
  </si>
  <si>
    <t>Chia sẽ văn hoá /Quy trình/Chuyên môn chung (Chiều thứ 6, tuần cuối cùng của tháng)</t>
  </si>
  <si>
    <t xml:space="preserve">% hoàn thành theo kế hoạch </t>
  </si>
  <si>
    <t xml:space="preserve">- Thực hiện hội thảo theo lịch ĐTN:
   + Võ Quang Minh: Sơ đồ kết nối các hệ thống điều khiển nhà máy ĐCM
   + Trịnh Văn Kiều: Đọc hiểu interlock ESD, DCS
   + Nguyễn Cao Minh: Nâng cao chất lượng hoạt động đoàn thanh niên tại Xưởng Điều khiển
- Thường xuyên khuyến khích, vận động CBCNV tham gia </t>
  </si>
  <si>
    <t>Trong tháng không có tổ chức</t>
  </si>
  <si>
    <t xml:space="preserve">Đánh giá chung tháng </t>
  </si>
  <si>
    <t>BÁO CÁO KẾ HOẠCH MỤC TIÊU ĐỘI TB ĐO LƯỜNG_THÁNG 2</t>
  </si>
  <si>
    <t>ĐK.O1.TBĐ.O1</t>
  </si>
  <si>
    <t>ĐK.O1.KR1.TBĐ.O1.KR1</t>
  </si>
  <si>
    <t>- Thực hiện đúng phương án cách ly cô lập được ban hành
- Rà soát kế hoạch bảo dưỡng và cập nhật đầy đủ các hướng dẫn bảo dưỡng theo kế hoạch được ban hành
- Từng bước chuẩn hóa các hướng dẫn có bổ sung nội dung đánh giá rủi ro về an toàn lao động
- Đảm bảo từng CBCNV thực hiện công tác bảo dưỡng phải nắm rõ các hướng dẫn được ban hành và thực hiện đúng
- Quản lý hồ sơ tài liệu của đơn vị, đảm bảo dễ  thấy, dễ lấy, dễ sử  dụng, không hư hỏng, không thất lạc</t>
  </si>
  <si>
    <t>ĐK.O1.KR1.TBĐ.O1.KR2</t>
  </si>
  <si>
    <t>Đảm bảo công tác sửa chữa đột xuất có nhận diện mối nguy và ĐGRR đối với hạng mục có mối nguy ảnh hưởng đến giảm tải, gián đoạn sản xuất</t>
  </si>
  <si>
    <t>- Thực hiện đúng phương án cách ly cô lập được ban hành
- Nâng cao nâng lực nhận diện mối nguy</t>
  </si>
  <si>
    <t>Thực hiện tuân thủ các phương án cách ly được ban hành
Trong tháng có 2 hạng mục sử dụng GPCL được ban hành</t>
  </si>
  <si>
    <t>ĐK.O1.KR1.TBĐ.O1.KR3</t>
  </si>
  <si>
    <t>ĐK.O2.TBĐ.O2</t>
  </si>
  <si>
    <t>ĐK.O2.KR1.TBĐ.O2.KR1</t>
  </si>
  <si>
    <t>- Tham gia họp định kỳ
- Nhận diện mối nguy và lên kế hoạch triển khai thực hiện
- Phân công  nhân sự triển khai thực hiện
- Phân công nhân sự đầu mối theo dõi tình hình thực hiện, báo cáo kết quả thực hiện hàng tháng</t>
  </si>
  <si>
    <t>Chưa có lịch họp trong tháng</t>
  </si>
  <si>
    <t>ĐK.O2.KR1.TBĐ.O2.KR2</t>
  </si>
  <si>
    <t>- Lập kế hoạch tổ chức triển khai theo kế hoạch bảo dưỡng đã được ban hành;
- Đề xuất nguồn lực đảm bảo đủ để triển khai kế hoạch bảo dưỡng hàng tháng;
- Triển khai công tác BD định kỳ theo kế hoạch đã ban hành;
- Giám sát chất lượng công tác triển khai phương pháp kiểm tra trực tiếp và gián tiếp 10% trên tổng số hạng mục được triển khai;
- Báo cáo kết quả triển khai công tác BD định kỳ đầy đủ theo kế hoạch;</t>
  </si>
  <si>
    <t>ĐK.O2.KR1.TBĐ.O2.KR3</t>
  </si>
  <si>
    <r>
      <t xml:space="preserve">Triển khai công tác BDTT theo kế hoạch đảm bảo </t>
    </r>
    <r>
      <rPr>
        <b/>
        <sz val="14"/>
        <color theme="1"/>
        <rFont val="Times New Roman"/>
        <family val="1"/>
      </rPr>
      <t>chất lượng</t>
    </r>
  </si>
  <si>
    <t>- Đảm bảo hoàn thành công tác chuẩn bị theo kế hoạch của tổ;
- Tổ chức nguồn lực đảm bảo hoàn thành thực hiện các hạng mục bảo dưỡng theo kế hoạch;
- Lập kế hoạch triển khai chi tiết cho tất cả hạng mục theo kế hoạch đã được ban hành;
- Triển khai thực hiện các hạng mục theo kế hoạch đã ban hành;
- Giám sát chất lượng công tác triển khai kiểm tra trực tiếp/ report các hạng mục theo ngày;
- Báo cáo kết quả các hạng mục BDTT;</t>
  </si>
  <si>
    <t>ĐK.O2.KR1.TBĐ.O2.KR4</t>
  </si>
  <si>
    <t>- Tiếp nhận phiếu KPPN theo kết luận đoàn điều tra sự cố
- Tổ chức, sắp xếp nguồn lực triển khai thực hiện
- Báo cáo kết quả thực hiện</t>
  </si>
  <si>
    <t>ĐK.O3.TBĐ.O3</t>
  </si>
  <si>
    <t>ĐK.O3.KR1.TBĐ.O3.KR1</t>
  </si>
  <si>
    <t>- Phối hợp thực hiện kiểm tra an toàn cấp 2, 3 theo lịch, đảm bảo 100% các điểm không phù hợp được khắc phục đúng thời hạn;
- Thực hiện phối hợp trong công tác lập định mức trang bị bảo hộ lao động cho CBCNV;
- Sử dụng đầy đủ PPE, các thiết bị, công cụ, dụng cụ đảm bảo an toàn khi thực hiện công việc;
- Thường xuyên nhắc nhở, kiểm tra CBCNV tuân thủ quy định an toàn khi làm việc tại Nhà máy;
- Tổ chức ĐGRR về an toàn và phổ biến bảng ĐGRR đến toàn bộ cá nhân tham gia thực hiện các công việc có mối nguy về an toàn;
- Tuyên truyền cho CBCNV trong công tác ATVSLĐ/Nâng cao ý thức CBCNV trong công tác ATVSLĐ.</t>
  </si>
  <si>
    <t>Kiểm tra, tuân thủ đầy đủ theo yêu cầu đầu mối</t>
  </si>
  <si>
    <t>ĐK.O3.KR1.TBĐ.O3.KR2</t>
  </si>
  <si>
    <t>tháng</t>
  </si>
  <si>
    <t>- Tuyên truyền, phổ biến thường xuyên các qui định liên quan đến chương trình STOP đến CBCNV trong đội;
- Tham gia ghi thẻ STOP đảm bảo số lượng thẻ ghi được ít nhất bằng 50% số lượng CBCNV trong đội.</t>
  </si>
  <si>
    <t>ĐK.O3.KR1.TBĐ.O3.KR3</t>
  </si>
  <si>
    <t>Đảm bảo tất cả CBCNV tham gia các khóa đào tạo an toàn theo yêu cầu từ đầu mối.</t>
  </si>
  <si>
    <t>Trong tháng không có chương trình</t>
  </si>
  <si>
    <t>ĐK.O4.TBĐ.O4</t>
  </si>
  <si>
    <t>ĐK.O4.KR1.TBĐ.O4.KR1</t>
  </si>
  <si>
    <t>Không có kế hoạch trong tháng</t>
  </si>
  <si>
    <t>ĐK.O4.KR1.TBĐ.O4.KR2</t>
  </si>
  <si>
    <t>Haint; Linhln</t>
  </si>
  <si>
    <t>Đã hoàn thành họp thống nhất đối tượng thực hiện, làm rõ phạm vi công việc</t>
  </si>
  <si>
    <t>ĐK.O5.TBĐ.O5</t>
  </si>
  <si>
    <t>ĐK.O5.KR1.TBĐ.O5.KR1</t>
  </si>
  <si>
    <t>Phối hợp đầu mối khi có yêu cầu.</t>
  </si>
  <si>
    <t>ĐK.O5.KR1.TBĐ.O5.KR2</t>
  </si>
  <si>
    <t>Tham gia đánh giá năng lực cho CBCNV khi có yêu cầu.</t>
  </si>
  <si>
    <t>ĐK.O5.KR1.TBĐ.O5.KR3</t>
  </si>
  <si>
    <r>
      <t xml:space="preserve">- Tổ chức triển khai đào tạo nội bộ theo kế hoạch đã được phê duyệt như </t>
    </r>
    <r>
      <rPr>
        <b/>
        <sz val="14"/>
        <rFont val="Times New Roman"/>
        <family val="1"/>
      </rPr>
      <t>Phụ lục 1.1</t>
    </r>
    <r>
      <rPr>
        <sz val="14"/>
        <rFont val="Times New Roman"/>
        <family val="1"/>
      </rPr>
      <t>;
- Đánh giá thường xuyên/đột xuất việc triển khai đào tạo nội bộ trong đội;
- Hoàn thiện hồ sơ đào tạo nội bộ theo qui chế.</t>
    </r>
  </si>
  <si>
    <t>ĐK.O5.KR1.TBĐ.O5.KR4</t>
  </si>
  <si>
    <r>
      <t xml:space="preserve">- Tìm hiểu, nghiên cứu soạn slide trình bày nội bộ Đội;
- Thông báo khuyến khích các Đội/ tổ khác tham gia;
- Tổ chức triển khai hội thảo theo kế hoạch như </t>
    </r>
    <r>
      <rPr>
        <b/>
        <sz val="14"/>
        <rFont val="Times New Roman"/>
        <family val="1"/>
      </rPr>
      <t>Phụ lục 1.2.</t>
    </r>
  </si>
  <si>
    <t>ĐK.O5.KR1.TBĐ.O5.KR5</t>
  </si>
  <si>
    <r>
      <t xml:space="preserve">- Thực hiện chuẩn hóa giáo trình như </t>
    </r>
    <r>
      <rPr>
        <b/>
        <sz val="14"/>
        <rFont val="Times New Roman"/>
        <family val="1"/>
      </rPr>
      <t>Phụ lục 1.3</t>
    </r>
    <r>
      <rPr>
        <sz val="14"/>
        <rFont val="Times New Roman"/>
        <family val="1"/>
      </rPr>
      <t>;
- Gửi file tài liệu đã chuẩn hóa cho đầu mối và chỉnh sửa theo yêu cầu (nếu có).</t>
    </r>
  </si>
  <si>
    <t>ĐK.O5.KR1.TBĐ.O5.KR6</t>
  </si>
  <si>
    <t>ĐK.O5.KR1.TBĐ.O5.KR7</t>
  </si>
  <si>
    <t>ĐK.O5.KR1.TBĐ.O5.KR8</t>
  </si>
  <si>
    <t>ĐK.O5.KR1.TBĐ.O5.KR9</t>
  </si>
  <si>
    <t>- Tiếp nhận các TPM Tag thuộc phạm vi Đội phụ trách
- Lập kế hoạch xử lý và khắc phục
- Theo dõi tình hình thực hiện 
- Đánh giá và duy trì
- Báo cáo kết quả thực hiện</t>
  </si>
  <si>
    <t>ĐK.O5.KR1.TBĐ.O5.KR10</t>
  </si>
  <si>
    <t>Trụ cột PM: Rà soát cập nhật lại kế hoạch bảo dưỡng theo phương thức bảo dưỡng để tăng hiệu quả trong công tác bảo dưỡng (áp dụng đối với Phân xưởng/hệ thống do X. ĐK phụ trách công tác lập kế hoạch)
- Đội TBĐ: TB SP/NPK/GN/Quan trắc;
- Đội TBCH: PI,TI/ ACC/ PA/Camera/Bộ đàm;
- Đội TBHTĐK: Hệ thống phòng cháy</t>
  </si>
  <si>
    <t>- Thực hiện rà soát kế hoạch bảo dưỡng cả năm các thiết bị PI/TI, ACS, PA, Camera, bộ đàm;
- Gửi đầu mối cập nhật dữ liệu master trên SAP nếu có điều chỉnh.</t>
  </si>
  <si>
    <t>ĐK.O5.KR1.TBĐ.O5.KR11</t>
  </si>
  <si>
    <t>Trong tháng chưa có SK được cấp tiểu ban công nhận</t>
  </si>
  <si>
    <t>ĐK.O5.KR1.TBĐ.O5.KR12</t>
  </si>
  <si>
    <t>- Phát động và đăng ký ý tưởng hàng thàng
- Triển khai thực hiện
- Kiểm tra hoàn thiện
- Đánh giá và công nhận
- Chuẩn hóa và nhân rộng</t>
  </si>
  <si>
    <t>ĐK.O5.KR1.TBĐ.O5.KR13</t>
  </si>
  <si>
    <t xml:space="preserve">- Đóng góp ý kiến, tiếp nhận đầu mục thuộc phạm vi Đội
- Triển khai thực hiện
- Tổng hợp, báo cáo kết quả </t>
  </si>
  <si>
    <t>ĐK.O5.KR1.TBĐ.O5.KR14</t>
  </si>
  <si>
    <t>Bố trí, sắp xếp công việc phù hợp tham gia đầy đủ theo yêu cầu đầu mối</t>
  </si>
  <si>
    <t>ĐK.O6.TBĐ.O6</t>
  </si>
  <si>
    <t>ĐK.O6.TBĐ.O6.KR1</t>
  </si>
  <si>
    <t>- Thường xuyên khuyến khích, động viên các thành viên trong Đội tham gia chương trình chạy bộ của đầu mối ĐTN.
- Cân nhắc đánh giá KPI đối với cá nhân tích cực tham gia và hoàn thành tốt công việc chuyên môn
- Trừ Tháng thực hiện BDTT, Tết nguyên đán, cá nhân đang có bệnh hiểm nghèo</t>
  </si>
  <si>
    <t>ĐK.O6.TBĐ.O6.KR2</t>
  </si>
  <si>
    <t>- Thường xuyên khuyến khích, động viên các thành viên trong Đội tham gia chương trình chạy bộ của đầu mối ĐTN.
- Cân nhắc đánh giá KPI đối với cá nhân tích cực tham gia và hoàn thành tốt công việc chuyên môn</t>
  </si>
  <si>
    <t>ĐK.O6.TBĐ.O6.KR3</t>
  </si>
  <si>
    <t xml:space="preserve">- Phối hợp đầu mối ĐTN xây dựng kế hoạch triển khai
+ Nguyễn Thanh Hải: Chương trình AM Điều khiển
+ Võ Minh Hoàng: Hướng dẫn kiểm soát rủi ro trong quá trình thực hiện bảo dưỡng sửa chữa thiết bị đo mức phóng trong nhà máy Đạm Cà Mau
- Thường xuyên khuyến khích, vận động CBCNV tham gia </t>
  </si>
  <si>
    <t>ĐK.O6.TBĐ.O6.KR4</t>
  </si>
  <si>
    <t>- Cung cấp thông tin, cập nhật nội dung nổi bật của Đội cho đầu mối Xưởng 
- Thường xuyên động viên các thành viên trong Đội theo dõi tương tác, phản hồi các bài viết của Xưởng</t>
  </si>
  <si>
    <t>Kế hoạch hành động của Xưởng</t>
  </si>
  <si>
    <t>Kế hoạch hành động của Đội TBCH</t>
  </si>
  <si>
    <t>ĐK.O1.TBCH.O1</t>
  </si>
  <si>
    <t>ĐK.O1.KR1.TBCH.O1.KR1</t>
  </si>
  <si>
    <r>
      <rPr>
        <sz val="14"/>
        <color rgb="FFFF0000"/>
        <rFont val="Times New Roman"/>
        <family val="1"/>
      </rPr>
      <t xml:space="preserve">- Thực hiện đúng phương án cách ly cô lập được ban hành.
- Rà soát kế hoạch bảo dưỡng và cập nhật đầy đủ các hướng dẫn bảo dưỡng theo kế hoạch được được phê duyệt như </t>
    </r>
    <r>
      <rPr>
        <b/>
        <sz val="14"/>
        <color rgb="FFFF0000"/>
        <rFont val="Times New Roman"/>
        <family val="1"/>
      </rPr>
      <t>Phụ lục 1.5.</t>
    </r>
    <r>
      <rPr>
        <sz val="14"/>
        <color rgb="FFFF0000"/>
        <rFont val="Times New Roman"/>
        <family val="1"/>
      </rPr>
      <t xml:space="preserve">
</t>
    </r>
    <r>
      <rPr>
        <sz val="14"/>
        <color theme="1"/>
        <rFont val="Times New Roman"/>
        <family val="1"/>
      </rPr>
      <t>- Từng bước chuẩn hóa các hướng dẫn có bổ sung nội dung đánh giá rủi ro về an toàn lao động
- Đảm bảo từng CBCNV thực hiện công tác bảo dưỡng phải nắm rõ các hướng dẫn được ban hành và thực hiện đúng
- Quản lý hồ sơ tài liệu của đơn vị, đảm bảo dễ  thấy, dễ lấy, dễ sử  dụng, không hư hỏng, không thất lạc</t>
    </r>
  </si>
  <si>
    <t xml:space="preserve">- Tuân thủ các hạng mục kiểm tra chức năng chỉ thực hiện khi GPCL được ban hành.
 - Đã ban hành 1 HBDB soạn mới theo kế hoạch tháng 1 (Hướng dẫn bảo dưỡng thiết bị do khí cầm tay hãng Draeger).
</t>
  </si>
  <si>
    <t>ĐK.O1.KR1.TBCH.O1.KR2</t>
  </si>
  <si>
    <t>ĐK.O1.KR1.TBCH.O1.KR3</t>
  </si>
  <si>
    <t>ĐK.O2.TBCH.O2</t>
  </si>
  <si>
    <t>ĐK.O2.KR1.TBCH.O2.KR1</t>
  </si>
  <si>
    <t>- Tham gia họp định kỳ hàng quý.
- Nhận diện mối nguy và lên kế hoạch triển khai thực hiện
- Phân công  nhân sự triển khai thực hiện
- Phân công nhân sự đầu mối theo dõi tình hình thực hiện, báo cáo kết quả thực hiện hàng tháng</t>
  </si>
  <si>
    <t>ĐK.O2.KR1.TBCH.O2.KR2</t>
  </si>
  <si>
    <t>- Lập kế hoạch tổ chức triển khai theo kế hoạch bảo dưỡng đã được ban hành;
- Đề xuất nguồn lực đảm bảo đủ để triển khai kế hoạch bảo dưỡng hàng tháng;
- Triển khai công tác BD định kỳ theo kế hoạch đã ban hành;
- Giám sát chất lượng công tác triển khai phương pháp kiểm tra trực tiếp và gián tiếp 10% trên tổng số hạng mục được triển khai;
- Đánh giá tiến độ triển khai hàng tuần để điều chỉnh, đảm bảo kiểm soát các hạng mục triển khai đúng kế hoạch; có giải pháp trong trường hợp các hạng mục triển khai không đúng kế hoạch.
- Báo cáo kết quả triển khai công tác BD định kỳ đầy đủ theo kế hoạch;</t>
  </si>
  <si>
    <r>
      <t xml:space="preserve">Hoàn thành </t>
    </r>
    <r>
      <rPr>
        <b/>
        <sz val="14"/>
        <rFont val="Times New Roman"/>
        <family val="1"/>
      </rPr>
      <t>682/801</t>
    </r>
    <r>
      <rPr>
        <sz val="14"/>
        <rFont val="Times New Roman"/>
        <family val="1"/>
      </rPr>
      <t xml:space="preserve"> hạng mục chiếm tỷ trọng </t>
    </r>
    <r>
      <rPr>
        <b/>
        <sz val="14"/>
        <rFont val="Times New Roman"/>
        <family val="1"/>
      </rPr>
      <t>85%</t>
    </r>
    <r>
      <rPr>
        <sz val="14"/>
        <rFont val="Times New Roman"/>
        <family val="1"/>
      </rPr>
      <t xml:space="preserve"> (Tính đến ngày 26/1). Kế hoạch hoàn thành đến 30/01/2026</t>
    </r>
  </si>
  <si>
    <t>ĐK.O2.KR1.TBCH.O2.KR3</t>
  </si>
  <si>
    <t>- Đảm bảo hoàn thành công tác chuẩn bị theo kế hoạch của tổ;
- Tổ chức nguồn lực đảm bảo hoàn thành thực hiện các hạng mục bảo dưỡng theo kế hoạch;
- Lập kế hoạch triển khai chi tiết cho tất cả hạng mục theo kế hoạch đã được ban hành;
- Triển khai thực hiện các hạng mục theo kế hoạch đã ban hành;
- Đánh giá rà soát tiến độ/chất lượng công tác triển khai hàng ngày, điều chỉnh khi tiến độ/chất lượng bị ảnh hưởng
- Giám sát chất lượng công tác triển khai kiểm tra trực tiếp/ report các hạng mục theo ngày;
- Báo cáo kết quả các hạng mục BDTT;</t>
  </si>
  <si>
    <t>ĐK.O2.KR1.TBCH.O2.KR4</t>
  </si>
  <si>
    <t>Minhvq; Linhln</t>
  </si>
  <si>
    <t>ĐK.O2.KR1.TBCH.O2.KR5</t>
  </si>
  <si>
    <t>Hoàn thành thực hiện KPPN 1 hạng mục lắp mái che cho 16 switch báo vị trí gàu nâng V07611A/B</t>
  </si>
  <si>
    <t>ĐK.O3.TBCH.O3</t>
  </si>
  <si>
    <t>ĐK.O3.KR1.TBCH.O3.KR1</t>
  </si>
  <si>
    <t>- Phối hợp thực hiện kiểm tra an toàn cấp 2, 3 theo lịch, đảm bảo 100% các điểm không phù hợp được khắc phục đúng thời hạn;
- Xử lý các vi phạm được phát hiện trong quá trình kiểm tra;
- Thực hiện phối hợp trong công tác lập định mức trang bị bảo hộ lao động cho CBCNV;
- Sử dụng đầy đủ PPE, các thiết bị, công cụ, dụng cụ đảm bảo an toàn khi thực hiện công việc;
- Thường xuyên nhắc nhở, kiểm tra CBCNV tuân thủ quy định an toàn khi làm việc tại Nhà máy;
- Tổ chức ĐGRR về an toàn và phổ biến bảng ĐGRR đến toàn bộ cá nhân tham gia thực hiện các công việc có mối nguy về an toàn;
- Tuyên truyền cho CBCNV trong công tác ATVSLĐ/Nâng cao ý thức CBCNV trong công tác ATVSLĐ.</t>
  </si>
  <si>
    <t>ĐK.O3.KR1.TBCH.O3.KR2</t>
  </si>
  <si>
    <r>
      <t xml:space="preserve">Trong tháng thẻ STOP ghi được </t>
    </r>
    <r>
      <rPr>
        <b/>
        <sz val="14"/>
        <rFont val="Times New Roman"/>
        <family val="1"/>
      </rPr>
      <t>14/7</t>
    </r>
    <r>
      <rPr>
        <sz val="14"/>
        <rFont val="Times New Roman"/>
        <family val="1"/>
      </rPr>
      <t xml:space="preserve"> thẻ đạt tỷ lệ </t>
    </r>
    <r>
      <rPr>
        <b/>
        <sz val="14"/>
        <rFont val="Times New Roman"/>
        <family val="1"/>
      </rPr>
      <t>100%</t>
    </r>
    <r>
      <rPr>
        <sz val="14"/>
        <rFont val="Times New Roman"/>
        <family val="1"/>
      </rPr>
      <t xml:space="preserve"> so với tổng số nhân sự</t>
    </r>
  </si>
  <si>
    <t>ĐK.O3.KR1.TBCH.O3.KR3</t>
  </si>
  <si>
    <t>ĐK.O4.TBCH.O4</t>
  </si>
  <si>
    <t>ĐK.O4.KR1.TBCH.O4.KR1</t>
  </si>
  <si>
    <t>ĐK.O4.KR1.TBCH.O4.KR2</t>
  </si>
  <si>
    <t>ĐK.O4.KR1.TBCH.O4.KR3</t>
  </si>
  <si>
    <t>Phối hợp đầu mối thực hiện các công việc theo phạm vị Đội TBCH phụ trách khi có yêu cầu.</t>
  </si>
  <si>
    <t>ĐK.O4.KR1.TBCH.O4.KR4</t>
  </si>
  <si>
    <t>ĐK.O4.KR1.TBCH.O4.KR5</t>
  </si>
  <si>
    <t>Đã tham gia họp thống nhất đối tượng thực hiện, làm rõ phạm vi công việc theo lịch của đầu mối.</t>
  </si>
  <si>
    <t>ĐK.O4.KR1.TBCH.O4.KR6</t>
  </si>
  <si>
    <t>Vunv</t>
  </si>
  <si>
    <r>
      <t>Đã tham gia họp thống nhất kế hoạch thực hiện công việc và đưa ra deadline ra YCKT dịch vụ cải tạo hệ thống máng cáp và giao cho nhận sự</t>
    </r>
    <r>
      <rPr>
        <sz val="14"/>
        <color rgb="FFFF0000"/>
        <rFont val="Times New Roman"/>
        <family val="1"/>
      </rPr>
      <t xml:space="preserve"> Nguyễn Văn Vũ</t>
    </r>
    <r>
      <rPr>
        <sz val="14"/>
        <rFont val="Times New Roman"/>
        <family val="1"/>
      </rPr>
      <t xml:space="preserve"> phụ trách trực tiếp gói dịch vụ này.</t>
    </r>
  </si>
  <si>
    <t>ĐK.O5.TBCH.O5</t>
  </si>
  <si>
    <t>ĐK.O5.KR1.TBCH.O5.KR1</t>
  </si>
  <si>
    <t>ĐK.O5.KR1.TBCH.O5.KR2</t>
  </si>
  <si>
    <t>ĐK.O5.KR1.TBCH.O5.KR3</t>
  </si>
  <si>
    <r>
      <t xml:space="preserve">- Tổ chức triển khai đào tạo nội bộ theo kế hoạch đã được phê duyệt như </t>
    </r>
    <r>
      <rPr>
        <b/>
        <sz val="14"/>
        <rFont val="Times New Roman"/>
        <family val="1"/>
      </rPr>
      <t>Phụ lục 1.2</t>
    </r>
    <r>
      <rPr>
        <sz val="14"/>
        <rFont val="Times New Roman"/>
        <family val="1"/>
      </rPr>
      <t>;
- Đánh giá thường xuyên/đột xuất việc triển khai đào tạo nội bộ trong đội;
- Hoàn thiện hồ sơ đào tạo nội bộ theo qui chế.</t>
    </r>
  </si>
  <si>
    <t>ĐK.O5.KR1.TBCH.O5.KR4</t>
  </si>
  <si>
    <r>
      <t xml:space="preserve">- Tìm hiểu, nghiên cứu soạn slide trình bày nội bộ Đội;
- Thông báo khuyến khích các Đội/ tổ khác tham gia;
- Tổ chức triển khai hội thảo theo kế hoạch như </t>
    </r>
    <r>
      <rPr>
        <b/>
        <sz val="14"/>
        <rFont val="Times New Roman"/>
        <family val="1"/>
      </rPr>
      <t>Phụ lục 1.4.</t>
    </r>
  </si>
  <si>
    <t>ĐK.O5.KR1.TBCH.O5.KR5</t>
  </si>
  <si>
    <t>Đã bố trí, sắp xếp nhân sự xử lý 4 hạng mục TPM tag từ đầu mối gửi</t>
  </si>
  <si>
    <t>ĐK.O5.KR1.TBCH.O5.KR6</t>
  </si>
  <si>
    <t>ĐK.O5.KR1.TBCH.O5.KR7</t>
  </si>
  <si>
    <t>ĐK.O5.KR1.TBCH.O5.KR8</t>
  </si>
  <si>
    <t>ĐK.O5.KR1.TBCH.O5.KR9</t>
  </si>
  <si>
    <t>ĐK.O5.KR1.TBCH.O5.KR10</t>
  </si>
  <si>
    <r>
      <t>Trụ cột PM: Rà soát cập nhật lại kế hoạch bảo dưỡng theo phương thức bảo dưỡng để tăng hiệu quả trong công tác bảo dưỡng (áp dụng đối với Phân xưởng/hệ thống do X. ĐK phụ trách công tác lập kế hoạch)
- Đội TBCH: TB SP/NPK/GN/Quan trắc</t>
    </r>
    <r>
      <rPr>
        <sz val="14"/>
        <color rgb="FFFF0000"/>
        <rFont val="Times New Roman"/>
        <family val="1"/>
      </rPr>
      <t>/Phân tích/TB đo khí cầm tay;</t>
    </r>
    <r>
      <rPr>
        <sz val="14"/>
        <color theme="1"/>
        <rFont val="Times New Roman"/>
        <family val="1"/>
      </rPr>
      <t xml:space="preserve">
- Đội TB Đo: PI,TI/ ACC/ PA/Camera/Bộ đàm;
- Đội TBHTĐK: Hệ thống phòng cháy</t>
    </r>
  </si>
  <si>
    <r>
      <t xml:space="preserve">- Thực hiện rà soát kế hoạch bảo dưỡng cả năm các thiết bị TB </t>
    </r>
    <r>
      <rPr>
        <sz val="14"/>
        <color rgb="FFFF0000"/>
        <rFont val="Times New Roman"/>
        <family val="1"/>
      </rPr>
      <t>SP/NPK/GN/Quan trắc/Phân tích/TB đo khí cầm tay.</t>
    </r>
    <r>
      <rPr>
        <sz val="14"/>
        <color theme="1"/>
        <rFont val="Times New Roman"/>
        <family val="1"/>
      </rPr>
      <t xml:space="preserve">
- Gửi đầu mối cập nhật dữ liệu master trên SAP nếu có điều chỉnh.</t>
    </r>
  </si>
  <si>
    <t xml:space="preserve">Linhln; </t>
  </si>
  <si>
    <t>ĐK.O5.KR1.TBCH.O5.KR11</t>
  </si>
  <si>
    <t>ĐK.O5.KR1.TBCH.O5.KR12</t>
  </si>
  <si>
    <t>Trong tháng  có đăng ký 1 CTKT đã được LĐX phê duyệt.</t>
  </si>
  <si>
    <t>ĐK.O5.KR1.TBCH.O5.KR13</t>
  </si>
  <si>
    <t>ĐK.O5.KR1.TBCH.O5.KR14</t>
  </si>
  <si>
    <t>ĐK.O6.TBCH.O6</t>
  </si>
  <si>
    <t>ĐK.O6.TBCH.O6.KR1</t>
  </si>
  <si>
    <t>Số nhân sự tham gia</t>
  </si>
  <si>
    <t>Có tham gia</t>
  </si>
  <si>
    <t>- Ngày 17/1 có 5/8 nhân sự thàm gia Lĩnh, Vũ, Cưng, Đ. Trung, Đức Anh. (Trừ 6 nhân sự tham gia BDTT ĐPM và Tuyên được miễn)</t>
  </si>
  <si>
    <t>ĐK.O6.TBCH.O6.KR2</t>
  </si>
  <si>
    <t>ĐK.O6.TBCH.O6.KR3</t>
  </si>
  <si>
    <t>ĐK.O6.TBCH.O6.KR4</t>
  </si>
  <si>
    <t>Số nhân sự tương tác</t>
  </si>
  <si>
    <t>Có tương tác</t>
  </si>
  <si>
    <t>- Cung cấp thông tin, cập nhật nội dung nổi bật của Đội cho đầu mối Xưởng.
- Thường xuyên động viên các thành viên trong Đội theo dõi tương tác, phản hồi các bài viết của Xưởng sau khi được đăng trên Gapo.</t>
  </si>
  <si>
    <t>TỔNG</t>
  </si>
  <si>
    <t>Đánh giá chung</t>
  </si>
  <si>
    <t>KẾ HOẠCH /MỤC TIÊU 2026 TỔ TRỰC CA ĐIỀU KHIỂN</t>
  </si>
  <si>
    <t xml:space="preserve">Đánh giá 
</t>
  </si>
  <si>
    <t xml:space="preserve">Ghi chú </t>
  </si>
  <si>
    <t>ĐK.O1.TCĐK.O1</t>
  </si>
  <si>
    <t>ĐK.O1.KR1.TCĐK.O1.KR3</t>
  </si>
  <si>
    <t>Đảm bảo công tác sửa chữa đột xuất có nhận diện mối nguy và ĐGRR đối với hạng mục có mối nguy</t>
  </si>
  <si>
    <r>
      <t xml:space="preserve">- Thực hiện đúng phương án cách ly cô lập
- Nâng cao nâng lực nhận diện mối nguy.
+ Kiểm tra tính đúng của GPLV.
+ ATVSV thường xuyên kiểm tra An toàn con người &amp; thiết bị khi thực hiện công việc.
+ Tham gia đầy đủ các khóa đào tạo về An toàn do nhà máy tổ chức.
+ Thường xuyên đọc phân tích logic P&amp;ID </t>
    </r>
    <r>
      <rPr>
        <b/>
        <sz val="20"/>
        <color theme="1"/>
        <rFont val="Times New Roman"/>
        <family val="1"/>
      </rPr>
      <t>mới</t>
    </r>
    <r>
      <rPr>
        <sz val="20"/>
        <color theme="1"/>
        <rFont val="Times New Roman"/>
        <family val="1"/>
      </rPr>
      <t xml:space="preserve"> của phòng CN.  
+ Tổ chức hội thảo  trong ca về chủ đề nâng cao độ tin cậy </t>
    </r>
    <r>
      <rPr>
        <b/>
        <sz val="20"/>
        <color theme="1"/>
        <rFont val="Times New Roman"/>
        <family val="1"/>
      </rPr>
      <t>Volting</t>
    </r>
    <r>
      <rPr>
        <sz val="20"/>
        <color theme="1"/>
        <rFont val="Times New Roman"/>
        <family val="1"/>
      </rPr>
      <t xml:space="preserve"> thiết bị trong nhà máy.
+ Tổ chức hội thảo trong ca về </t>
    </r>
    <r>
      <rPr>
        <b/>
        <sz val="20"/>
        <color theme="1"/>
        <rFont val="Times New Roman"/>
        <family val="1"/>
      </rPr>
      <t>Voting thiết bị động</t>
    </r>
    <r>
      <rPr>
        <sz val="20"/>
        <color theme="1"/>
        <rFont val="Times New Roman"/>
        <family val="1"/>
      </rPr>
      <t xml:space="preserve"> (2oo4 ) máy động trong nhà máy</t>
    </r>
    <r>
      <rPr>
        <sz val="20"/>
        <rFont val="Times New Roman"/>
        <family val="1"/>
      </rPr>
      <t xml:space="preserve"> (Phụ lục 01 Hội thảo)</t>
    </r>
    <r>
      <rPr>
        <sz val="20"/>
        <color theme="1"/>
        <rFont val="Times New Roman"/>
        <family val="1"/>
      </rPr>
      <t xml:space="preserve">
- Thường xuyên cập nhật các MOC( Management of Change) , yêu cầu đơn vị chuyên môn chuẩn hóa, bổ sung tài liệu kỹ thuật</t>
    </r>
  </si>
  <si>
    <t xml:space="preserve">Kiaq;
</t>
  </si>
  <si>
    <t xml:space="preserve">Hoàn thành </t>
  </si>
  <si>
    <t>- Quản lý, lưu trữ các phương án cách ly đã được ban hành để đảm bảo truy xuất dễ nhất</t>
  </si>
  <si>
    <t>ĐK.O1.KR1.TCĐK.O1.KR4</t>
  </si>
  <si>
    <t>- Nâng cao nâng lực nhận diện mối nguy, như mô tả 'ĐK.O1.KR1.TCĐK.O1.KR3
- Thực hiện ĐGRR nếu có mối nguy
- Tăng cường giám sát và dừng việc nếu nhận diện có mối nguy mới</t>
  </si>
  <si>
    <t>ĐK.O2.TCĐK.O2</t>
  </si>
  <si>
    <t>ĐK.O1.KR1.TCĐK.O2.KR1</t>
  </si>
  <si>
    <t xml:space="preserve">-Triển khai 100%  theo sự phân công của đầu mối, 
 -Phối hợp đầu mối khi có yêu cầu đầu mối
</t>
  </si>
  <si>
    <t xml:space="preserve">Triển khai theo đầu mối tổ chức </t>
  </si>
  <si>
    <t>ĐK.O2.KR1.TCĐK.O2.KR2</t>
  </si>
  <si>
    <r>
      <t>Triển khai công tác sửa chữa đột xuất đảm bảo</t>
    </r>
    <r>
      <rPr>
        <b/>
        <sz val="20"/>
        <color theme="1"/>
        <rFont val="Times New Roman"/>
        <family val="1"/>
      </rPr>
      <t xml:space="preserve"> kịp thời</t>
    </r>
    <r>
      <rPr>
        <sz val="20"/>
        <color theme="1"/>
        <rFont val="Times New Roman"/>
        <family val="1"/>
      </rPr>
      <t xml:space="preserve"> và </t>
    </r>
    <r>
      <rPr>
        <b/>
        <sz val="20"/>
        <color theme="1"/>
        <rFont val="Times New Roman"/>
        <family val="1"/>
      </rPr>
      <t>chất lượng</t>
    </r>
  </si>
  <si>
    <r>
      <t xml:space="preserve">-Tổ chức nguồn nhân sự trực ca đảm bảo đủ về số lượng, đạt yêu cầu về chuyên môn.
- Sắp xếp nguồn lực dự phòng phù hợp đảm bảo hỗ trợ xử lý kịp thời các tình huống sự cố Nhà máy.
- Thường xuyên kiểm tra chất lượng công tác SCĐX, đảm bảo các hạng mục đã sửa chữa không lặp lại hư hỏng do chủ quan với cùng nội dung trong tháng.(Loại trừ khu vực  đóng bao Sản Phẩm, Giao Nhận, NPK. )
- Thực hiện các cải tiến/cải tạo đối với các hạng mục hư hỏng thường xuyên do thiết kế hay điều kiện không phù hợp.
- </t>
    </r>
    <r>
      <rPr>
        <sz val="20"/>
        <rFont val="Times New Roman"/>
        <family val="1"/>
      </rPr>
      <t xml:space="preserve"> Tổ chức ĐGRR về kỹ thuật</t>
    </r>
    <r>
      <rPr>
        <sz val="20"/>
        <color theme="1"/>
        <rFont val="Times New Roman"/>
        <family val="1"/>
      </rPr>
      <t xml:space="preserve">, an toàn khi thực hiện với các vấn đề có liên quan, phổ biến bảng ĐGRR </t>
    </r>
    <r>
      <rPr>
        <sz val="20"/>
        <rFont val="Times New Roman"/>
        <family val="1"/>
      </rPr>
      <t>đến các thành viên trước khi thực công việc.</t>
    </r>
    <r>
      <rPr>
        <sz val="20"/>
        <color theme="1"/>
        <rFont val="Times New Roman"/>
        <family val="1"/>
      </rPr>
      <t xml:space="preserve">
- Theo dõi các hạng mục tồn động, đề xuất vật tư có liên quan. 
- Theo dõi tình hình vật tư trong công tác SCĐX . 
- Đánh giá tồn động hàng ngày để điều chỉnh, đảm bảo kiểm soát các hạng mục triển khai thự hiện.
- Báo cáo kết quả triển khai hàng ca, hàng tuần và hàng tháng</t>
    </r>
  </si>
  <si>
    <t>ĐK.O2.KR1.TCĐK.O2.KR3</t>
  </si>
  <si>
    <r>
      <t xml:space="preserve">Triển khai công tác BDTT theo kế hoạch đảm bảo </t>
    </r>
    <r>
      <rPr>
        <b/>
        <sz val="20"/>
        <color theme="1"/>
        <rFont val="Times New Roman"/>
        <family val="1"/>
      </rPr>
      <t>chất lượng</t>
    </r>
  </si>
  <si>
    <t>- Sắp xếp nguồn lực cho các tổ BDTT2025 theo yêu cầu.
- Thực hiện theo yêu cầu VH dừng máy An Toàn.
- Thực hiện theo yêu cầu VH khởi động máy An Toàn.
- Lập kế hoạch công tác chuẩn bị bảo dưỡng tổng thể
- Triển khai kế hoạch công tác chuẩn bị bảo dưỡng tổng thể
- Lên tiến độ triển khai công tác bảo dưỡng tổng thể 
- Triển khai công tác bảo dưỡng tổng thể theo tiến độ đã ban hành
- Đánh giá rà soát tiến độ/chất lượng công tác triển khai hàng ngày, điều chỉnh khi tiến độ/chất lượng bị ảnh hưởng
- Báo cáo kết quả triển khai công tác bảo dưỡng tổng thể</t>
  </si>
  <si>
    <t xml:space="preserve">Triển khai theo đầu mối tổ chức nhóm BDTT </t>
  </si>
  <si>
    <t>ĐK.O2.KR1.TCĐK.O2.KR5</t>
  </si>
  <si>
    <t>Triển khai hành động KPPN, căn cứ theo KL điều tra sự cố</t>
  </si>
  <si>
    <t xml:space="preserve">-Sắp xếp nguồn lực kịp thời, nhanh chóng xử lý KPPN có liên quan khi xảy ra sự cố.
- Theo dõi, tiếp nhận các yêu cầu KPPN định kỳ hàng ngày
- Triển khai, phối hợp thực hiện các yêu cầu KPPN khi có đủ điều kiện
</t>
  </si>
  <si>
    <t>ĐK.O3.TCĐK.O3</t>
  </si>
  <si>
    <t>ĐK.O3.KR1.TCĐK.O3.KR1</t>
  </si>
  <si>
    <t>- Thực hiện kiểm tra an toàn cấp 1 đầy đủ, nghiêm túc.
- Phối hợp kiểm tra an toàn cấp 2, 3  đảm bảo 100% điểm không phù hợp được khắc phục.
- Sử dụng đầy đủ PPE, các thiết bị, công cụ, dụng cụ đảm bảo an toàn khi thực hiện công việc.
- Tổ chức ĐGRR về an toàn, phổ biến bảng ĐGRR đến bộ cá nhân tham gia thực công việc.
- Tuyên truyền cho thành viên Tổ Trực Ca trong công tác ATVSLĐ/Nâng cao ý thức  trong công tác ATVSLĐ.</t>
  </si>
  <si>
    <t>ĐK.O3.KR1.TCĐK.O3.KR2</t>
  </si>
  <si>
    <r>
      <t xml:space="preserve">-Triển khai hoàn thành các công việc được phân công với chỉ tiêu đạt </t>
    </r>
    <r>
      <rPr>
        <b/>
        <sz val="20"/>
        <color theme="1"/>
        <rFont val="Times New Roman"/>
        <family val="1"/>
      </rPr>
      <t>100%</t>
    </r>
    <r>
      <rPr>
        <sz val="20"/>
        <color theme="1"/>
        <rFont val="Times New Roman"/>
        <family val="1"/>
      </rPr>
      <t xml:space="preserve"> trong hoạt động xây dựng chương trình STOP của Xưởng, trong tháng có ít n</t>
    </r>
    <r>
      <rPr>
        <sz val="20"/>
        <rFont val="Times New Roman"/>
        <family val="1"/>
      </rPr>
      <t>hất 8</t>
    </r>
    <r>
      <rPr>
        <sz val="20"/>
        <color theme="1"/>
        <rFont val="Times New Roman"/>
        <family val="1"/>
      </rPr>
      <t xml:space="preserve"> thẻ Stop được ghi nhận </t>
    </r>
  </si>
  <si>
    <t xml:space="preserve">Hoàn thành tốt  </t>
  </si>
  <si>
    <t xml:space="preserve">STOP: 10/8 thẻ </t>
  </si>
  <si>
    <t>ĐK.O3.KR1.TCĐK.O3.KR3</t>
  </si>
  <si>
    <t>-Tham gia các khóa đào tạo an toàn theo yêu cầu từ đầu mối Xưởng tổ chức và các hoạt động về diễn tập An toàn được tổ chức bởi ca / kíp Nhà máy.</t>
  </si>
  <si>
    <t xml:space="preserve">Trong tháng không có khóa đào tạo </t>
  </si>
  <si>
    <t>ĐK.O4.TCĐK.O4</t>
  </si>
  <si>
    <t>ĐK.O4.KR1.TCĐK.O4.KR2</t>
  </si>
  <si>
    <t xml:space="preserve">Tháng </t>
  </si>
  <si>
    <t xml:space="preserve">-Triển khai theo phân công của đầu mối, và nguồn lực của hiện tại của trực ca </t>
  </si>
  <si>
    <t xml:space="preserve">Triển khai theo yêu cầu phối hợp của đầu mối tổ chức </t>
  </si>
  <si>
    <t>ĐK.O4.KR1.TCĐK.O4.KR3</t>
  </si>
  <si>
    <t>ĐK.O4.KR1.TCĐK.O4.KR4</t>
  </si>
  <si>
    <t>ĐK.O4.KR1.TCĐK.O4.KR5</t>
  </si>
  <si>
    <t>ĐK.O4.KR1.TCĐK.O4.KR6</t>
  </si>
  <si>
    <t>ĐK.O5.TCĐK.O5</t>
  </si>
  <si>
    <t>ĐK.O5.KR1.TCĐK.O5.KR1</t>
  </si>
  <si>
    <r>
      <t>-Triển khai 100%  theo sự phân công của đầu mối, 
 -Phối hợp đầu mối khi có yêu cầ</t>
    </r>
    <r>
      <rPr>
        <sz val="20"/>
        <rFont val="Times New Roman"/>
        <family val="1"/>
      </rPr>
      <t>u đầu mối</t>
    </r>
  </si>
  <si>
    <t>Triển khai theo đầu mối tổ chức</t>
  </si>
  <si>
    <t>ĐK.O5.KR1.TCĐK.O5.KR2</t>
  </si>
  <si>
    <r>
      <t>-Triển khai 100%  theo sự phân công của đầu mối, 
 -Phối hợp đầu mối khi có yêu cầu</t>
    </r>
    <r>
      <rPr>
        <sz val="20"/>
        <rFont val="Times New Roman"/>
        <family val="1"/>
      </rPr>
      <t xml:space="preserve"> đầu mối</t>
    </r>
  </si>
  <si>
    <t>ĐK.O5.KR1.TCĐK.O5.KR3</t>
  </si>
  <si>
    <r>
      <t>-Triển khai 100%  theo sự phân công của đầu mối, 
 -Phối hợp đầu mối khi có yêu c</t>
    </r>
    <r>
      <rPr>
        <sz val="20"/>
        <rFont val="Times New Roman"/>
        <family val="1"/>
      </rPr>
      <t>ầu đầu mối.
-Triển khai đào tạo nội bộ theo kế hoạch, phụ lục 04</t>
    </r>
  </si>
  <si>
    <t>Đào tạo nội bộ theo kế hoạch phê duyệt 
Theo kế hoạch: 0/296 giờ.
Tích lũy: 0%</t>
  </si>
  <si>
    <t>Theo kế hoạch: 0 
Tích lũy: 0/11</t>
  </si>
  <si>
    <t>ĐK.O5.KR1.TCĐK.O5.KR4</t>
  </si>
  <si>
    <t>Trụ cột ET: Tổ chức hội thảo chuyên môn (Bắt buộc với chức danh Kỹ sư và khuyến khích đối với chức danh KTV)</t>
  </si>
  <si>
    <t xml:space="preserve">- Tổ chức hội thảo theo kế hoạch đăng ký, phụ lục 01
</t>
  </si>
  <si>
    <t xml:space="preserve">Tổ chức hội thảo theo kế hoạch.
Theo kế hoạch: 0/12 hội thảo 
Tích lũy: 0% </t>
  </si>
  <si>
    <t>Theo kế hoạch: 0 
Tích lũy: 0/12</t>
  </si>
  <si>
    <t>ĐK.O5.KR1.TCĐK.O5.KR5</t>
  </si>
  <si>
    <t>-Triển khai theo theo đầu mối phụ trách .</t>
  </si>
  <si>
    <t xml:space="preserve"> Triển khai đào tạo bên ngoài theo kế hoạch được phê duyệt</t>
  </si>
  <si>
    <t>ĐK.O5.KR1.TCĐK.O5.KR6</t>
  </si>
  <si>
    <t>-Triển khai 100%  Triển khai chuẩn hóa giáo trình đào tạo theo kế hoạch, phụ lục 02</t>
  </si>
  <si>
    <t xml:space="preserve"> Chuẩn hóa giáo trình theo kế hoạch
Theo kế hoạch: 0/2 GT 
Tích lũy: 0%
</t>
  </si>
  <si>
    <t>CHCG: 0 / tháng 
Tích  lũy : 0/2</t>
  </si>
  <si>
    <t>ĐK.O5.KR1.TCĐK.O5.KR7</t>
  </si>
  <si>
    <t xml:space="preserve">Trụ cột ET: Triển khai chuẩn hóa TĐT theo kế hoạch </t>
  </si>
  <si>
    <t>-Triển khai 100%  Triển khai chuẩn hóa thẻ đào tạo theo kế hoạch, phụ lục 03</t>
  </si>
  <si>
    <t>Theo kế hoạch 2 / tháng + 1 đăng ký thêm 
Tích lũy : 3/ 39</t>
  </si>
  <si>
    <t>ĐK.O5.KR1.TCĐK.O5.KR8</t>
  </si>
  <si>
    <t>ĐK.O5.KR1.TCĐK.O5.KR9</t>
  </si>
  <si>
    <t>ĐK.O5.KR1.TCĐK.O5.KR10</t>
  </si>
  <si>
    <t>Triển khai theo trụ cột AM Xử lý các thẻ TPM tag</t>
  </si>
  <si>
    <t>ĐK.O5.KR1.TCĐK.O5.KR12</t>
  </si>
  <si>
    <r>
      <t>-Triển khai 100%  theo sự phân công của đầu mối, 
 -Phối hợp đầu mối khi có yêu cầu</t>
    </r>
    <r>
      <rPr>
        <sz val="20"/>
        <rFont val="Times New Roman"/>
        <family val="1"/>
      </rPr>
      <t xml:space="preserve"> đẩu mối.</t>
    </r>
  </si>
  <si>
    <t xml:space="preserve">Triển khai theo đầu mối phụ trách </t>
  </si>
  <si>
    <t>ĐK.O5.KR1.TCĐK.O5.KR13</t>
  </si>
  <si>
    <r>
      <t xml:space="preserve">-Triển khai 100%  theo sự phân công của đầu mối, 
 -Phối hợp đầu mối khi có yêu cầu </t>
    </r>
    <r>
      <rPr>
        <sz val="20"/>
        <rFont val="Times New Roman"/>
        <family val="1"/>
      </rPr>
      <t>đẩu mối.</t>
    </r>
  </si>
  <si>
    <t>3 ý tưởng/CTKT được công nhận</t>
  </si>
  <si>
    <t xml:space="preserve">Hoàn thành tốt </t>
  </si>
  <si>
    <t>ĐK.O5.KR1.TCĐK.O5.KR14</t>
  </si>
  <si>
    <t>Triển khai theo đầu mối  trụ cột OI</t>
  </si>
  <si>
    <t>ĐK.O5.KR1.TCĐK.O5.KR15</t>
  </si>
  <si>
    <t>Triển khai theo đầu mối trụ cột SHE</t>
  </si>
  <si>
    <t>ĐK.O6.TCĐK.O6</t>
  </si>
  <si>
    <t>ĐK.O6.TCĐK.O6.KR1</t>
  </si>
  <si>
    <t xml:space="preserve">Tháng
</t>
  </si>
  <si>
    <t xml:space="preserve">- Tổ chức đầu mối triển khai theo đầu mối ĐTN
- Thường xuyên khuyến khích, vận động Tổ trực ca tham gia
</t>
  </si>
  <si>
    <t>ĐK.O6.TCĐK.O6.KR2</t>
  </si>
  <si>
    <t xml:space="preserve">- Tổ chức đầu mối triển khai theo đầu mối ĐTN
- Thường xuyên khuyến khích, vận động Tổ trực ca tham gia 
</t>
  </si>
  <si>
    <t>ĐK.O6.TCĐK.O6.KR3</t>
  </si>
  <si>
    <r>
      <t xml:space="preserve">- Tổ chức đầu mối triển khai theo đầu mối ĐTN
- Thường xuyên khuyến khích, vận động CBCNV tham gia 
- Tháng 7: Hội thảo công tác chuẩn bị BDTT
- Đối tượng đứng: </t>
    </r>
    <r>
      <rPr>
        <sz val="20"/>
        <rFont val="Times New Roman"/>
        <family val="1"/>
      </rPr>
      <t>Nhóm Cán bộ được công nhận Giảng viên nội bộ</t>
    </r>
  </si>
  <si>
    <t>Kết luận chung :</t>
  </si>
  <si>
    <t xml:space="preserve">Tổ trực Ca </t>
  </si>
  <si>
    <r>
      <t xml:space="preserve">O6.KR1 OR/AND O6.KR2 (VHDN) = </t>
    </r>
    <r>
      <rPr>
        <b/>
        <sz val="15"/>
        <color rgb="FF00B050"/>
        <rFont val="Times New Roman"/>
        <family val="1"/>
      </rPr>
      <t>GOOD</t>
    </r>
  </si>
  <si>
    <r>
      <t xml:space="preserve">O5.KR13 (SK/CTKT) = </t>
    </r>
    <r>
      <rPr>
        <b/>
        <sz val="15"/>
        <color rgb="FF00B050"/>
        <rFont val="Times New Roman"/>
        <family val="1"/>
      </rPr>
      <t>GOOD</t>
    </r>
  </si>
  <si>
    <t>BÁO CÁO KẾ HOẠCH MỤC TIÊU XƯỞNG ĐIỀU KHIỂN THÁNG 02 VÀ LŨY KẾ NĂM 2026</t>
  </si>
  <si>
    <t>Báo cáo tình hình thực hiện: Tháng 2/2026</t>
  </si>
  <si>
    <t>Tình hình thực hiện:
- % 100 Hoàn thành 187 hạng mục  trong đó 02 chưa hoàn thành vì lý do khách quan( hết tồn kho, chưa bàn giao ...) 
- Số thẻ STOP ghi nhận: 21/8 thẻ
- Số SK/CTKT trong tháng: 03
- Số giờ ĐTNB thực hiện trong tháng 0/296 giờ 
 - HT nội bộ theo kế hoạch 0/12 hội thảo .
- TĐT theo kế hoạch xx. Tích lũy 4/39 
- % Nhân sự tham gia hoạt động ĐTN Lần 1: 5 người, &gt;50%
-%  Nhân sự tham gia hoạt động ĐTN  lần 2:N/A.</t>
  </si>
  <si>
    <t xml:space="preserve"> Trong tháng 26/01 ~ 23/2 có tổng  187 hạng mục xử lý, trong đó tồn đọng 2 hạng mục chưa đạt khách quan: 
+ 1 hết tồn kho: thanh gạt Barrier cổng D2-Relay output 
+ 1  06FT-1037 lắp giáo kiểm tra, sau tết thực hiện. </t>
  </si>
  <si>
    <t>Tham gia chương trình STOP, trong tháng tích lũy 21/8 thẻ</t>
  </si>
  <si>
    <t xml:space="preserve">Chuẩn hóa TĐT theo kế hoạch 
Theo kế hoạch: 3/39 TĐT 
Tích lũy:0.07%
</t>
  </si>
  <si>
    <t xml:space="preserve">Lần 1: 31/1 có 9/7 thành viên tham gia team building &amp; Tất niên </t>
  </si>
  <si>
    <r>
      <t xml:space="preserve">PHỤ LỤC 01 - KẾ HOẠCH MỤC TIÊU ĐỘI THIẾT BỊ CHẤP HÀNH NĂM 2026
</t>
    </r>
    <r>
      <rPr>
        <i/>
        <sz val="13"/>
        <rFont val="Times New Roman"/>
        <family val="1"/>
      </rPr>
      <t xml:space="preserve">(Đính kèm tờ trình số: 01/TTr-TBCH về việc đăng ký kế hoạch mục tiêu đội TBCH năm 2026) </t>
    </r>
  </si>
  <si>
    <t>Đầu mối Đội TBCH</t>
  </si>
  <si>
    <t>Lĩnh</t>
  </si>
  <si>
    <t xml:space="preserve">- Tuân thủ các hạng mục kiểm tra chức năng chỉ thực hiện khi GPCL được ban hành.
 - Đã ban hành 1 HBDB soạn mới theo kế hoạch tháng 2 (Hướng dẫn bảo dưỡng hệ thống thiết bị phân tích 04AT-5001).
</t>
  </si>
  <si>
    <t>Vũ</t>
  </si>
  <si>
    <r>
      <t xml:space="preserve">Hoàn thành </t>
    </r>
    <r>
      <rPr>
        <b/>
        <sz val="14"/>
        <rFont val="Times New Roman"/>
        <family val="1"/>
      </rPr>
      <t>535/578</t>
    </r>
    <r>
      <rPr>
        <sz val="14"/>
        <rFont val="Times New Roman"/>
        <family val="1"/>
      </rPr>
      <t xml:space="preserve"> hạng mục chiếm tỷ trọng </t>
    </r>
    <r>
      <rPr>
        <b/>
        <sz val="14"/>
        <rFont val="Times New Roman"/>
        <family val="1"/>
      </rPr>
      <t>92.6%</t>
    </r>
    <r>
      <rPr>
        <sz val="14"/>
        <rFont val="Times New Roman"/>
        <family val="1"/>
      </rPr>
      <t xml:space="preserve"> (cập nhật đến ngày 25/2). Kế hoạch hoàn thành đến 27/02/2026</t>
    </r>
  </si>
  <si>
    <t>Lĩnh
Vũ</t>
  </si>
  <si>
    <t>Lĩnh
Hằng</t>
  </si>
  <si>
    <t>Lâm</t>
  </si>
  <si>
    <t>Trong tháng có 12 thẻ STOP được ghi nhận</t>
  </si>
  <si>
    <t>Cưng</t>
  </si>
  <si>
    <t>Đang thực hiện đạt tiến độ 50% ( Đã cấu hình xong trong hệ thống để gấp bao 25kg. Đang chờ Cơ khí NPK thực hiện lắp đặt hệ thống ép bao và chỉnh sửa lại gripper).</t>
  </si>
  <si>
    <t>Bình</t>
  </si>
  <si>
    <t>N. Sơn</t>
  </si>
  <si>
    <t>Đã hoàn thành lập YCKT thuê NCC dịch vụ gửi Lãnh đạo xưởng xem xét trước khi trình ký.</t>
  </si>
  <si>
    <t>Lĩnh
Cưng</t>
  </si>
  <si>
    <t>Lĩnh/Vũ/Nhật/Bình/Cưng</t>
  </si>
  <si>
    <t>Đang thực hiện ĐTNB 1 môn, tiến độ đạt 80% (12h/15h). Kế hoạch thực hiện đến 27/02)</t>
  </si>
  <si>
    <t>Đ. Sơn/Duyên/Vũ</t>
  </si>
  <si>
    <t>Nhật</t>
  </si>
  <si>
    <t>Không có hạng mục xử lý trong tháng</t>
  </si>
  <si>
    <t>Trong tháng  có đăng ký 3 CTKT đã được LĐX phê duyệt.</t>
  </si>
  <si>
    <t>Trung</t>
  </si>
  <si>
    <t>Teambuilding ngày tất niên xưởng ngày 31/01: có 8/13 nhân sự tham gia, đạt 62% (gồm: Lĩnh, Khanh, Hằng, Trung, Đ. Sơn, Cưng, Duyện, Lâm).</t>
  </si>
  <si>
    <t>Hoàn thành tót</t>
  </si>
  <si>
    <t>Nhân sự miễn Phạm Văn Tuyên</t>
  </si>
  <si>
    <t>- Phối hợp đầu mối ĐTN xây dựng kế hoạch triển khai.
- Đăng ký và thực hiện chia sẽ chủ đề theo kế hoạch
-  Sắp xếp nhân sự trong đội tham gia các đợt Hội thảo.
- Cân nhắc đánh giá KPI đối với cá nhân tích cực tham gia và hoàn thành tốt công việc chuyên môn</t>
  </si>
  <si>
    <t>Lĩnh
Nhật</t>
  </si>
  <si>
    <t>QĐX</t>
  </si>
  <si>
    <t>- Rà soát các hạng mục có đầy đủ hướng dẫn
- Tuân thủ các hạng mục kiểm tra chức năng chỉ thực hiện khi GPCL được ban hành</t>
  </si>
  <si>
    <r>
      <t>Hoàn thành rà soát</t>
    </r>
    <r>
      <rPr>
        <b/>
        <sz val="14"/>
        <rFont val="Times New Roman"/>
        <family val="1"/>
      </rPr>
      <t xml:space="preserve"> 263/263</t>
    </r>
    <r>
      <rPr>
        <sz val="14"/>
        <rFont val="Times New Roman"/>
        <family val="1"/>
      </rPr>
      <t xml:space="preserve"> thiết bị đo phân loại I, IIa
- Xư lý, gia cố cable gland 3 thiết bị
- Xử lý màn hình không hiển thị 1 thiết bị</t>
    </r>
  </si>
  <si>
    <r>
      <t xml:space="preserve">Hoàn thành </t>
    </r>
    <r>
      <rPr>
        <b/>
        <sz val="14"/>
        <rFont val="Times New Roman"/>
        <family val="1"/>
      </rPr>
      <t>254/262</t>
    </r>
    <r>
      <rPr>
        <sz val="14"/>
        <rFont val="Times New Roman"/>
        <family val="1"/>
      </rPr>
      <t xml:space="preserve"> hạng mục chiếm tỷ trọng </t>
    </r>
    <r>
      <rPr>
        <b/>
        <sz val="14"/>
        <rFont val="Times New Roman"/>
        <family val="1"/>
      </rPr>
      <t>96.9%</t>
    </r>
    <r>
      <rPr>
        <sz val="14"/>
        <rFont val="Times New Roman"/>
        <family val="1"/>
      </rPr>
      <t xml:space="preserve"> (Tính đến ngày 25/2)
- Trong tháng 2 P.KTBD bổ sung 6 hạng mục quạt F,G,H thực hiện cùng Cơ Khí</t>
    </r>
  </si>
  <si>
    <r>
      <t xml:space="preserve">Trong tháng thẻ STOP ghi được </t>
    </r>
    <r>
      <rPr>
        <b/>
        <sz val="14"/>
        <rFont val="Times New Roman"/>
        <family val="1"/>
      </rPr>
      <t>12/6</t>
    </r>
    <r>
      <rPr>
        <sz val="14"/>
        <rFont val="Times New Roman"/>
        <family val="1"/>
      </rPr>
      <t xml:space="preserve"> thẻ đạt tỷ lệ 100</t>
    </r>
    <r>
      <rPr>
        <b/>
        <sz val="14"/>
        <rFont val="Times New Roman"/>
        <family val="1"/>
      </rPr>
      <t>%</t>
    </r>
    <r>
      <rPr>
        <sz val="14"/>
        <rFont val="Times New Roman"/>
        <family val="1"/>
      </rPr>
      <t xml:space="preserve"> so với tổng số nhân sự</t>
    </r>
  </si>
  <si>
    <t>Hoàn thành họp thống nhất sơ đồ, đối tượng thực hiện</t>
  </si>
  <si>
    <t>Không bố trí nhân sự thực hiện trong tháng</t>
  </si>
  <si>
    <t>Đăng ký 1 CTKT cho kế hoạch mục tiêu tháng
(Tổng số CTKT đã sử dụng 4/9)</t>
  </si>
  <si>
    <t>KẾT QUẢ ĐÁNH GIÁ</t>
  </si>
  <si>
    <t>HOÀN THÀNH</t>
  </si>
  <si>
    <t>Tham gia họp theo lịch</t>
  </si>
  <si>
    <t>Hoàn thành 237/237 hạng mục</t>
  </si>
  <si>
    <t>Trong tháng có 14 thẻ được ghi nhận</t>
  </si>
  <si>
    <t>Tham gia họp theo lich đầu mối</t>
  </si>
  <si>
    <t>Hoàn thành đào tạo môn hướng dẫn bảo dưỡng hệ thống PLC và ESD, 32 giờ</t>
  </si>
  <si>
    <t xml:space="preserve">Teambuilding ngày tất niên xưởng: 31/01: Kiều, Quỳnh, Đình, Hải, Minh, CMinh, Tiến, Kiên. Đạt 89% </t>
  </si>
  <si>
    <t>Hôị thao/Chương trình chung</t>
  </si>
  <si>
    <t>LŨY KẾ KẾT QUẢ THỰC HIỆN KẾ HOẠCH MỤC TIÊU NĂM  2026 CỦA ĐỘI/TỔ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</si>
</sst>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_-* #,##0.00\ _₫_-;\-* #,##0.00\ _₫_-;_-* &quot;-&quot;??\ _₫_-;_-@_-"/>
    <numFmt numFmtId="166" formatCode="0.0%"/>
  </numFmts>
  <fonts count="63">
    <font>
      <sz val="11"/>
      <color theme="1"/>
      <name val="Calibri"/>
      <family val="2"/>
      <scheme val="minor"/>
    </font>
    <font>
      <sz val="12"/>
      <name val="Times New Roman"/>
      <family val="1"/>
    </font>
    <font>
      <b/>
      <sz val="12"/>
      <name val="Times New Roman"/>
      <family val="1"/>
    </font>
    <font>
      <b/>
      <sz val="12"/>
      <color theme="1"/>
      <name val="Times New Roman"/>
      <family val="1"/>
    </font>
    <font>
      <sz val="12"/>
      <color theme="1"/>
      <name val="Times New Roman"/>
      <family val="1"/>
    </font>
    <font>
      <sz val="11"/>
      <color theme="1"/>
      <name val="Calibri"/>
      <family val="2"/>
      <charset val="163"/>
      <scheme val="minor"/>
    </font>
    <font>
      <sz val="11"/>
      <color theme="1"/>
      <name val="Calibri"/>
      <family val="2"/>
      <scheme val="minor"/>
    </font>
    <font>
      <sz val="10"/>
      <name val="Arial"/>
      <family val="2"/>
    </font>
    <font>
      <sz val="12"/>
      <color theme="4"/>
      <name val="Times New Roman"/>
      <family val="1"/>
    </font>
    <font>
      <sz val="10"/>
      <color rgb="FF000000"/>
      <name val="Arial"/>
      <family val="2"/>
    </font>
    <font>
      <sz val="11"/>
      <name val="ＭＳ Ｐゴシック"/>
      <family val="3"/>
      <charset val="128"/>
    </font>
    <font>
      <sz val="12"/>
      <color rgb="FFFF0000"/>
      <name val="Times New Roman"/>
      <family val="1"/>
    </font>
    <font>
      <sz val="8"/>
      <name val="Calibri"/>
      <family val="2"/>
      <scheme val="minor"/>
    </font>
    <font>
      <i/>
      <sz val="12"/>
      <color theme="1"/>
      <name val="Times New Roman"/>
      <family val="1"/>
    </font>
    <font>
      <sz val="11"/>
      <color theme="0" tint="-0.34998626667073579"/>
      <name val="Calibri"/>
      <family val="2"/>
      <scheme val="minor"/>
    </font>
    <font>
      <b/>
      <i/>
      <sz val="14"/>
      <color rgb="FFFF0000"/>
      <name val="Times New Roman"/>
      <family val="1"/>
    </font>
    <font>
      <b/>
      <sz val="13"/>
      <color theme="1"/>
      <name val="Times New Roman"/>
      <family val="1"/>
    </font>
    <font>
      <b/>
      <sz val="14"/>
      <color rgb="FFFF0000"/>
      <name val="Times New Roman"/>
      <family val="1"/>
    </font>
    <font>
      <sz val="14"/>
      <color rgb="FFFF0000"/>
      <name val="Times New Roman"/>
      <family val="1"/>
    </font>
    <font>
      <sz val="14"/>
      <name val="Times New Roman"/>
      <family val="1"/>
    </font>
    <font>
      <b/>
      <sz val="14"/>
      <name val="Times New Roman"/>
      <family val="1"/>
    </font>
    <font>
      <b/>
      <sz val="14"/>
      <color theme="1"/>
      <name val="Times New Roman"/>
      <family val="1"/>
    </font>
    <font>
      <b/>
      <sz val="16"/>
      <name val="Times New Roman"/>
      <family val="1"/>
    </font>
    <font>
      <b/>
      <sz val="16"/>
      <color rgb="FF00B050"/>
      <name val="Times New Roman"/>
      <family val="1"/>
    </font>
    <font>
      <b/>
      <sz val="16"/>
      <color rgb="FFFF33CC"/>
      <name val="Times New Roman"/>
      <family val="1"/>
    </font>
    <font>
      <sz val="16"/>
      <name val="Times New Roman"/>
      <family val="1"/>
    </font>
    <font>
      <sz val="15"/>
      <name val="Times New Roman"/>
      <family val="1"/>
    </font>
    <font>
      <b/>
      <sz val="15"/>
      <color rgb="FFFF0000"/>
      <name val="Times New Roman"/>
      <family val="1"/>
    </font>
    <font>
      <sz val="15"/>
      <color rgb="FFFF0000"/>
      <name val="Times New Roman"/>
      <family val="1"/>
    </font>
    <font>
      <b/>
      <sz val="15"/>
      <color rgb="FF00B050"/>
      <name val="Times New Roman"/>
      <family val="1"/>
    </font>
    <font>
      <b/>
      <sz val="18"/>
      <name val="Times New Roman"/>
      <family val="1"/>
    </font>
    <font>
      <b/>
      <sz val="16"/>
      <color rgb="FFFF0000"/>
      <name val="Times New Roman"/>
      <family val="1"/>
    </font>
    <font>
      <i/>
      <sz val="14"/>
      <name val="Times New Roman"/>
      <family val="1"/>
    </font>
    <font>
      <b/>
      <sz val="16"/>
      <color rgb="FF7030A0"/>
      <name val="Times New Roman"/>
      <family val="1"/>
    </font>
    <font>
      <sz val="13"/>
      <color theme="1"/>
      <name val="Times New Roman"/>
      <family val="1"/>
    </font>
    <font>
      <sz val="13"/>
      <name val="Times New Roman"/>
      <family val="1"/>
    </font>
    <font>
      <sz val="13"/>
      <color rgb="FFFF0000"/>
      <name val="Times New Roman"/>
      <family val="1"/>
    </font>
    <font>
      <b/>
      <sz val="11"/>
      <color theme="1"/>
      <name val="Times New Roman"/>
      <family val="1"/>
    </font>
    <font>
      <sz val="11"/>
      <color theme="1"/>
      <name val="Times New Roman"/>
      <family val="1"/>
    </font>
    <font>
      <sz val="11"/>
      <color rgb="FFFF0000"/>
      <name val="Times New Roman"/>
      <family val="1"/>
    </font>
    <font>
      <sz val="11"/>
      <name val="Times New Roman"/>
      <family val="1"/>
    </font>
    <font>
      <sz val="20"/>
      <name val="Times New Roman"/>
      <family val="1"/>
    </font>
    <font>
      <sz val="14"/>
      <color theme="1"/>
      <name val="Times New Roman"/>
      <family val="1"/>
    </font>
    <font>
      <sz val="14"/>
      <color theme="4"/>
      <name val="Times New Roman"/>
      <family val="1"/>
    </font>
    <font>
      <sz val="14"/>
      <color theme="1"/>
      <name val="Calibri"/>
      <family val="2"/>
      <scheme val="minor"/>
    </font>
    <font>
      <b/>
      <sz val="36"/>
      <color theme="0"/>
      <name val="Times New Roman"/>
      <family val="1"/>
    </font>
    <font>
      <b/>
      <sz val="24"/>
      <color rgb="FF7030A0"/>
      <name val="Adobe Pi Std"/>
      <family val="5"/>
    </font>
    <font>
      <b/>
      <sz val="20"/>
      <name val="Times New Roman"/>
      <family val="1"/>
    </font>
    <font>
      <sz val="12"/>
      <color theme="1"/>
      <name val="Calibri"/>
      <family val="2"/>
      <scheme val="minor"/>
    </font>
    <font>
      <b/>
      <sz val="14"/>
      <color rgb="FF002060"/>
      <name val="Times New Roman"/>
      <family val="1"/>
    </font>
    <font>
      <b/>
      <sz val="26"/>
      <color theme="1"/>
      <name val="Times New Roman"/>
      <family val="1"/>
    </font>
    <font>
      <b/>
      <sz val="20"/>
      <color theme="1"/>
      <name val="Times New Roman"/>
      <family val="1"/>
    </font>
    <font>
      <i/>
      <sz val="20"/>
      <color theme="1"/>
      <name val="Times New Roman"/>
      <family val="1"/>
    </font>
    <font>
      <b/>
      <i/>
      <sz val="20"/>
      <color theme="1"/>
      <name val="Times New Roman"/>
      <family val="1"/>
    </font>
    <font>
      <b/>
      <sz val="20"/>
      <color rgb="FFFF0000"/>
      <name val="Times New Roman"/>
      <family val="1"/>
    </font>
    <font>
      <sz val="20"/>
      <color theme="1"/>
      <name val="Times New Roman"/>
      <family val="1"/>
    </font>
    <font>
      <sz val="20"/>
      <color rgb="FFFF0000"/>
      <name val="Times New Roman"/>
      <family val="1"/>
    </font>
    <font>
      <b/>
      <sz val="28"/>
      <color theme="1"/>
      <name val="Times New Roman"/>
      <family val="1"/>
    </font>
    <font>
      <b/>
      <sz val="26"/>
      <color rgb="FFFF0000"/>
      <name val="Times New Roman"/>
      <family val="1"/>
    </font>
    <font>
      <sz val="26"/>
      <color theme="1"/>
      <name val="Times New Roman"/>
      <family val="1"/>
    </font>
    <font>
      <b/>
      <sz val="26"/>
      <color theme="1"/>
      <name val="Times New Roman"/>
      <family val="1"/>
      <charset val="163"/>
    </font>
    <font>
      <i/>
      <sz val="13"/>
      <name val="Times New Roman"/>
      <family val="1"/>
    </font>
    <font>
      <b/>
      <sz val="22"/>
      <color theme="1"/>
      <name val="Times New Roman"/>
      <family val="1"/>
    </font>
  </fonts>
  <fills count="21">
    <fill>
      <patternFill patternType="none"/>
    </fill>
    <fill>
      <patternFill patternType="gray125"/>
    </fill>
    <fill>
      <patternFill patternType="solid">
        <fgColor theme="9" tint="0.59999389629810485"/>
        <bgColor indexed="64"/>
      </patternFill>
    </fill>
    <fill>
      <patternFill patternType="solid">
        <fgColor rgb="FF00B0F0"/>
        <bgColor indexed="64"/>
      </patternFill>
    </fill>
    <fill>
      <patternFill patternType="solid">
        <fgColor rgb="FFFFFF00"/>
        <bgColor indexed="64"/>
      </patternFill>
    </fill>
    <fill>
      <patternFill patternType="solid">
        <fgColor theme="0" tint="-0.249977111117893"/>
        <bgColor indexed="64"/>
      </patternFill>
    </fill>
    <fill>
      <patternFill patternType="solid">
        <fgColor rgb="FF00B050"/>
        <bgColor indexed="64"/>
      </patternFill>
    </fill>
    <fill>
      <patternFill patternType="solid">
        <fgColor rgb="FFFFE598"/>
        <bgColor rgb="FFFFE598"/>
      </patternFill>
    </fill>
    <fill>
      <patternFill patternType="solid">
        <fgColor rgb="FFFFC000"/>
        <bgColor indexed="64"/>
      </patternFill>
    </fill>
    <fill>
      <patternFill patternType="solid">
        <fgColor rgb="FFFFFFFF"/>
        <bgColor indexed="64"/>
      </patternFill>
    </fill>
    <fill>
      <patternFill patternType="solid">
        <fgColor theme="9" tint="0.79998168889431442"/>
        <bgColor indexed="64"/>
      </patternFill>
    </fill>
    <fill>
      <patternFill patternType="solid">
        <fgColor theme="0"/>
        <bgColor indexed="64"/>
      </patternFill>
    </fill>
    <fill>
      <patternFill patternType="solid">
        <fgColor theme="7" tint="0.79998168889431442"/>
        <bgColor indexed="64"/>
      </patternFill>
    </fill>
    <fill>
      <patternFill patternType="solid">
        <fgColor theme="7" tint="0.59999389629810485"/>
        <bgColor rgb="FFFFE598"/>
      </patternFill>
    </fill>
    <fill>
      <patternFill patternType="solid">
        <fgColor theme="7" tint="0.79998168889431442"/>
        <bgColor rgb="FFFFE598"/>
      </patternFill>
    </fill>
    <fill>
      <patternFill patternType="solid">
        <fgColor rgb="FF00B0F0"/>
        <bgColor rgb="FFFFE598"/>
      </patternFill>
    </fill>
    <fill>
      <patternFill patternType="solid">
        <fgColor theme="6" tint="0.79998168889431442"/>
        <bgColor indexed="64"/>
      </patternFill>
    </fill>
    <fill>
      <patternFill patternType="solid">
        <fgColor theme="8" tint="0.59999389629810485"/>
        <bgColor indexed="64"/>
      </patternFill>
    </fill>
    <fill>
      <patternFill patternType="solid">
        <fgColor theme="7"/>
        <bgColor rgb="FFFFE598"/>
      </patternFill>
    </fill>
    <fill>
      <patternFill patternType="solid">
        <fgColor theme="4" tint="0.79998168889431442"/>
        <bgColor indexed="64"/>
      </patternFill>
    </fill>
    <fill>
      <patternFill patternType="solid">
        <fgColor rgb="FF29B95C"/>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auto="1"/>
      </left>
      <right/>
      <top/>
      <bottom style="thin">
        <color indexed="64"/>
      </bottom>
      <diagonal/>
    </border>
    <border>
      <left style="thin">
        <color indexed="64"/>
      </left>
      <right style="thin">
        <color indexed="64"/>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right style="thin">
        <color auto="1"/>
      </right>
      <top/>
      <bottom style="thin">
        <color auto="1"/>
      </bottom>
      <diagonal/>
    </border>
  </borders>
  <cellStyleXfs count="13">
    <xf numFmtId="0" fontId="0" fillId="0" borderId="0"/>
    <xf numFmtId="164" fontId="5" fillId="0" borderId="0"/>
    <xf numFmtId="165" fontId="5" fillId="0" borderId="0"/>
    <xf numFmtId="0" fontId="1" fillId="0" borderId="0"/>
    <xf numFmtId="0" fontId="6" fillId="0" borderId="0"/>
    <xf numFmtId="0" fontId="5" fillId="0" borderId="0"/>
    <xf numFmtId="0" fontId="7" fillId="0" borderId="0"/>
    <xf numFmtId="0" fontId="9" fillId="0" borderId="0"/>
    <xf numFmtId="0" fontId="10" fillId="0" borderId="0">
      <alignment vertical="center"/>
    </xf>
    <xf numFmtId="164" fontId="6" fillId="0" borderId="0" applyFont="0" applyFill="0" applyBorder="0" applyAlignment="0" applyProtection="0"/>
    <xf numFmtId="9" fontId="6" fillId="0" borderId="0"/>
    <xf numFmtId="9" fontId="6" fillId="0" borderId="0" applyFont="0" applyFill="0" applyBorder="0" applyAlignment="0" applyProtection="0"/>
    <xf numFmtId="164" fontId="6" fillId="0" borderId="0" applyFont="0" applyFill="0" applyBorder="0" applyAlignment="0" applyProtection="0"/>
  </cellStyleXfs>
  <cellXfs count="503">
    <xf numFmtId="0" fontId="0" fillId="0" borderId="0" xfId="0"/>
    <xf numFmtId="0" fontId="2" fillId="2" borderId="1" xfId="0" applyFont="1" applyFill="1" applyBorder="1" applyAlignment="1">
      <alignment horizontal="center" vertical="center" wrapText="1"/>
    </xf>
    <xf numFmtId="0" fontId="4" fillId="0" borderId="1" xfId="5" applyFont="1" applyBorder="1" applyAlignment="1">
      <alignment horizontal="center" vertical="center" wrapText="1"/>
    </xf>
    <xf numFmtId="0" fontId="1" fillId="0" borderId="1" xfId="5" applyFont="1" applyBorder="1" applyAlignment="1">
      <alignment horizontal="center" vertical="center" wrapText="1"/>
    </xf>
    <xf numFmtId="0" fontId="4" fillId="0" borderId="0" xfId="0" applyFont="1" applyAlignment="1">
      <alignment vertical="center" wrapText="1"/>
    </xf>
    <xf numFmtId="0" fontId="1" fillId="0" borderId="0" xfId="0" applyFont="1" applyAlignment="1">
      <alignment vertical="center"/>
    </xf>
    <xf numFmtId="0" fontId="1" fillId="0" borderId="0" xfId="0" applyFont="1" applyAlignment="1">
      <alignment vertical="center" wrapText="1"/>
    </xf>
    <xf numFmtId="0" fontId="4" fillId="0" borderId="1" xfId="0" applyFont="1" applyBorder="1" applyAlignment="1">
      <alignment vertical="center" wrapText="1"/>
    </xf>
    <xf numFmtId="0" fontId="8" fillId="0" borderId="0" xfId="0" applyFont="1" applyAlignment="1">
      <alignment vertical="center" wrapText="1"/>
    </xf>
    <xf numFmtId="9" fontId="11" fillId="0" borderId="0" xfId="0" applyNumberFormat="1" applyFont="1" applyAlignment="1">
      <alignment horizontal="center" vertical="center" wrapText="1"/>
    </xf>
    <xf numFmtId="0" fontId="3" fillId="3" borderId="1" xfId="0" quotePrefix="1" applyFont="1" applyFill="1" applyBorder="1" applyAlignment="1">
      <alignment horizontal="center" vertical="center"/>
    </xf>
    <xf numFmtId="0" fontId="2" fillId="3" borderId="1" xfId="0" quotePrefix="1" applyFont="1" applyFill="1" applyBorder="1" applyAlignment="1">
      <alignment horizontal="left" vertical="center" wrapText="1"/>
    </xf>
    <xf numFmtId="0" fontId="3" fillId="3" borderId="1" xfId="0" quotePrefix="1" applyFont="1" applyFill="1" applyBorder="1" applyAlignment="1">
      <alignment vertical="center" wrapText="1"/>
    </xf>
    <xf numFmtId="0" fontId="4" fillId="0" borderId="1" xfId="6" quotePrefix="1" applyFont="1" applyBorder="1" applyAlignment="1">
      <alignment horizontal="left" vertical="center" wrapText="1"/>
    </xf>
    <xf numFmtId="0" fontId="3" fillId="0" borderId="1" xfId="0" quotePrefix="1" applyFont="1" applyBorder="1" applyAlignment="1">
      <alignment horizontal="center" vertical="center"/>
    </xf>
    <xf numFmtId="0" fontId="1" fillId="0" borderId="1" xfId="0" quotePrefix="1" applyFont="1" applyBorder="1" applyAlignment="1">
      <alignment horizontal="left" vertical="center" wrapText="1"/>
    </xf>
    <xf numFmtId="0" fontId="0" fillId="0" borderId="0" xfId="0" applyAlignment="1">
      <alignment horizontal="center" vertical="center"/>
    </xf>
    <xf numFmtId="14" fontId="4" fillId="0" borderId="1" xfId="6" quotePrefix="1" applyNumberFormat="1" applyFont="1" applyBorder="1" applyAlignment="1">
      <alignment horizontal="center" vertical="center" wrapText="1"/>
    </xf>
    <xf numFmtId="14" fontId="1" fillId="0" borderId="1" xfId="0" applyNumberFormat="1" applyFont="1" applyBorder="1" applyAlignment="1">
      <alignment horizontal="center" vertical="center" wrapText="1"/>
    </xf>
    <xf numFmtId="0" fontId="3" fillId="3" borderId="1" xfId="0" quotePrefix="1" applyFont="1" applyFill="1" applyBorder="1" applyAlignment="1">
      <alignment horizontal="center" vertical="center" wrapText="1"/>
    </xf>
    <xf numFmtId="0" fontId="3" fillId="0" borderId="0" xfId="0" quotePrefix="1" applyFont="1" applyAlignment="1">
      <alignment horizontal="center" vertical="center"/>
    </xf>
    <xf numFmtId="0" fontId="11" fillId="0" borderId="0" xfId="0" applyFont="1" applyAlignment="1">
      <alignment vertical="center" wrapText="1"/>
    </xf>
    <xf numFmtId="9" fontId="8" fillId="0" borderId="0" xfId="0" applyNumberFormat="1" applyFont="1" applyAlignment="1">
      <alignment vertical="center" wrapText="1"/>
    </xf>
    <xf numFmtId="9" fontId="2" fillId="3" borderId="1" xfId="0" quotePrefix="1" applyNumberFormat="1" applyFont="1" applyFill="1" applyBorder="1" applyAlignment="1">
      <alignment horizontal="center" vertical="center" wrapText="1"/>
    </xf>
    <xf numFmtId="9" fontId="1" fillId="0" borderId="1" xfId="6" quotePrefix="1" applyNumberFormat="1" applyFont="1" applyBorder="1" applyAlignment="1">
      <alignment horizontal="center" vertical="center" wrapText="1"/>
    </xf>
    <xf numFmtId="9" fontId="1" fillId="0" borderId="1" xfId="0" applyNumberFormat="1" applyFont="1" applyBorder="1" applyAlignment="1">
      <alignment horizontal="center" vertical="center" wrapText="1"/>
    </xf>
    <xf numFmtId="9" fontId="1" fillId="0" borderId="1" xfId="0" quotePrefix="1" applyNumberFormat="1" applyFont="1" applyBorder="1" applyAlignment="1">
      <alignment horizontal="center" vertical="center" wrapText="1"/>
    </xf>
    <xf numFmtId="9" fontId="2" fillId="2" borderId="1" xfId="0" applyNumberFormat="1" applyFont="1" applyFill="1" applyBorder="1" applyAlignment="1">
      <alignment horizontal="center" vertical="center" wrapText="1"/>
    </xf>
    <xf numFmtId="9" fontId="4" fillId="0" borderId="1" xfId="0" applyNumberFormat="1" applyFont="1" applyBorder="1" applyAlignment="1">
      <alignment vertical="center" wrapText="1"/>
    </xf>
    <xf numFmtId="0" fontId="1" fillId="0" borderId="1" xfId="0" applyFont="1" applyBorder="1" applyAlignment="1">
      <alignment vertical="center" wrapText="1"/>
    </xf>
    <xf numFmtId="9" fontId="0" fillId="0" borderId="0" xfId="11" applyFont="1"/>
    <xf numFmtId="166" fontId="0" fillId="0" borderId="0" xfId="11" applyNumberFormat="1" applyFont="1"/>
    <xf numFmtId="0" fontId="14" fillId="5" borderId="0" xfId="0" applyFont="1" applyFill="1"/>
    <xf numFmtId="0" fontId="0" fillId="6" borderId="0" xfId="0" applyFill="1"/>
    <xf numFmtId="0" fontId="0" fillId="0" borderId="0" xfId="0" applyAlignment="1">
      <alignment horizontal="center"/>
    </xf>
    <xf numFmtId="10" fontId="0" fillId="0" borderId="0" xfId="11" applyNumberFormat="1" applyFont="1" applyFill="1"/>
    <xf numFmtId="9" fontId="0" fillId="0" borderId="0" xfId="11" applyFont="1" applyFill="1"/>
    <xf numFmtId="0" fontId="3" fillId="7" borderId="10" xfId="0" quotePrefix="1" applyFont="1" applyFill="1" applyBorder="1" applyAlignment="1">
      <alignment horizontal="left" vertical="center" wrapText="1"/>
    </xf>
    <xf numFmtId="0" fontId="3" fillId="7" borderId="11" xfId="0" quotePrefix="1" applyFont="1" applyFill="1" applyBorder="1" applyAlignment="1">
      <alignment horizontal="left" vertical="center" wrapText="1"/>
    </xf>
    <xf numFmtId="0" fontId="3" fillId="7" borderId="11" xfId="0" applyFont="1" applyFill="1" applyBorder="1" applyAlignment="1">
      <alignment horizontal="center" vertical="center" wrapText="1"/>
    </xf>
    <xf numFmtId="0" fontId="2" fillId="3" borderId="1" xfId="0" quotePrefix="1" applyFont="1" applyFill="1" applyBorder="1" applyAlignment="1">
      <alignment horizontal="center" vertical="center" wrapText="1"/>
    </xf>
    <xf numFmtId="0" fontId="4" fillId="0" borderId="1" xfId="0" applyFont="1" applyBorder="1" applyAlignment="1">
      <alignment horizontal="center" vertical="center"/>
    </xf>
    <xf numFmtId="0" fontId="4" fillId="0" borderId="1" xfId="6" quotePrefix="1" applyFont="1" applyBorder="1" applyAlignment="1">
      <alignment horizontal="center" vertical="center" wrapText="1"/>
    </xf>
    <xf numFmtId="9" fontId="4" fillId="0" borderId="1" xfId="6" quotePrefix="1" applyNumberFormat="1" applyFont="1" applyBorder="1" applyAlignment="1">
      <alignment horizontal="center" vertical="center" wrapText="1"/>
    </xf>
    <xf numFmtId="9" fontId="1" fillId="4" borderId="1" xfId="6" quotePrefix="1" applyNumberFormat="1" applyFont="1" applyFill="1" applyBorder="1" applyAlignment="1">
      <alignment horizontal="left" vertical="center" wrapText="1"/>
    </xf>
    <xf numFmtId="0" fontId="1" fillId="0" borderId="1" xfId="0" quotePrefix="1" applyFont="1" applyBorder="1" applyAlignment="1">
      <alignment horizontal="center" vertical="center" wrapText="1"/>
    </xf>
    <xf numFmtId="0" fontId="4" fillId="0" borderId="1" xfId="0" applyFont="1" applyBorder="1" applyAlignment="1">
      <alignment horizontal="center" vertical="center" wrapText="1"/>
    </xf>
    <xf numFmtId="0" fontId="0" fillId="0" borderId="1" xfId="0" applyBorder="1"/>
    <xf numFmtId="0" fontId="4" fillId="8" borderId="1" xfId="6" quotePrefix="1" applyFont="1" applyFill="1" applyBorder="1" applyAlignment="1">
      <alignment horizontal="center" vertical="center" wrapText="1"/>
    </xf>
    <xf numFmtId="0" fontId="16" fillId="0" borderId="1" xfId="0" applyFont="1" applyBorder="1" applyAlignment="1">
      <alignment vertical="center"/>
    </xf>
    <xf numFmtId="0" fontId="4" fillId="0" borderId="1" xfId="6" quotePrefix="1" applyFont="1" applyBorder="1" applyAlignment="1">
      <alignment vertical="center" wrapText="1"/>
    </xf>
    <xf numFmtId="0" fontId="4" fillId="8" borderId="1" xfId="5" applyFont="1" applyFill="1" applyBorder="1" applyAlignment="1">
      <alignment horizontal="center" vertical="center" wrapText="1"/>
    </xf>
    <xf numFmtId="0" fontId="4" fillId="8" borderId="1" xfId="6" quotePrefix="1" applyFont="1" applyFill="1" applyBorder="1" applyAlignment="1">
      <alignment horizontal="left" vertical="center" wrapText="1"/>
    </xf>
    <xf numFmtId="9" fontId="1" fillId="8" borderId="1" xfId="6" quotePrefix="1" applyNumberFormat="1" applyFont="1" applyFill="1" applyBorder="1" applyAlignment="1">
      <alignment horizontal="center" vertical="center" wrapText="1"/>
    </xf>
    <xf numFmtId="9" fontId="1" fillId="8" borderId="1" xfId="6" quotePrefix="1" applyNumberFormat="1" applyFont="1" applyFill="1" applyBorder="1" applyAlignment="1">
      <alignment horizontal="left" vertical="center" wrapText="1"/>
    </xf>
    <xf numFmtId="14" fontId="1" fillId="8" borderId="1" xfId="0" applyNumberFormat="1" applyFont="1" applyFill="1" applyBorder="1" applyAlignment="1">
      <alignment horizontal="center" vertical="center" wrapText="1"/>
    </xf>
    <xf numFmtId="14" fontId="4" fillId="8" borderId="1" xfId="6" quotePrefix="1" applyNumberFormat="1" applyFont="1" applyFill="1" applyBorder="1" applyAlignment="1">
      <alignment horizontal="center" vertical="center" wrapText="1"/>
    </xf>
    <xf numFmtId="0" fontId="1" fillId="8" borderId="1" xfId="0" quotePrefix="1" applyFont="1" applyFill="1" applyBorder="1" applyAlignment="1">
      <alignment horizontal="center" vertical="center" wrapText="1"/>
    </xf>
    <xf numFmtId="0" fontId="1" fillId="8" borderId="0" xfId="0" applyFont="1" applyFill="1" applyAlignment="1">
      <alignment vertical="center" wrapText="1"/>
    </xf>
    <xf numFmtId="9" fontId="4" fillId="8" borderId="1" xfId="6" quotePrefix="1" applyNumberFormat="1" applyFont="1" applyFill="1" applyBorder="1" applyAlignment="1">
      <alignment horizontal="center" vertical="center" wrapText="1"/>
    </xf>
    <xf numFmtId="0" fontId="4" fillId="3" borderId="1" xfId="6" quotePrefix="1" applyFont="1" applyFill="1" applyBorder="1" applyAlignment="1">
      <alignment horizontal="center" vertical="center" wrapText="1"/>
    </xf>
    <xf numFmtId="9" fontId="1" fillId="3" borderId="1" xfId="6" quotePrefix="1" applyNumberFormat="1" applyFont="1" applyFill="1" applyBorder="1" applyAlignment="1">
      <alignment horizontal="center" vertical="center" wrapText="1"/>
    </xf>
    <xf numFmtId="0" fontId="1" fillId="0" borderId="1" xfId="6" quotePrefix="1" applyFont="1" applyBorder="1" applyAlignment="1">
      <alignment horizontal="center" vertical="center" wrapText="1"/>
    </xf>
    <xf numFmtId="0" fontId="1" fillId="0" borderId="1" xfId="0" applyFont="1" applyBorder="1" applyAlignment="1">
      <alignment horizontal="center" vertical="center" wrapText="1"/>
    </xf>
    <xf numFmtId="0" fontId="4" fillId="0" borderId="5" xfId="5" applyFont="1" applyBorder="1" applyAlignment="1">
      <alignment horizontal="center" vertical="center" wrapText="1"/>
    </xf>
    <xf numFmtId="0" fontId="4" fillId="0" borderId="0" xfId="6" quotePrefix="1" applyFont="1" applyAlignment="1">
      <alignment horizontal="left" vertical="center" wrapText="1"/>
    </xf>
    <xf numFmtId="0" fontId="8" fillId="0" borderId="0" xfId="0" applyFont="1" applyAlignment="1">
      <alignment horizontal="center" vertical="center" wrapText="1"/>
    </xf>
    <xf numFmtId="9" fontId="11" fillId="0" borderId="0" xfId="6" quotePrefix="1" applyNumberFormat="1" applyFont="1" applyAlignment="1">
      <alignment horizontal="center" vertical="center" wrapText="1"/>
    </xf>
    <xf numFmtId="14" fontId="1" fillId="0" borderId="0" xfId="0" applyNumberFormat="1" applyFont="1" applyAlignment="1">
      <alignment vertical="center" wrapText="1"/>
    </xf>
    <xf numFmtId="14" fontId="4" fillId="0" borderId="0" xfId="6" quotePrefix="1" applyNumberFormat="1" applyFont="1" applyAlignment="1">
      <alignment vertical="center" wrapText="1"/>
    </xf>
    <xf numFmtId="0" fontId="1" fillId="0" borderId="0" xfId="0" quotePrefix="1" applyFont="1" applyAlignment="1">
      <alignment horizontal="center" vertical="center" wrapText="1"/>
    </xf>
    <xf numFmtId="9" fontId="8" fillId="0" borderId="0" xfId="0" applyNumberFormat="1" applyFont="1" applyAlignment="1">
      <alignment horizontal="center" vertical="center" wrapText="1"/>
    </xf>
    <xf numFmtId="0" fontId="17" fillId="9" borderId="0" xfId="0" applyFont="1" applyFill="1" applyAlignment="1">
      <alignment horizontal="center" vertical="top" wrapText="1"/>
    </xf>
    <xf numFmtId="0" fontId="15" fillId="9" borderId="0" xfId="0" applyFont="1" applyFill="1" applyAlignment="1">
      <alignment horizontal="center" vertical="top" wrapText="1"/>
    </xf>
    <xf numFmtId="0" fontId="18" fillId="9" borderId="0" xfId="0" applyFont="1" applyFill="1" applyAlignment="1">
      <alignment horizontal="center" vertical="top" wrapText="1"/>
    </xf>
    <xf numFmtId="0" fontId="17" fillId="9" borderId="1" xfId="0" applyFont="1" applyFill="1" applyBorder="1" applyAlignment="1">
      <alignment horizontal="center" vertical="top" wrapText="1"/>
    </xf>
    <xf numFmtId="0" fontId="19" fillId="9" borderId="1" xfId="0" applyFont="1" applyFill="1" applyBorder="1" applyAlignment="1">
      <alignment horizontal="center" vertical="top" wrapText="1"/>
    </xf>
    <xf numFmtId="0" fontId="2" fillId="9" borderId="3" xfId="0" applyFont="1" applyFill="1" applyBorder="1" applyAlignment="1">
      <alignment horizontal="center" vertical="center" wrapText="1"/>
    </xf>
    <xf numFmtId="0" fontId="2" fillId="9" borderId="4" xfId="0" applyFont="1" applyFill="1" applyBorder="1" applyAlignment="1">
      <alignment horizontal="center" vertical="center" wrapText="1"/>
    </xf>
    <xf numFmtId="0" fontId="1" fillId="9" borderId="1" xfId="0" applyFont="1" applyFill="1" applyBorder="1" applyAlignment="1">
      <alignment horizontal="center" vertical="center" wrapText="1"/>
    </xf>
    <xf numFmtId="0" fontId="1" fillId="9" borderId="13" xfId="0" applyFont="1" applyFill="1" applyBorder="1" applyAlignment="1">
      <alignment horizontal="center" vertical="center" wrapText="1"/>
    </xf>
    <xf numFmtId="0" fontId="14" fillId="9" borderId="0" xfId="0" applyFont="1" applyFill="1"/>
    <xf numFmtId="0" fontId="0" fillId="6" borderId="0" xfId="0" applyFill="1" applyAlignment="1">
      <alignment horizontal="center"/>
    </xf>
    <xf numFmtId="10" fontId="0" fillId="0" borderId="0" xfId="0" applyNumberFormat="1"/>
    <xf numFmtId="0" fontId="17" fillId="4" borderId="1" xfId="0" applyFont="1" applyFill="1" applyBorder="1" applyAlignment="1">
      <alignment horizontal="center" vertical="top" wrapText="1"/>
    </xf>
    <xf numFmtId="0" fontId="19" fillId="9" borderId="0" xfId="0" applyFont="1" applyFill="1" applyAlignment="1">
      <alignment horizontal="center" vertical="center"/>
    </xf>
    <xf numFmtId="0" fontId="26" fillId="9" borderId="0" xfId="0" applyFont="1" applyFill="1" applyAlignment="1">
      <alignment horizontal="right" vertical="center"/>
    </xf>
    <xf numFmtId="0" fontId="19" fillId="9" borderId="14" xfId="0" applyFont="1" applyFill="1" applyBorder="1" applyAlignment="1">
      <alignment horizontal="center" vertical="center"/>
    </xf>
    <xf numFmtId="166" fontId="0" fillId="0" borderId="0" xfId="0" applyNumberFormat="1"/>
    <xf numFmtId="0" fontId="22" fillId="9" borderId="0" xfId="0" applyFont="1" applyFill="1" applyAlignment="1">
      <alignment horizontal="center" vertical="center"/>
    </xf>
    <xf numFmtId="0" fontId="32" fillId="9" borderId="0" xfId="0" applyFont="1" applyFill="1" applyAlignment="1">
      <alignment horizontal="right" vertical="center" wrapText="1"/>
    </xf>
    <xf numFmtId="0" fontId="32" fillId="11" borderId="0" xfId="0" applyFont="1" applyFill="1" applyAlignment="1">
      <alignment horizontal="right" vertical="center" wrapText="1"/>
    </xf>
    <xf numFmtId="0" fontId="19" fillId="11" borderId="0" xfId="0" applyFont="1" applyFill="1" applyAlignment="1">
      <alignment horizontal="center" vertical="center" wrapText="1"/>
    </xf>
    <xf numFmtId="0" fontId="15" fillId="11" borderId="0" xfId="0" applyFont="1" applyFill="1" applyAlignment="1">
      <alignment horizontal="center" vertical="top" wrapText="1"/>
    </xf>
    <xf numFmtId="0" fontId="17" fillId="11" borderId="0" xfId="0" applyFont="1" applyFill="1" applyAlignment="1">
      <alignment horizontal="center" vertical="top" wrapText="1"/>
    </xf>
    <xf numFmtId="0" fontId="4" fillId="0" borderId="12" xfId="0" applyFont="1" applyBorder="1" applyAlignment="1">
      <alignment horizontal="center" vertical="center" wrapText="1"/>
    </xf>
    <xf numFmtId="0" fontId="4" fillId="0" borderId="13" xfId="0" applyFont="1" applyBorder="1" applyAlignment="1">
      <alignment horizontal="center" vertical="center" wrapText="1"/>
    </xf>
    <xf numFmtId="14" fontId="1" fillId="0" borderId="13" xfId="0" applyNumberFormat="1" applyFont="1" applyBorder="1" applyAlignment="1">
      <alignment horizontal="center" vertical="center" wrapText="1"/>
    </xf>
    <xf numFmtId="0" fontId="3" fillId="7" borderId="10" xfId="0" applyFont="1" applyFill="1" applyBorder="1" applyAlignment="1">
      <alignment horizontal="center" vertical="center" wrapText="1"/>
    </xf>
    <xf numFmtId="10" fontId="4" fillId="0" borderId="1" xfId="0" applyNumberFormat="1" applyFont="1" applyBorder="1" applyAlignment="1">
      <alignment horizontal="center" vertical="center"/>
    </xf>
    <xf numFmtId="9" fontId="1" fillId="0" borderId="1" xfId="6" quotePrefix="1" applyNumberFormat="1" applyFont="1" applyBorder="1" applyAlignment="1">
      <alignment horizontal="left" vertical="center" wrapText="1"/>
    </xf>
    <xf numFmtId="9" fontId="1" fillId="0" borderId="12" xfId="6" quotePrefix="1" applyNumberFormat="1" applyFont="1" applyBorder="1" applyAlignment="1">
      <alignment horizontal="left" vertical="center" wrapText="1"/>
    </xf>
    <xf numFmtId="9" fontId="4" fillId="0" borderId="12" xfId="0" applyNumberFormat="1" applyFont="1" applyBorder="1" applyAlignment="1">
      <alignment vertical="center" wrapText="1"/>
    </xf>
    <xf numFmtId="0" fontId="4" fillId="0" borderId="12" xfId="0" applyFont="1" applyBorder="1" applyAlignment="1">
      <alignment vertical="center" wrapText="1"/>
    </xf>
    <xf numFmtId="10" fontId="4" fillId="0" borderId="12" xfId="0" applyNumberFormat="1" applyFont="1" applyBorder="1" applyAlignment="1">
      <alignment horizontal="center" vertical="center"/>
    </xf>
    <xf numFmtId="9" fontId="1" fillId="0" borderId="13" xfId="6" quotePrefix="1" applyNumberFormat="1" applyFont="1" applyBorder="1" applyAlignment="1">
      <alignment horizontal="left" vertical="center" wrapText="1"/>
    </xf>
    <xf numFmtId="0" fontId="4" fillId="0" borderId="4" xfId="0" applyFont="1" applyBorder="1" applyAlignment="1">
      <alignment vertical="center" wrapText="1"/>
    </xf>
    <xf numFmtId="0" fontId="4" fillId="0" borderId="0" xfId="5" applyFont="1" applyAlignment="1">
      <alignment horizontal="center" vertical="center" wrapText="1"/>
    </xf>
    <xf numFmtId="0" fontId="0" fillId="4" borderId="0" xfId="0" applyFill="1"/>
    <xf numFmtId="0" fontId="34" fillId="0" borderId="0" xfId="0" applyFont="1"/>
    <xf numFmtId="0" fontId="34" fillId="0" borderId="1" xfId="0" applyFont="1" applyBorder="1" applyAlignment="1">
      <alignment horizontal="center" vertical="center"/>
    </xf>
    <xf numFmtId="0" fontId="34" fillId="0" borderId="1" xfId="0" applyFont="1" applyBorder="1" applyAlignment="1">
      <alignment vertical="center"/>
    </xf>
    <xf numFmtId="0" fontId="34" fillId="0" borderId="1" xfId="0" applyFont="1" applyBorder="1" applyAlignment="1">
      <alignment vertical="center" wrapText="1"/>
    </xf>
    <xf numFmtId="0" fontId="35" fillId="0" borderId="1" xfId="0" applyFont="1" applyBorder="1" applyAlignment="1">
      <alignment vertical="center" wrapText="1"/>
    </xf>
    <xf numFmtId="0" fontId="34" fillId="0" borderId="0" xfId="0" applyFont="1" applyAlignment="1">
      <alignment wrapText="1"/>
    </xf>
    <xf numFmtId="0" fontId="37" fillId="0" borderId="1" xfId="0" applyFont="1" applyBorder="1" applyAlignment="1">
      <alignment horizontal="center" vertical="center"/>
    </xf>
    <xf numFmtId="0" fontId="38" fillId="0" borderId="1" xfId="0" applyFont="1" applyBorder="1" applyAlignment="1">
      <alignment horizontal="center" vertical="center"/>
    </xf>
    <xf numFmtId="0" fontId="38" fillId="0" borderId="1" xfId="0" applyFont="1" applyBorder="1" applyAlignment="1">
      <alignment vertical="center" wrapText="1"/>
    </xf>
    <xf numFmtId="0" fontId="38" fillId="0" borderId="0" xfId="0" applyFont="1"/>
    <xf numFmtId="0" fontId="0" fillId="0" borderId="1" xfId="0" applyBorder="1" applyAlignment="1">
      <alignment horizontal="center"/>
    </xf>
    <xf numFmtId="10" fontId="0" fillId="4" borderId="0" xfId="0" applyNumberFormat="1" applyFill="1"/>
    <xf numFmtId="9" fontId="0" fillId="4" borderId="0" xfId="11" applyFont="1" applyFill="1"/>
    <xf numFmtId="0" fontId="41" fillId="9" borderId="0" xfId="0" applyFont="1" applyFill="1" applyAlignment="1">
      <alignment horizontal="center" vertical="center"/>
    </xf>
    <xf numFmtId="0" fontId="15" fillId="9" borderId="0" xfId="0" applyFont="1" applyFill="1" applyAlignment="1">
      <alignment horizontal="left" vertical="top"/>
    </xf>
    <xf numFmtId="0" fontId="24" fillId="9" borderId="0" xfId="0" applyFont="1" applyFill="1" applyAlignment="1">
      <alignment horizontal="center" vertical="center" wrapText="1"/>
    </xf>
    <xf numFmtId="0" fontId="42" fillId="0" borderId="0" xfId="0" applyFont="1" applyAlignment="1">
      <alignment vertical="center" wrapText="1"/>
    </xf>
    <xf numFmtId="0" fontId="20" fillId="2" borderId="1" xfId="0" applyFont="1" applyFill="1" applyBorder="1" applyAlignment="1">
      <alignment horizontal="center" vertical="center" wrapText="1"/>
    </xf>
    <xf numFmtId="9" fontId="20" fillId="2" borderId="1" xfId="0" applyNumberFormat="1" applyFont="1" applyFill="1" applyBorder="1" applyAlignment="1">
      <alignment horizontal="center" vertical="center" wrapText="1"/>
    </xf>
    <xf numFmtId="0" fontId="21" fillId="7" borderId="10" xfId="0" applyFont="1" applyFill="1" applyBorder="1" applyAlignment="1">
      <alignment horizontal="center" vertical="center" wrapText="1"/>
    </xf>
    <xf numFmtId="0" fontId="21" fillId="7" borderId="11" xfId="0" applyFont="1" applyFill="1" applyBorder="1" applyAlignment="1">
      <alignment horizontal="center" vertical="center" wrapText="1"/>
    </xf>
    <xf numFmtId="0" fontId="20" fillId="12" borderId="1" xfId="0" quotePrefix="1" applyFont="1" applyFill="1" applyBorder="1" applyAlignment="1">
      <alignment horizontal="center" vertical="center"/>
    </xf>
    <xf numFmtId="0" fontId="20" fillId="12" borderId="2" xfId="0" quotePrefix="1" applyFont="1" applyFill="1" applyBorder="1" applyAlignment="1">
      <alignment horizontal="left" vertical="center" wrapText="1"/>
    </xf>
    <xf numFmtId="9" fontId="20" fillId="12" borderId="2" xfId="0" quotePrefix="1" applyNumberFormat="1" applyFont="1" applyFill="1" applyBorder="1" applyAlignment="1">
      <alignment horizontal="center" vertical="center"/>
    </xf>
    <xf numFmtId="0" fontId="19" fillId="12" borderId="1" xfId="0" applyFont="1" applyFill="1" applyBorder="1" applyAlignment="1">
      <alignment vertical="center"/>
    </xf>
    <xf numFmtId="0" fontId="19" fillId="12" borderId="1" xfId="0" applyFont="1" applyFill="1" applyBorder="1" applyAlignment="1">
      <alignment horizontal="center" vertical="center"/>
    </xf>
    <xf numFmtId="0" fontId="19" fillId="0" borderId="0" xfId="0" applyFont="1" applyAlignment="1">
      <alignment vertical="center"/>
    </xf>
    <xf numFmtId="0" fontId="21" fillId="3" borderId="1" xfId="0" quotePrefix="1" applyFont="1" applyFill="1" applyBorder="1" applyAlignment="1">
      <alignment horizontal="center" vertical="center"/>
    </xf>
    <xf numFmtId="0" fontId="21" fillId="3" borderId="1" xfId="0" quotePrefix="1" applyFont="1" applyFill="1" applyBorder="1" applyAlignment="1">
      <alignment horizontal="left" vertical="center" wrapText="1"/>
    </xf>
    <xf numFmtId="9" fontId="21" fillId="3" borderId="1" xfId="0" quotePrefix="1" applyNumberFormat="1" applyFont="1" applyFill="1" applyBorder="1" applyAlignment="1">
      <alignment horizontal="center" vertical="center"/>
    </xf>
    <xf numFmtId="0" fontId="20" fillId="3" borderId="1" xfId="0" quotePrefix="1" applyFont="1" applyFill="1" applyBorder="1" applyAlignment="1">
      <alignment horizontal="center" vertical="center" wrapText="1"/>
    </xf>
    <xf numFmtId="9" fontId="20" fillId="3" borderId="1" xfId="0" quotePrefix="1" applyNumberFormat="1" applyFont="1" applyFill="1" applyBorder="1" applyAlignment="1">
      <alignment horizontal="center" vertical="center" wrapText="1"/>
    </xf>
    <xf numFmtId="9" fontId="20" fillId="3" borderId="1" xfId="0" quotePrefix="1" applyNumberFormat="1" applyFont="1" applyFill="1" applyBorder="1" applyAlignment="1">
      <alignment horizontal="left" vertical="center" wrapText="1"/>
    </xf>
    <xf numFmtId="0" fontId="21" fillId="3" borderId="1" xfId="0" quotePrefix="1" applyFont="1" applyFill="1" applyBorder="1" applyAlignment="1">
      <alignment vertical="center" wrapText="1"/>
    </xf>
    <xf numFmtId="0" fontId="42" fillId="0" borderId="1" xfId="0" applyFont="1" applyBorder="1" applyAlignment="1">
      <alignment horizontal="center" vertical="center"/>
    </xf>
    <xf numFmtId="10" fontId="42" fillId="0" borderId="1" xfId="0" applyNumberFormat="1" applyFont="1" applyBorder="1" applyAlignment="1">
      <alignment horizontal="center" vertical="center"/>
    </xf>
    <xf numFmtId="0" fontId="21" fillId="0" borderId="1" xfId="0" quotePrefix="1" applyFont="1" applyBorder="1" applyAlignment="1">
      <alignment horizontal="center" vertical="center"/>
    </xf>
    <xf numFmtId="0" fontId="42" fillId="0" borderId="1" xfId="5" applyFont="1" applyBorder="1" applyAlignment="1">
      <alignment horizontal="center" vertical="center" wrapText="1"/>
    </xf>
    <xf numFmtId="9" fontId="42" fillId="0" borderId="1" xfId="5" applyNumberFormat="1" applyFont="1" applyBorder="1" applyAlignment="1">
      <alignment horizontal="center" vertical="center" wrapText="1"/>
    </xf>
    <xf numFmtId="0" fontId="42" fillId="0" borderId="1" xfId="5" quotePrefix="1" applyFont="1" applyBorder="1" applyAlignment="1">
      <alignment horizontal="center" vertical="center" wrapText="1"/>
    </xf>
    <xf numFmtId="0" fontId="42" fillId="0" borderId="1" xfId="6" quotePrefix="1" applyFont="1" applyBorder="1" applyAlignment="1">
      <alignment horizontal="left" vertical="center" wrapText="1"/>
    </xf>
    <xf numFmtId="0" fontId="42" fillId="0" borderId="1" xfId="6" quotePrefix="1" applyFont="1" applyBorder="1" applyAlignment="1">
      <alignment horizontal="center" vertical="center" wrapText="1"/>
    </xf>
    <xf numFmtId="9" fontId="42" fillId="0" borderId="1" xfId="6" quotePrefix="1" applyNumberFormat="1" applyFont="1" applyBorder="1" applyAlignment="1">
      <alignment horizontal="center" vertical="center" wrapText="1"/>
    </xf>
    <xf numFmtId="9" fontId="42" fillId="0" borderId="1" xfId="6" quotePrefix="1" applyNumberFormat="1" applyFont="1" applyBorder="1" applyAlignment="1">
      <alignment horizontal="left" vertical="center" wrapText="1"/>
    </xf>
    <xf numFmtId="14" fontId="42" fillId="0" borderId="1" xfId="0" applyNumberFormat="1" applyFont="1" applyBorder="1" applyAlignment="1">
      <alignment horizontal="center" vertical="center" wrapText="1"/>
    </xf>
    <xf numFmtId="14" fontId="42" fillId="0" borderId="1" xfId="6" quotePrefix="1" applyNumberFormat="1" applyFont="1" applyBorder="1" applyAlignment="1">
      <alignment horizontal="center" vertical="center" wrapText="1"/>
    </xf>
    <xf numFmtId="0" fontId="42" fillId="0" borderId="1" xfId="0" quotePrefix="1" applyFont="1" applyBorder="1" applyAlignment="1">
      <alignment horizontal="center" vertical="center" wrapText="1"/>
    </xf>
    <xf numFmtId="9" fontId="42" fillId="0" borderId="1" xfId="0" applyNumberFormat="1" applyFont="1" applyBorder="1" applyAlignment="1">
      <alignment vertical="center" wrapText="1"/>
    </xf>
    <xf numFmtId="0" fontId="42" fillId="0" borderId="1" xfId="0" applyFont="1" applyBorder="1" applyAlignment="1">
      <alignment vertical="center" wrapText="1"/>
    </xf>
    <xf numFmtId="0" fontId="20" fillId="0" borderId="1" xfId="0" applyFont="1" applyBorder="1" applyAlignment="1">
      <alignment horizontal="center" vertical="center"/>
    </xf>
    <xf numFmtId="9" fontId="18" fillId="0" borderId="1" xfId="6" quotePrefix="1" applyNumberFormat="1" applyFont="1" applyBorder="1" applyAlignment="1">
      <alignment horizontal="left" vertical="center" wrapText="1"/>
    </xf>
    <xf numFmtId="0" fontId="18" fillId="0" borderId="1" xfId="0" quotePrefix="1" applyFont="1" applyBorder="1" applyAlignment="1">
      <alignment horizontal="center" vertical="center" wrapText="1"/>
    </xf>
    <xf numFmtId="0" fontId="21" fillId="3" borderId="1" xfId="0" quotePrefix="1" applyFont="1" applyFill="1" applyBorder="1" applyAlignment="1">
      <alignment horizontal="left" vertical="center"/>
    </xf>
    <xf numFmtId="9" fontId="42" fillId="0" borderId="1" xfId="0" applyNumberFormat="1" applyFont="1" applyBorder="1" applyAlignment="1">
      <alignment horizontal="center" vertical="center" wrapText="1"/>
    </xf>
    <xf numFmtId="0" fontId="42" fillId="0" borderId="1" xfId="0" applyFont="1" applyBorder="1" applyAlignment="1">
      <alignment horizontal="center" vertical="center" wrapText="1"/>
    </xf>
    <xf numFmtId="9" fontId="19" fillId="0" borderId="1" xfId="6" quotePrefix="1" applyNumberFormat="1" applyFont="1" applyBorder="1" applyAlignment="1">
      <alignment horizontal="center" vertical="center" wrapText="1"/>
    </xf>
    <xf numFmtId="9" fontId="19" fillId="0" borderId="1" xfId="6" quotePrefix="1" applyNumberFormat="1" applyFont="1" applyBorder="1" applyAlignment="1">
      <alignment horizontal="left" vertical="center" wrapText="1"/>
    </xf>
    <xf numFmtId="14" fontId="19" fillId="0" borderId="1" xfId="0" applyNumberFormat="1" applyFont="1" applyBorder="1" applyAlignment="1">
      <alignment horizontal="center" vertical="center" wrapText="1"/>
    </xf>
    <xf numFmtId="0" fontId="19" fillId="0" borderId="1" xfId="0" quotePrefix="1" applyFont="1" applyBorder="1" applyAlignment="1">
      <alignment horizontal="center" vertical="center" wrapText="1"/>
    </xf>
    <xf numFmtId="0" fontId="19" fillId="0" borderId="0" xfId="0" applyFont="1" applyAlignment="1">
      <alignment vertical="center" wrapText="1"/>
    </xf>
    <xf numFmtId="9" fontId="19" fillId="0" borderId="1" xfId="0" applyNumberFormat="1" applyFont="1" applyBorder="1" applyAlignment="1">
      <alignment horizontal="center" vertical="center" wrapText="1"/>
    </xf>
    <xf numFmtId="0" fontId="42" fillId="0" borderId="12" xfId="0" applyFont="1" applyBorder="1" applyAlignment="1">
      <alignment horizontal="center" vertical="center" wrapText="1"/>
    </xf>
    <xf numFmtId="9" fontId="42" fillId="0" borderId="12" xfId="0" applyNumberFormat="1" applyFont="1" applyBorder="1" applyAlignment="1">
      <alignment horizontal="center" vertical="center" wrapText="1"/>
    </xf>
    <xf numFmtId="0" fontId="42" fillId="0" borderId="12" xfId="6" quotePrefix="1" applyFont="1" applyBorder="1" applyAlignment="1">
      <alignment horizontal="left" vertical="center" wrapText="1"/>
    </xf>
    <xf numFmtId="0" fontId="42" fillId="0" borderId="12" xfId="6" quotePrefix="1" applyFont="1" applyBorder="1" applyAlignment="1">
      <alignment horizontal="center" vertical="center" wrapText="1"/>
    </xf>
    <xf numFmtId="9" fontId="19" fillId="0" borderId="12" xfId="0" applyNumberFormat="1" applyFont="1" applyBorder="1" applyAlignment="1">
      <alignment horizontal="center" vertical="center" wrapText="1"/>
    </xf>
    <xf numFmtId="9" fontId="19" fillId="0" borderId="12" xfId="6" quotePrefix="1" applyNumberFormat="1" applyFont="1" applyBorder="1" applyAlignment="1">
      <alignment horizontal="left" vertical="center" wrapText="1"/>
    </xf>
    <xf numFmtId="0" fontId="18" fillId="0" borderId="1" xfId="0" applyFont="1" applyBorder="1" applyAlignment="1">
      <alignment vertical="center" wrapText="1"/>
    </xf>
    <xf numFmtId="9" fontId="18" fillId="0" borderId="1" xfId="0" applyNumberFormat="1" applyFont="1" applyBorder="1" applyAlignment="1">
      <alignment vertical="center" wrapText="1"/>
    </xf>
    <xf numFmtId="0" fontId="19" fillId="0" borderId="1" xfId="0" applyFont="1" applyBorder="1" applyAlignment="1">
      <alignment vertical="center" wrapText="1"/>
    </xf>
    <xf numFmtId="0" fontId="20" fillId="3" borderId="1" xfId="0" quotePrefix="1" applyFont="1" applyFill="1" applyBorder="1" applyAlignment="1">
      <alignment horizontal="left" vertical="center" wrapText="1"/>
    </xf>
    <xf numFmtId="0" fontId="21" fillId="3" borderId="1" xfId="0" quotePrefix="1" applyFont="1" applyFill="1" applyBorder="1" applyAlignment="1">
      <alignment horizontal="center" vertical="center" wrapText="1"/>
    </xf>
    <xf numFmtId="0" fontId="21" fillId="0" borderId="1" xfId="0" applyFont="1" applyBorder="1" applyAlignment="1">
      <alignment vertical="center"/>
    </xf>
    <xf numFmtId="0" fontId="20" fillId="12" borderId="1" xfId="0" applyFont="1" applyFill="1" applyBorder="1" applyAlignment="1">
      <alignment horizontal="center" vertical="center" wrapText="1"/>
    </xf>
    <xf numFmtId="0" fontId="20" fillId="12" borderId="2" xfId="0" applyFont="1" applyFill="1" applyBorder="1" applyAlignment="1">
      <alignment horizontal="left" vertical="center" wrapText="1"/>
    </xf>
    <xf numFmtId="9" fontId="20" fillId="12" borderId="2" xfId="0" applyNumberFormat="1" applyFont="1" applyFill="1" applyBorder="1" applyAlignment="1">
      <alignment horizontal="center" vertical="center" wrapText="1"/>
    </xf>
    <xf numFmtId="0" fontId="20" fillId="3" borderId="1" xfId="0" applyFont="1" applyFill="1" applyBorder="1" applyAlignment="1">
      <alignment horizontal="center" vertical="center" wrapText="1"/>
    </xf>
    <xf numFmtId="0" fontId="20" fillId="3" borderId="2" xfId="0" applyFont="1" applyFill="1" applyBorder="1" applyAlignment="1">
      <alignment horizontal="left" vertical="center" wrapText="1"/>
    </xf>
    <xf numFmtId="9" fontId="20" fillId="3" borderId="2" xfId="0" applyNumberFormat="1" applyFont="1" applyFill="1" applyBorder="1" applyAlignment="1">
      <alignment horizontal="center" vertical="center" wrapText="1"/>
    </xf>
    <xf numFmtId="0" fontId="20" fillId="3" borderId="1" xfId="0" applyFont="1" applyFill="1" applyBorder="1" applyAlignment="1">
      <alignment horizontal="left" vertical="center" wrapText="1"/>
    </xf>
    <xf numFmtId="0" fontId="20" fillId="3" borderId="3" xfId="0" applyFont="1" applyFill="1" applyBorder="1" applyAlignment="1">
      <alignment horizontal="left" vertical="center" wrapText="1"/>
    </xf>
    <xf numFmtId="0" fontId="20" fillId="3" borderId="4" xfId="0" applyFont="1" applyFill="1" applyBorder="1" applyAlignment="1">
      <alignment horizontal="left" vertical="center" wrapText="1"/>
    </xf>
    <xf numFmtId="0" fontId="19" fillId="12" borderId="0" xfId="0" applyFont="1" applyFill="1" applyAlignment="1">
      <alignment vertical="center"/>
    </xf>
    <xf numFmtId="0" fontId="18" fillId="0" borderId="1" xfId="5" applyFont="1" applyBorder="1" applyAlignment="1">
      <alignment horizontal="center" vertical="center" wrapText="1"/>
    </xf>
    <xf numFmtId="9" fontId="18" fillId="0" borderId="1" xfId="5" applyNumberFormat="1" applyFont="1" applyBorder="1" applyAlignment="1">
      <alignment horizontal="center" vertical="center" wrapText="1"/>
    </xf>
    <xf numFmtId="0" fontId="42" fillId="3" borderId="1" xfId="6" quotePrefix="1" applyFont="1" applyFill="1" applyBorder="1" applyAlignment="1">
      <alignment horizontal="center" vertical="center" wrapText="1"/>
    </xf>
    <xf numFmtId="9" fontId="21" fillId="3" borderId="1" xfId="0" quotePrefix="1" applyNumberFormat="1" applyFont="1" applyFill="1" applyBorder="1" applyAlignment="1">
      <alignment horizontal="center" vertical="center" wrapText="1"/>
    </xf>
    <xf numFmtId="9" fontId="42" fillId="3" borderId="1" xfId="6" quotePrefix="1" applyNumberFormat="1" applyFont="1" applyFill="1" applyBorder="1" applyAlignment="1">
      <alignment horizontal="center" vertical="center" wrapText="1"/>
    </xf>
    <xf numFmtId="0" fontId="21" fillId="0" borderId="0" xfId="0" quotePrefix="1" applyFont="1" applyAlignment="1">
      <alignment horizontal="center" vertical="center"/>
    </xf>
    <xf numFmtId="0" fontId="18" fillId="0" borderId="0" xfId="0" applyFont="1" applyAlignment="1">
      <alignment vertical="center" wrapText="1"/>
    </xf>
    <xf numFmtId="9" fontId="43" fillId="0" borderId="0" xfId="0" applyNumberFormat="1" applyFont="1" applyAlignment="1">
      <alignment horizontal="center" vertical="center" wrapText="1"/>
    </xf>
    <xf numFmtId="9" fontId="18" fillId="0" borderId="0" xfId="0" applyNumberFormat="1" applyFont="1" applyAlignment="1">
      <alignment horizontal="center" vertical="center" wrapText="1"/>
    </xf>
    <xf numFmtId="0" fontId="43" fillId="0" borderId="0" xfId="0" applyFont="1" applyAlignment="1">
      <alignment horizontal="center" vertical="center" wrapText="1"/>
    </xf>
    <xf numFmtId="0" fontId="43" fillId="0" borderId="0" xfId="0" applyFont="1" applyAlignment="1">
      <alignment vertical="center" wrapText="1"/>
    </xf>
    <xf numFmtId="9" fontId="43" fillId="0" borderId="0" xfId="0" applyNumberFormat="1" applyFont="1" applyAlignment="1">
      <alignment vertical="center" wrapText="1"/>
    </xf>
    <xf numFmtId="0" fontId="44" fillId="0" borderId="0" xfId="0" applyFont="1"/>
    <xf numFmtId="0" fontId="39" fillId="0" borderId="1" xfId="0" applyFont="1" applyBorder="1" applyAlignment="1">
      <alignment horizontal="center" vertical="center"/>
    </xf>
    <xf numFmtId="0" fontId="39" fillId="0" borderId="1" xfId="0" applyFont="1" applyBorder="1" applyAlignment="1">
      <alignment vertical="center" wrapText="1"/>
    </xf>
    <xf numFmtId="0" fontId="2" fillId="9" borderId="1" xfId="0" applyFont="1" applyFill="1" applyBorder="1" applyAlignment="1">
      <alignment horizontal="center" vertical="center" wrapText="1"/>
    </xf>
    <xf numFmtId="0" fontId="0" fillId="4" borderId="1" xfId="0" applyFill="1" applyBorder="1"/>
    <xf numFmtId="0" fontId="0" fillId="4" borderId="1" xfId="0" applyFill="1" applyBorder="1" applyAlignment="1">
      <alignment horizontal="center" vertical="center"/>
    </xf>
    <xf numFmtId="0" fontId="0" fillId="0" borderId="1" xfId="0" applyBorder="1" applyAlignment="1">
      <alignment horizontal="center" vertical="center"/>
    </xf>
    <xf numFmtId="166" fontId="0" fillId="0" borderId="0" xfId="11" applyNumberFormat="1" applyFont="1" applyFill="1"/>
    <xf numFmtId="166" fontId="0" fillId="4" borderId="0" xfId="0" applyNumberFormat="1" applyFill="1"/>
    <xf numFmtId="0" fontId="20" fillId="9" borderId="0" xfId="0" applyFont="1" applyFill="1" applyAlignment="1">
      <alignment horizontal="center" vertical="center" wrapText="1"/>
    </xf>
    <xf numFmtId="0" fontId="1" fillId="9" borderId="0" xfId="0" applyFont="1" applyFill="1" applyAlignment="1">
      <alignment horizontal="center" vertical="center" wrapText="1"/>
    </xf>
    <xf numFmtId="0" fontId="14" fillId="11" borderId="0" xfId="0" applyFont="1" applyFill="1"/>
    <xf numFmtId="0" fontId="42" fillId="11" borderId="0" xfId="0" applyFont="1" applyFill="1" applyAlignment="1">
      <alignment vertical="center" wrapText="1"/>
    </xf>
    <xf numFmtId="0" fontId="19" fillId="2" borderId="1" xfId="0" applyFont="1" applyFill="1" applyBorder="1" applyAlignment="1">
      <alignment horizontal="center" vertical="center" wrapText="1"/>
    </xf>
    <xf numFmtId="0" fontId="21" fillId="7" borderId="1" xfId="0" applyFont="1" applyFill="1" applyBorder="1" applyAlignment="1">
      <alignment horizontal="center" vertical="center" wrapText="1"/>
    </xf>
    <xf numFmtId="0" fontId="42" fillId="3" borderId="1" xfId="0" quotePrefix="1" applyFont="1" applyFill="1" applyBorder="1" applyAlignment="1">
      <alignment horizontal="center" vertical="center"/>
    </xf>
    <xf numFmtId="0" fontId="21" fillId="7" borderId="1" xfId="0" quotePrefix="1" applyFont="1" applyFill="1" applyBorder="1" applyAlignment="1">
      <alignment horizontal="center" vertical="center" wrapText="1"/>
    </xf>
    <xf numFmtId="0" fontId="19" fillId="0" borderId="1" xfId="0" applyFont="1" applyBorder="1" applyAlignment="1">
      <alignment horizontal="center" vertical="center"/>
    </xf>
    <xf numFmtId="0" fontId="19" fillId="11" borderId="1" xfId="0" applyFont="1" applyFill="1" applyBorder="1" applyAlignment="1">
      <alignment vertical="center" wrapText="1"/>
    </xf>
    <xf numFmtId="0" fontId="42" fillId="0" borderId="1" xfId="0" quotePrefix="1" applyFont="1" applyBorder="1" applyAlignment="1">
      <alignment horizontal="center" vertical="center"/>
    </xf>
    <xf numFmtId="9" fontId="4" fillId="0" borderId="1" xfId="0" applyNumberFormat="1" applyFont="1" applyBorder="1" applyAlignment="1">
      <alignment horizontal="center" vertical="center" wrapText="1"/>
    </xf>
    <xf numFmtId="0" fontId="19" fillId="0" borderId="1" xfId="5" quotePrefix="1" applyFont="1" applyBorder="1" applyAlignment="1">
      <alignment horizontal="center" vertical="center" wrapText="1"/>
    </xf>
    <xf numFmtId="0" fontId="19" fillId="0" borderId="1" xfId="6" quotePrefix="1" applyFont="1" applyBorder="1" applyAlignment="1">
      <alignment horizontal="left" vertical="center" wrapText="1"/>
    </xf>
    <xf numFmtId="0" fontId="19" fillId="0" borderId="1" xfId="0" quotePrefix="1" applyFont="1" applyBorder="1" applyAlignment="1">
      <alignment horizontal="left" vertical="center" wrapText="1"/>
    </xf>
    <xf numFmtId="9" fontId="19" fillId="0" borderId="1" xfId="0" quotePrefix="1" applyNumberFormat="1" applyFont="1" applyBorder="1" applyAlignment="1">
      <alignment horizontal="center" vertical="center" wrapText="1"/>
    </xf>
    <xf numFmtId="0" fontId="19" fillId="0" borderId="1" xfId="0" applyFont="1" applyBorder="1" applyAlignment="1">
      <alignment horizontal="center" vertical="center" wrapText="1"/>
    </xf>
    <xf numFmtId="0" fontId="19" fillId="0" borderId="1" xfId="0" quotePrefix="1" applyFont="1" applyBorder="1" applyAlignment="1">
      <alignment vertical="center" wrapText="1"/>
    </xf>
    <xf numFmtId="0" fontId="19" fillId="11" borderId="1" xfId="0" quotePrefix="1" applyFont="1" applyFill="1" applyBorder="1" applyAlignment="1">
      <alignment horizontal="left" vertical="center" wrapText="1"/>
    </xf>
    <xf numFmtId="9" fontId="19" fillId="11" borderId="1" xfId="0" quotePrefix="1" applyNumberFormat="1" applyFont="1" applyFill="1" applyBorder="1" applyAlignment="1">
      <alignment horizontal="center" vertical="center" wrapText="1"/>
    </xf>
    <xf numFmtId="0" fontId="19" fillId="11" borderId="1" xfId="0" applyFont="1" applyFill="1" applyBorder="1" applyAlignment="1">
      <alignment horizontal="center" vertical="center" wrapText="1"/>
    </xf>
    <xf numFmtId="9" fontId="19" fillId="11" borderId="1" xfId="0" applyNumberFormat="1" applyFont="1" applyFill="1" applyBorder="1" applyAlignment="1">
      <alignment horizontal="center" vertical="center" wrapText="1"/>
    </xf>
    <xf numFmtId="0" fontId="19" fillId="11" borderId="1" xfId="0" quotePrefix="1" applyFont="1" applyFill="1" applyBorder="1" applyAlignment="1">
      <alignment vertical="center" wrapText="1"/>
    </xf>
    <xf numFmtId="0" fontId="42" fillId="0" borderId="1" xfId="0" applyFont="1" applyBorder="1" applyAlignment="1">
      <alignment horizontal="left" vertical="center" wrapText="1"/>
    </xf>
    <xf numFmtId="0" fontId="48" fillId="0" borderId="1" xfId="0" applyFont="1" applyBorder="1"/>
    <xf numFmtId="0" fontId="19" fillId="0" borderId="1" xfId="12" quotePrefix="1" applyNumberFormat="1" applyFont="1" applyFill="1" applyBorder="1" applyAlignment="1">
      <alignment horizontal="left" vertical="center" wrapText="1"/>
    </xf>
    <xf numFmtId="9" fontId="19" fillId="11" borderId="1" xfId="6" quotePrefix="1" applyNumberFormat="1" applyFont="1" applyFill="1" applyBorder="1" applyAlignment="1">
      <alignment horizontal="center" vertical="center" wrapText="1"/>
    </xf>
    <xf numFmtId="0" fontId="19" fillId="3" borderId="1" xfId="0" applyFont="1" applyFill="1" applyBorder="1" applyAlignment="1">
      <alignment horizontal="center" vertical="center" wrapText="1"/>
    </xf>
    <xf numFmtId="14" fontId="19" fillId="0" borderId="1" xfId="6" quotePrefix="1" applyNumberFormat="1" applyFont="1" applyBorder="1" applyAlignment="1">
      <alignment horizontal="center" vertical="center" wrapText="1"/>
    </xf>
    <xf numFmtId="0" fontId="42" fillId="11" borderId="1" xfId="6" quotePrefix="1" applyFont="1" applyFill="1" applyBorder="1" applyAlignment="1">
      <alignment horizontal="left" vertical="center" wrapText="1"/>
    </xf>
    <xf numFmtId="9" fontId="42" fillId="11" borderId="1" xfId="6" quotePrefix="1" applyNumberFormat="1" applyFont="1" applyFill="1" applyBorder="1" applyAlignment="1">
      <alignment horizontal="center" vertical="center" wrapText="1"/>
    </xf>
    <xf numFmtId="0" fontId="19" fillId="11" borderId="1" xfId="0" applyFont="1" applyFill="1" applyBorder="1" applyAlignment="1">
      <alignment horizontal="left" vertical="center" wrapText="1"/>
    </xf>
    <xf numFmtId="0" fontId="19" fillId="11" borderId="1" xfId="6" quotePrefix="1" applyFont="1" applyFill="1" applyBorder="1" applyAlignment="1">
      <alignment horizontal="left" vertical="center" wrapText="1"/>
    </xf>
    <xf numFmtId="9" fontId="42" fillId="11" borderId="1" xfId="0" applyNumberFormat="1" applyFont="1" applyFill="1" applyBorder="1" applyAlignment="1">
      <alignment horizontal="center" vertical="center" wrapText="1"/>
    </xf>
    <xf numFmtId="0" fontId="2" fillId="0" borderId="1" xfId="5" applyFont="1" applyBorder="1" applyAlignment="1">
      <alignment horizontal="center" vertical="center" wrapText="1"/>
    </xf>
    <xf numFmtId="0" fontId="4" fillId="0" borderId="0" xfId="0" applyFont="1" applyAlignment="1">
      <alignment horizontal="center" vertical="center" wrapText="1"/>
    </xf>
    <xf numFmtId="0" fontId="48" fillId="0" borderId="0" xfId="0" applyFont="1" applyAlignment="1">
      <alignment wrapText="1"/>
    </xf>
    <xf numFmtId="0" fontId="48" fillId="0" borderId="0" xfId="0" applyFont="1" applyAlignment="1">
      <alignment horizontal="center" vertical="center" wrapText="1"/>
    </xf>
    <xf numFmtId="0" fontId="48" fillId="0" borderId="0" xfId="0" applyFont="1"/>
    <xf numFmtId="0" fontId="21" fillId="13" borderId="1" xfId="0" applyFont="1" applyFill="1" applyBorder="1" applyAlignment="1">
      <alignment horizontal="center" vertical="center" wrapText="1"/>
    </xf>
    <xf numFmtId="0" fontId="21" fillId="13" borderId="1" xfId="0" quotePrefix="1" applyFont="1" applyFill="1" applyBorder="1" applyAlignment="1">
      <alignment horizontal="center" vertical="center" wrapText="1"/>
    </xf>
    <xf numFmtId="0" fontId="42" fillId="0" borderId="1" xfId="0" quotePrefix="1" applyFont="1" applyBorder="1" applyAlignment="1">
      <alignment vertical="center" wrapText="1"/>
    </xf>
    <xf numFmtId="0" fontId="19" fillId="0" borderId="1" xfId="0" applyFont="1" applyBorder="1" applyAlignment="1">
      <alignment vertical="center"/>
    </xf>
    <xf numFmtId="0" fontId="19" fillId="0" borderId="1" xfId="6" quotePrefix="1" applyFont="1" applyBorder="1" applyAlignment="1">
      <alignment horizontal="center" vertical="center" wrapText="1"/>
    </xf>
    <xf numFmtId="0" fontId="20" fillId="15" borderId="1" xfId="0" quotePrefix="1" applyFont="1" applyFill="1" applyBorder="1" applyAlignment="1">
      <alignment horizontal="center" vertical="center" wrapText="1"/>
    </xf>
    <xf numFmtId="0" fontId="20" fillId="15" borderId="1" xfId="0" applyFont="1" applyFill="1" applyBorder="1" applyAlignment="1">
      <alignment horizontal="center" vertical="center" wrapText="1"/>
    </xf>
    <xf numFmtId="0" fontId="19" fillId="3" borderId="1" xfId="0" applyFont="1" applyFill="1" applyBorder="1" applyAlignment="1">
      <alignment vertical="center"/>
    </xf>
    <xf numFmtId="0" fontId="21" fillId="3" borderId="1" xfId="0" applyFont="1" applyFill="1" applyBorder="1" applyAlignment="1">
      <alignment horizontal="center" vertical="center" wrapText="1"/>
    </xf>
    <xf numFmtId="0" fontId="17" fillId="0" borderId="1" xfId="0" applyFont="1" applyBorder="1" applyAlignment="1">
      <alignment horizontal="center" vertical="center" wrapText="1"/>
    </xf>
    <xf numFmtId="0" fontId="18" fillId="0" borderId="1" xfId="6" quotePrefix="1" applyFont="1" applyBorder="1" applyAlignment="1">
      <alignment horizontal="center" vertical="center" wrapText="1"/>
    </xf>
    <xf numFmtId="9" fontId="18" fillId="0" borderId="1" xfId="0" applyNumberFormat="1" applyFont="1" applyBorder="1" applyAlignment="1">
      <alignment horizontal="center" vertical="center" wrapText="1"/>
    </xf>
    <xf numFmtId="0" fontId="18" fillId="0" borderId="1" xfId="0" applyFont="1" applyBorder="1" applyAlignment="1">
      <alignment horizontal="center" vertical="center" wrapText="1"/>
    </xf>
    <xf numFmtId="9" fontId="49" fillId="16" borderId="1" xfId="0" applyNumberFormat="1" applyFont="1" applyFill="1" applyBorder="1" applyAlignment="1">
      <alignment horizontal="center" vertical="center" wrapText="1"/>
    </xf>
    <xf numFmtId="0" fontId="42" fillId="0" borderId="0" xfId="0" applyFont="1" applyAlignment="1">
      <alignment horizontal="center" vertical="center" wrapText="1"/>
    </xf>
    <xf numFmtId="0" fontId="42" fillId="0" borderId="0" xfId="0" applyFont="1" applyAlignment="1">
      <alignment vertical="center"/>
    </xf>
    <xf numFmtId="0" fontId="55" fillId="0" borderId="12" xfId="6" quotePrefix="1" applyFont="1" applyBorder="1" applyAlignment="1">
      <alignment horizontal="center" vertical="center" wrapText="1"/>
    </xf>
    <xf numFmtId="9" fontId="55" fillId="0" borderId="12" xfId="6" quotePrefix="1" applyNumberFormat="1" applyFont="1" applyBorder="1" applyAlignment="1">
      <alignment horizontal="center" vertical="center" wrapText="1"/>
    </xf>
    <xf numFmtId="9" fontId="55" fillId="0" borderId="13" xfId="6" quotePrefix="1" applyNumberFormat="1" applyFont="1" applyBorder="1" applyAlignment="1">
      <alignment horizontal="center" vertical="center" wrapText="1"/>
    </xf>
    <xf numFmtId="0" fontId="55" fillId="0" borderId="1" xfId="6" quotePrefix="1" applyFont="1" applyBorder="1" applyAlignment="1">
      <alignment horizontal="left" vertical="center" wrapText="1"/>
    </xf>
    <xf numFmtId="14" fontId="55" fillId="0" borderId="1" xfId="0" applyNumberFormat="1" applyFont="1" applyBorder="1" applyAlignment="1">
      <alignment horizontal="center" vertical="center" wrapText="1"/>
    </xf>
    <xf numFmtId="14" fontId="55" fillId="0" borderId="1" xfId="6" quotePrefix="1" applyNumberFormat="1" applyFont="1" applyBorder="1" applyAlignment="1">
      <alignment horizontal="center" vertical="center" wrapText="1"/>
    </xf>
    <xf numFmtId="0" fontId="55" fillId="0" borderId="1" xfId="0" quotePrefix="1" applyFont="1" applyBorder="1" applyAlignment="1">
      <alignment horizontal="center" vertical="center" wrapText="1"/>
    </xf>
    <xf numFmtId="0" fontId="55" fillId="0" borderId="1" xfId="6" quotePrefix="1" applyFont="1" applyBorder="1" applyAlignment="1">
      <alignment horizontal="center" vertical="center" wrapText="1"/>
    </xf>
    <xf numFmtId="0" fontId="55" fillId="0" borderId="1" xfId="0" applyFont="1" applyBorder="1" applyAlignment="1">
      <alignment vertical="center" wrapText="1"/>
    </xf>
    <xf numFmtId="0" fontId="51" fillId="11" borderId="1" xfId="0" quotePrefix="1" applyFont="1" applyFill="1" applyBorder="1" applyAlignment="1">
      <alignment horizontal="center" vertical="center"/>
    </xf>
    <xf numFmtId="0" fontId="55" fillId="0" borderId="1" xfId="5" quotePrefix="1" applyFont="1" applyBorder="1" applyAlignment="1">
      <alignment horizontal="center" vertical="center" wrapText="1"/>
    </xf>
    <xf numFmtId="9" fontId="55" fillId="0" borderId="1" xfId="6" quotePrefix="1" applyNumberFormat="1" applyFont="1" applyBorder="1" applyAlignment="1">
      <alignment horizontal="center" vertical="center" wrapText="1"/>
    </xf>
    <xf numFmtId="0" fontId="55" fillId="0" borderId="1" xfId="0" quotePrefix="1" applyFont="1" applyBorder="1" applyAlignment="1">
      <alignment vertical="center" wrapText="1"/>
    </xf>
    <xf numFmtId="0" fontId="55" fillId="17" borderId="1" xfId="0" applyFont="1" applyFill="1" applyBorder="1" applyAlignment="1">
      <alignment vertical="center" wrapText="1"/>
    </xf>
    <xf numFmtId="0" fontId="55" fillId="17" borderId="1" xfId="0" applyFont="1" applyFill="1" applyBorder="1" applyAlignment="1">
      <alignment vertical="center"/>
    </xf>
    <xf numFmtId="0" fontId="55" fillId="11" borderId="1" xfId="5" quotePrefix="1" applyFont="1" applyFill="1" applyBorder="1" applyAlignment="1">
      <alignment horizontal="center" vertical="center" wrapText="1"/>
    </xf>
    <xf numFmtId="0" fontId="55" fillId="11" borderId="1" xfId="6" quotePrefix="1" applyFont="1" applyFill="1" applyBorder="1" applyAlignment="1">
      <alignment horizontal="center" vertical="center" wrapText="1"/>
    </xf>
    <xf numFmtId="9" fontId="55" fillId="11" borderId="13" xfId="0" applyNumberFormat="1" applyFont="1" applyFill="1" applyBorder="1" applyAlignment="1">
      <alignment horizontal="center" vertical="center" wrapText="1"/>
    </xf>
    <xf numFmtId="14" fontId="55" fillId="11" borderId="1" xfId="0" applyNumberFormat="1" applyFont="1" applyFill="1" applyBorder="1" applyAlignment="1">
      <alignment horizontal="center" vertical="center" wrapText="1"/>
    </xf>
    <xf numFmtId="14" fontId="55" fillId="11" borderId="1" xfId="6" quotePrefix="1" applyNumberFormat="1" applyFont="1" applyFill="1" applyBorder="1" applyAlignment="1">
      <alignment horizontal="center" vertical="center" wrapText="1"/>
    </xf>
    <xf numFmtId="0" fontId="55" fillId="11" borderId="1" xfId="0" applyFont="1" applyFill="1" applyBorder="1" applyAlignment="1">
      <alignment horizontal="center" vertical="center" wrapText="1"/>
    </xf>
    <xf numFmtId="0" fontId="55" fillId="11" borderId="1" xfId="0" quotePrefix="1" applyFont="1" applyFill="1" applyBorder="1" applyAlignment="1">
      <alignment horizontal="center" vertical="center" wrapText="1"/>
    </xf>
    <xf numFmtId="0" fontId="55" fillId="0" borderId="1" xfId="0" applyFont="1" applyBorder="1" applyAlignment="1">
      <alignment vertical="center"/>
    </xf>
    <xf numFmtId="0" fontId="51" fillId="11" borderId="1" xfId="0" applyFont="1" applyFill="1" applyBorder="1" applyAlignment="1">
      <alignment horizontal="center" vertical="center"/>
    </xf>
    <xf numFmtId="9" fontId="55" fillId="0" borderId="1" xfId="0" applyNumberFormat="1" applyFont="1" applyBorder="1" applyAlignment="1">
      <alignment horizontal="center" vertical="center" wrapText="1"/>
    </xf>
    <xf numFmtId="0" fontId="55" fillId="11" borderId="1" xfId="0" quotePrefix="1" applyFont="1" applyFill="1" applyBorder="1" applyAlignment="1">
      <alignment vertical="center" wrapText="1"/>
    </xf>
    <xf numFmtId="0" fontId="55" fillId="0" borderId="12" xfId="6" quotePrefix="1" applyFont="1" applyBorder="1" applyAlignment="1">
      <alignment horizontal="left" vertical="center" wrapText="1"/>
    </xf>
    <xf numFmtId="9" fontId="55" fillId="0" borderId="12" xfId="0" applyNumberFormat="1" applyFont="1" applyBorder="1" applyAlignment="1">
      <alignment horizontal="center" vertical="center" wrapText="1"/>
    </xf>
    <xf numFmtId="0" fontId="55" fillId="0" borderId="12" xfId="0" applyFont="1" applyBorder="1" applyAlignment="1">
      <alignment horizontal="center" vertical="center" wrapText="1"/>
    </xf>
    <xf numFmtId="0" fontId="56" fillId="0" borderId="1" xfId="0" applyFont="1" applyBorder="1" applyAlignment="1">
      <alignment vertical="center" wrapText="1"/>
    </xf>
    <xf numFmtId="0" fontId="51" fillId="0" borderId="1" xfId="0" quotePrefix="1" applyFont="1" applyBorder="1" applyAlignment="1">
      <alignment horizontal="center" vertical="center"/>
    </xf>
    <xf numFmtId="9" fontId="55" fillId="0" borderId="1" xfId="6" quotePrefix="1" applyNumberFormat="1" applyFont="1" applyBorder="1" applyAlignment="1">
      <alignment horizontal="left" vertical="center" wrapText="1"/>
    </xf>
    <xf numFmtId="0" fontId="42" fillId="11" borderId="0" xfId="0" applyFont="1" applyFill="1" applyAlignment="1">
      <alignment vertical="center"/>
    </xf>
    <xf numFmtId="0" fontId="55" fillId="11" borderId="1" xfId="6" quotePrefix="1" applyFont="1" applyFill="1" applyBorder="1" applyAlignment="1">
      <alignment horizontal="left" vertical="center" wrapText="1"/>
    </xf>
    <xf numFmtId="9" fontId="55" fillId="0" borderId="1" xfId="0" applyNumberFormat="1" applyFont="1" applyBorder="1" applyAlignment="1">
      <alignment vertical="center" wrapText="1"/>
    </xf>
    <xf numFmtId="9" fontId="55" fillId="11" borderId="1" xfId="6" quotePrefix="1" applyNumberFormat="1" applyFont="1" applyFill="1" applyBorder="1" applyAlignment="1">
      <alignment horizontal="left" vertical="center" wrapText="1"/>
    </xf>
    <xf numFmtId="0" fontId="55" fillId="0" borderId="12" xfId="5" quotePrefix="1" applyFont="1" applyBorder="1" applyAlignment="1">
      <alignment vertical="center" wrapText="1"/>
    </xf>
    <xf numFmtId="0" fontId="55" fillId="0" borderId="13" xfId="5" quotePrefix="1" applyFont="1" applyBorder="1" applyAlignment="1">
      <alignment vertical="center" wrapText="1"/>
    </xf>
    <xf numFmtId="0" fontId="51" fillId="0" borderId="1" xfId="0" applyFont="1" applyBorder="1" applyAlignment="1">
      <alignment horizontal="center" vertical="center"/>
    </xf>
    <xf numFmtId="0" fontId="56" fillId="0" borderId="1" xfId="0" applyFont="1" applyBorder="1" applyAlignment="1">
      <alignment vertical="center"/>
    </xf>
    <xf numFmtId="0" fontId="55" fillId="0" borderId="1" xfId="0" applyFont="1" applyBorder="1" applyAlignment="1">
      <alignment horizontal="center" vertical="center" wrapText="1"/>
    </xf>
    <xf numFmtId="9" fontId="54" fillId="11" borderId="1" xfId="0" applyNumberFormat="1" applyFont="1" applyFill="1" applyBorder="1" applyAlignment="1">
      <alignment horizontal="center" vertical="center" wrapText="1"/>
    </xf>
    <xf numFmtId="9" fontId="55" fillId="11" borderId="1" xfId="0" applyNumberFormat="1" applyFont="1" applyFill="1" applyBorder="1" applyAlignment="1">
      <alignment horizontal="center" vertical="center" wrapText="1"/>
    </xf>
    <xf numFmtId="0" fontId="55" fillId="11" borderId="1" xfId="0" applyFont="1" applyFill="1" applyBorder="1" applyAlignment="1">
      <alignment vertical="center" wrapText="1"/>
    </xf>
    <xf numFmtId="0" fontId="54" fillId="11" borderId="1" xfId="0" applyFont="1" applyFill="1" applyBorder="1" applyAlignment="1">
      <alignment vertical="center" wrapText="1"/>
    </xf>
    <xf numFmtId="0" fontId="55" fillId="0" borderId="0" xfId="0" applyFont="1" applyAlignment="1">
      <alignment vertical="center" wrapText="1"/>
    </xf>
    <xf numFmtId="9" fontId="42" fillId="0" borderId="0" xfId="0" applyNumberFormat="1" applyFont="1" applyAlignment="1">
      <alignment horizontal="center" vertical="center" wrapText="1"/>
    </xf>
    <xf numFmtId="0" fontId="47" fillId="11" borderId="0" xfId="0" applyFont="1" applyFill="1" applyAlignment="1">
      <alignment horizontal="center" vertical="center" wrapText="1"/>
    </xf>
    <xf numFmtId="0" fontId="50" fillId="2" borderId="1" xfId="0" applyFont="1" applyFill="1" applyBorder="1" applyAlignment="1">
      <alignment horizontal="center" vertical="center" wrapText="1"/>
    </xf>
    <xf numFmtId="9" fontId="50" fillId="2" borderId="12" xfId="0" applyNumberFormat="1" applyFont="1" applyFill="1" applyBorder="1" applyAlignment="1">
      <alignment horizontal="center" vertical="center" wrapText="1"/>
    </xf>
    <xf numFmtId="9" fontId="50" fillId="2" borderId="1" xfId="0" applyNumberFormat="1" applyFont="1" applyFill="1" applyBorder="1" applyAlignment="1">
      <alignment horizontal="center" vertical="center" wrapText="1"/>
    </xf>
    <xf numFmtId="0" fontId="50" fillId="17" borderId="1" xfId="0" quotePrefix="1" applyFont="1" applyFill="1" applyBorder="1" applyAlignment="1">
      <alignment horizontal="center" vertical="center"/>
    </xf>
    <xf numFmtId="0" fontId="50" fillId="17" borderId="1" xfId="0" quotePrefix="1" applyFont="1" applyFill="1" applyBorder="1" applyAlignment="1">
      <alignment horizontal="left" vertical="center" wrapText="1"/>
    </xf>
    <xf numFmtId="0" fontId="50" fillId="17" borderId="1" xfId="0" quotePrefix="1" applyFont="1" applyFill="1" applyBorder="1" applyAlignment="1">
      <alignment horizontal="center" vertical="center" wrapText="1"/>
    </xf>
    <xf numFmtId="0" fontId="50" fillId="17" borderId="2" xfId="0" quotePrefix="1" applyFont="1" applyFill="1" applyBorder="1" applyAlignment="1">
      <alignment horizontal="center" vertical="center" wrapText="1"/>
    </xf>
    <xf numFmtId="9" fontId="58" fillId="17" borderId="1" xfId="0" quotePrefix="1" applyNumberFormat="1" applyFont="1" applyFill="1" applyBorder="1" applyAlignment="1">
      <alignment horizontal="center" vertical="center" wrapText="1"/>
    </xf>
    <xf numFmtId="9" fontId="50" fillId="17" borderId="4" xfId="0" quotePrefix="1" applyNumberFormat="1" applyFont="1" applyFill="1" applyBorder="1" applyAlignment="1">
      <alignment horizontal="left" vertical="center" wrapText="1"/>
    </xf>
    <xf numFmtId="0" fontId="50" fillId="17" borderId="1" xfId="0" quotePrefix="1" applyFont="1" applyFill="1" applyBorder="1" applyAlignment="1">
      <alignment vertical="center" wrapText="1"/>
    </xf>
    <xf numFmtId="0" fontId="50" fillId="17" borderId="1" xfId="0" quotePrefix="1" applyFont="1" applyFill="1" applyBorder="1" applyAlignment="1">
      <alignment horizontal="left" vertical="center"/>
    </xf>
    <xf numFmtId="9" fontId="50" fillId="17" borderId="4" xfId="0" quotePrefix="1" applyNumberFormat="1" applyFont="1" applyFill="1" applyBorder="1" applyAlignment="1">
      <alignment horizontal="center" vertical="center" wrapText="1"/>
    </xf>
    <xf numFmtId="0" fontId="42" fillId="0" borderId="0" xfId="0" quotePrefix="1" applyFont="1" applyAlignment="1">
      <alignment vertical="center" wrapText="1"/>
    </xf>
    <xf numFmtId="0" fontId="59" fillId="17" borderId="1" xfId="0" applyFont="1" applyFill="1" applyBorder="1" applyAlignment="1">
      <alignment vertical="center" wrapText="1"/>
    </xf>
    <xf numFmtId="0" fontId="59" fillId="17" borderId="1" xfId="0" applyFont="1" applyFill="1" applyBorder="1" applyAlignment="1">
      <alignment vertical="center"/>
    </xf>
    <xf numFmtId="0" fontId="50" fillId="17" borderId="1" xfId="0" applyFont="1" applyFill="1" applyBorder="1" applyAlignment="1">
      <alignment horizontal="center" vertical="center" wrapText="1"/>
    </xf>
    <xf numFmtId="0" fontId="50" fillId="17" borderId="4" xfId="0" applyFont="1" applyFill="1" applyBorder="1" applyAlignment="1">
      <alignment horizontal="left" vertical="center" wrapText="1"/>
    </xf>
    <xf numFmtId="0" fontId="50" fillId="17" borderId="3" xfId="0" applyFont="1" applyFill="1" applyBorder="1" applyAlignment="1">
      <alignment horizontal="left" vertical="center" wrapText="1"/>
    </xf>
    <xf numFmtId="0" fontId="50" fillId="17" borderId="1" xfId="5" quotePrefix="1" applyFont="1" applyFill="1" applyBorder="1" applyAlignment="1">
      <alignment horizontal="center" vertical="center" wrapText="1"/>
    </xf>
    <xf numFmtId="0" fontId="59" fillId="17" borderId="1" xfId="6" quotePrefix="1" applyFont="1" applyFill="1" applyBorder="1" applyAlignment="1">
      <alignment horizontal="center" vertical="center" wrapText="1"/>
    </xf>
    <xf numFmtId="0" fontId="59" fillId="17" borderId="2" xfId="6" quotePrefix="1" applyFont="1" applyFill="1" applyBorder="1" applyAlignment="1">
      <alignment horizontal="center" vertical="center" wrapText="1"/>
    </xf>
    <xf numFmtId="9" fontId="59" fillId="17" borderId="4" xfId="6" quotePrefix="1" applyNumberFormat="1" applyFont="1" applyFill="1" applyBorder="1" applyAlignment="1">
      <alignment horizontal="center" vertical="center" wrapText="1"/>
    </xf>
    <xf numFmtId="0" fontId="42" fillId="19" borderId="0" xfId="0" applyFont="1" applyFill="1" applyAlignment="1">
      <alignment vertical="center" wrapText="1"/>
    </xf>
    <xf numFmtId="0" fontId="20" fillId="19" borderId="1" xfId="0" applyFont="1" applyFill="1" applyBorder="1" applyAlignment="1">
      <alignment horizontal="center" vertical="center" wrapText="1"/>
    </xf>
    <xf numFmtId="0" fontId="20" fillId="14" borderId="1" xfId="0" quotePrefix="1" applyFont="1" applyFill="1" applyBorder="1" applyAlignment="1">
      <alignment horizontal="center" vertical="center" wrapText="1"/>
    </xf>
    <xf numFmtId="0" fontId="20" fillId="14" borderId="1" xfId="0" applyFont="1" applyFill="1" applyBorder="1" applyAlignment="1">
      <alignment horizontal="center" vertical="center" wrapText="1"/>
    </xf>
    <xf numFmtId="0" fontId="21" fillId="19" borderId="2" xfId="0" quotePrefix="1" applyFont="1" applyFill="1" applyBorder="1" applyAlignment="1">
      <alignment horizontal="center" vertical="center"/>
    </xf>
    <xf numFmtId="0" fontId="19" fillId="3" borderId="1" xfId="0" applyFont="1" applyFill="1" applyBorder="1" applyAlignment="1">
      <alignment vertical="center" wrapText="1"/>
    </xf>
    <xf numFmtId="0" fontId="42" fillId="19" borderId="2" xfId="0" quotePrefix="1" applyFont="1" applyFill="1" applyBorder="1" applyAlignment="1">
      <alignment horizontal="center" vertical="center" wrapText="1"/>
    </xf>
    <xf numFmtId="0" fontId="20" fillId="19" borderId="3" xfId="0" applyFont="1" applyFill="1" applyBorder="1" applyAlignment="1">
      <alignment horizontal="left" vertical="center" wrapText="1"/>
    </xf>
    <xf numFmtId="16" fontId="19" fillId="0" borderId="1" xfId="0" applyNumberFormat="1" applyFont="1" applyBorder="1" applyAlignment="1">
      <alignment vertical="center"/>
    </xf>
    <xf numFmtId="0" fontId="18" fillId="19" borderId="2" xfId="0" quotePrefix="1" applyFont="1" applyFill="1" applyBorder="1" applyAlignment="1">
      <alignment horizontal="center" vertical="center" wrapText="1"/>
    </xf>
    <xf numFmtId="0" fontId="32" fillId="0" borderId="1" xfId="0" applyFont="1" applyBorder="1" applyAlignment="1">
      <alignment vertical="center" wrapText="1"/>
    </xf>
    <xf numFmtId="9" fontId="49" fillId="16" borderId="3" xfId="0" applyNumberFormat="1" applyFont="1" applyFill="1" applyBorder="1" applyAlignment="1">
      <alignment horizontal="center" vertical="center" wrapText="1"/>
    </xf>
    <xf numFmtId="0" fontId="42" fillId="19" borderId="3" xfId="0" applyFont="1" applyFill="1" applyBorder="1" applyAlignment="1">
      <alignment vertical="center" wrapText="1"/>
    </xf>
    <xf numFmtId="0" fontId="62" fillId="0" borderId="1" xfId="0" applyFont="1" applyBorder="1" applyAlignment="1">
      <alignment vertical="center" wrapText="1"/>
    </xf>
    <xf numFmtId="0" fontId="21" fillId="7" borderId="0" xfId="0" applyFont="1" applyFill="1" applyAlignment="1">
      <alignment horizontal="center" vertical="center" wrapText="1"/>
    </xf>
    <xf numFmtId="9" fontId="42" fillId="0" borderId="0" xfId="6" quotePrefix="1" applyNumberFormat="1" applyFont="1" applyAlignment="1">
      <alignment horizontal="left" vertical="center" wrapText="1"/>
    </xf>
    <xf numFmtId="0" fontId="19" fillId="9" borderId="2" xfId="0" applyFont="1" applyFill="1" applyBorder="1" applyAlignment="1">
      <alignment horizontal="center" vertical="center"/>
    </xf>
    <xf numFmtId="0" fontId="19" fillId="9" borderId="4" xfId="0" applyFont="1" applyFill="1" applyBorder="1" applyAlignment="1">
      <alignment horizontal="center" vertical="center"/>
    </xf>
    <xf numFmtId="0" fontId="20" fillId="10" borderId="1" xfId="0" applyFont="1" applyFill="1" applyBorder="1" applyAlignment="1">
      <alignment horizontal="center" vertical="center"/>
    </xf>
    <xf numFmtId="0" fontId="20" fillId="9"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19" fillId="9" borderId="1" xfId="0" applyFont="1" applyFill="1" applyBorder="1" applyAlignment="1">
      <alignment horizontal="center" vertical="center" wrapText="1"/>
    </xf>
    <xf numFmtId="0" fontId="20" fillId="9" borderId="1" xfId="0" applyFont="1" applyFill="1" applyBorder="1" applyAlignment="1">
      <alignment horizontal="center" vertical="center"/>
    </xf>
    <xf numFmtId="0" fontId="17" fillId="9" borderId="1" xfId="0" applyFont="1" applyFill="1" applyBorder="1" applyAlignment="1">
      <alignment horizontal="center" vertical="top" wrapText="1"/>
    </xf>
    <xf numFmtId="0" fontId="17" fillId="4" borderId="1" xfId="0" applyFont="1" applyFill="1" applyBorder="1" applyAlignment="1">
      <alignment horizontal="center" vertical="top" wrapText="1"/>
    </xf>
    <xf numFmtId="0" fontId="21" fillId="9" borderId="6" xfId="0" applyFont="1" applyFill="1" applyBorder="1" applyAlignment="1">
      <alignment horizontal="center" vertical="top" wrapText="1"/>
    </xf>
    <xf numFmtId="0" fontId="22" fillId="4" borderId="1" xfId="0" applyFont="1" applyFill="1" applyBorder="1" applyAlignment="1">
      <alignment horizontal="center" vertical="center" wrapText="1"/>
    </xf>
    <xf numFmtId="0" fontId="17" fillId="9" borderId="0" xfId="0" applyFont="1" applyFill="1" applyAlignment="1">
      <alignment horizontal="center" vertical="top" wrapText="1"/>
    </xf>
    <xf numFmtId="0" fontId="45" fillId="6" borderId="0" xfId="0" applyFont="1" applyFill="1" applyAlignment="1">
      <alignment horizontal="center" vertical="center" wrapText="1"/>
    </xf>
    <xf numFmtId="0" fontId="19" fillId="9" borderId="6" xfId="0" applyFont="1" applyFill="1" applyBorder="1" applyAlignment="1">
      <alignment horizontal="center"/>
    </xf>
    <xf numFmtId="0" fontId="19" fillId="9" borderId="6" xfId="0" applyFont="1" applyFill="1" applyBorder="1" applyAlignment="1">
      <alignment horizontal="center" wrapText="1"/>
    </xf>
    <xf numFmtId="0" fontId="19" fillId="9" borderId="0" xfId="0" applyFont="1" applyFill="1" applyAlignment="1">
      <alignment horizontal="center" wrapText="1"/>
    </xf>
    <xf numFmtId="0" fontId="46" fillId="9" borderId="0" xfId="0" applyFont="1" applyFill="1" applyAlignment="1">
      <alignment horizontal="center" vertical="center" wrapText="1"/>
    </xf>
    <xf numFmtId="0" fontId="22" fillId="9" borderId="0" xfId="0" applyFont="1" applyFill="1" applyAlignment="1">
      <alignment horizontal="left" vertical="center"/>
    </xf>
    <xf numFmtId="0" fontId="30" fillId="9" borderId="1" xfId="0" applyFont="1" applyFill="1" applyBorder="1" applyAlignment="1">
      <alignment horizontal="center" vertical="center"/>
    </xf>
    <xf numFmtId="0" fontId="25" fillId="9" borderId="0" xfId="0" applyFont="1" applyFill="1" applyAlignment="1">
      <alignment horizontal="right" vertical="center"/>
    </xf>
    <xf numFmtId="0" fontId="26" fillId="9" borderId="0" xfId="0" applyFont="1" applyFill="1" applyAlignment="1">
      <alignment horizontal="right" vertical="center"/>
    </xf>
    <xf numFmtId="0" fontId="22" fillId="9" borderId="1" xfId="0" applyFont="1" applyFill="1" applyBorder="1" applyAlignment="1">
      <alignment horizontal="center" vertical="center"/>
    </xf>
    <xf numFmtId="0" fontId="22" fillId="4" borderId="2" xfId="0" applyFont="1" applyFill="1" applyBorder="1" applyAlignment="1">
      <alignment horizontal="center" vertical="center" wrapText="1"/>
    </xf>
    <xf numFmtId="0" fontId="22" fillId="4" borderId="3" xfId="0" applyFont="1" applyFill="1" applyBorder="1" applyAlignment="1">
      <alignment horizontal="center" vertical="center" wrapText="1"/>
    </xf>
    <xf numFmtId="0" fontId="22" fillId="4" borderId="4" xfId="0" applyFont="1" applyFill="1" applyBorder="1" applyAlignment="1">
      <alignment horizontal="center" vertical="center" wrapText="1"/>
    </xf>
    <xf numFmtId="0" fontId="33" fillId="9" borderId="6" xfId="0" applyFont="1" applyFill="1" applyBorder="1" applyAlignment="1">
      <alignment horizontal="center" vertical="center"/>
    </xf>
    <xf numFmtId="0" fontId="19" fillId="9" borderId="1" xfId="0" applyFont="1" applyFill="1" applyBorder="1" applyAlignment="1">
      <alignment horizontal="center" vertical="center"/>
    </xf>
    <xf numFmtId="0" fontId="20" fillId="9" borderId="0" xfId="0" applyFont="1" applyFill="1" applyAlignment="1">
      <alignment horizontal="center" vertical="top" wrapText="1"/>
    </xf>
    <xf numFmtId="0" fontId="19" fillId="4" borderId="2" xfId="0" applyFont="1" applyFill="1" applyBorder="1" applyAlignment="1">
      <alignment horizontal="center" vertical="center" wrapText="1"/>
    </xf>
    <xf numFmtId="0" fontId="19" fillId="4" borderId="4" xfId="0" applyFont="1" applyFill="1" applyBorder="1" applyAlignment="1">
      <alignment horizontal="center" vertical="center" wrapText="1"/>
    </xf>
    <xf numFmtId="0" fontId="32" fillId="9" borderId="2" xfId="0" applyFont="1" applyFill="1" applyBorder="1" applyAlignment="1">
      <alignment horizontal="right" vertical="center" wrapText="1"/>
    </xf>
    <xf numFmtId="0" fontId="32" fillId="9" borderId="3" xfId="0" applyFont="1" applyFill="1" applyBorder="1" applyAlignment="1">
      <alignment horizontal="right" vertical="center" wrapText="1"/>
    </xf>
    <xf numFmtId="0" fontId="32" fillId="9" borderId="4" xfId="0" applyFont="1" applyFill="1" applyBorder="1" applyAlignment="1">
      <alignment horizontal="right" vertical="center" wrapText="1"/>
    </xf>
    <xf numFmtId="0" fontId="3" fillId="7" borderId="7" xfId="0" applyFont="1" applyFill="1" applyBorder="1" applyAlignment="1">
      <alignment horizontal="center" vertical="center" wrapText="1"/>
    </xf>
    <xf numFmtId="0" fontId="3" fillId="7" borderId="8" xfId="0" applyFont="1" applyFill="1" applyBorder="1" applyAlignment="1">
      <alignment horizontal="center" vertical="center" wrapText="1"/>
    </xf>
    <xf numFmtId="0" fontId="3" fillId="7" borderId="9"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4" fillId="0" borderId="12" xfId="0" applyFont="1" applyBorder="1" applyAlignment="1">
      <alignment horizontal="center" vertical="center" wrapText="1"/>
    </xf>
    <xf numFmtId="0" fontId="4" fillId="0" borderId="13" xfId="0" applyFont="1" applyBorder="1" applyAlignment="1">
      <alignment horizontal="center" vertical="center" wrapText="1"/>
    </xf>
    <xf numFmtId="0" fontId="1" fillId="0" borderId="12" xfId="5" applyFont="1" applyBorder="1" applyAlignment="1">
      <alignment horizontal="center" vertical="center" wrapText="1"/>
    </xf>
    <xf numFmtId="0" fontId="1" fillId="0" borderId="13" xfId="5" applyFont="1" applyBorder="1" applyAlignment="1">
      <alignment horizontal="center" vertical="center" wrapText="1"/>
    </xf>
    <xf numFmtId="0" fontId="4" fillId="0" borderId="12" xfId="6" quotePrefix="1" applyFont="1" applyBorder="1" applyAlignment="1">
      <alignment horizontal="left" vertical="center" wrapText="1"/>
    </xf>
    <xf numFmtId="0" fontId="4" fillId="0" borderId="13" xfId="6" quotePrefix="1" applyFont="1" applyBorder="1" applyAlignment="1">
      <alignment horizontal="left" vertical="center" wrapText="1"/>
    </xf>
    <xf numFmtId="0" fontId="4" fillId="0" borderId="12" xfId="6" quotePrefix="1" applyFont="1" applyBorder="1" applyAlignment="1">
      <alignment horizontal="center" vertical="center" wrapText="1"/>
    </xf>
    <xf numFmtId="0" fontId="4" fillId="0" borderId="13" xfId="6" quotePrefix="1" applyFont="1" applyBorder="1" applyAlignment="1">
      <alignment horizontal="center" vertical="center" wrapText="1"/>
    </xf>
    <xf numFmtId="9" fontId="1" fillId="0" borderId="12" xfId="0" applyNumberFormat="1" applyFont="1" applyBorder="1" applyAlignment="1">
      <alignment horizontal="center" vertical="center" wrapText="1"/>
    </xf>
    <xf numFmtId="9" fontId="1" fillId="0" borderId="13" xfId="0" applyNumberFormat="1" applyFont="1" applyBorder="1" applyAlignment="1">
      <alignment horizontal="center" vertical="center" wrapText="1"/>
    </xf>
    <xf numFmtId="9" fontId="1" fillId="4" borderId="12" xfId="6" quotePrefix="1" applyNumberFormat="1" applyFont="1" applyFill="1" applyBorder="1" applyAlignment="1">
      <alignment horizontal="left" vertical="center" wrapText="1"/>
    </xf>
    <xf numFmtId="9" fontId="1" fillId="4" borderId="13" xfId="6" quotePrefix="1" applyNumberFormat="1" applyFont="1" applyFill="1" applyBorder="1" applyAlignment="1">
      <alignment horizontal="left" vertical="center" wrapText="1"/>
    </xf>
    <xf numFmtId="14" fontId="1" fillId="0" borderId="12" xfId="0" applyNumberFormat="1" applyFont="1" applyBorder="1" applyAlignment="1">
      <alignment horizontal="center" vertical="center" wrapText="1"/>
    </xf>
    <xf numFmtId="14" fontId="1" fillId="0" borderId="13" xfId="0" applyNumberFormat="1" applyFont="1" applyBorder="1" applyAlignment="1">
      <alignment horizontal="center" vertical="center" wrapText="1"/>
    </xf>
    <xf numFmtId="14" fontId="4" fillId="0" borderId="12" xfId="6" quotePrefix="1" applyNumberFormat="1" applyFont="1" applyBorder="1" applyAlignment="1">
      <alignment horizontal="center" vertical="center" wrapText="1"/>
    </xf>
    <xf numFmtId="14" fontId="4" fillId="0" borderId="13" xfId="6" quotePrefix="1" applyNumberFormat="1" applyFont="1" applyBorder="1" applyAlignment="1">
      <alignment horizontal="center" vertical="center" wrapText="1"/>
    </xf>
    <xf numFmtId="0" fontId="1" fillId="0" borderId="12" xfId="0" quotePrefix="1" applyFont="1" applyBorder="1" applyAlignment="1">
      <alignment horizontal="center" vertical="center" wrapText="1"/>
    </xf>
    <xf numFmtId="0" fontId="1" fillId="0" borderId="13" xfId="0" quotePrefix="1" applyFont="1" applyBorder="1" applyAlignment="1">
      <alignment horizontal="center" vertical="center" wrapText="1"/>
    </xf>
    <xf numFmtId="0" fontId="20" fillId="3" borderId="2" xfId="0" applyFont="1" applyFill="1" applyBorder="1" applyAlignment="1">
      <alignment horizontal="center" vertical="center" wrapText="1"/>
    </xf>
    <xf numFmtId="0" fontId="20" fillId="3" borderId="3" xfId="0" applyFont="1" applyFill="1" applyBorder="1" applyAlignment="1">
      <alignment horizontal="center" vertical="center" wrapText="1"/>
    </xf>
    <xf numFmtId="0" fontId="20" fillId="3" borderId="4" xfId="0" applyFont="1" applyFill="1" applyBorder="1" applyAlignment="1">
      <alignment horizontal="center" vertical="center" wrapText="1"/>
    </xf>
    <xf numFmtId="0" fontId="21" fillId="7" borderId="7" xfId="0" applyFont="1" applyFill="1" applyBorder="1" applyAlignment="1">
      <alignment horizontal="center" vertical="center" wrapText="1"/>
    </xf>
    <xf numFmtId="0" fontId="21" fillId="7" borderId="8" xfId="0" applyFont="1" applyFill="1" applyBorder="1" applyAlignment="1">
      <alignment horizontal="center" vertical="center" wrapText="1"/>
    </xf>
    <xf numFmtId="0" fontId="21" fillId="7" borderId="9" xfId="0" applyFont="1" applyFill="1" applyBorder="1" applyAlignment="1">
      <alignment horizontal="center" vertical="center" wrapText="1"/>
    </xf>
    <xf numFmtId="0" fontId="21" fillId="12" borderId="2" xfId="0" applyFont="1" applyFill="1" applyBorder="1" applyAlignment="1">
      <alignment horizontal="left" vertical="center" wrapText="1"/>
    </xf>
    <xf numFmtId="0" fontId="21" fillId="12" borderId="3" xfId="0" applyFont="1" applyFill="1" applyBorder="1" applyAlignment="1">
      <alignment horizontal="left" vertical="center" wrapText="1"/>
    </xf>
    <xf numFmtId="0" fontId="21" fillId="12" borderId="4" xfId="0" applyFont="1" applyFill="1" applyBorder="1" applyAlignment="1">
      <alignment horizontal="left" vertical="center" wrapText="1"/>
    </xf>
    <xf numFmtId="0" fontId="20" fillId="12" borderId="2" xfId="0" applyFont="1" applyFill="1" applyBorder="1" applyAlignment="1">
      <alignment horizontal="left" vertical="center" wrapText="1"/>
    </xf>
    <xf numFmtId="0" fontId="20" fillId="12" borderId="3" xfId="0" applyFont="1" applyFill="1" applyBorder="1" applyAlignment="1">
      <alignment horizontal="left" vertical="center" wrapText="1"/>
    </xf>
    <xf numFmtId="0" fontId="20" fillId="12" borderId="4" xfId="0" applyFont="1" applyFill="1" applyBorder="1" applyAlignment="1">
      <alignment horizontal="left" vertical="center" wrapText="1"/>
    </xf>
    <xf numFmtId="0" fontId="0" fillId="0" borderId="0" xfId="0" applyAlignment="1">
      <alignment horizontal="center"/>
    </xf>
    <xf numFmtId="0" fontId="47" fillId="11" borderId="0" xfId="0" applyFont="1" applyFill="1" applyAlignment="1">
      <alignment horizontal="center" vertical="center" wrapText="1"/>
    </xf>
    <xf numFmtId="0" fontId="21" fillId="7" borderId="1" xfId="0" applyFont="1" applyFill="1" applyBorder="1" applyAlignment="1">
      <alignment horizontal="center" vertical="center" wrapText="1"/>
    </xf>
    <xf numFmtId="0" fontId="2" fillId="0" borderId="1" xfId="5" applyFont="1" applyBorder="1" applyAlignment="1">
      <alignment horizontal="center" vertical="center" wrapText="1"/>
    </xf>
    <xf numFmtId="0" fontId="47" fillId="0" borderId="14" xfId="0" applyFont="1" applyBorder="1" applyAlignment="1">
      <alignment horizontal="center" vertical="center" wrapText="1"/>
    </xf>
    <xf numFmtId="0" fontId="47" fillId="0" borderId="6" xfId="0" applyFont="1" applyBorder="1" applyAlignment="1">
      <alignment horizontal="center" vertical="center" wrapText="1"/>
    </xf>
    <xf numFmtId="0" fontId="21" fillId="13" borderId="1" xfId="0" applyFont="1" applyFill="1" applyBorder="1" applyAlignment="1">
      <alignment horizontal="center" vertical="center" wrapText="1"/>
    </xf>
    <xf numFmtId="0" fontId="62" fillId="0" borderId="2" xfId="0" applyFont="1" applyBorder="1" applyAlignment="1">
      <alignment horizontal="center" vertical="center" wrapText="1"/>
    </xf>
    <xf numFmtId="0" fontId="62" fillId="0" borderId="3" xfId="0" applyFont="1" applyBorder="1" applyAlignment="1">
      <alignment horizontal="center" vertical="center" wrapText="1"/>
    </xf>
    <xf numFmtId="0" fontId="62" fillId="0" borderId="4" xfId="0" applyFont="1" applyBorder="1" applyAlignment="1">
      <alignment horizontal="center" vertical="center" wrapText="1"/>
    </xf>
    <xf numFmtId="0" fontId="21" fillId="20" borderId="1" xfId="0" applyFont="1" applyFill="1" applyBorder="1" applyAlignment="1">
      <alignment horizontal="center" vertical="center" wrapText="1"/>
    </xf>
    <xf numFmtId="0" fontId="30" fillId="3" borderId="2" xfId="0" applyFont="1" applyFill="1" applyBorder="1" applyAlignment="1">
      <alignment horizontal="center" vertical="center" wrapText="1"/>
    </xf>
    <xf numFmtId="0" fontId="30" fillId="3" borderId="3" xfId="0" applyFont="1" applyFill="1" applyBorder="1" applyAlignment="1">
      <alignment horizontal="center" vertical="center" wrapText="1"/>
    </xf>
    <xf numFmtId="0" fontId="30" fillId="3" borderId="4" xfId="0" applyFont="1" applyFill="1" applyBorder="1" applyAlignment="1">
      <alignment horizontal="center" vertical="center" wrapText="1"/>
    </xf>
    <xf numFmtId="0" fontId="21" fillId="14" borderId="1" xfId="0" applyFont="1" applyFill="1" applyBorder="1" applyAlignment="1">
      <alignment horizontal="center" vertical="center" wrapText="1"/>
    </xf>
    <xf numFmtId="9" fontId="49" fillId="16" borderId="1" xfId="0" applyNumberFormat="1" applyFont="1" applyFill="1" applyBorder="1" applyAlignment="1">
      <alignment horizontal="center" vertical="center" wrapText="1"/>
    </xf>
    <xf numFmtId="9" fontId="49" fillId="16" borderId="3" xfId="0" applyNumberFormat="1" applyFont="1" applyFill="1" applyBorder="1" applyAlignment="1">
      <alignment horizontal="center" vertical="center" wrapText="1"/>
    </xf>
    <xf numFmtId="0" fontId="49" fillId="16" borderId="2" xfId="0" applyFont="1" applyFill="1" applyBorder="1" applyAlignment="1">
      <alignment horizontal="center" vertical="center" wrapText="1"/>
    </xf>
    <xf numFmtId="0" fontId="49" fillId="16" borderId="3" xfId="0" applyFont="1" applyFill="1" applyBorder="1" applyAlignment="1">
      <alignment horizontal="center" vertical="center" wrapText="1"/>
    </xf>
    <xf numFmtId="0" fontId="49" fillId="16" borderId="1" xfId="0" applyFont="1" applyFill="1" applyBorder="1" applyAlignment="1">
      <alignment horizontal="center" vertical="center" wrapText="1"/>
    </xf>
    <xf numFmtId="0" fontId="57" fillId="17" borderId="2" xfId="0" applyFont="1" applyFill="1" applyBorder="1" applyAlignment="1">
      <alignment horizontal="center" vertical="center" wrapText="1"/>
    </xf>
    <xf numFmtId="0" fontId="57" fillId="17" borderId="3" xfId="0" applyFont="1" applyFill="1" applyBorder="1" applyAlignment="1">
      <alignment horizontal="center" vertical="center" wrapText="1"/>
    </xf>
    <xf numFmtId="0" fontId="57" fillId="17" borderId="4" xfId="0" applyFont="1" applyFill="1" applyBorder="1" applyAlignment="1">
      <alignment horizontal="center" vertical="center" wrapText="1"/>
    </xf>
    <xf numFmtId="0" fontId="50" fillId="18" borderId="1" xfId="0" quotePrefix="1" applyFont="1" applyFill="1" applyBorder="1" applyAlignment="1">
      <alignment horizontal="center" vertical="center" wrapText="1"/>
    </xf>
    <xf numFmtId="0" fontId="52" fillId="18" borderId="12" xfId="0" quotePrefix="1" applyFont="1" applyFill="1" applyBorder="1" applyAlignment="1">
      <alignment horizontal="left" vertical="top" wrapText="1"/>
    </xf>
    <xf numFmtId="0" fontId="52" fillId="18" borderId="13" xfId="0" quotePrefix="1" applyFont="1" applyFill="1" applyBorder="1" applyAlignment="1">
      <alignment horizontal="left" vertical="top" wrapText="1"/>
    </xf>
    <xf numFmtId="0" fontId="53" fillId="18" borderId="12" xfId="0" quotePrefix="1" applyFont="1" applyFill="1" applyBorder="1" applyAlignment="1">
      <alignment horizontal="center" vertical="top" wrapText="1"/>
    </xf>
    <xf numFmtId="0" fontId="53" fillId="18" borderId="13" xfId="0" quotePrefix="1" applyFont="1" applyFill="1" applyBorder="1" applyAlignment="1">
      <alignment horizontal="center" vertical="top" wrapText="1"/>
    </xf>
    <xf numFmtId="0" fontId="55" fillId="0" borderId="16" xfId="0" applyFont="1" applyBorder="1" applyAlignment="1">
      <alignment horizontal="center" vertical="center" wrapText="1"/>
    </xf>
    <xf numFmtId="0" fontId="55" fillId="0" borderId="5" xfId="0" applyFont="1" applyBorder="1" applyAlignment="1">
      <alignment horizontal="center" vertical="center" wrapText="1"/>
    </xf>
    <xf numFmtId="0" fontId="55" fillId="0" borderId="17" xfId="0" applyFont="1" applyBorder="1" applyAlignment="1">
      <alignment horizontal="center" vertical="center" wrapText="1"/>
    </xf>
    <xf numFmtId="0" fontId="55" fillId="0" borderId="18" xfId="0" applyFont="1" applyBorder="1" applyAlignment="1">
      <alignment horizontal="center" vertical="center" wrapText="1"/>
    </xf>
    <xf numFmtId="0" fontId="55" fillId="0" borderId="0" xfId="0" applyFont="1" applyAlignment="1">
      <alignment horizontal="center" vertical="center" wrapText="1"/>
    </xf>
    <xf numFmtId="0" fontId="55" fillId="0" borderId="19" xfId="0" applyFont="1" applyBorder="1" applyAlignment="1">
      <alignment horizontal="center" vertical="center" wrapText="1"/>
    </xf>
    <xf numFmtId="0" fontId="55" fillId="0" borderId="14" xfId="0" applyFont="1" applyBorder="1" applyAlignment="1">
      <alignment horizontal="center" vertical="center" wrapText="1"/>
    </xf>
    <xf numFmtId="0" fontId="55" fillId="0" borderId="6" xfId="0" applyFont="1" applyBorder="1" applyAlignment="1">
      <alignment horizontal="center" vertical="center" wrapText="1"/>
    </xf>
    <xf numFmtId="0" fontId="55" fillId="0" borderId="20" xfId="0" applyFont="1" applyBorder="1" applyAlignment="1">
      <alignment horizontal="center" vertical="center" wrapText="1"/>
    </xf>
    <xf numFmtId="0" fontId="50" fillId="11" borderId="1" xfId="5" quotePrefix="1" applyFont="1" applyFill="1" applyBorder="1" applyAlignment="1">
      <alignment horizontal="center" vertical="center" wrapText="1"/>
    </xf>
    <xf numFmtId="0" fontId="55" fillId="0" borderId="12" xfId="6" quotePrefix="1" applyFont="1" applyBorder="1" applyAlignment="1">
      <alignment horizontal="center" vertical="center" wrapText="1"/>
    </xf>
    <xf numFmtId="0" fontId="55" fillId="0" borderId="13" xfId="6" quotePrefix="1" applyFont="1" applyBorder="1" applyAlignment="1">
      <alignment horizontal="center" vertical="center" wrapText="1"/>
    </xf>
    <xf numFmtId="0" fontId="55" fillId="0" borderId="1" xfId="6" quotePrefix="1" applyFont="1" applyBorder="1" applyAlignment="1">
      <alignment horizontal="center" vertical="center" wrapText="1"/>
    </xf>
    <xf numFmtId="0" fontId="50" fillId="17" borderId="2" xfId="0" quotePrefix="1" applyFont="1" applyFill="1" applyBorder="1" applyAlignment="1">
      <alignment horizontal="left" vertical="center" wrapText="1"/>
    </xf>
    <xf numFmtId="0" fontId="50" fillId="17" borderId="3" xfId="0" quotePrefix="1" applyFont="1" applyFill="1" applyBorder="1" applyAlignment="1">
      <alignment horizontal="left" vertical="center" wrapText="1"/>
    </xf>
    <xf numFmtId="0" fontId="55" fillId="11" borderId="2" xfId="0" applyFont="1" applyFill="1" applyBorder="1" applyAlignment="1">
      <alignment horizontal="center" vertical="center" wrapText="1"/>
    </xf>
    <xf numFmtId="0" fontId="55" fillId="11" borderId="3" xfId="0" applyFont="1" applyFill="1" applyBorder="1" applyAlignment="1">
      <alignment horizontal="center" vertical="center" wrapText="1"/>
    </xf>
    <xf numFmtId="0" fontId="55" fillId="11" borderId="4" xfId="0" applyFont="1" applyFill="1" applyBorder="1" applyAlignment="1">
      <alignment horizontal="center" vertical="center" wrapText="1"/>
    </xf>
    <xf numFmtId="0" fontId="60" fillId="11" borderId="1" xfId="0" applyFont="1" applyFill="1" applyBorder="1" applyAlignment="1">
      <alignment horizontal="center" vertical="center" wrapText="1"/>
    </xf>
    <xf numFmtId="0" fontId="51" fillId="11" borderId="12" xfId="0" applyFont="1" applyFill="1" applyBorder="1" applyAlignment="1">
      <alignment horizontal="center" vertical="center"/>
    </xf>
    <xf numFmtId="0" fontId="51" fillId="11" borderId="13" xfId="0" applyFont="1" applyFill="1" applyBorder="1" applyAlignment="1">
      <alignment horizontal="center" vertical="center"/>
    </xf>
    <xf numFmtId="0" fontId="55" fillId="0" borderId="12" xfId="5" quotePrefix="1" applyFont="1" applyBorder="1" applyAlignment="1">
      <alignment horizontal="center" vertical="center" wrapText="1"/>
    </xf>
    <xf numFmtId="0" fontId="55" fillId="0" borderId="13" xfId="5" quotePrefix="1" applyFont="1" applyBorder="1" applyAlignment="1">
      <alignment horizontal="center" vertical="center" wrapText="1"/>
    </xf>
    <xf numFmtId="9" fontId="55" fillId="0" borderId="12" xfId="6" quotePrefix="1" applyNumberFormat="1" applyFont="1" applyBorder="1" applyAlignment="1">
      <alignment horizontal="center" vertical="center" wrapText="1"/>
    </xf>
    <xf numFmtId="9" fontId="55" fillId="0" borderId="13" xfId="6" quotePrefix="1" applyNumberFormat="1" applyFont="1" applyBorder="1" applyAlignment="1">
      <alignment horizontal="center" vertical="center" wrapText="1"/>
    </xf>
    <xf numFmtId="0" fontId="16" fillId="3" borderId="1" xfId="0" applyFont="1" applyFill="1" applyBorder="1" applyAlignment="1">
      <alignment horizontal="center" vertical="center" wrapText="1"/>
    </xf>
    <xf numFmtId="0" fontId="34" fillId="0" borderId="5" xfId="0" applyFont="1" applyBorder="1" applyAlignment="1">
      <alignment horizontal="left" vertical="center" wrapText="1"/>
    </xf>
    <xf numFmtId="0" fontId="34" fillId="0" borderId="5" xfId="0" applyFont="1" applyBorder="1" applyAlignment="1">
      <alignment horizontal="left" vertical="center"/>
    </xf>
    <xf numFmtId="0" fontId="37" fillId="3" borderId="1" xfId="0" applyFont="1" applyFill="1" applyBorder="1" applyAlignment="1">
      <alignment horizontal="center" vertical="center"/>
    </xf>
    <xf numFmtId="0" fontId="4" fillId="0" borderId="12" xfId="5" applyFont="1" applyBorder="1" applyAlignment="1">
      <alignment horizontal="center" vertical="center" wrapText="1"/>
    </xf>
    <xf numFmtId="0" fontId="4" fillId="0" borderId="15" xfId="5" applyFont="1" applyBorder="1" applyAlignment="1">
      <alignment horizontal="center" vertical="center" wrapText="1"/>
    </xf>
    <xf numFmtId="0" fontId="4" fillId="0" borderId="13" xfId="5" applyFont="1" applyBorder="1" applyAlignment="1">
      <alignment horizontal="center" vertical="center" wrapText="1"/>
    </xf>
    <xf numFmtId="9" fontId="1" fillId="0" borderId="12" xfId="6" quotePrefix="1" applyNumberFormat="1" applyFont="1" applyBorder="1" applyAlignment="1">
      <alignment horizontal="center" vertical="center" wrapText="1"/>
    </xf>
    <xf numFmtId="9" fontId="1" fillId="0" borderId="15" xfId="6" quotePrefix="1" applyNumberFormat="1" applyFont="1" applyBorder="1" applyAlignment="1">
      <alignment horizontal="center" vertical="center" wrapText="1"/>
    </xf>
    <xf numFmtId="9" fontId="1" fillId="0" borderId="13" xfId="6" quotePrefix="1" applyNumberFormat="1" applyFont="1" applyBorder="1" applyAlignment="1">
      <alignment horizontal="center" vertical="center" wrapText="1"/>
    </xf>
    <xf numFmtId="9" fontId="4" fillId="0" borderId="12" xfId="6" quotePrefix="1" applyNumberFormat="1" applyFont="1" applyBorder="1" applyAlignment="1">
      <alignment horizontal="center" vertical="center" wrapText="1"/>
    </xf>
    <xf numFmtId="9" fontId="4" fillId="0" borderId="15" xfId="6" quotePrefix="1" applyNumberFormat="1" applyFont="1" applyBorder="1" applyAlignment="1">
      <alignment horizontal="center" vertical="center" wrapText="1"/>
    </xf>
    <xf numFmtId="9" fontId="4" fillId="0" borderId="13" xfId="6" quotePrefix="1" applyNumberFormat="1" applyFont="1" applyBorder="1" applyAlignment="1">
      <alignment horizontal="center" vertical="center" wrapText="1"/>
    </xf>
    <xf numFmtId="0" fontId="4" fillId="0" borderId="15" xfId="6" quotePrefix="1" applyFont="1" applyBorder="1" applyAlignment="1">
      <alignment horizontal="center" vertical="center" wrapText="1"/>
    </xf>
    <xf numFmtId="9" fontId="4" fillId="0" borderId="12" xfId="5" applyNumberFormat="1" applyFont="1" applyBorder="1" applyAlignment="1">
      <alignment horizontal="center" vertical="center" wrapText="1"/>
    </xf>
    <xf numFmtId="9" fontId="1" fillId="0" borderId="15" xfId="0" applyNumberFormat="1" applyFont="1" applyBorder="1" applyAlignment="1">
      <alignment horizontal="center" vertical="center" wrapText="1"/>
    </xf>
    <xf numFmtId="0" fontId="4" fillId="0" borderId="12" xfId="0" quotePrefix="1" applyFont="1" applyBorder="1" applyAlignment="1">
      <alignment horizontal="center" vertical="center"/>
    </xf>
    <xf numFmtId="0" fontId="4" fillId="0" borderId="15" xfId="0" quotePrefix="1" applyFont="1" applyBorder="1" applyAlignment="1">
      <alignment horizontal="center" vertical="center"/>
    </xf>
    <xf numFmtId="0" fontId="4" fillId="0" borderId="13" xfId="0" quotePrefix="1" applyFont="1" applyBorder="1" applyAlignment="1">
      <alignment horizontal="center" vertical="center"/>
    </xf>
    <xf numFmtId="0" fontId="4" fillId="0" borderId="12" xfId="0" quotePrefix="1" applyFont="1" applyBorder="1" applyAlignment="1">
      <alignment horizontal="center" vertical="center" wrapText="1"/>
    </xf>
    <xf numFmtId="0" fontId="4" fillId="0" borderId="15" xfId="0" quotePrefix="1" applyFont="1" applyBorder="1" applyAlignment="1">
      <alignment horizontal="center" vertical="center" wrapText="1"/>
    </xf>
    <xf numFmtId="0" fontId="4" fillId="0" borderId="13" xfId="0" quotePrefix="1" applyFont="1" applyBorder="1" applyAlignment="1">
      <alignment horizontal="center" vertical="center" wrapText="1"/>
    </xf>
    <xf numFmtId="9" fontId="1" fillId="0" borderId="12" xfId="0" quotePrefix="1" applyNumberFormat="1" applyFont="1" applyBorder="1" applyAlignment="1">
      <alignment horizontal="center" vertical="center" wrapText="1"/>
    </xf>
    <xf numFmtId="9" fontId="1" fillId="0" borderId="15" xfId="0" quotePrefix="1" applyNumberFormat="1" applyFont="1" applyBorder="1" applyAlignment="1">
      <alignment horizontal="center" vertical="center" wrapText="1"/>
    </xf>
    <xf numFmtId="9" fontId="1" fillId="0" borderId="13" xfId="0" quotePrefix="1" applyNumberFormat="1" applyFont="1" applyBorder="1" applyAlignment="1">
      <alignment horizontal="center" vertical="center" wrapText="1"/>
    </xf>
    <xf numFmtId="0" fontId="4" fillId="0" borderId="15" xfId="0" applyFont="1" applyBorder="1" applyAlignment="1">
      <alignment horizontal="center" vertical="center" wrapText="1"/>
    </xf>
    <xf numFmtId="0" fontId="1" fillId="0" borderId="15" xfId="5" applyFont="1" applyBorder="1" applyAlignment="1">
      <alignment horizontal="center" vertical="center" wrapText="1"/>
    </xf>
  </cellXfs>
  <cellStyles count="13">
    <cellStyle name="Comma" xfId="12" builtinId="3"/>
    <cellStyle name="Comma 2" xfId="1" xr:uid="{00000000-0005-0000-0000-000000000000}"/>
    <cellStyle name="Comma 3" xfId="2" xr:uid="{00000000-0005-0000-0000-000001000000}"/>
    <cellStyle name="Comma 4" xfId="9" xr:uid="{F8CD4910-D9F8-4836-A9C2-7585E803CDCF}"/>
    <cellStyle name="Ledger 17 x 11 in" xfId="3" xr:uid="{00000000-0005-0000-0000-000002000000}"/>
    <cellStyle name="Normal" xfId="0" builtinId="0"/>
    <cellStyle name="Normal 2" xfId="4" xr:uid="{00000000-0005-0000-0000-000004000000}"/>
    <cellStyle name="Normal 2 2" xfId="5" xr:uid="{00000000-0005-0000-0000-000005000000}"/>
    <cellStyle name="Normal 2 3" xfId="8" xr:uid="{CB933B2E-45F8-4DB6-86C1-96583D9F05B8}"/>
    <cellStyle name="Normal 3" xfId="7" xr:uid="{15486C3E-C9AC-4626-B702-FB9A9E3DABAF}"/>
    <cellStyle name="Normal 3 2" xfId="6" xr:uid="{A12D2684-7F7C-48D1-BAF5-89D13BCC951A}"/>
    <cellStyle name="Percent" xfId="11" builtinId="5"/>
    <cellStyle name="Percent 2" xfId="10" xr:uid="{1033E7B1-7930-4080-ACBD-851C8059E277}"/>
  </cellStyles>
  <dxfs count="5">
    <dxf>
      <fill>
        <patternFill>
          <bgColor theme="9" tint="0.79998168889431442"/>
        </patternFill>
      </fill>
    </dxf>
    <dxf>
      <fill>
        <patternFill>
          <bgColor rgb="FF00B050"/>
        </patternFill>
      </fill>
    </dxf>
    <dxf>
      <fill>
        <patternFill>
          <bgColor rgb="FFFF0000"/>
        </patternFill>
      </fill>
    </dxf>
    <dxf>
      <fill>
        <patternFill>
          <bgColor rgb="FF92D050"/>
        </patternFill>
      </fill>
    </dxf>
    <dxf>
      <fill>
        <patternFill>
          <bgColor rgb="FF00B050"/>
        </patternFill>
      </fill>
    </dxf>
  </dxfs>
  <tableStyles count="0" defaultTableStyle="TableStyleMedium2" defaultPivotStyle="PivotStyleLight16"/>
  <colors>
    <mruColors>
      <color rgb="FFFFFFFF"/>
      <color rgb="FF66FF33"/>
      <color rgb="FFFF66FF"/>
      <color rgb="FFFF99FF"/>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Thực hiện</c:v>
          </c:tx>
          <c:spPr>
            <a:solidFill>
              <a:schemeClr val="accent1"/>
            </a:solidFill>
            <a:ln>
              <a:noFill/>
            </a:ln>
            <a:effectLst/>
          </c:spPr>
          <c:invertIfNegative val="0"/>
          <c:dLbls>
            <c:dLbl>
              <c:idx val="0"/>
              <c:layout>
                <c:manualLayout>
                  <c:x val="-9.0909101754843916E-3"/>
                  <c:y val="-2.273901762520061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A7B-4144-8809-3BAB89A7CA72}"/>
                </c:ext>
              </c:extLst>
            </c:dLbl>
            <c:dLbl>
              <c:idx val="1"/>
              <c:layout>
                <c:manualLayout>
                  <c:x val="-5.1961548454143936E-3"/>
                  <c:y val="-1.577909270216962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02C-40EB-BCF9-93723024CC3F}"/>
                </c:ext>
              </c:extLst>
            </c:dLbl>
            <c:dLbl>
              <c:idx val="8"/>
              <c:layout>
                <c:manualLayout>
                  <c:x val="-1.552582421343974E-2"/>
                  <c:y val="-1.02950671631537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625-4C9A-A702-177A46B75087}"/>
                </c:ext>
              </c:extLst>
            </c:dLbl>
            <c:dLbl>
              <c:idx val="9"/>
              <c:layout>
                <c:manualLayout>
                  <c:x val="-7.0903128600550798E-3"/>
                  <c:y val="3.792188092529389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625-4C9A-A702-177A46B75087}"/>
                </c:ext>
              </c:extLst>
            </c:dLbl>
            <c:dLbl>
              <c:idx val="10"/>
              <c:layout>
                <c:manualLayout>
                  <c:x val="3.3527919564531276E-3"/>
                  <c:y val="-0.1068797143600293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02C-40EB-BCF9-93723024CC3F}"/>
                </c:ext>
              </c:extLst>
            </c:dLbl>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data!$A$3:$A$14</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cat>
          <c:val>
            <c:numRef>
              <c:f>data!$B$3:$B$14</c:f>
              <c:numCache>
                <c:formatCode>General</c:formatCode>
                <c:ptCount val="12"/>
                <c:pt idx="0">
                  <c:v>1302</c:v>
                </c:pt>
                <c:pt idx="1">
                  <c:v>1026</c:v>
                </c:pt>
              </c:numCache>
            </c:numRef>
          </c:val>
          <c:extLst>
            <c:ext xmlns:c16="http://schemas.microsoft.com/office/drawing/2014/chart" uri="{C3380CC4-5D6E-409C-BE32-E72D297353CC}">
              <c16:uniqueId val="{00000000-CF36-4C12-A972-B6328BC83E5A}"/>
            </c:ext>
          </c:extLst>
        </c:ser>
        <c:ser>
          <c:idx val="1"/>
          <c:order val="1"/>
          <c:tx>
            <c:v>Kế hoạch</c:v>
          </c:tx>
          <c:spPr>
            <a:solidFill>
              <a:schemeClr val="accent2"/>
            </a:solidFill>
            <a:ln>
              <a:noFill/>
            </a:ln>
            <a:effectLst/>
          </c:spPr>
          <c:invertIfNegative val="0"/>
          <c:dLbls>
            <c:dLbl>
              <c:idx val="0"/>
              <c:layout>
                <c:manualLayout>
                  <c:x val="2.4242427134625044E-2"/>
                  <c:y val="-8.527131609450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F36-4C12-A972-B6328BC83E5A}"/>
                </c:ext>
              </c:extLst>
            </c:dLbl>
            <c:dLbl>
              <c:idx val="1"/>
              <c:layout>
                <c:manualLayout>
                  <c:x val="5.2603068109332227E-3"/>
                  <c:y val="-8.352503886350756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933-4646-AA50-6C974A08D7DE}"/>
                </c:ext>
              </c:extLst>
            </c:dLbl>
            <c:dLbl>
              <c:idx val="2"/>
              <c:layout>
                <c:manualLayout>
                  <c:x val="1.6164834093717478E-2"/>
                  <c:y val="-7.58467365458476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F36-4C12-A972-B6328BC83E5A}"/>
                </c:ext>
              </c:extLst>
            </c:dLbl>
            <c:dLbl>
              <c:idx val="3"/>
              <c:layout>
                <c:manualLayout>
                  <c:x val="-1.6248445934191963E-17"/>
                  <c:y val="-3.03375047402351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F36-4C12-A972-B6328BC83E5A}"/>
                </c:ext>
              </c:extLst>
            </c:dLbl>
            <c:dLbl>
              <c:idx val="4"/>
              <c:layout>
                <c:manualLayout>
                  <c:x val="1.2602903399247209E-2"/>
                  <c:y val="-6.59298147103093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625-4C9A-A702-177A46B75087}"/>
                </c:ext>
              </c:extLst>
            </c:dLbl>
            <c:dLbl>
              <c:idx val="5"/>
              <c:layout>
                <c:manualLayout>
                  <c:x val="9.5836700299646894E-3"/>
                  <c:y val="-7.36970894316424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625-4C9A-A702-177A46B75087}"/>
                </c:ext>
              </c:extLst>
            </c:dLbl>
            <c:dLbl>
              <c:idx val="6"/>
              <c:layout>
                <c:manualLayout>
                  <c:x val="1.2778226706619645E-2"/>
                  <c:y val="-6.99048465027388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02C-40EB-BCF9-93723024CC3F}"/>
                </c:ext>
              </c:extLst>
            </c:dLbl>
            <c:dLbl>
              <c:idx val="8"/>
              <c:layout>
                <c:manualLayout>
                  <c:x val="1.5525824213439614E-2"/>
                  <c:y val="-3.60327350710379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278-44BE-B002-E321E883FC54}"/>
                </c:ext>
              </c:extLst>
            </c:dLbl>
            <c:dLbl>
              <c:idx val="9"/>
              <c:layout>
                <c:manualLayout>
                  <c:x val="1.461285522150685E-2"/>
                  <c:y val="-2.103835374716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02C-40EB-BCF9-93723024CC3F}"/>
                </c:ext>
              </c:extLst>
            </c:dLbl>
            <c:dLbl>
              <c:idx val="11"/>
              <c:layout>
                <c:manualLayout>
                  <c:x val="2.6634385387672561E-2"/>
                  <c:y val="-3.50917185616540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02C-40EB-BCF9-93723024CC3F}"/>
                </c:ext>
              </c:extLst>
            </c:dLbl>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data!$A$3:$A$14</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cat>
          <c:val>
            <c:numRef>
              <c:f>data!$C$3:$C$14</c:f>
              <c:numCache>
                <c:formatCode>General</c:formatCode>
                <c:ptCount val="12"/>
                <c:pt idx="0">
                  <c:v>1495</c:v>
                </c:pt>
                <c:pt idx="1">
                  <c:v>1077</c:v>
                </c:pt>
              </c:numCache>
            </c:numRef>
          </c:val>
          <c:extLst>
            <c:ext xmlns:c16="http://schemas.microsoft.com/office/drawing/2014/chart" uri="{C3380CC4-5D6E-409C-BE32-E72D297353CC}">
              <c16:uniqueId val="{00000001-CF36-4C12-A972-B6328BC83E5A}"/>
            </c:ext>
          </c:extLst>
        </c:ser>
        <c:dLbls>
          <c:showLegendKey val="0"/>
          <c:showVal val="1"/>
          <c:showCatName val="0"/>
          <c:showSerName val="0"/>
          <c:showPercent val="0"/>
          <c:showBubbleSize val="0"/>
        </c:dLbls>
        <c:gapWidth val="150"/>
        <c:axId val="1240931503"/>
        <c:axId val="1269321887"/>
      </c:barChart>
      <c:lineChart>
        <c:grouping val="standard"/>
        <c:varyColors val="0"/>
        <c:ser>
          <c:idx val="3"/>
          <c:order val="3"/>
          <c:tx>
            <c:v>Mục tiêu</c:v>
          </c:tx>
          <c:spPr>
            <a:ln w="15875" cap="rnd" cmpd="dbl">
              <a:solidFill>
                <a:schemeClr val="accent4"/>
              </a:solidFill>
              <a:round/>
            </a:ln>
            <a:effectLst/>
          </c:spPr>
          <c:marker>
            <c:symbol val="circle"/>
            <c:size val="5"/>
            <c:spPr>
              <a:solidFill>
                <a:schemeClr val="accent4"/>
              </a:solidFill>
              <a:ln w="9525">
                <a:solidFill>
                  <a:schemeClr val="accent4"/>
                </a:solidFill>
              </a:ln>
              <a:effectLst/>
            </c:spPr>
          </c:marker>
          <c:dLbls>
            <c:delete val="1"/>
          </c:dLbls>
          <c:cat>
            <c:strRef>
              <c:f>data!$A$3:$A$14</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cat>
          <c:val>
            <c:numRef>
              <c:f>data!$E$3:$E$14</c:f>
              <c:numCache>
                <c:formatCode>0%</c:formatCode>
                <c:ptCount val="12"/>
                <c:pt idx="0">
                  <c:v>0.98</c:v>
                </c:pt>
                <c:pt idx="1">
                  <c:v>0.98</c:v>
                </c:pt>
                <c:pt idx="2">
                  <c:v>0.98</c:v>
                </c:pt>
                <c:pt idx="3">
                  <c:v>0.98</c:v>
                </c:pt>
                <c:pt idx="4">
                  <c:v>0.98</c:v>
                </c:pt>
                <c:pt idx="5">
                  <c:v>0.98</c:v>
                </c:pt>
                <c:pt idx="6">
                  <c:v>0.98</c:v>
                </c:pt>
                <c:pt idx="7">
                  <c:v>0.98</c:v>
                </c:pt>
                <c:pt idx="8">
                  <c:v>0.98</c:v>
                </c:pt>
                <c:pt idx="9">
                  <c:v>0.98</c:v>
                </c:pt>
                <c:pt idx="10">
                  <c:v>0.98</c:v>
                </c:pt>
                <c:pt idx="11">
                  <c:v>0.98</c:v>
                </c:pt>
              </c:numCache>
            </c:numRef>
          </c:val>
          <c:smooth val="0"/>
          <c:extLst>
            <c:ext xmlns:c16="http://schemas.microsoft.com/office/drawing/2014/chart" uri="{C3380CC4-5D6E-409C-BE32-E72D297353CC}">
              <c16:uniqueId val="{0000000C-CF36-4C12-A972-B6328BC83E5A}"/>
            </c:ext>
          </c:extLst>
        </c:ser>
        <c:dLbls>
          <c:showLegendKey val="0"/>
          <c:showVal val="1"/>
          <c:showCatName val="0"/>
          <c:showSerName val="0"/>
          <c:showPercent val="0"/>
          <c:showBubbleSize val="0"/>
        </c:dLbls>
        <c:marker val="1"/>
        <c:smooth val="0"/>
        <c:axId val="783432607"/>
        <c:axId val="953506879"/>
      </c:lineChart>
      <c:scatterChart>
        <c:scatterStyle val="smoothMarker"/>
        <c:varyColors val="0"/>
        <c:ser>
          <c:idx val="2"/>
          <c:order val="2"/>
          <c:tx>
            <c:v>Thực hiện</c:v>
          </c:tx>
          <c:spPr>
            <a:ln w="28575" cap="rnd">
              <a:solidFill>
                <a:srgbClr val="FF0000"/>
              </a:solidFill>
              <a:round/>
            </a:ln>
            <a:effectLst/>
          </c:spPr>
          <c:marker>
            <c:symbol val="circle"/>
            <c:size val="5"/>
            <c:spPr>
              <a:solidFill>
                <a:schemeClr val="bg1"/>
              </a:solidFill>
              <a:ln w="9525">
                <a:solidFill>
                  <a:schemeClr val="accent3"/>
                </a:solidFill>
              </a:ln>
              <a:effectLst/>
            </c:spPr>
          </c:marker>
          <c:xVal>
            <c:strRef>
              <c:f>data!$A$3:$A$14</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xVal>
          <c:yVal>
            <c:numRef>
              <c:f>data!$D$3:$D$14</c:f>
              <c:numCache>
                <c:formatCode>0.0%</c:formatCode>
                <c:ptCount val="12"/>
                <c:pt idx="0">
                  <c:v>0.87090301003344484</c:v>
                </c:pt>
                <c:pt idx="1">
                  <c:v>0.9526462395543176</c:v>
                </c:pt>
                <c:pt idx="2">
                  <c:v>0</c:v>
                </c:pt>
                <c:pt idx="3">
                  <c:v>0</c:v>
                </c:pt>
                <c:pt idx="4">
                  <c:v>0</c:v>
                </c:pt>
                <c:pt idx="5">
                  <c:v>0</c:v>
                </c:pt>
                <c:pt idx="6">
                  <c:v>0</c:v>
                </c:pt>
                <c:pt idx="7">
                  <c:v>0</c:v>
                </c:pt>
                <c:pt idx="8">
                  <c:v>0</c:v>
                </c:pt>
                <c:pt idx="9">
                  <c:v>0</c:v>
                </c:pt>
                <c:pt idx="10">
                  <c:v>0</c:v>
                </c:pt>
                <c:pt idx="11">
                  <c:v>0</c:v>
                </c:pt>
              </c:numCache>
            </c:numRef>
          </c:yVal>
          <c:smooth val="1"/>
          <c:extLst>
            <c:ext xmlns:c16="http://schemas.microsoft.com/office/drawing/2014/chart" uri="{C3380CC4-5D6E-409C-BE32-E72D297353CC}">
              <c16:uniqueId val="{00000003-CF36-4C12-A972-B6328BC83E5A}"/>
            </c:ext>
          </c:extLst>
        </c:ser>
        <c:dLbls>
          <c:showLegendKey val="0"/>
          <c:showVal val="0"/>
          <c:showCatName val="0"/>
          <c:showSerName val="0"/>
          <c:showPercent val="0"/>
          <c:showBubbleSize val="0"/>
        </c:dLbls>
        <c:axId val="783432607"/>
        <c:axId val="953506879"/>
      </c:scatterChart>
      <c:catAx>
        <c:axId val="124093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269321887"/>
        <c:crosses val="autoZero"/>
        <c:auto val="1"/>
        <c:lblAlgn val="ctr"/>
        <c:lblOffset val="100"/>
        <c:noMultiLvlLbl val="0"/>
      </c:catAx>
      <c:valAx>
        <c:axId val="1269321887"/>
        <c:scaling>
          <c:orientation val="minMax"/>
          <c:max val="35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240931503"/>
        <c:crosses val="autoZero"/>
        <c:crossBetween val="between"/>
      </c:valAx>
      <c:valAx>
        <c:axId val="953506879"/>
        <c:scaling>
          <c:orientation val="minMax"/>
          <c:max val="1.1000000000000001"/>
          <c:min val="-0.1"/>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783432607"/>
        <c:crosses val="max"/>
        <c:crossBetween val="between"/>
        <c:majorUnit val="0.2"/>
      </c:valAx>
      <c:catAx>
        <c:axId val="783432607"/>
        <c:scaling>
          <c:orientation val="minMax"/>
        </c:scaling>
        <c:delete val="1"/>
        <c:axPos val="b"/>
        <c:numFmt formatCode="General" sourceLinked="1"/>
        <c:majorTickMark val="out"/>
        <c:minorTickMark val="none"/>
        <c:tickLblPos val="nextTo"/>
        <c:crossAx val="95350687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prstDash val="sysDot"/>
      <a:round/>
    </a:ln>
    <a:effectLst/>
  </c:spPr>
  <c:txPr>
    <a:bodyPr/>
    <a:lstStyle/>
    <a:p>
      <a:pPr>
        <a:defRPr sz="16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Thực hiện</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data!$A$23:$A$34</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cat>
          <c:val>
            <c:numRef>
              <c:f>data!$B$23:$B$34</c:f>
              <c:numCache>
                <c:formatCode>General</c:formatCode>
                <c:ptCount val="12"/>
                <c:pt idx="0">
                  <c:v>224</c:v>
                </c:pt>
                <c:pt idx="1">
                  <c:v>185</c:v>
                </c:pt>
              </c:numCache>
            </c:numRef>
          </c:val>
          <c:extLst>
            <c:ext xmlns:c16="http://schemas.microsoft.com/office/drawing/2014/chart" uri="{C3380CC4-5D6E-409C-BE32-E72D297353CC}">
              <c16:uniqueId val="{00000000-FA2F-4AA6-8B52-53DF024AA1C3}"/>
            </c:ext>
          </c:extLst>
        </c:ser>
        <c:ser>
          <c:idx val="1"/>
          <c:order val="1"/>
          <c:tx>
            <c:v>Kế hoạch</c:v>
          </c:tx>
          <c:spPr>
            <a:solidFill>
              <a:schemeClr val="accent2"/>
            </a:solidFill>
            <a:ln>
              <a:noFill/>
            </a:ln>
            <a:effectLst/>
          </c:spPr>
          <c:invertIfNegative val="0"/>
          <c:dLbls>
            <c:dLbl>
              <c:idx val="0"/>
              <c:layout>
                <c:manualLayout>
                  <c:x val="6.0731544932795404E-3"/>
                  <c:y val="-0.1001848215287689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FA2F-4AA6-8B52-53DF024AA1C3}"/>
                </c:ext>
              </c:extLst>
            </c:dLbl>
            <c:dLbl>
              <c:idx val="1"/>
              <c:layout>
                <c:manualLayout>
                  <c:x val="1.2146308986559053E-2"/>
                  <c:y val="-9.04895162195332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BC7-4DBF-ACFE-F13EC091CDC2}"/>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data!$A$23:$A$34</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cat>
          <c:val>
            <c:numRef>
              <c:f>data!$C$23:$C$34</c:f>
              <c:numCache>
                <c:formatCode>General</c:formatCode>
                <c:ptCount val="12"/>
                <c:pt idx="0">
                  <c:v>230</c:v>
                </c:pt>
                <c:pt idx="1">
                  <c:v>187</c:v>
                </c:pt>
              </c:numCache>
            </c:numRef>
          </c:val>
          <c:extLst>
            <c:ext xmlns:c16="http://schemas.microsoft.com/office/drawing/2014/chart" uri="{C3380CC4-5D6E-409C-BE32-E72D297353CC}">
              <c16:uniqueId val="{00000001-FA2F-4AA6-8B52-53DF024AA1C3}"/>
            </c:ext>
          </c:extLst>
        </c:ser>
        <c:dLbls>
          <c:showLegendKey val="0"/>
          <c:showVal val="1"/>
          <c:showCatName val="0"/>
          <c:showSerName val="0"/>
          <c:showPercent val="0"/>
          <c:showBubbleSize val="0"/>
        </c:dLbls>
        <c:gapWidth val="150"/>
        <c:axId val="336665615"/>
        <c:axId val="336664175"/>
      </c:barChart>
      <c:lineChart>
        <c:grouping val="standard"/>
        <c:varyColors val="0"/>
        <c:ser>
          <c:idx val="3"/>
          <c:order val="3"/>
          <c:tx>
            <c:v>Mục tiêu</c:v>
          </c:tx>
          <c:spPr>
            <a:ln w="28575" cap="rnd">
              <a:solidFill>
                <a:schemeClr val="accent4"/>
              </a:solidFill>
              <a:round/>
            </a:ln>
            <a:effectLst/>
          </c:spPr>
          <c:marker>
            <c:symbol val="circle"/>
            <c:size val="5"/>
            <c:spPr>
              <a:solidFill>
                <a:schemeClr val="bg1"/>
              </a:solidFill>
              <a:ln w="9525">
                <a:solidFill>
                  <a:schemeClr val="accent4"/>
                </a:solidFill>
              </a:ln>
              <a:effectLst/>
            </c:spPr>
          </c:marker>
          <c:dLbls>
            <c:delete val="1"/>
          </c:dLbls>
          <c:cat>
            <c:strRef>
              <c:f>data!$A$23:$A$34</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cat>
          <c:val>
            <c:numRef>
              <c:f>data!$E$23:$E$34</c:f>
              <c:numCache>
                <c:formatCode>0%</c:formatCode>
                <c:ptCount val="12"/>
                <c:pt idx="0">
                  <c:v>0.99</c:v>
                </c:pt>
                <c:pt idx="1">
                  <c:v>0.99</c:v>
                </c:pt>
                <c:pt idx="2">
                  <c:v>0.99</c:v>
                </c:pt>
                <c:pt idx="3">
                  <c:v>0.99</c:v>
                </c:pt>
                <c:pt idx="4">
                  <c:v>0.99</c:v>
                </c:pt>
                <c:pt idx="5">
                  <c:v>0.99</c:v>
                </c:pt>
                <c:pt idx="6">
                  <c:v>0.99</c:v>
                </c:pt>
                <c:pt idx="7">
                  <c:v>0.99</c:v>
                </c:pt>
                <c:pt idx="8">
                  <c:v>0.99</c:v>
                </c:pt>
                <c:pt idx="9">
                  <c:v>0.99</c:v>
                </c:pt>
                <c:pt idx="10">
                  <c:v>0.99</c:v>
                </c:pt>
                <c:pt idx="11">
                  <c:v>0.99</c:v>
                </c:pt>
              </c:numCache>
            </c:numRef>
          </c:val>
          <c:smooth val="0"/>
          <c:extLst>
            <c:ext xmlns:c16="http://schemas.microsoft.com/office/drawing/2014/chart" uri="{C3380CC4-5D6E-409C-BE32-E72D297353CC}">
              <c16:uniqueId val="{00000003-FA2F-4AA6-8B52-53DF024AA1C3}"/>
            </c:ext>
          </c:extLst>
        </c:ser>
        <c:dLbls>
          <c:showLegendKey val="0"/>
          <c:showVal val="1"/>
          <c:showCatName val="0"/>
          <c:showSerName val="0"/>
          <c:showPercent val="0"/>
          <c:showBubbleSize val="0"/>
        </c:dLbls>
        <c:marker val="1"/>
        <c:smooth val="0"/>
        <c:axId val="656799935"/>
        <c:axId val="656799455"/>
      </c:lineChart>
      <c:scatterChart>
        <c:scatterStyle val="smoothMarker"/>
        <c:varyColors val="0"/>
        <c:ser>
          <c:idx val="2"/>
          <c:order val="2"/>
          <c:tx>
            <c:v>Thực hiện</c:v>
          </c:tx>
          <c:spPr>
            <a:ln w="28575" cap="rnd">
              <a:solidFill>
                <a:srgbClr val="FF0000"/>
              </a:solidFill>
              <a:round/>
            </a:ln>
            <a:effectLst/>
          </c:spPr>
          <c:marker>
            <c:symbol val="circle"/>
            <c:size val="5"/>
            <c:spPr>
              <a:solidFill>
                <a:schemeClr val="bg1"/>
              </a:solidFill>
              <a:ln w="9525">
                <a:solidFill>
                  <a:schemeClr val="accent3"/>
                </a:solidFill>
              </a:ln>
              <a:effectLst/>
            </c:spPr>
          </c:marker>
          <c:dLbls>
            <c:delete val="1"/>
          </c:dLbls>
          <c:xVal>
            <c:strRef>
              <c:f>data!$A$23:$A$34</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xVal>
          <c:yVal>
            <c:numRef>
              <c:f>data!$D$23:$D$34</c:f>
              <c:numCache>
                <c:formatCode>0.0%</c:formatCode>
                <c:ptCount val="12"/>
                <c:pt idx="0">
                  <c:v>0.97391304347826091</c:v>
                </c:pt>
                <c:pt idx="1">
                  <c:v>0.98930481283422456</c:v>
                </c:pt>
                <c:pt idx="2" formatCode="0.00%">
                  <c:v>0</c:v>
                </c:pt>
                <c:pt idx="3" formatCode="0.00%">
                  <c:v>0</c:v>
                </c:pt>
                <c:pt idx="4" formatCode="0.00%">
                  <c:v>0</c:v>
                </c:pt>
                <c:pt idx="5" formatCode="0.00%">
                  <c:v>0</c:v>
                </c:pt>
                <c:pt idx="6" formatCode="0.00%">
                  <c:v>0</c:v>
                </c:pt>
                <c:pt idx="7" formatCode="0.00%">
                  <c:v>0</c:v>
                </c:pt>
                <c:pt idx="8" formatCode="0.00%">
                  <c:v>0</c:v>
                </c:pt>
                <c:pt idx="9" formatCode="0.00%">
                  <c:v>0</c:v>
                </c:pt>
                <c:pt idx="10" formatCode="0.00%">
                  <c:v>0</c:v>
                </c:pt>
                <c:pt idx="11" formatCode="0.00%">
                  <c:v>0</c:v>
                </c:pt>
              </c:numCache>
            </c:numRef>
          </c:yVal>
          <c:smooth val="1"/>
          <c:extLst>
            <c:ext xmlns:c16="http://schemas.microsoft.com/office/drawing/2014/chart" uri="{C3380CC4-5D6E-409C-BE32-E72D297353CC}">
              <c16:uniqueId val="{00000002-FA2F-4AA6-8B52-53DF024AA1C3}"/>
            </c:ext>
          </c:extLst>
        </c:ser>
        <c:dLbls>
          <c:showLegendKey val="0"/>
          <c:showVal val="1"/>
          <c:showCatName val="0"/>
          <c:showSerName val="0"/>
          <c:showPercent val="0"/>
          <c:showBubbleSize val="0"/>
        </c:dLbls>
        <c:axId val="656799935"/>
        <c:axId val="656799455"/>
      </c:scatterChart>
      <c:catAx>
        <c:axId val="336665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336664175"/>
        <c:crosses val="autoZero"/>
        <c:auto val="1"/>
        <c:lblAlgn val="ctr"/>
        <c:lblOffset val="100"/>
        <c:noMultiLvlLbl val="0"/>
      </c:catAx>
      <c:valAx>
        <c:axId val="336664175"/>
        <c:scaling>
          <c:orientation val="minMax"/>
          <c:max val="8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336665615"/>
        <c:crosses val="autoZero"/>
        <c:crossBetween val="between"/>
      </c:valAx>
      <c:valAx>
        <c:axId val="656799455"/>
        <c:scaling>
          <c:orientation val="minMax"/>
          <c:max val="1.1000000000000001"/>
          <c:min val="-0.1"/>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656799935"/>
        <c:crosses val="max"/>
        <c:crossBetween val="between"/>
        <c:minorUnit val="0.2"/>
      </c:valAx>
      <c:catAx>
        <c:axId val="656799935"/>
        <c:scaling>
          <c:orientation val="minMax"/>
        </c:scaling>
        <c:delete val="1"/>
        <c:axPos val="b"/>
        <c:numFmt formatCode="General" sourceLinked="1"/>
        <c:majorTickMark val="none"/>
        <c:minorTickMark val="none"/>
        <c:tickLblPos val="nextTo"/>
        <c:crossAx val="65679945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6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Số thẻ ghi nhận</c:v>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data!$A$67:$A$70</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data!$B$67:$B$70</c:f>
              <c:numCache>
                <c:formatCode>General</c:formatCode>
                <c:ptCount val="4"/>
                <c:pt idx="0">
                  <c:v>14</c:v>
                </c:pt>
                <c:pt idx="1">
                  <c:v>12</c:v>
                </c:pt>
                <c:pt idx="2">
                  <c:v>12</c:v>
                </c:pt>
                <c:pt idx="3">
                  <c:v>21</c:v>
                </c:pt>
              </c:numCache>
            </c:numRef>
          </c:val>
          <c:extLst>
            <c:ext xmlns:c16="http://schemas.microsoft.com/office/drawing/2014/chart" uri="{C3380CC4-5D6E-409C-BE32-E72D297353CC}">
              <c16:uniqueId val="{00000000-37A3-4C8B-9CB5-1CABBABFA6FD}"/>
            </c:ext>
          </c:extLst>
        </c:ser>
        <c:ser>
          <c:idx val="1"/>
          <c:order val="1"/>
          <c:tx>
            <c:v>Tổng nhân sự</c:v>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data!$A$67:$A$70</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data!$C$67:$C$70</c:f>
              <c:numCache>
                <c:formatCode>General</c:formatCode>
                <c:ptCount val="4"/>
                <c:pt idx="0">
                  <c:v>10</c:v>
                </c:pt>
                <c:pt idx="1">
                  <c:v>14</c:v>
                </c:pt>
                <c:pt idx="2">
                  <c:v>12</c:v>
                </c:pt>
                <c:pt idx="3">
                  <c:v>14</c:v>
                </c:pt>
              </c:numCache>
            </c:numRef>
          </c:val>
          <c:extLst>
            <c:ext xmlns:c16="http://schemas.microsoft.com/office/drawing/2014/chart" uri="{C3380CC4-5D6E-409C-BE32-E72D297353CC}">
              <c16:uniqueId val="{00000001-37A3-4C8B-9CB5-1CABBABFA6FD}"/>
            </c:ext>
          </c:extLst>
        </c:ser>
        <c:dLbls>
          <c:showLegendKey val="0"/>
          <c:showVal val="1"/>
          <c:showCatName val="0"/>
          <c:showSerName val="0"/>
          <c:showPercent val="0"/>
          <c:showBubbleSize val="0"/>
        </c:dLbls>
        <c:gapWidth val="150"/>
        <c:axId val="1160554319"/>
        <c:axId val="1160553359"/>
      </c:barChart>
      <c:lineChart>
        <c:grouping val="standard"/>
        <c:varyColors val="0"/>
        <c:ser>
          <c:idx val="3"/>
          <c:order val="3"/>
          <c:tx>
            <c:v>Chỉ tiêu (%)</c:v>
          </c:tx>
          <c:spPr>
            <a:ln w="28575" cap="rnd">
              <a:solidFill>
                <a:schemeClr val="accent4"/>
              </a:solidFill>
              <a:round/>
            </a:ln>
            <a:effectLst/>
          </c:spPr>
          <c:marker>
            <c:symbol val="circle"/>
            <c:size val="5"/>
            <c:spPr>
              <a:solidFill>
                <a:schemeClr val="accent4"/>
              </a:solidFill>
              <a:ln w="9525">
                <a:solidFill>
                  <a:schemeClr val="bg1"/>
                </a:solidFill>
              </a:ln>
              <a:effectLst/>
            </c:spPr>
          </c:marker>
          <c:dLbls>
            <c:dLbl>
              <c:idx val="0"/>
              <c:layout>
                <c:manualLayout>
                  <c:x val="-0.10791664137502961"/>
                  <c:y val="-1.934006308108327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7A3-4C8B-9CB5-1CABBABFA6FD}"/>
                </c:ext>
              </c:extLst>
            </c:dLbl>
            <c:dLbl>
              <c:idx val="1"/>
              <c:layout>
                <c:manualLayout>
                  <c:x val="-3.9260970452873793E-2"/>
                  <c:y val="-4.43054424177515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7A3-4C8B-9CB5-1CABBABFA6FD}"/>
                </c:ext>
              </c:extLst>
            </c:dLbl>
            <c:dLbl>
              <c:idx val="2"/>
              <c:layout>
                <c:manualLayout>
                  <c:x val="-3.6643572422682166E-2"/>
                  <c:y val="-3.54443539342012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7A3-4C8B-9CB5-1CABBABFA6FD}"/>
                </c:ext>
              </c:extLst>
            </c:dLbl>
            <c:dLbl>
              <c:idx val="3"/>
              <c:layout>
                <c:manualLayout>
                  <c:x val="-1.9915800965710009E-2"/>
                  <c:y val="-5.94973925333089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070-44E3-9187-467F602CEFA9}"/>
                </c:ext>
              </c:extLst>
            </c:dLbl>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data!$E$67:$E$70</c:f>
              <c:numCache>
                <c:formatCode>0%</c:formatCode>
                <c:ptCount val="4"/>
                <c:pt idx="0">
                  <c:v>0.5</c:v>
                </c:pt>
                <c:pt idx="1">
                  <c:v>0.5</c:v>
                </c:pt>
                <c:pt idx="2">
                  <c:v>0.5</c:v>
                </c:pt>
                <c:pt idx="3">
                  <c:v>0.5</c:v>
                </c:pt>
              </c:numCache>
            </c:numRef>
          </c:val>
          <c:smooth val="0"/>
          <c:extLst>
            <c:ext xmlns:c16="http://schemas.microsoft.com/office/drawing/2014/chart" uri="{C3380CC4-5D6E-409C-BE32-E72D297353CC}">
              <c16:uniqueId val="{00000005-37A3-4C8B-9CB5-1CABBABFA6FD}"/>
            </c:ext>
          </c:extLst>
        </c:ser>
        <c:dLbls>
          <c:showLegendKey val="0"/>
          <c:showVal val="1"/>
          <c:showCatName val="0"/>
          <c:showSerName val="0"/>
          <c:showPercent val="0"/>
          <c:showBubbleSize val="0"/>
        </c:dLbls>
        <c:marker val="1"/>
        <c:smooth val="0"/>
        <c:axId val="1160552879"/>
        <c:axId val="1160550959"/>
      </c:lineChart>
      <c:scatterChart>
        <c:scatterStyle val="smoothMarker"/>
        <c:varyColors val="0"/>
        <c:ser>
          <c:idx val="2"/>
          <c:order val="2"/>
          <c:tx>
            <c:v>Ghi nhận (%)</c:v>
          </c:tx>
          <c:spPr>
            <a:ln w="28575" cap="rnd">
              <a:solidFill>
                <a:srgbClr val="FF0000"/>
              </a:solidFill>
              <a:round/>
            </a:ln>
            <a:effectLst/>
          </c:spPr>
          <c:marker>
            <c:symbol val="circle"/>
            <c:size val="5"/>
            <c:spPr>
              <a:solidFill>
                <a:schemeClr val="bg1"/>
              </a:solidFill>
              <a:ln w="9525">
                <a:solidFill>
                  <a:schemeClr val="accent3"/>
                </a:solidFill>
              </a:ln>
              <a:effectLst/>
            </c:spPr>
          </c:marker>
          <c:dLbls>
            <c:dLbl>
              <c:idx val="0"/>
              <c:layout>
                <c:manualLayout>
                  <c:x val="-7.0053891142648428E-2"/>
                  <c:y val="-5.90455871009621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7A3-4C8B-9CB5-1CABBABFA6FD}"/>
                </c:ext>
              </c:extLst>
            </c:dLbl>
            <c:dLbl>
              <c:idx val="1"/>
              <c:layout>
                <c:manualLayout>
                  <c:x val="-3.888888888888889E-2"/>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7A3-4C8B-9CB5-1CABBABFA6FD}"/>
                </c:ext>
              </c:extLst>
            </c:dLbl>
            <c:dLbl>
              <c:idx val="2"/>
              <c:layout>
                <c:manualLayout>
                  <c:x val="-4.0584679387449009E-2"/>
                  <c:y val="-9.34879118973391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070-44E3-9187-467F602CEFA9}"/>
                </c:ext>
              </c:extLst>
            </c:dLbl>
            <c:dLbl>
              <c:idx val="3"/>
              <c:layout>
                <c:manualLayout>
                  <c:x val="-7.2786283281635489E-3"/>
                  <c:y val="-4.58440978570175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070-44E3-9187-467F602CEFA9}"/>
                </c:ext>
              </c:extLst>
            </c:dLbl>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data!$A$67:$A$70</c:f>
              <c:strCache>
                <c:ptCount val="4"/>
                <c:pt idx="0">
                  <c:v>Đội thiết bị Hệ thống điều khiển</c:v>
                </c:pt>
                <c:pt idx="1">
                  <c:v>Đội thiết bị Chấp hành</c:v>
                </c:pt>
                <c:pt idx="2">
                  <c:v>Đội thiết bị Đo lường</c:v>
                </c:pt>
                <c:pt idx="3">
                  <c:v>Tổ trực ca điều khiển</c:v>
                </c:pt>
              </c:strCache>
            </c:strRef>
          </c:xVal>
          <c:yVal>
            <c:numRef>
              <c:f>data!$D$67:$D$70</c:f>
              <c:numCache>
                <c:formatCode>0.0%</c:formatCode>
                <c:ptCount val="4"/>
                <c:pt idx="0">
                  <c:v>1.4</c:v>
                </c:pt>
                <c:pt idx="1">
                  <c:v>0.8571428571428571</c:v>
                </c:pt>
                <c:pt idx="2">
                  <c:v>1</c:v>
                </c:pt>
                <c:pt idx="3">
                  <c:v>1.5</c:v>
                </c:pt>
              </c:numCache>
            </c:numRef>
          </c:yVal>
          <c:smooth val="1"/>
          <c:extLst>
            <c:ext xmlns:c16="http://schemas.microsoft.com/office/drawing/2014/chart" uri="{C3380CC4-5D6E-409C-BE32-E72D297353CC}">
              <c16:uniqueId val="{00000004-37A3-4C8B-9CB5-1CABBABFA6FD}"/>
            </c:ext>
          </c:extLst>
        </c:ser>
        <c:dLbls>
          <c:showLegendKey val="0"/>
          <c:showVal val="0"/>
          <c:showCatName val="0"/>
          <c:showSerName val="0"/>
          <c:showPercent val="0"/>
          <c:showBubbleSize val="0"/>
        </c:dLbls>
        <c:axId val="1160552879"/>
        <c:axId val="1160550959"/>
      </c:scatterChart>
      <c:catAx>
        <c:axId val="1160554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0553359"/>
        <c:crosses val="autoZero"/>
        <c:auto val="1"/>
        <c:lblAlgn val="ctr"/>
        <c:lblOffset val="100"/>
        <c:noMultiLvlLbl val="0"/>
      </c:catAx>
      <c:valAx>
        <c:axId val="1160553359"/>
        <c:scaling>
          <c:orientation val="minMax"/>
          <c:max val="4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0554319"/>
        <c:crosses val="autoZero"/>
        <c:crossBetween val="between"/>
      </c:valAx>
      <c:valAx>
        <c:axId val="1160550959"/>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0552879"/>
        <c:crosses val="max"/>
        <c:crossBetween val="between"/>
        <c:majorUnit val="0.2"/>
      </c:valAx>
      <c:catAx>
        <c:axId val="1160552879"/>
        <c:scaling>
          <c:orientation val="minMax"/>
        </c:scaling>
        <c:delete val="1"/>
        <c:axPos val="b"/>
        <c:numFmt formatCode="General" sourceLinked="1"/>
        <c:majorTickMark val="none"/>
        <c:minorTickMark val="none"/>
        <c:tickLblPos val="nextTo"/>
        <c:crossAx val="116055095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cked"/>
        <c:varyColors val="0"/>
        <c:ser>
          <c:idx val="0"/>
          <c:order val="0"/>
          <c:tx>
            <c:v>Số thẻ ghi nhận</c:v>
          </c:tx>
          <c:spPr>
            <a:ln w="28575" cap="rnd">
              <a:solidFill>
                <a:srgbClr val="FF0000"/>
              </a:solidFill>
              <a:round/>
            </a:ln>
            <a:effectLst/>
          </c:spPr>
          <c:marker>
            <c:symbol val="circle"/>
            <c:size val="5"/>
            <c:spPr>
              <a:solidFill>
                <a:schemeClr val="bg1"/>
              </a:solidFill>
              <a:ln w="9525">
                <a:solidFill>
                  <a:schemeClr val="accent1"/>
                </a:solidFill>
              </a:ln>
              <a:effectLst/>
            </c:spPr>
          </c:marker>
          <c:dLbls>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data!$A$72:$A$83</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cat>
          <c:val>
            <c:numRef>
              <c:f>data!$B$72:$B$83</c:f>
              <c:numCache>
                <c:formatCode>General</c:formatCode>
                <c:ptCount val="12"/>
                <c:pt idx="0">
                  <c:v>51</c:v>
                </c:pt>
                <c:pt idx="1">
                  <c:v>59</c:v>
                </c:pt>
              </c:numCache>
            </c:numRef>
          </c:val>
          <c:smooth val="0"/>
          <c:extLst>
            <c:ext xmlns:c16="http://schemas.microsoft.com/office/drawing/2014/chart" uri="{C3380CC4-5D6E-409C-BE32-E72D297353CC}">
              <c16:uniqueId val="{00000000-BDE3-460F-870E-FD13388B417C}"/>
            </c:ext>
          </c:extLst>
        </c:ser>
        <c:dLbls>
          <c:dLblPos val="t"/>
          <c:showLegendKey val="0"/>
          <c:showVal val="1"/>
          <c:showCatName val="0"/>
          <c:showSerName val="0"/>
          <c:showPercent val="0"/>
          <c:showBubbleSize val="0"/>
        </c:dLbls>
        <c:marker val="1"/>
        <c:smooth val="0"/>
        <c:axId val="1515602911"/>
        <c:axId val="1515589951"/>
      </c:lineChart>
      <c:catAx>
        <c:axId val="1515602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515589951"/>
        <c:crosses val="autoZero"/>
        <c:auto val="1"/>
        <c:lblAlgn val="ctr"/>
        <c:lblOffset val="100"/>
        <c:noMultiLvlLbl val="0"/>
      </c:catAx>
      <c:valAx>
        <c:axId val="1515589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5156029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4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Tham gia</c:v>
          </c:tx>
          <c:spPr>
            <a:solidFill>
              <a:schemeClr val="accent1"/>
            </a:solidFill>
            <a:ln>
              <a:noFill/>
            </a:ln>
            <a:effectLst/>
          </c:spPr>
          <c:invertIfNegative val="0"/>
          <c:dLbls>
            <c:delete val="1"/>
          </c:dLbls>
          <c:cat>
            <c:strRef>
              <c:f>data!$A$86:$A$89</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data!$B$86:$B$89</c:f>
              <c:numCache>
                <c:formatCode>General</c:formatCode>
                <c:ptCount val="4"/>
                <c:pt idx="0">
                  <c:v>4</c:v>
                </c:pt>
                <c:pt idx="1">
                  <c:v>5</c:v>
                </c:pt>
                <c:pt idx="2">
                  <c:v>6</c:v>
                </c:pt>
                <c:pt idx="3">
                  <c:v>5</c:v>
                </c:pt>
              </c:numCache>
            </c:numRef>
          </c:val>
          <c:extLst>
            <c:ext xmlns:c16="http://schemas.microsoft.com/office/drawing/2014/chart" uri="{C3380CC4-5D6E-409C-BE32-E72D297353CC}">
              <c16:uniqueId val="{00000000-63C9-43E9-876C-0AA4D1D8DA08}"/>
            </c:ext>
          </c:extLst>
        </c:ser>
        <c:ser>
          <c:idx val="1"/>
          <c:order val="1"/>
          <c:tx>
            <c:v>Nhân sự đội/Tổ</c:v>
          </c:tx>
          <c:spPr>
            <a:solidFill>
              <a:schemeClr val="accent2"/>
            </a:solidFill>
            <a:ln>
              <a:noFill/>
            </a:ln>
            <a:effectLst/>
          </c:spPr>
          <c:invertIfNegative val="0"/>
          <c:dLbls>
            <c:delete val="1"/>
          </c:dLbls>
          <c:cat>
            <c:strRef>
              <c:f>data!$A$86:$A$89</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data!$C$86:$C$89</c:f>
              <c:numCache>
                <c:formatCode>General</c:formatCode>
                <c:ptCount val="4"/>
                <c:pt idx="0">
                  <c:v>8</c:v>
                </c:pt>
                <c:pt idx="1">
                  <c:v>8</c:v>
                </c:pt>
                <c:pt idx="2">
                  <c:v>8</c:v>
                </c:pt>
                <c:pt idx="3">
                  <c:v>7</c:v>
                </c:pt>
              </c:numCache>
            </c:numRef>
          </c:val>
          <c:extLst>
            <c:ext xmlns:c16="http://schemas.microsoft.com/office/drawing/2014/chart" uri="{C3380CC4-5D6E-409C-BE32-E72D297353CC}">
              <c16:uniqueId val="{00000001-63C9-43E9-876C-0AA4D1D8DA08}"/>
            </c:ext>
          </c:extLst>
        </c:ser>
        <c:dLbls>
          <c:showLegendKey val="0"/>
          <c:showVal val="1"/>
          <c:showCatName val="0"/>
          <c:showSerName val="0"/>
          <c:showPercent val="0"/>
          <c:showBubbleSize val="0"/>
        </c:dLbls>
        <c:gapWidth val="150"/>
        <c:axId val="1160554319"/>
        <c:axId val="1160553359"/>
      </c:barChart>
      <c:lineChart>
        <c:grouping val="standard"/>
        <c:varyColors val="0"/>
        <c:ser>
          <c:idx val="2"/>
          <c:order val="2"/>
          <c:tx>
            <c:v>% tham gia</c:v>
          </c:tx>
          <c:spPr>
            <a:ln w="28575" cap="rnd">
              <a:solidFill>
                <a:srgbClr val="FF0000"/>
              </a:solidFill>
              <a:round/>
            </a:ln>
            <a:effectLst/>
          </c:spPr>
          <c:marker>
            <c:symbol val="circle"/>
            <c:size val="5"/>
            <c:spPr>
              <a:solidFill>
                <a:schemeClr val="accent3"/>
              </a:solidFill>
              <a:ln w="9525">
                <a:solidFill>
                  <a:srgbClr val="FF0000"/>
                </a:solidFill>
              </a:ln>
              <a:effectLst/>
            </c:spPr>
          </c:marker>
          <c:dLbls>
            <c:dLbl>
              <c:idx val="0"/>
              <c:layout>
                <c:manualLayout>
                  <c:x val="-1.7866070481702183E-2"/>
                  <c:y val="-6.66667695951360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3C9-43E9-876C-0AA4D1D8DA08}"/>
                </c:ext>
              </c:extLst>
            </c:dLbl>
            <c:dLbl>
              <c:idx val="1"/>
              <c:layout>
                <c:manualLayout>
                  <c:x val="1.754796708736346E-3"/>
                  <c:y val="-0.1843140100571408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3C9-43E9-876C-0AA4D1D8DA08}"/>
                </c:ext>
              </c:extLst>
            </c:dLbl>
            <c:dLbl>
              <c:idx val="2"/>
              <c:layout>
                <c:manualLayout>
                  <c:x val="-2.748626227954188E-2"/>
                  <c:y val="-9.80393670516706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3C9-43E9-876C-0AA4D1D8DA08}"/>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data!$A$86:$A$89</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data!$D$86:$D$89</c:f>
              <c:numCache>
                <c:formatCode>0.0%</c:formatCode>
                <c:ptCount val="4"/>
                <c:pt idx="0">
                  <c:v>0.5</c:v>
                </c:pt>
                <c:pt idx="1">
                  <c:v>0.625</c:v>
                </c:pt>
                <c:pt idx="2">
                  <c:v>0.75</c:v>
                </c:pt>
                <c:pt idx="3">
                  <c:v>0.7142857142857143</c:v>
                </c:pt>
              </c:numCache>
            </c:numRef>
          </c:val>
          <c:smooth val="0"/>
          <c:extLst>
            <c:ext xmlns:c16="http://schemas.microsoft.com/office/drawing/2014/chart" uri="{C3380CC4-5D6E-409C-BE32-E72D297353CC}">
              <c16:uniqueId val="{00000006-63C9-43E9-876C-0AA4D1D8DA08}"/>
            </c:ext>
          </c:extLst>
        </c:ser>
        <c:ser>
          <c:idx val="3"/>
          <c:order val="3"/>
          <c:tx>
            <c:v>Mục tiêu</c:v>
          </c:tx>
          <c:spPr>
            <a:ln w="28575" cap="rnd">
              <a:solidFill>
                <a:schemeClr val="accent4"/>
              </a:solidFill>
              <a:round/>
            </a:ln>
            <a:effectLst/>
          </c:spPr>
          <c:marker>
            <c:symbol val="none"/>
          </c:marker>
          <c:dLbls>
            <c:dLbl>
              <c:idx val="0"/>
              <c:layout>
                <c:manualLayout>
                  <c:x val="0"/>
                  <c:y val="9.01962176875368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3C9-43E9-876C-0AA4D1D8DA08}"/>
                </c:ext>
              </c:extLst>
            </c:dLbl>
            <c:dLbl>
              <c:idx val="1"/>
              <c:layout>
                <c:manualLayout>
                  <c:x val="6.1991427540894553E-2"/>
                  <c:y val="8.23530683234033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3C9-43E9-876C-0AA4D1D8DA08}"/>
                </c:ext>
              </c:extLst>
            </c:dLbl>
            <c:dLbl>
              <c:idx val="2"/>
              <c:layout>
                <c:manualLayout>
                  <c:x val="-1.3743131139770891E-3"/>
                  <c:y val="8.23530683234033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3C9-43E9-876C-0AA4D1D8DA08}"/>
                </c:ext>
              </c:extLst>
            </c:dLbl>
            <c:dLbl>
              <c:idx val="3"/>
              <c:layout>
                <c:manualLayout>
                  <c:x val="-1.3743131139771897E-3"/>
                  <c:y val="7.45099189592695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663-42CB-BD76-0C1D616B1758}"/>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data!$A$86:$A$89</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data!$E$86:$E$89</c:f>
              <c:numCache>
                <c:formatCode>0%</c:formatCode>
                <c:ptCount val="4"/>
                <c:pt idx="0">
                  <c:v>0.5</c:v>
                </c:pt>
                <c:pt idx="1">
                  <c:v>0.5</c:v>
                </c:pt>
                <c:pt idx="2">
                  <c:v>0.5</c:v>
                </c:pt>
                <c:pt idx="3">
                  <c:v>0.5</c:v>
                </c:pt>
              </c:numCache>
            </c:numRef>
          </c:val>
          <c:smooth val="0"/>
          <c:extLst>
            <c:ext xmlns:c16="http://schemas.microsoft.com/office/drawing/2014/chart" uri="{C3380CC4-5D6E-409C-BE32-E72D297353CC}">
              <c16:uniqueId val="{0000000B-63C9-43E9-876C-0AA4D1D8DA08}"/>
            </c:ext>
          </c:extLst>
        </c:ser>
        <c:dLbls>
          <c:showLegendKey val="0"/>
          <c:showVal val="1"/>
          <c:showCatName val="0"/>
          <c:showSerName val="0"/>
          <c:showPercent val="0"/>
          <c:showBubbleSize val="0"/>
        </c:dLbls>
        <c:marker val="1"/>
        <c:smooth val="0"/>
        <c:axId val="1160552879"/>
        <c:axId val="1160550959"/>
      </c:lineChart>
      <c:catAx>
        <c:axId val="1160554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0553359"/>
        <c:crosses val="autoZero"/>
        <c:auto val="1"/>
        <c:lblAlgn val="ctr"/>
        <c:lblOffset val="100"/>
        <c:noMultiLvlLbl val="0"/>
      </c:catAx>
      <c:valAx>
        <c:axId val="1160553359"/>
        <c:scaling>
          <c:orientation val="minMax"/>
          <c:max val="4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0554319"/>
        <c:crosses val="autoZero"/>
        <c:crossBetween val="between"/>
      </c:valAx>
      <c:valAx>
        <c:axId val="1160550959"/>
        <c:scaling>
          <c:orientation val="minMax"/>
          <c:max val="1"/>
          <c:min val="-0.5"/>
        </c:scaling>
        <c:delete val="0"/>
        <c:axPos val="r"/>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0552879"/>
        <c:crosses val="max"/>
        <c:crossBetween val="between"/>
        <c:majorUnit val="0.30000000000000004"/>
      </c:valAx>
      <c:catAx>
        <c:axId val="1160552879"/>
        <c:scaling>
          <c:orientation val="minMax"/>
        </c:scaling>
        <c:delete val="1"/>
        <c:axPos val="b"/>
        <c:numFmt formatCode="General" sourceLinked="1"/>
        <c:majorTickMark val="none"/>
        <c:minorTickMark val="none"/>
        <c:tickLblPos val="nextTo"/>
        <c:crossAx val="116055095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Tham gia</c:v>
          </c:tx>
          <c:spPr>
            <a:solidFill>
              <a:schemeClr val="accent1"/>
            </a:solidFill>
            <a:ln>
              <a:noFill/>
            </a:ln>
            <a:effectLst/>
          </c:spPr>
          <c:invertIfNegative val="0"/>
          <c:dLbls>
            <c:delete val="1"/>
          </c:dLbls>
          <c:cat>
            <c:strRef>
              <c:f>data!$A$91:$A$94</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data!$B$91:$B$94</c:f>
              <c:numCache>
                <c:formatCode>General</c:formatCode>
                <c:ptCount val="4"/>
                <c:pt idx="0">
                  <c:v>8</c:v>
                </c:pt>
                <c:pt idx="1">
                  <c:v>8</c:v>
                </c:pt>
                <c:pt idx="2">
                  <c:v>6</c:v>
                </c:pt>
                <c:pt idx="3">
                  <c:v>9</c:v>
                </c:pt>
              </c:numCache>
            </c:numRef>
          </c:val>
          <c:extLst>
            <c:ext xmlns:c16="http://schemas.microsoft.com/office/drawing/2014/chart" uri="{C3380CC4-5D6E-409C-BE32-E72D297353CC}">
              <c16:uniqueId val="{00000000-63C9-43E9-876C-0AA4D1D8DA08}"/>
            </c:ext>
          </c:extLst>
        </c:ser>
        <c:ser>
          <c:idx val="1"/>
          <c:order val="1"/>
          <c:tx>
            <c:v>Nhân sự Đội/Tổ</c:v>
          </c:tx>
          <c:spPr>
            <a:solidFill>
              <a:schemeClr val="accent2"/>
            </a:solidFill>
            <a:ln>
              <a:noFill/>
            </a:ln>
            <a:effectLst/>
          </c:spPr>
          <c:invertIfNegative val="0"/>
          <c:dLbls>
            <c:delete val="1"/>
          </c:dLbls>
          <c:cat>
            <c:strRef>
              <c:f>data!$A$91:$A$94</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data!$C$91:$C$94</c:f>
              <c:numCache>
                <c:formatCode>General</c:formatCode>
                <c:ptCount val="4"/>
                <c:pt idx="0">
                  <c:v>9</c:v>
                </c:pt>
                <c:pt idx="1">
                  <c:v>13</c:v>
                </c:pt>
                <c:pt idx="2">
                  <c:v>12</c:v>
                </c:pt>
                <c:pt idx="3">
                  <c:v>7</c:v>
                </c:pt>
              </c:numCache>
            </c:numRef>
          </c:val>
          <c:extLst>
            <c:ext xmlns:c16="http://schemas.microsoft.com/office/drawing/2014/chart" uri="{C3380CC4-5D6E-409C-BE32-E72D297353CC}">
              <c16:uniqueId val="{00000001-63C9-43E9-876C-0AA4D1D8DA08}"/>
            </c:ext>
          </c:extLst>
        </c:ser>
        <c:dLbls>
          <c:showLegendKey val="0"/>
          <c:showVal val="1"/>
          <c:showCatName val="0"/>
          <c:showSerName val="0"/>
          <c:showPercent val="0"/>
          <c:showBubbleSize val="0"/>
        </c:dLbls>
        <c:gapWidth val="150"/>
        <c:axId val="1160554319"/>
        <c:axId val="1160553359"/>
      </c:barChart>
      <c:lineChart>
        <c:grouping val="standard"/>
        <c:varyColors val="0"/>
        <c:ser>
          <c:idx val="2"/>
          <c:order val="2"/>
          <c:tx>
            <c:v>% tham gia</c:v>
          </c:tx>
          <c:spPr>
            <a:ln w="28575" cap="rnd">
              <a:solidFill>
                <a:srgbClr val="FF0000"/>
              </a:solidFill>
              <a:round/>
            </a:ln>
            <a:effectLst/>
          </c:spPr>
          <c:marker>
            <c:symbol val="square"/>
            <c:size val="5"/>
            <c:spPr>
              <a:solidFill>
                <a:schemeClr val="accent3"/>
              </a:solidFill>
              <a:ln w="9525">
                <a:solidFill>
                  <a:srgbClr val="FF0000"/>
                </a:solidFill>
              </a:ln>
              <a:effectLst/>
            </c:spPr>
          </c:marker>
          <c:dLbls>
            <c:dLbl>
              <c:idx val="0"/>
              <c:layout>
                <c:manualLayout>
                  <c:x val="-2.3127290421222622E-3"/>
                  <c:y val="-6.66667695951360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3C9-43E9-876C-0AA4D1D8DA08}"/>
                </c:ext>
              </c:extLst>
            </c:dLbl>
            <c:dLbl>
              <c:idx val="1"/>
              <c:layout>
                <c:manualLayout>
                  <c:x val="-2.775274850546719E-2"/>
                  <c:y val="-9.80393670516706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3C9-43E9-876C-0AA4D1D8DA08}"/>
                </c:ext>
              </c:extLst>
            </c:dLbl>
            <c:dLbl>
              <c:idx val="2"/>
              <c:layout>
                <c:manualLayout>
                  <c:x val="3.7003664673956112E-2"/>
                  <c:y val="-4.31373215027350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3C9-43E9-876C-0AA4D1D8DA08}"/>
                </c:ext>
              </c:extLst>
            </c:dLbl>
            <c:dLbl>
              <c:idx val="3"/>
              <c:layout>
                <c:manualLayout>
                  <c:x val="0"/>
                  <c:y val="-7.450991895926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01C-49AF-BFE5-15DAF303987A}"/>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data!$A$91:$A$94</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data!$D$91:$D$94</c:f>
              <c:numCache>
                <c:formatCode>0.0%</c:formatCode>
                <c:ptCount val="4"/>
                <c:pt idx="0">
                  <c:v>0.88888888888888884</c:v>
                </c:pt>
                <c:pt idx="1">
                  <c:v>0.61538461538461542</c:v>
                </c:pt>
                <c:pt idx="2">
                  <c:v>0.5</c:v>
                </c:pt>
                <c:pt idx="3">
                  <c:v>1.2857142857142858</c:v>
                </c:pt>
              </c:numCache>
            </c:numRef>
          </c:val>
          <c:smooth val="0"/>
          <c:extLst>
            <c:ext xmlns:c16="http://schemas.microsoft.com/office/drawing/2014/chart" uri="{C3380CC4-5D6E-409C-BE32-E72D297353CC}">
              <c16:uniqueId val="{00000006-63C9-43E9-876C-0AA4D1D8DA08}"/>
            </c:ext>
          </c:extLst>
        </c:ser>
        <c:ser>
          <c:idx val="3"/>
          <c:order val="3"/>
          <c:tx>
            <c:v>Mục tiêu</c:v>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data!$A$91:$A$94</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data!$E$91:$E$94</c:f>
              <c:numCache>
                <c:formatCode>0%</c:formatCode>
                <c:ptCount val="4"/>
                <c:pt idx="0">
                  <c:v>0.5</c:v>
                </c:pt>
                <c:pt idx="1">
                  <c:v>0.5</c:v>
                </c:pt>
                <c:pt idx="2">
                  <c:v>0.5</c:v>
                </c:pt>
                <c:pt idx="3">
                  <c:v>0.5</c:v>
                </c:pt>
              </c:numCache>
            </c:numRef>
          </c:val>
          <c:smooth val="0"/>
          <c:extLst>
            <c:ext xmlns:c16="http://schemas.microsoft.com/office/drawing/2014/chart" uri="{C3380CC4-5D6E-409C-BE32-E72D297353CC}">
              <c16:uniqueId val="{0000000B-63C9-43E9-876C-0AA4D1D8DA08}"/>
            </c:ext>
          </c:extLst>
        </c:ser>
        <c:dLbls>
          <c:showLegendKey val="0"/>
          <c:showVal val="1"/>
          <c:showCatName val="0"/>
          <c:showSerName val="0"/>
          <c:showPercent val="0"/>
          <c:showBubbleSize val="0"/>
        </c:dLbls>
        <c:marker val="1"/>
        <c:smooth val="0"/>
        <c:axId val="1160552879"/>
        <c:axId val="1160550959"/>
      </c:lineChart>
      <c:catAx>
        <c:axId val="1160554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0553359"/>
        <c:crosses val="autoZero"/>
        <c:auto val="1"/>
        <c:lblAlgn val="ctr"/>
        <c:lblOffset val="100"/>
        <c:noMultiLvlLbl val="0"/>
      </c:catAx>
      <c:valAx>
        <c:axId val="1160553359"/>
        <c:scaling>
          <c:orientation val="minMax"/>
          <c:max val="4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0554319"/>
        <c:crosses val="autoZero"/>
        <c:crossBetween val="between"/>
      </c:valAx>
      <c:valAx>
        <c:axId val="1160550959"/>
        <c:scaling>
          <c:orientation val="minMax"/>
        </c:scaling>
        <c:delete val="0"/>
        <c:axPos val="r"/>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0552879"/>
        <c:crosses val="max"/>
        <c:crossBetween val="between"/>
      </c:valAx>
      <c:catAx>
        <c:axId val="1160552879"/>
        <c:scaling>
          <c:orientation val="minMax"/>
        </c:scaling>
        <c:delete val="1"/>
        <c:axPos val="b"/>
        <c:numFmt formatCode="General" sourceLinked="1"/>
        <c:majorTickMark val="none"/>
        <c:minorTickMark val="none"/>
        <c:tickLblPos val="nextTo"/>
        <c:crossAx val="116055095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5111302213503178E-2"/>
          <c:y val="3.6557157883354466E-2"/>
          <c:w val="0.9155301837270341"/>
          <c:h val="0.79081838728492271"/>
        </c:manualLayout>
      </c:layout>
      <c:bar3DChart>
        <c:barDir val="col"/>
        <c:grouping val="standard"/>
        <c:varyColors val="0"/>
        <c:ser>
          <c:idx val="0"/>
          <c:order val="0"/>
          <c:spPr>
            <a:solidFill>
              <a:srgbClr val="00B0F0"/>
            </a:solidFill>
            <a:ln>
              <a:noFill/>
            </a:ln>
            <a:effectLst/>
            <a:sp3d/>
          </c:spPr>
          <c:invertIfNegative val="0"/>
          <c:dLbls>
            <c:dLbl>
              <c:idx val="0"/>
              <c:layout>
                <c:manualLayout>
                  <c:x val="0"/>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6C3-4040-A809-056889E0EC56}"/>
                </c:ext>
              </c:extLst>
            </c:dLbl>
            <c:dLbl>
              <c:idx val="1"/>
              <c:layout>
                <c:manualLayout>
                  <c:x val="-5.0925337632079971E-17"/>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6C3-4040-A809-056889E0EC56}"/>
                </c:ext>
              </c:extLst>
            </c:dLbl>
            <c:dLbl>
              <c:idx val="2"/>
              <c:layout>
                <c:manualLayout>
                  <c:x val="2.777777777777676E-3"/>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6C3-4040-A809-056889E0EC56}"/>
                </c:ext>
              </c:extLst>
            </c:dLbl>
            <c:dLbl>
              <c:idx val="3"/>
              <c:layout>
                <c:manualLayout>
                  <c:x val="2.7777777777777779E-3"/>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6C3-4040-A809-056889E0EC56}"/>
                </c:ext>
              </c:extLst>
            </c:dLbl>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rgbClr val="FF0000"/>
                    </a:solidFill>
                    <a:latin typeface="+mn-lt"/>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data!$A$111:$A$114</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data!$B$111:$B$114</c:f>
              <c:numCache>
                <c:formatCode>General</c:formatCode>
                <c:ptCount val="4"/>
                <c:pt idx="0">
                  <c:v>2</c:v>
                </c:pt>
                <c:pt idx="1">
                  <c:v>4</c:v>
                </c:pt>
                <c:pt idx="2">
                  <c:v>3</c:v>
                </c:pt>
                <c:pt idx="3">
                  <c:v>6</c:v>
                </c:pt>
              </c:numCache>
            </c:numRef>
          </c:val>
          <c:extLst>
            <c:ext xmlns:c16="http://schemas.microsoft.com/office/drawing/2014/chart" uri="{C3380CC4-5D6E-409C-BE32-E72D297353CC}">
              <c16:uniqueId val="{00000004-56C3-4040-A809-056889E0EC56}"/>
            </c:ext>
          </c:extLst>
        </c:ser>
        <c:dLbls>
          <c:showLegendKey val="0"/>
          <c:showVal val="1"/>
          <c:showCatName val="0"/>
          <c:showSerName val="0"/>
          <c:showPercent val="0"/>
          <c:showBubbleSize val="0"/>
        </c:dLbls>
        <c:gapWidth val="150"/>
        <c:shape val="box"/>
        <c:axId val="1588004944"/>
        <c:axId val="1588001104"/>
        <c:axId val="308627200"/>
      </c:bar3DChart>
      <c:catAx>
        <c:axId val="15880049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588001104"/>
        <c:crosses val="autoZero"/>
        <c:auto val="1"/>
        <c:lblAlgn val="ctr"/>
        <c:lblOffset val="100"/>
        <c:noMultiLvlLbl val="0"/>
      </c:catAx>
      <c:valAx>
        <c:axId val="1588001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004944"/>
        <c:crosses val="autoZero"/>
        <c:crossBetween val="between"/>
      </c:valAx>
      <c:serAx>
        <c:axId val="308627200"/>
        <c:scaling>
          <c:orientation val="minMax"/>
        </c:scaling>
        <c:delete val="1"/>
        <c:axPos val="b"/>
        <c:majorTickMark val="none"/>
        <c:minorTickMark val="none"/>
        <c:tickLblPos val="nextTo"/>
        <c:crossAx val="1588001104"/>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v>Hoàn thành</c:v>
          </c:tx>
          <c:spPr>
            <a:solidFill>
              <a:schemeClr val="accent6">
                <a:lumMod val="40000"/>
                <a:lumOff val="60000"/>
              </a:schemeClr>
            </a:solidFill>
            <a:ln>
              <a:noFill/>
            </a:ln>
            <a:effectLst/>
          </c:spPr>
          <c:invertIfNegative val="0"/>
          <c:dLbls>
            <c:dLbl>
              <c:idx val="0"/>
              <c:layout>
                <c:manualLayout>
                  <c:x val="0.17499999999999999"/>
                  <c:y val="-0.2638888888888889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D72-4B34-A9E8-A10B6D6EF941}"/>
                </c:ext>
              </c:extLst>
            </c:dLbl>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data!$A$21</c:f>
              <c:strCache>
                <c:ptCount val="1"/>
                <c:pt idx="0">
                  <c:v>Tổ trực ca điều khiển</c:v>
                </c:pt>
              </c:strCache>
            </c:strRef>
          </c:cat>
          <c:val>
            <c:numRef>
              <c:f>data!$B$21</c:f>
              <c:numCache>
                <c:formatCode>General</c:formatCode>
                <c:ptCount val="1"/>
                <c:pt idx="0">
                  <c:v>185</c:v>
                </c:pt>
              </c:numCache>
            </c:numRef>
          </c:val>
          <c:extLst>
            <c:ext xmlns:c16="http://schemas.microsoft.com/office/drawing/2014/chart" uri="{C3380CC4-5D6E-409C-BE32-E72D297353CC}">
              <c16:uniqueId val="{00000003-FD72-4B34-A9E8-A10B6D6EF941}"/>
            </c:ext>
          </c:extLst>
        </c:ser>
        <c:ser>
          <c:idx val="1"/>
          <c:order val="1"/>
          <c:tx>
            <c:v>Tổng Hạng mục</c:v>
          </c:tx>
          <c:spPr>
            <a:solidFill>
              <a:srgbClr val="00B050"/>
            </a:solidFill>
            <a:ln>
              <a:noFill/>
            </a:ln>
            <a:effectLst/>
          </c:spPr>
          <c:invertIfNegative val="0"/>
          <c:dLbls>
            <c:dLbl>
              <c:idx val="0"/>
              <c:layout>
                <c:manualLayout>
                  <c:x val="0.17622176228674119"/>
                  <c:y val="-0.356868091883491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D72-4B34-A9E8-A10B6D6EF941}"/>
                </c:ext>
              </c:extLst>
            </c:dLbl>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data!$A$21</c:f>
              <c:strCache>
                <c:ptCount val="1"/>
                <c:pt idx="0">
                  <c:v>Tổ trực ca điều khiển</c:v>
                </c:pt>
              </c:strCache>
            </c:strRef>
          </c:cat>
          <c:val>
            <c:numRef>
              <c:f>data!$C$21</c:f>
              <c:numCache>
                <c:formatCode>General</c:formatCode>
                <c:ptCount val="1"/>
                <c:pt idx="0">
                  <c:v>187</c:v>
                </c:pt>
              </c:numCache>
            </c:numRef>
          </c:val>
          <c:extLst>
            <c:ext xmlns:c16="http://schemas.microsoft.com/office/drawing/2014/chart" uri="{C3380CC4-5D6E-409C-BE32-E72D297353CC}">
              <c16:uniqueId val="{00000001-FD72-4B34-A9E8-A10B6D6EF941}"/>
            </c:ext>
          </c:extLst>
        </c:ser>
        <c:dLbls>
          <c:showLegendKey val="0"/>
          <c:showVal val="0"/>
          <c:showCatName val="0"/>
          <c:showSerName val="0"/>
          <c:showPercent val="0"/>
          <c:showBubbleSize val="0"/>
        </c:dLbls>
        <c:gapWidth val="254"/>
        <c:axId val="664067439"/>
        <c:axId val="1237232095"/>
      </c:barChart>
      <c:lineChart>
        <c:grouping val="standard"/>
        <c:varyColors val="0"/>
        <c:ser>
          <c:idx val="2"/>
          <c:order val="2"/>
          <c:tx>
            <c:v>Hoàn thành (%)</c:v>
          </c:tx>
          <c:spPr>
            <a:ln w="28575" cap="rnd">
              <a:solidFill>
                <a:schemeClr val="accent3"/>
              </a:solidFill>
              <a:round/>
            </a:ln>
            <a:effectLst/>
          </c:spPr>
          <c:marker>
            <c:symbol val="none"/>
          </c:marker>
          <c:dLbls>
            <c:dLbl>
              <c:idx val="0"/>
              <c:layout>
                <c:manualLayout>
                  <c:x val="0.21319412310912494"/>
                  <c:y val="-0.426166361653994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D72-4B34-A9E8-A10B6D6EF941}"/>
                </c:ext>
              </c:extLst>
            </c:dLbl>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data!$D$21</c:f>
              <c:numCache>
                <c:formatCode>0.0%</c:formatCode>
                <c:ptCount val="1"/>
                <c:pt idx="0">
                  <c:v>0.98930481283422456</c:v>
                </c:pt>
              </c:numCache>
            </c:numRef>
          </c:val>
          <c:smooth val="0"/>
          <c:extLst>
            <c:ext xmlns:c16="http://schemas.microsoft.com/office/drawing/2014/chart" uri="{C3380CC4-5D6E-409C-BE32-E72D297353CC}">
              <c16:uniqueId val="{00000005-FD72-4B34-A9E8-A10B6D6EF941}"/>
            </c:ext>
          </c:extLst>
        </c:ser>
        <c:dLbls>
          <c:showLegendKey val="0"/>
          <c:showVal val="0"/>
          <c:showCatName val="0"/>
          <c:showSerName val="0"/>
          <c:showPercent val="0"/>
          <c:showBubbleSize val="0"/>
        </c:dLbls>
        <c:marker val="1"/>
        <c:smooth val="0"/>
        <c:axId val="664067439"/>
        <c:axId val="1237232095"/>
      </c:lineChart>
      <c:catAx>
        <c:axId val="664067439"/>
        <c:scaling>
          <c:orientation val="minMax"/>
        </c:scaling>
        <c:delete val="1"/>
        <c:axPos val="b"/>
        <c:numFmt formatCode="General" sourceLinked="1"/>
        <c:majorTickMark val="out"/>
        <c:minorTickMark val="none"/>
        <c:tickLblPos val="nextTo"/>
        <c:crossAx val="1237232095"/>
        <c:crosses val="autoZero"/>
        <c:auto val="1"/>
        <c:lblAlgn val="ctr"/>
        <c:lblOffset val="100"/>
        <c:noMultiLvlLbl val="0"/>
      </c:catAx>
      <c:valAx>
        <c:axId val="123723209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664067439"/>
        <c:crosses val="autoZero"/>
        <c:crossBetween val="between"/>
      </c:valAx>
      <c:spPr>
        <a:noFill/>
        <a:ln>
          <a:noFill/>
        </a:ln>
        <a:effectLst/>
      </c:spPr>
    </c:plotArea>
    <c:legend>
      <c:legendPos val="b"/>
      <c:legendEntry>
        <c:idx val="2"/>
        <c:delete val="1"/>
      </c:legendEntry>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4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HM hoàn thành</c:v>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data!$A$16:$A$18</c:f>
              <c:strCache>
                <c:ptCount val="3"/>
                <c:pt idx="0">
                  <c:v>Đội thiết bị Hệ thống điều khiển</c:v>
                </c:pt>
                <c:pt idx="1">
                  <c:v>Đội thiết bị Chấp hành</c:v>
                </c:pt>
                <c:pt idx="2">
                  <c:v>Đội thiết bị Đo lường</c:v>
                </c:pt>
              </c:strCache>
            </c:strRef>
          </c:cat>
          <c:val>
            <c:numRef>
              <c:f>data!$B$16:$B$18</c:f>
              <c:numCache>
                <c:formatCode>General</c:formatCode>
                <c:ptCount val="3"/>
                <c:pt idx="0">
                  <c:v>237</c:v>
                </c:pt>
                <c:pt idx="1">
                  <c:v>535</c:v>
                </c:pt>
                <c:pt idx="2">
                  <c:v>254</c:v>
                </c:pt>
              </c:numCache>
            </c:numRef>
          </c:val>
          <c:extLst>
            <c:ext xmlns:c16="http://schemas.microsoft.com/office/drawing/2014/chart" uri="{C3380CC4-5D6E-409C-BE32-E72D297353CC}">
              <c16:uniqueId val="{00000000-0AFE-486B-8610-44AC95C3C283}"/>
            </c:ext>
          </c:extLst>
        </c:ser>
        <c:ser>
          <c:idx val="1"/>
          <c:order val="1"/>
          <c:tx>
            <c:v>HM theo kế hoạch</c:v>
          </c:tx>
          <c:spPr>
            <a:solidFill>
              <a:srgbClr val="00B050"/>
            </a:solidFill>
            <a:ln>
              <a:noFill/>
            </a:ln>
            <a:effectLst/>
          </c:spPr>
          <c:invertIfNegative val="0"/>
          <c:dLbls>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data!$A$16:$A$18</c:f>
              <c:strCache>
                <c:ptCount val="3"/>
                <c:pt idx="0">
                  <c:v>Đội thiết bị Hệ thống điều khiển</c:v>
                </c:pt>
                <c:pt idx="1">
                  <c:v>Đội thiết bị Chấp hành</c:v>
                </c:pt>
                <c:pt idx="2">
                  <c:v>Đội thiết bị Đo lường</c:v>
                </c:pt>
              </c:strCache>
            </c:strRef>
          </c:cat>
          <c:val>
            <c:numRef>
              <c:f>data!$C$16:$C$18</c:f>
              <c:numCache>
                <c:formatCode>General</c:formatCode>
                <c:ptCount val="3"/>
                <c:pt idx="0">
                  <c:v>237</c:v>
                </c:pt>
                <c:pt idx="1">
                  <c:v>578</c:v>
                </c:pt>
                <c:pt idx="2">
                  <c:v>262</c:v>
                </c:pt>
              </c:numCache>
            </c:numRef>
          </c:val>
          <c:extLst>
            <c:ext xmlns:c16="http://schemas.microsoft.com/office/drawing/2014/chart" uri="{C3380CC4-5D6E-409C-BE32-E72D297353CC}">
              <c16:uniqueId val="{00000001-0AFE-486B-8610-44AC95C3C283}"/>
            </c:ext>
          </c:extLst>
        </c:ser>
        <c:dLbls>
          <c:showLegendKey val="0"/>
          <c:showVal val="1"/>
          <c:showCatName val="0"/>
          <c:showSerName val="0"/>
          <c:showPercent val="0"/>
          <c:showBubbleSize val="0"/>
        </c:dLbls>
        <c:gapWidth val="150"/>
        <c:axId val="1476576271"/>
        <c:axId val="1476569071"/>
      </c:barChart>
      <c:lineChart>
        <c:grouping val="standard"/>
        <c:varyColors val="0"/>
        <c:ser>
          <c:idx val="2"/>
          <c:order val="2"/>
          <c:tx>
            <c:v>HM đã thực hiện (%)</c:v>
          </c:tx>
          <c:spPr>
            <a:ln w="25400" cap="rnd">
              <a:solidFill>
                <a:srgbClr val="FF0000"/>
              </a:solidFill>
              <a:round/>
            </a:ln>
            <a:effectLst/>
          </c:spPr>
          <c:marker>
            <c:symbol val="circle"/>
            <c:size val="5"/>
            <c:spPr>
              <a:solidFill>
                <a:schemeClr val="bg1"/>
              </a:solidFill>
              <a:ln w="3175">
                <a:solidFill>
                  <a:schemeClr val="accent3"/>
                </a:solidFill>
              </a:ln>
              <a:effectLst/>
            </c:spPr>
          </c:marker>
          <c:dLbls>
            <c:dLbl>
              <c:idx val="0"/>
              <c:layout>
                <c:manualLayout>
                  <c:x val="-4.1119768038036644E-2"/>
                  <c:y val="5.20520520520520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AFE-486B-8610-44AC95C3C283}"/>
                </c:ext>
              </c:extLst>
            </c:dLbl>
            <c:dLbl>
              <c:idx val="1"/>
              <c:layout>
                <c:manualLayout>
                  <c:x val="-0.14761671015369079"/>
                  <c:y val="2.90214266793552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AFE-486B-8610-44AC95C3C283}"/>
                </c:ext>
              </c:extLst>
            </c:dLbl>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data!$A$16:$A$18</c:f>
              <c:strCache>
                <c:ptCount val="3"/>
                <c:pt idx="0">
                  <c:v>Đội thiết bị Hệ thống điều khiển</c:v>
                </c:pt>
                <c:pt idx="1">
                  <c:v>Đội thiết bị Chấp hành</c:v>
                </c:pt>
                <c:pt idx="2">
                  <c:v>Đội thiết bị Đo lường</c:v>
                </c:pt>
              </c:strCache>
            </c:strRef>
          </c:cat>
          <c:val>
            <c:numRef>
              <c:f>data!$D$16:$D$18</c:f>
              <c:numCache>
                <c:formatCode>0.0%</c:formatCode>
                <c:ptCount val="3"/>
                <c:pt idx="0">
                  <c:v>1</c:v>
                </c:pt>
                <c:pt idx="1">
                  <c:v>0.9256055363321799</c:v>
                </c:pt>
                <c:pt idx="2">
                  <c:v>0.96946564885496178</c:v>
                </c:pt>
              </c:numCache>
            </c:numRef>
          </c:val>
          <c:smooth val="0"/>
          <c:extLst>
            <c:ext xmlns:c16="http://schemas.microsoft.com/office/drawing/2014/chart" uri="{C3380CC4-5D6E-409C-BE32-E72D297353CC}">
              <c16:uniqueId val="{00000002-0AFE-486B-8610-44AC95C3C283}"/>
            </c:ext>
          </c:extLst>
        </c:ser>
        <c:ser>
          <c:idx val="3"/>
          <c:order val="3"/>
          <c:tx>
            <c:v>Mục tiêu (%)</c:v>
          </c:tx>
          <c:spPr>
            <a:ln w="15875" cap="rnd">
              <a:solidFill>
                <a:schemeClr val="accent4"/>
              </a:solidFill>
              <a:round/>
            </a:ln>
            <a:effectLst/>
          </c:spPr>
          <c:marker>
            <c:symbol val="circle"/>
            <c:size val="5"/>
            <c:spPr>
              <a:solidFill>
                <a:schemeClr val="bg1"/>
              </a:solidFill>
              <a:ln w="9525">
                <a:solidFill>
                  <a:schemeClr val="accent4"/>
                </a:solidFill>
              </a:ln>
              <a:effectLst/>
            </c:spPr>
          </c:marker>
          <c:dLbls>
            <c:dLbl>
              <c:idx val="0"/>
              <c:layout>
                <c:manualLayout>
                  <c:x val="-1.6931669192132737E-2"/>
                  <c:y val="-5.60560560560560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AFE-486B-8610-44AC95C3C283}"/>
                </c:ext>
              </c:extLst>
            </c:dLbl>
            <c:dLbl>
              <c:idx val="1"/>
              <c:layout>
                <c:manualLayout>
                  <c:x val="-3.6282148268855861E-2"/>
                  <c:y val="-4.80480480480480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AFE-486B-8610-44AC95C3C283}"/>
                </c:ext>
              </c:extLst>
            </c:dLbl>
            <c:dLbl>
              <c:idx val="2"/>
              <c:layout>
                <c:manualLayout>
                  <c:x val="-2.6606908730494299E-2"/>
                  <c:y val="-5.20520520520520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AFE-486B-8610-44AC95C3C283}"/>
                </c:ext>
              </c:extLst>
            </c:dLbl>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data!$E$16:$E$18</c:f>
              <c:numCache>
                <c:formatCode>0%</c:formatCode>
                <c:ptCount val="3"/>
                <c:pt idx="0">
                  <c:v>0.98</c:v>
                </c:pt>
                <c:pt idx="1">
                  <c:v>0.98</c:v>
                </c:pt>
                <c:pt idx="2">
                  <c:v>0.98</c:v>
                </c:pt>
              </c:numCache>
            </c:numRef>
          </c:val>
          <c:smooth val="0"/>
          <c:extLst>
            <c:ext xmlns:c16="http://schemas.microsoft.com/office/drawing/2014/chart" uri="{C3380CC4-5D6E-409C-BE32-E72D297353CC}">
              <c16:uniqueId val="{00000003-0AFE-486B-8610-44AC95C3C283}"/>
            </c:ext>
          </c:extLst>
        </c:ser>
        <c:dLbls>
          <c:showLegendKey val="0"/>
          <c:showVal val="1"/>
          <c:showCatName val="0"/>
          <c:showSerName val="0"/>
          <c:showPercent val="0"/>
          <c:showBubbleSize val="0"/>
        </c:dLbls>
        <c:marker val="1"/>
        <c:smooth val="0"/>
        <c:axId val="1269324287"/>
        <c:axId val="1269319967"/>
      </c:lineChart>
      <c:catAx>
        <c:axId val="1476576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476569071"/>
        <c:crosses val="autoZero"/>
        <c:auto val="1"/>
        <c:lblAlgn val="ctr"/>
        <c:lblOffset val="100"/>
        <c:noMultiLvlLbl val="0"/>
      </c:catAx>
      <c:valAx>
        <c:axId val="1476569071"/>
        <c:scaling>
          <c:orientation val="minMax"/>
          <c:max val="130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476576271"/>
        <c:crosses val="autoZero"/>
        <c:crossBetween val="between"/>
      </c:valAx>
      <c:valAx>
        <c:axId val="1269319967"/>
        <c:scaling>
          <c:orientation val="minMax"/>
          <c:max val="1.1500000000000001"/>
          <c:min val="0"/>
        </c:scaling>
        <c:delete val="0"/>
        <c:axPos val="r"/>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269324287"/>
        <c:crosses val="max"/>
        <c:crossBetween val="between"/>
      </c:valAx>
      <c:catAx>
        <c:axId val="1269324287"/>
        <c:scaling>
          <c:orientation val="minMax"/>
        </c:scaling>
        <c:delete val="1"/>
        <c:axPos val="b"/>
        <c:numFmt formatCode="General" sourceLinked="1"/>
        <c:majorTickMark val="none"/>
        <c:minorTickMark val="none"/>
        <c:tickLblPos val="nextTo"/>
        <c:crossAx val="126931996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4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505874977392122"/>
          <c:y val="2.6779386194069815E-2"/>
          <c:w val="0.82494126407178392"/>
          <c:h val="0.69149522281444875"/>
        </c:manualLayout>
      </c:layout>
      <c:barChart>
        <c:barDir val="col"/>
        <c:grouping val="clustered"/>
        <c:varyColors val="0"/>
        <c:ser>
          <c:idx val="0"/>
          <c:order val="0"/>
          <c:tx>
            <c:v>Kế hoạch</c:v>
          </c:tx>
          <c:spPr>
            <a:solidFill>
              <a:srgbClr val="7030A0"/>
            </a:solidFill>
            <a:ln>
              <a:noFill/>
            </a:ln>
            <a:effectLst/>
          </c:spPr>
          <c:invertIfNegative val="0"/>
          <c:val>
            <c:numRef>
              <c:f>data!$B$103:$L$103</c:f>
              <c:numCache>
                <c:formatCode>General</c:formatCode>
                <c:ptCount val="11"/>
                <c:pt idx="0">
                  <c:v>24</c:v>
                </c:pt>
                <c:pt idx="1">
                  <c:v>47</c:v>
                </c:pt>
                <c:pt idx="2">
                  <c:v>106</c:v>
                </c:pt>
                <c:pt idx="3">
                  <c:v>166</c:v>
                </c:pt>
                <c:pt idx="4">
                  <c:v>134</c:v>
                </c:pt>
                <c:pt idx="5">
                  <c:v>51</c:v>
                </c:pt>
                <c:pt idx="6">
                  <c:v>206</c:v>
                </c:pt>
                <c:pt idx="7">
                  <c:v>0</c:v>
                </c:pt>
                <c:pt idx="8">
                  <c:v>42</c:v>
                </c:pt>
                <c:pt idx="9">
                  <c:v>257</c:v>
                </c:pt>
                <c:pt idx="10">
                  <c:v>93</c:v>
                </c:pt>
              </c:numCache>
            </c:numRef>
          </c:val>
          <c:extLst>
            <c:ext xmlns:c16="http://schemas.microsoft.com/office/drawing/2014/chart" uri="{C3380CC4-5D6E-409C-BE32-E72D297353CC}">
              <c16:uniqueId val="{00000000-5E23-4064-8554-10E378855660}"/>
            </c:ext>
          </c:extLst>
        </c:ser>
        <c:dLbls>
          <c:showLegendKey val="0"/>
          <c:showVal val="0"/>
          <c:showCatName val="0"/>
          <c:showSerName val="0"/>
          <c:showPercent val="0"/>
          <c:showBubbleSize val="0"/>
        </c:dLbls>
        <c:gapWidth val="150"/>
        <c:axId val="326927280"/>
        <c:axId val="326928720"/>
      </c:barChart>
      <c:lineChart>
        <c:grouping val="standard"/>
        <c:varyColors val="0"/>
        <c:ser>
          <c:idx val="1"/>
          <c:order val="1"/>
          <c:tx>
            <c:v>Thực hiện</c:v>
          </c:tx>
          <c:spPr>
            <a:ln w="28575" cap="rnd">
              <a:solidFill>
                <a:schemeClr val="accent2"/>
              </a:solidFill>
              <a:round/>
            </a:ln>
            <a:effectLst/>
          </c:spPr>
          <c:marker>
            <c:symbol val="square"/>
            <c:size val="5"/>
            <c:spPr>
              <a:solidFill>
                <a:schemeClr val="accent2"/>
              </a:solidFill>
              <a:ln w="9525">
                <a:solidFill>
                  <a:schemeClr val="accent2"/>
                </a:solidFill>
              </a:ln>
              <a:effectLst/>
            </c:spPr>
          </c:marker>
          <c:val>
            <c:numRef>
              <c:f>data!$B$104:$L$104</c:f>
              <c:numCache>
                <c:formatCode>General</c:formatCode>
                <c:ptCount val="11"/>
                <c:pt idx="0">
                  <c:v>24</c:v>
                </c:pt>
                <c:pt idx="1">
                  <c:v>47</c:v>
                </c:pt>
                <c:pt idx="2">
                  <c:v>0</c:v>
                </c:pt>
                <c:pt idx="3">
                  <c:v>0</c:v>
                </c:pt>
                <c:pt idx="4">
                  <c:v>0</c:v>
                </c:pt>
                <c:pt idx="5">
                  <c:v>0</c:v>
                </c:pt>
                <c:pt idx="6">
                  <c:v>0</c:v>
                </c:pt>
                <c:pt idx="7">
                  <c:v>0</c:v>
                </c:pt>
                <c:pt idx="8">
                  <c:v>0</c:v>
                </c:pt>
                <c:pt idx="9">
                  <c:v>0</c:v>
                </c:pt>
                <c:pt idx="10">
                  <c:v>0</c:v>
                </c:pt>
              </c:numCache>
            </c:numRef>
          </c:val>
          <c:smooth val="1"/>
          <c:extLst>
            <c:ext xmlns:c16="http://schemas.microsoft.com/office/drawing/2014/chart" uri="{C3380CC4-5D6E-409C-BE32-E72D297353CC}">
              <c16:uniqueId val="{00000001-5E23-4064-8554-10E378855660}"/>
            </c:ext>
          </c:extLst>
        </c:ser>
        <c:dLbls>
          <c:showLegendKey val="0"/>
          <c:showVal val="0"/>
          <c:showCatName val="0"/>
          <c:showSerName val="0"/>
          <c:showPercent val="0"/>
          <c:showBubbleSize val="0"/>
        </c:dLbls>
        <c:marker val="1"/>
        <c:smooth val="0"/>
        <c:axId val="326927280"/>
        <c:axId val="326928720"/>
      </c:lineChart>
      <c:catAx>
        <c:axId val="326927280"/>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326928720"/>
        <c:crosses val="autoZero"/>
        <c:auto val="1"/>
        <c:lblAlgn val="ctr"/>
        <c:lblOffset val="100"/>
        <c:noMultiLvlLbl val="0"/>
      </c:catAx>
      <c:valAx>
        <c:axId val="326928720"/>
        <c:scaling>
          <c:orientation val="minMax"/>
          <c:min val="-20"/>
        </c:scaling>
        <c:delete val="0"/>
        <c:axPos val="l"/>
        <c:title>
          <c:tx>
            <c:rich>
              <a:bodyPr rot="-5400000" spcFirstLastPara="1" vertOverflow="ellipsis" vert="horz" wrap="square" anchor="ctr" anchorCtr="1"/>
              <a:lstStyle/>
              <a:p>
                <a:pPr>
                  <a:defRPr sz="18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a:t>Giờ đâò tạo</a:t>
                </a:r>
              </a:p>
            </c:rich>
          </c:tx>
          <c:layout>
            <c:manualLayout>
              <c:xMode val="edge"/>
              <c:yMode val="edge"/>
              <c:x val="5.5254847913672661E-2"/>
              <c:y val="0.28928659959171776"/>
            </c:manualLayout>
          </c:layout>
          <c:overlay val="0"/>
          <c:spPr>
            <a:noFill/>
            <a:ln>
              <a:noFill/>
            </a:ln>
            <a:effectLst/>
          </c:spPr>
          <c:txPr>
            <a:bodyPr rot="-5400000" spcFirstLastPara="1" vertOverflow="ellipsis" vert="horz" wrap="square" anchor="ctr" anchorCtr="1"/>
            <a:lstStyle/>
            <a:p>
              <a:pPr>
                <a:defRPr sz="18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32692728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8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8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data!$A$99</c:f>
              <c:strCache>
                <c:ptCount val="1"/>
                <c:pt idx="0">
                  <c:v>Đội thiết bị Hệ thống điều khiển</c:v>
                </c:pt>
              </c:strCache>
            </c:strRef>
          </c:tx>
          <c:spPr>
            <a:solidFill>
              <a:schemeClr val="accent1"/>
            </a:solidFill>
            <a:ln>
              <a:noFill/>
            </a:ln>
            <a:effectLst/>
          </c:spPr>
          <c:invertIfNegative val="0"/>
          <c:cat>
            <c:strRef>
              <c:f>data!$B$98:$L$98</c:f>
              <c:strCache>
                <c:ptCount val="11"/>
                <c:pt idx="0">
                  <c:v>T1</c:v>
                </c:pt>
                <c:pt idx="1">
                  <c:v>T2</c:v>
                </c:pt>
                <c:pt idx="2">
                  <c:v>T3</c:v>
                </c:pt>
                <c:pt idx="3">
                  <c:v>T4</c:v>
                </c:pt>
                <c:pt idx="4">
                  <c:v>T5</c:v>
                </c:pt>
                <c:pt idx="5">
                  <c:v>T6</c:v>
                </c:pt>
                <c:pt idx="6">
                  <c:v>T7</c:v>
                </c:pt>
                <c:pt idx="7">
                  <c:v>T8</c:v>
                </c:pt>
                <c:pt idx="8">
                  <c:v>T9</c:v>
                </c:pt>
                <c:pt idx="9">
                  <c:v>T10</c:v>
                </c:pt>
                <c:pt idx="10">
                  <c:v>T11</c:v>
                </c:pt>
              </c:strCache>
            </c:strRef>
          </c:cat>
          <c:val>
            <c:numRef>
              <c:f>data!$B$99:$L$99</c:f>
              <c:numCache>
                <c:formatCode>General</c:formatCode>
                <c:ptCount val="11"/>
                <c:pt idx="0">
                  <c:v>0</c:v>
                </c:pt>
                <c:pt idx="1">
                  <c:v>32</c:v>
                </c:pt>
                <c:pt idx="2">
                  <c:v>32</c:v>
                </c:pt>
                <c:pt idx="3">
                  <c:v>32</c:v>
                </c:pt>
                <c:pt idx="4">
                  <c:v>24</c:v>
                </c:pt>
                <c:pt idx="5">
                  <c:v>24</c:v>
                </c:pt>
                <c:pt idx="6">
                  <c:v>40</c:v>
                </c:pt>
                <c:pt idx="8">
                  <c:v>0</c:v>
                </c:pt>
                <c:pt idx="9">
                  <c:v>48</c:v>
                </c:pt>
                <c:pt idx="10">
                  <c:v>48</c:v>
                </c:pt>
              </c:numCache>
            </c:numRef>
          </c:val>
          <c:extLst>
            <c:ext xmlns:c16="http://schemas.microsoft.com/office/drawing/2014/chart" uri="{C3380CC4-5D6E-409C-BE32-E72D297353CC}">
              <c16:uniqueId val="{00000000-756B-461E-AEA9-D7A56E409C60}"/>
            </c:ext>
          </c:extLst>
        </c:ser>
        <c:ser>
          <c:idx val="1"/>
          <c:order val="1"/>
          <c:tx>
            <c:strRef>
              <c:f>data!$A$100</c:f>
              <c:strCache>
                <c:ptCount val="1"/>
                <c:pt idx="0">
                  <c:v>Đội thiết bị Chấp hành</c:v>
                </c:pt>
              </c:strCache>
            </c:strRef>
          </c:tx>
          <c:spPr>
            <a:solidFill>
              <a:schemeClr val="accent2"/>
            </a:solidFill>
            <a:ln>
              <a:noFill/>
            </a:ln>
            <a:effectLst/>
          </c:spPr>
          <c:invertIfNegative val="0"/>
          <c:cat>
            <c:strRef>
              <c:f>data!$B$98:$L$98</c:f>
              <c:strCache>
                <c:ptCount val="11"/>
                <c:pt idx="0">
                  <c:v>T1</c:v>
                </c:pt>
                <c:pt idx="1">
                  <c:v>T2</c:v>
                </c:pt>
                <c:pt idx="2">
                  <c:v>T3</c:v>
                </c:pt>
                <c:pt idx="3">
                  <c:v>T4</c:v>
                </c:pt>
                <c:pt idx="4">
                  <c:v>T5</c:v>
                </c:pt>
                <c:pt idx="5">
                  <c:v>T6</c:v>
                </c:pt>
                <c:pt idx="6">
                  <c:v>T7</c:v>
                </c:pt>
                <c:pt idx="7">
                  <c:v>T8</c:v>
                </c:pt>
                <c:pt idx="8">
                  <c:v>T9</c:v>
                </c:pt>
                <c:pt idx="9">
                  <c:v>T10</c:v>
                </c:pt>
                <c:pt idx="10">
                  <c:v>T11</c:v>
                </c:pt>
              </c:strCache>
            </c:strRef>
          </c:cat>
          <c:val>
            <c:numRef>
              <c:f>data!$B$100:$L$100</c:f>
              <c:numCache>
                <c:formatCode>General</c:formatCode>
                <c:ptCount val="11"/>
                <c:pt idx="0">
                  <c:v>0</c:v>
                </c:pt>
                <c:pt idx="1">
                  <c:v>15</c:v>
                </c:pt>
                <c:pt idx="2">
                  <c:v>30</c:v>
                </c:pt>
                <c:pt idx="3">
                  <c:v>30</c:v>
                </c:pt>
                <c:pt idx="4">
                  <c:v>30</c:v>
                </c:pt>
                <c:pt idx="5">
                  <c:v>27</c:v>
                </c:pt>
                <c:pt idx="6">
                  <c:v>30</c:v>
                </c:pt>
                <c:pt idx="8">
                  <c:v>42</c:v>
                </c:pt>
                <c:pt idx="9">
                  <c:v>33</c:v>
                </c:pt>
                <c:pt idx="10">
                  <c:v>45</c:v>
                </c:pt>
              </c:numCache>
            </c:numRef>
          </c:val>
          <c:extLst>
            <c:ext xmlns:c16="http://schemas.microsoft.com/office/drawing/2014/chart" uri="{C3380CC4-5D6E-409C-BE32-E72D297353CC}">
              <c16:uniqueId val="{00000001-756B-461E-AEA9-D7A56E409C60}"/>
            </c:ext>
          </c:extLst>
        </c:ser>
        <c:ser>
          <c:idx val="2"/>
          <c:order val="2"/>
          <c:tx>
            <c:strRef>
              <c:f>data!$A$101</c:f>
              <c:strCache>
                <c:ptCount val="1"/>
                <c:pt idx="0">
                  <c:v>Đội thiết bị Đo lường</c:v>
                </c:pt>
              </c:strCache>
            </c:strRef>
          </c:tx>
          <c:spPr>
            <a:solidFill>
              <a:schemeClr val="accent3"/>
            </a:solidFill>
            <a:ln>
              <a:noFill/>
            </a:ln>
            <a:effectLst/>
          </c:spPr>
          <c:invertIfNegative val="0"/>
          <c:cat>
            <c:strRef>
              <c:f>data!$B$98:$L$98</c:f>
              <c:strCache>
                <c:ptCount val="11"/>
                <c:pt idx="0">
                  <c:v>T1</c:v>
                </c:pt>
                <c:pt idx="1">
                  <c:v>T2</c:v>
                </c:pt>
                <c:pt idx="2">
                  <c:v>T3</c:v>
                </c:pt>
                <c:pt idx="3">
                  <c:v>T4</c:v>
                </c:pt>
                <c:pt idx="4">
                  <c:v>T5</c:v>
                </c:pt>
                <c:pt idx="5">
                  <c:v>T6</c:v>
                </c:pt>
                <c:pt idx="6">
                  <c:v>T7</c:v>
                </c:pt>
                <c:pt idx="7">
                  <c:v>T8</c:v>
                </c:pt>
                <c:pt idx="8">
                  <c:v>T9</c:v>
                </c:pt>
                <c:pt idx="9">
                  <c:v>T10</c:v>
                </c:pt>
                <c:pt idx="10">
                  <c:v>T11</c:v>
                </c:pt>
              </c:strCache>
            </c:strRef>
          </c:cat>
          <c:val>
            <c:numRef>
              <c:f>data!$B$101:$L$101</c:f>
              <c:numCache>
                <c:formatCode>General</c:formatCode>
                <c:ptCount val="11"/>
                <c:pt idx="0">
                  <c:v>24</c:v>
                </c:pt>
                <c:pt idx="1">
                  <c:v>0</c:v>
                </c:pt>
                <c:pt idx="2">
                  <c:v>44</c:v>
                </c:pt>
                <c:pt idx="4">
                  <c:v>80</c:v>
                </c:pt>
                <c:pt idx="5">
                  <c:v>0</c:v>
                </c:pt>
                <c:pt idx="6">
                  <c:v>40</c:v>
                </c:pt>
                <c:pt idx="8">
                  <c:v>0</c:v>
                </c:pt>
                <c:pt idx="9">
                  <c:v>80</c:v>
                </c:pt>
                <c:pt idx="10">
                  <c:v>0</c:v>
                </c:pt>
              </c:numCache>
            </c:numRef>
          </c:val>
          <c:extLst>
            <c:ext xmlns:c16="http://schemas.microsoft.com/office/drawing/2014/chart" uri="{C3380CC4-5D6E-409C-BE32-E72D297353CC}">
              <c16:uniqueId val="{00000002-756B-461E-AEA9-D7A56E409C60}"/>
            </c:ext>
          </c:extLst>
        </c:ser>
        <c:ser>
          <c:idx val="3"/>
          <c:order val="3"/>
          <c:tx>
            <c:strRef>
              <c:f>data!$A$102</c:f>
              <c:strCache>
                <c:ptCount val="1"/>
                <c:pt idx="0">
                  <c:v>Tổ trực ca điều khiển</c:v>
                </c:pt>
              </c:strCache>
            </c:strRef>
          </c:tx>
          <c:spPr>
            <a:solidFill>
              <a:schemeClr val="accent4"/>
            </a:solidFill>
            <a:ln>
              <a:noFill/>
            </a:ln>
            <a:effectLst/>
          </c:spPr>
          <c:invertIfNegative val="0"/>
          <c:cat>
            <c:strRef>
              <c:f>data!$B$98:$L$98</c:f>
              <c:strCache>
                <c:ptCount val="11"/>
                <c:pt idx="0">
                  <c:v>T1</c:v>
                </c:pt>
                <c:pt idx="1">
                  <c:v>T2</c:v>
                </c:pt>
                <c:pt idx="2">
                  <c:v>T3</c:v>
                </c:pt>
                <c:pt idx="3">
                  <c:v>T4</c:v>
                </c:pt>
                <c:pt idx="4">
                  <c:v>T5</c:v>
                </c:pt>
                <c:pt idx="5">
                  <c:v>T6</c:v>
                </c:pt>
                <c:pt idx="6">
                  <c:v>T7</c:v>
                </c:pt>
                <c:pt idx="7">
                  <c:v>T8</c:v>
                </c:pt>
                <c:pt idx="8">
                  <c:v>T9</c:v>
                </c:pt>
                <c:pt idx="9">
                  <c:v>T10</c:v>
                </c:pt>
                <c:pt idx="10">
                  <c:v>T11</c:v>
                </c:pt>
              </c:strCache>
            </c:strRef>
          </c:cat>
          <c:val>
            <c:numRef>
              <c:f>data!$B$102:$L$102</c:f>
              <c:numCache>
                <c:formatCode>General</c:formatCode>
                <c:ptCount val="11"/>
                <c:pt idx="0">
                  <c:v>0</c:v>
                </c:pt>
                <c:pt idx="1">
                  <c:v>0</c:v>
                </c:pt>
                <c:pt idx="2">
                  <c:v>0</c:v>
                </c:pt>
                <c:pt idx="3">
                  <c:v>104</c:v>
                </c:pt>
                <c:pt idx="4">
                  <c:v>0</c:v>
                </c:pt>
                <c:pt idx="5">
                  <c:v>0</c:v>
                </c:pt>
                <c:pt idx="6">
                  <c:v>96</c:v>
                </c:pt>
                <c:pt idx="8">
                  <c:v>0</c:v>
                </c:pt>
                <c:pt idx="9">
                  <c:v>96</c:v>
                </c:pt>
                <c:pt idx="10">
                  <c:v>0</c:v>
                </c:pt>
              </c:numCache>
            </c:numRef>
          </c:val>
          <c:extLst>
            <c:ext xmlns:c16="http://schemas.microsoft.com/office/drawing/2014/chart" uri="{C3380CC4-5D6E-409C-BE32-E72D297353CC}">
              <c16:uniqueId val="{00000003-756B-461E-AEA9-D7A56E409C60}"/>
            </c:ext>
          </c:extLst>
        </c:ser>
        <c:dLbls>
          <c:showLegendKey val="0"/>
          <c:showVal val="0"/>
          <c:showCatName val="0"/>
          <c:showSerName val="0"/>
          <c:showPercent val="0"/>
          <c:showBubbleSize val="0"/>
        </c:dLbls>
        <c:gapWidth val="219"/>
        <c:axId val="158806208"/>
        <c:axId val="97287136"/>
      </c:barChart>
      <c:lineChart>
        <c:grouping val="standard"/>
        <c:varyColors val="0"/>
        <c:ser>
          <c:idx val="4"/>
          <c:order val="4"/>
          <c:tx>
            <c:strRef>
              <c:f>data!$A$103</c:f>
              <c:strCache>
                <c:ptCount val="1"/>
                <c:pt idx="0">
                  <c:v>Kế hoạch </c:v>
                </c:pt>
              </c:strCache>
            </c:strRef>
          </c:tx>
          <c:spPr>
            <a:ln w="28575" cap="rnd">
              <a:solidFill>
                <a:schemeClr val="accent5"/>
              </a:solidFill>
              <a:round/>
            </a:ln>
            <a:effectLst/>
          </c:spPr>
          <c:marker>
            <c:symbol val="none"/>
          </c:marker>
          <c:cat>
            <c:strRef>
              <c:f>data!$B$98:$L$98</c:f>
              <c:strCache>
                <c:ptCount val="11"/>
                <c:pt idx="0">
                  <c:v>T1</c:v>
                </c:pt>
                <c:pt idx="1">
                  <c:v>T2</c:v>
                </c:pt>
                <c:pt idx="2">
                  <c:v>T3</c:v>
                </c:pt>
                <c:pt idx="3">
                  <c:v>T4</c:v>
                </c:pt>
                <c:pt idx="4">
                  <c:v>T5</c:v>
                </c:pt>
                <c:pt idx="5">
                  <c:v>T6</c:v>
                </c:pt>
                <c:pt idx="6">
                  <c:v>T7</c:v>
                </c:pt>
                <c:pt idx="7">
                  <c:v>T8</c:v>
                </c:pt>
                <c:pt idx="8">
                  <c:v>T9</c:v>
                </c:pt>
                <c:pt idx="9">
                  <c:v>T10</c:v>
                </c:pt>
                <c:pt idx="10">
                  <c:v>T11</c:v>
                </c:pt>
              </c:strCache>
            </c:strRef>
          </c:cat>
          <c:val>
            <c:numRef>
              <c:f>data!$B$103:$L$103</c:f>
              <c:numCache>
                <c:formatCode>General</c:formatCode>
                <c:ptCount val="11"/>
                <c:pt idx="0">
                  <c:v>24</c:v>
                </c:pt>
                <c:pt idx="1">
                  <c:v>47</c:v>
                </c:pt>
                <c:pt idx="2">
                  <c:v>106</c:v>
                </c:pt>
                <c:pt idx="3">
                  <c:v>166</c:v>
                </c:pt>
                <c:pt idx="4">
                  <c:v>134</c:v>
                </c:pt>
                <c:pt idx="5">
                  <c:v>51</c:v>
                </c:pt>
                <c:pt idx="6">
                  <c:v>206</c:v>
                </c:pt>
                <c:pt idx="7">
                  <c:v>0</c:v>
                </c:pt>
                <c:pt idx="8">
                  <c:v>42</c:v>
                </c:pt>
                <c:pt idx="9">
                  <c:v>257</c:v>
                </c:pt>
                <c:pt idx="10">
                  <c:v>93</c:v>
                </c:pt>
              </c:numCache>
            </c:numRef>
          </c:val>
          <c:smooth val="0"/>
          <c:extLst>
            <c:ext xmlns:c16="http://schemas.microsoft.com/office/drawing/2014/chart" uri="{C3380CC4-5D6E-409C-BE32-E72D297353CC}">
              <c16:uniqueId val="{00000004-756B-461E-AEA9-D7A56E409C60}"/>
            </c:ext>
          </c:extLst>
        </c:ser>
        <c:ser>
          <c:idx val="5"/>
          <c:order val="5"/>
          <c:tx>
            <c:strRef>
              <c:f>data!$A$104</c:f>
              <c:strCache>
                <c:ptCount val="1"/>
                <c:pt idx="0">
                  <c:v>thực hiện</c:v>
                </c:pt>
              </c:strCache>
            </c:strRef>
          </c:tx>
          <c:spPr>
            <a:ln w="28575" cap="rnd">
              <a:solidFill>
                <a:schemeClr val="accent6"/>
              </a:solidFill>
              <a:round/>
            </a:ln>
            <a:effectLst/>
          </c:spPr>
          <c:marker>
            <c:symbol val="none"/>
          </c:marker>
          <c:cat>
            <c:strRef>
              <c:f>data!$B$98:$L$98</c:f>
              <c:strCache>
                <c:ptCount val="11"/>
                <c:pt idx="0">
                  <c:v>T1</c:v>
                </c:pt>
                <c:pt idx="1">
                  <c:v>T2</c:v>
                </c:pt>
                <c:pt idx="2">
                  <c:v>T3</c:v>
                </c:pt>
                <c:pt idx="3">
                  <c:v>T4</c:v>
                </c:pt>
                <c:pt idx="4">
                  <c:v>T5</c:v>
                </c:pt>
                <c:pt idx="5">
                  <c:v>T6</c:v>
                </c:pt>
                <c:pt idx="6">
                  <c:v>T7</c:v>
                </c:pt>
                <c:pt idx="7">
                  <c:v>T8</c:v>
                </c:pt>
                <c:pt idx="8">
                  <c:v>T9</c:v>
                </c:pt>
                <c:pt idx="9">
                  <c:v>T10</c:v>
                </c:pt>
                <c:pt idx="10">
                  <c:v>T11</c:v>
                </c:pt>
              </c:strCache>
            </c:strRef>
          </c:cat>
          <c:val>
            <c:numRef>
              <c:f>data!$B$104:$L$104</c:f>
              <c:numCache>
                <c:formatCode>General</c:formatCode>
                <c:ptCount val="11"/>
                <c:pt idx="0">
                  <c:v>24</c:v>
                </c:pt>
                <c:pt idx="1">
                  <c:v>47</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5-756B-461E-AEA9-D7A56E409C60}"/>
            </c:ext>
          </c:extLst>
        </c:ser>
        <c:dLbls>
          <c:showLegendKey val="0"/>
          <c:showVal val="0"/>
          <c:showCatName val="0"/>
          <c:showSerName val="0"/>
          <c:showPercent val="0"/>
          <c:showBubbleSize val="0"/>
        </c:dLbls>
        <c:marker val="1"/>
        <c:smooth val="0"/>
        <c:axId val="158806208"/>
        <c:axId val="97287136"/>
      </c:lineChart>
      <c:catAx>
        <c:axId val="158806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87136"/>
        <c:crosses val="autoZero"/>
        <c:auto val="1"/>
        <c:lblAlgn val="ctr"/>
        <c:lblOffset val="100"/>
        <c:noMultiLvlLbl val="0"/>
      </c:catAx>
      <c:valAx>
        <c:axId val="97287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062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chart" Target="../charts/chart5.xml"/><Relationship Id="rId18" Type="http://schemas.openxmlformats.org/officeDocument/2006/relationships/chart" Target="../charts/chart8.xml"/><Relationship Id="rId26" Type="http://schemas.openxmlformats.org/officeDocument/2006/relationships/image" Target="../media/image16.png"/><Relationship Id="rId3" Type="http://schemas.openxmlformats.org/officeDocument/2006/relationships/image" Target="../media/image3.jpeg"/><Relationship Id="rId21" Type="http://schemas.openxmlformats.org/officeDocument/2006/relationships/image" Target="../media/image12.png"/><Relationship Id="rId7" Type="http://schemas.openxmlformats.org/officeDocument/2006/relationships/image" Target="../media/image7.png"/><Relationship Id="rId12" Type="http://schemas.openxmlformats.org/officeDocument/2006/relationships/image" Target="../media/image8.png"/><Relationship Id="rId17" Type="http://schemas.openxmlformats.org/officeDocument/2006/relationships/image" Target="../media/image10.png"/><Relationship Id="rId25" Type="http://schemas.openxmlformats.org/officeDocument/2006/relationships/image" Target="../media/image15.png"/><Relationship Id="rId2" Type="http://schemas.openxmlformats.org/officeDocument/2006/relationships/image" Target="../media/image2.png"/><Relationship Id="rId16" Type="http://schemas.openxmlformats.org/officeDocument/2006/relationships/chart" Target="../charts/chart7.xml"/><Relationship Id="rId20" Type="http://schemas.openxmlformats.org/officeDocument/2006/relationships/chart" Target="../charts/chart9.xml"/><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chart" Target="../charts/chart4.xml"/><Relationship Id="rId24" Type="http://schemas.openxmlformats.org/officeDocument/2006/relationships/image" Target="../media/image14.png"/><Relationship Id="rId5" Type="http://schemas.openxmlformats.org/officeDocument/2006/relationships/image" Target="../media/image5.jpeg"/><Relationship Id="rId15" Type="http://schemas.openxmlformats.org/officeDocument/2006/relationships/image" Target="../media/image9.png"/><Relationship Id="rId23" Type="http://schemas.openxmlformats.org/officeDocument/2006/relationships/chart" Target="../charts/chart10.xml"/><Relationship Id="rId10" Type="http://schemas.openxmlformats.org/officeDocument/2006/relationships/chart" Target="../charts/chart3.xml"/><Relationship Id="rId19" Type="http://schemas.openxmlformats.org/officeDocument/2006/relationships/image" Target="../media/image11.jpeg"/><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chart" Target="../charts/chart6.xml"/><Relationship Id="rId22" Type="http://schemas.openxmlformats.org/officeDocument/2006/relationships/image" Target="../media/image13.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277091</xdr:colOff>
      <xdr:row>175</xdr:row>
      <xdr:rowOff>128163</xdr:rowOff>
    </xdr:from>
    <xdr:to>
      <xdr:col>26</xdr:col>
      <xdr:colOff>138545</xdr:colOff>
      <xdr:row>235</xdr:row>
      <xdr:rowOff>138544</xdr:rowOff>
    </xdr:to>
    <xdr:grpSp>
      <xdr:nvGrpSpPr>
        <xdr:cNvPr id="300" name="Group 299">
          <a:extLst>
            <a:ext uri="{FF2B5EF4-FFF2-40B4-BE49-F238E27FC236}">
              <a16:creationId xmlns:a16="http://schemas.microsoft.com/office/drawing/2014/main" id="{895917C0-3393-4341-ABE7-C2A3F9B61721}"/>
            </a:ext>
          </a:extLst>
        </xdr:cNvPr>
        <xdr:cNvGrpSpPr/>
      </xdr:nvGrpSpPr>
      <xdr:grpSpPr>
        <a:xfrm>
          <a:off x="277091" y="37847163"/>
          <a:ext cx="16001999" cy="11440381"/>
          <a:chOff x="17374733" y="10330277"/>
          <a:chExt cx="16991383" cy="10847817"/>
        </a:xfrm>
      </xdr:grpSpPr>
      <xdr:sp macro="" textlink="">
        <xdr:nvSpPr>
          <xdr:cNvPr id="301" name="Rectangle: Rounded Corners 300">
            <a:extLst>
              <a:ext uri="{FF2B5EF4-FFF2-40B4-BE49-F238E27FC236}">
                <a16:creationId xmlns:a16="http://schemas.microsoft.com/office/drawing/2014/main" id="{9FE8BD11-E390-84CB-C237-023B916CDCCC}"/>
              </a:ext>
            </a:extLst>
          </xdr:cNvPr>
          <xdr:cNvSpPr/>
        </xdr:nvSpPr>
        <xdr:spPr>
          <a:xfrm>
            <a:off x="17374733" y="11077282"/>
            <a:ext cx="16991383" cy="10100812"/>
          </a:xfrm>
          <a:prstGeom prst="roundRect">
            <a:avLst>
              <a:gd name="adj" fmla="val 2765"/>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302" name="Rectangle: Rounded Corners 301">
            <a:extLst>
              <a:ext uri="{FF2B5EF4-FFF2-40B4-BE49-F238E27FC236}">
                <a16:creationId xmlns:a16="http://schemas.microsoft.com/office/drawing/2014/main" id="{5BF869AB-B5A5-68D9-7696-FE9B4962155B}"/>
              </a:ext>
            </a:extLst>
          </xdr:cNvPr>
          <xdr:cNvSpPr/>
        </xdr:nvSpPr>
        <xdr:spPr>
          <a:xfrm>
            <a:off x="17517225" y="10330277"/>
            <a:ext cx="16813270" cy="624593"/>
          </a:xfrm>
          <a:prstGeom prst="roundRect">
            <a:avLst/>
          </a:prstGeom>
          <a:solidFill>
            <a:srgbClr val="FFFF00"/>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400" b="1" kern="1200">
                <a:solidFill>
                  <a:schemeClr val="tx1"/>
                </a:solidFill>
                <a:latin typeface="Times New Roman" panose="02020603050405020304" pitchFamily="18" charset="0"/>
                <a:ea typeface="+mn-ea"/>
                <a:cs typeface="Times New Roman" panose="02020603050405020304" pitchFamily="18" charset="0"/>
              </a:rPr>
              <a:t>O4:</a:t>
            </a:r>
            <a:r>
              <a:rPr lang="vi-VN" sz="2400" b="1" kern="1200">
                <a:solidFill>
                  <a:schemeClr val="tx1"/>
                </a:solidFill>
                <a:latin typeface="Times New Roman" panose="02020603050405020304" pitchFamily="18" charset="0"/>
                <a:ea typeface="+mn-ea"/>
                <a:cs typeface="Times New Roman" panose="02020603050405020304" pitchFamily="18" charset="0"/>
              </a:rPr>
              <a:t> </a:t>
            </a:r>
            <a:r>
              <a:rPr lang="en-US" sz="2400" b="1" kern="1200">
                <a:solidFill>
                  <a:schemeClr val="tx1"/>
                </a:solidFill>
                <a:latin typeface="Times New Roman" panose="02020603050405020304" pitchFamily="18" charset="0"/>
                <a:ea typeface="+mn-ea"/>
                <a:cs typeface="Times New Roman" panose="02020603050405020304" pitchFamily="18" charset="0"/>
              </a:rPr>
              <a:t>Triển khai các hạng mục cải hoán thuộc chuyên môn phụ trách</a:t>
            </a:r>
            <a:endParaRPr lang="vi-VN" sz="2400" b="1" kern="1200">
              <a:solidFill>
                <a:schemeClr val="tx1"/>
              </a:solidFill>
              <a:latin typeface="Times New Roman" panose="02020603050405020304" pitchFamily="18" charset="0"/>
              <a:ea typeface="+mn-ea"/>
              <a:cs typeface="Times New Roman" panose="02020603050405020304" pitchFamily="18" charset="0"/>
            </a:endParaRPr>
          </a:p>
        </xdr:txBody>
      </xdr:sp>
      <xdr:sp macro="" textlink="">
        <xdr:nvSpPr>
          <xdr:cNvPr id="305" name="Rectangle: Rounded Corners 304">
            <a:extLst>
              <a:ext uri="{FF2B5EF4-FFF2-40B4-BE49-F238E27FC236}">
                <a16:creationId xmlns:a16="http://schemas.microsoft.com/office/drawing/2014/main" id="{919F7FAF-C2BC-42ED-E1F3-1F60873A4F38}"/>
              </a:ext>
            </a:extLst>
          </xdr:cNvPr>
          <xdr:cNvSpPr/>
        </xdr:nvSpPr>
        <xdr:spPr>
          <a:xfrm>
            <a:off x="18282743" y="11182289"/>
            <a:ext cx="8801352" cy="501820"/>
          </a:xfrm>
          <a:prstGeom prst="roundRect">
            <a:avLst/>
          </a:prstGeom>
          <a:solidFill>
            <a:schemeClr val="accent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lnSpc>
                <a:spcPct val="100000"/>
              </a:lnSpc>
            </a:pPr>
            <a:r>
              <a:rPr lang="en-US" sz="2000" b="0" kern="1200">
                <a:solidFill>
                  <a:sysClr val="windowText" lastClr="000000"/>
                </a:solidFill>
                <a:latin typeface="Times New Roman" panose="02020603050405020304" pitchFamily="18" charset="0"/>
                <a:cs typeface="Times New Roman" panose="02020603050405020304" pitchFamily="18" charset="0"/>
              </a:rPr>
              <a:t>KR 02 </a:t>
            </a:r>
            <a:r>
              <a:rPr lang="vi-VN" sz="2000" b="0" kern="1200">
                <a:solidFill>
                  <a:sysClr val="windowText" lastClr="000000"/>
                </a:solidFill>
                <a:latin typeface="Times New Roman" panose="02020603050405020304" pitchFamily="18" charset="0"/>
                <a:cs typeface="Times New Roman" panose="02020603050405020304" pitchFamily="18" charset="0"/>
              </a:rPr>
              <a:t>Cải tiến lại hệ thống robot</a:t>
            </a:r>
            <a:r>
              <a:rPr lang="en-US" sz="2000" b="0" kern="1200">
                <a:solidFill>
                  <a:sysClr val="windowText" lastClr="000000"/>
                </a:solidFill>
                <a:latin typeface="Times New Roman" panose="02020603050405020304" pitchFamily="18" charset="0"/>
                <a:cs typeface="Times New Roman" panose="02020603050405020304" pitchFamily="18" charset="0"/>
              </a:rPr>
              <a:t> NPK</a:t>
            </a:r>
            <a:r>
              <a:rPr lang="vi-VN" sz="2000" b="0" kern="1200">
                <a:solidFill>
                  <a:sysClr val="windowText" lastClr="000000"/>
                </a:solidFill>
                <a:latin typeface="Times New Roman" panose="02020603050405020304" pitchFamily="18" charset="0"/>
                <a:cs typeface="Times New Roman" panose="02020603050405020304" pitchFamily="18" charset="0"/>
              </a:rPr>
              <a:t> line A,B,C để gắp được bao 25kg</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grpSp>
        <xdr:nvGrpSpPr>
          <xdr:cNvPr id="307" name="Group 306">
            <a:extLst>
              <a:ext uri="{FF2B5EF4-FFF2-40B4-BE49-F238E27FC236}">
                <a16:creationId xmlns:a16="http://schemas.microsoft.com/office/drawing/2014/main" id="{76E28F8D-04FC-E8C4-2BF1-BB6CC9AD9342}"/>
              </a:ext>
            </a:extLst>
          </xdr:cNvPr>
          <xdr:cNvGrpSpPr/>
        </xdr:nvGrpSpPr>
        <xdr:grpSpPr>
          <a:xfrm>
            <a:off x="18154531" y="15153984"/>
            <a:ext cx="10318468" cy="4628989"/>
            <a:chOff x="17131993" y="12551680"/>
            <a:chExt cx="10749556" cy="4755620"/>
          </a:xfrm>
        </xdr:grpSpPr>
        <xdr:sp macro="" textlink="">
          <xdr:nvSpPr>
            <xdr:cNvPr id="311" name="Rectangle: Rounded Corners 310">
              <a:extLst>
                <a:ext uri="{FF2B5EF4-FFF2-40B4-BE49-F238E27FC236}">
                  <a16:creationId xmlns:a16="http://schemas.microsoft.com/office/drawing/2014/main" id="{A2BCA9EB-CA84-5475-C2E8-1392E550FF9E}"/>
                </a:ext>
              </a:extLst>
            </xdr:cNvPr>
            <xdr:cNvSpPr/>
          </xdr:nvSpPr>
          <xdr:spPr>
            <a:xfrm>
              <a:off x="17261814" y="12551680"/>
              <a:ext cx="8473679" cy="516665"/>
            </a:xfrm>
            <a:prstGeom prst="round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lnSpc>
                  <a:spcPct val="100000"/>
                </a:lnSpc>
              </a:pPr>
              <a:r>
                <a:rPr lang="en-US" sz="2000" b="0" kern="1200">
                  <a:solidFill>
                    <a:sysClr val="windowText" lastClr="000000"/>
                  </a:solidFill>
                  <a:latin typeface="Times New Roman" panose="02020603050405020304" pitchFamily="18" charset="0"/>
                  <a:cs typeface="Times New Roman" panose="02020603050405020304" pitchFamily="18" charset="0"/>
                </a:rPr>
                <a:t>KR 04 Mở rộng  hệ thống Fire and Gas theo kết quả Gas mapping report</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sp macro="" textlink="">
          <xdr:nvSpPr>
            <xdr:cNvPr id="351" name="Rectangle: Rounded Corners 350">
              <a:extLst>
                <a:ext uri="{FF2B5EF4-FFF2-40B4-BE49-F238E27FC236}">
                  <a16:creationId xmlns:a16="http://schemas.microsoft.com/office/drawing/2014/main" id="{2BAC4B7F-99EC-9CD1-86EF-210F247C428B}"/>
                </a:ext>
              </a:extLst>
            </xdr:cNvPr>
            <xdr:cNvSpPr/>
          </xdr:nvSpPr>
          <xdr:spPr>
            <a:xfrm>
              <a:off x="17131993" y="15027460"/>
              <a:ext cx="10749556" cy="516665"/>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lnSpc>
                  <a:spcPct val="100000"/>
                </a:lnSpc>
              </a:pPr>
              <a:r>
                <a:rPr lang="en-US" sz="2000" b="0" kern="1200">
                  <a:solidFill>
                    <a:sysClr val="windowText" lastClr="000000"/>
                  </a:solidFill>
                  <a:latin typeface="Times New Roman" panose="02020603050405020304" pitchFamily="18" charset="0"/>
                  <a:cs typeface="Times New Roman" panose="02020603050405020304" pitchFamily="18" charset="0"/>
                </a:rPr>
                <a:t>KR 05 </a:t>
              </a:r>
              <a:r>
                <a:rPr lang="vi-VN" sz="2000" b="0" kern="1200">
                  <a:solidFill>
                    <a:sysClr val="windowText" lastClr="000000"/>
                  </a:solidFill>
                  <a:latin typeface="Times New Roman" panose="02020603050405020304" pitchFamily="18" charset="0"/>
                  <a:cs typeface="Times New Roman" panose="02020603050405020304" pitchFamily="18" charset="0"/>
                </a:rPr>
                <a:t>Cải tạo hệ thống tiếp địa cho thiết bị đo lường, van điều khiển và hệ thống điều khiển</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sp macro="" textlink="">
          <xdr:nvSpPr>
            <xdr:cNvPr id="352" name="Rectangle: Rounded Corners 351">
              <a:extLst>
                <a:ext uri="{FF2B5EF4-FFF2-40B4-BE49-F238E27FC236}">
                  <a16:creationId xmlns:a16="http://schemas.microsoft.com/office/drawing/2014/main" id="{4D34049F-18F9-6DBC-63D5-D5C0B941837F}"/>
                </a:ext>
              </a:extLst>
            </xdr:cNvPr>
            <xdr:cNvSpPr/>
          </xdr:nvSpPr>
          <xdr:spPr>
            <a:xfrm>
              <a:off x="17185785" y="16790635"/>
              <a:ext cx="4089237" cy="516665"/>
            </a:xfrm>
            <a:prstGeom prst="roundRect">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lnSpc>
                  <a:spcPct val="100000"/>
                </a:lnSpc>
              </a:pPr>
              <a:r>
                <a:rPr lang="en-US" sz="2000" b="0" kern="1200">
                  <a:solidFill>
                    <a:sysClr val="windowText" lastClr="000000"/>
                  </a:solidFill>
                  <a:latin typeface="Times New Roman" panose="02020603050405020304" pitchFamily="18" charset="0"/>
                  <a:cs typeface="Times New Roman" panose="02020603050405020304" pitchFamily="18" charset="0"/>
                </a:rPr>
                <a:t>KR 06 </a:t>
              </a:r>
              <a:r>
                <a:rPr lang="vi-VN" sz="2000" b="0" kern="1200">
                  <a:solidFill>
                    <a:sysClr val="windowText" lastClr="000000"/>
                  </a:solidFill>
                  <a:latin typeface="Times New Roman" panose="02020603050405020304" pitchFamily="18" charset="0"/>
                  <a:cs typeface="Times New Roman" panose="02020603050405020304" pitchFamily="18" charset="0"/>
                </a:rPr>
                <a:t>Cải tạo hệ thống máng cáp</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grpSp>
      <xdr:pic>
        <xdr:nvPicPr>
          <xdr:cNvPr id="309" name="Picture 308" descr="Auto, industry, machine, manufacturing, packaging icon - Download on  Iconfinder">
            <a:extLst>
              <a:ext uri="{FF2B5EF4-FFF2-40B4-BE49-F238E27FC236}">
                <a16:creationId xmlns:a16="http://schemas.microsoft.com/office/drawing/2014/main" id="{868D704C-5411-1FA1-0B1E-D915F36C4F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391140" y="10752921"/>
            <a:ext cx="1206086" cy="1118836"/>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9" name="Rectangle: Rounded Corners 18">
            <a:extLst>
              <a:ext uri="{FF2B5EF4-FFF2-40B4-BE49-F238E27FC236}">
                <a16:creationId xmlns:a16="http://schemas.microsoft.com/office/drawing/2014/main" id="{A7037CDB-04AB-C554-59B3-738ABAAC8068}"/>
              </a:ext>
            </a:extLst>
          </xdr:cNvPr>
          <xdr:cNvSpPr/>
        </xdr:nvSpPr>
        <xdr:spPr>
          <a:xfrm>
            <a:off x="18264897" y="15618620"/>
            <a:ext cx="10803908" cy="64261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2400" b="0" kern="1200">
              <a:solidFill>
                <a:sysClr val="windowText" lastClr="000000"/>
              </a:solidFill>
              <a:latin typeface="Times New Roman" panose="02020603050405020304" pitchFamily="18" charset="0"/>
              <a:cs typeface="Times New Roman" panose="02020603050405020304" pitchFamily="18" charset="0"/>
            </a:endParaRPr>
          </a:p>
        </xdr:txBody>
      </xdr:sp>
      <xdr:sp macro="" textlink="">
        <xdr:nvSpPr>
          <xdr:cNvPr id="350" name="Rectangle: Rounded Corners 349">
            <a:extLst>
              <a:ext uri="{FF2B5EF4-FFF2-40B4-BE49-F238E27FC236}">
                <a16:creationId xmlns:a16="http://schemas.microsoft.com/office/drawing/2014/main" id="{1D1011E7-E531-93A6-0553-CA468A7BE193}"/>
              </a:ext>
            </a:extLst>
          </xdr:cNvPr>
          <xdr:cNvSpPr/>
        </xdr:nvSpPr>
        <xdr:spPr>
          <a:xfrm>
            <a:off x="18282744" y="13090499"/>
            <a:ext cx="6366138" cy="501820"/>
          </a:xfrm>
          <a:prstGeom prst="roundRect">
            <a:avLst/>
          </a:prstGeom>
          <a:solidFill>
            <a:schemeClr val="accent4">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lnSpc>
                <a:spcPct val="100000"/>
              </a:lnSpc>
            </a:pPr>
            <a:r>
              <a:rPr lang="en-US" sz="2000" b="0" kern="1200">
                <a:solidFill>
                  <a:sysClr val="windowText" lastClr="000000"/>
                </a:solidFill>
                <a:latin typeface="Times New Roman" panose="02020603050405020304" pitchFamily="18" charset="0"/>
                <a:cs typeface="Times New Roman" panose="02020603050405020304" pitchFamily="18" charset="0"/>
              </a:rPr>
              <a:t>KR 03 </a:t>
            </a:r>
            <a:r>
              <a:rPr lang="vi-VN" sz="2000" b="0" kern="1200">
                <a:solidFill>
                  <a:sysClr val="windowText" lastClr="000000"/>
                </a:solidFill>
                <a:latin typeface="Times New Roman" panose="02020603050405020304" pitchFamily="18" charset="0"/>
                <a:cs typeface="Times New Roman" panose="02020603050405020304" pitchFamily="18" charset="0"/>
              </a:rPr>
              <a:t>Triển khai dự án lắp đặt 2 </a:t>
            </a:r>
            <a:r>
              <a:rPr lang="en-US" sz="2000" b="0" kern="1200">
                <a:solidFill>
                  <a:sysClr val="windowText" lastClr="000000"/>
                </a:solidFill>
                <a:latin typeface="Times New Roman" panose="02020603050405020304" pitchFamily="18" charset="0"/>
                <a:cs typeface="Times New Roman" panose="02020603050405020304" pitchFamily="18" charset="0"/>
              </a:rPr>
              <a:t>hệ</a:t>
            </a:r>
            <a:r>
              <a:rPr lang="en-US" sz="2000" b="0" kern="1200" baseline="0">
                <a:solidFill>
                  <a:sysClr val="windowText" lastClr="000000"/>
                </a:solidFill>
                <a:latin typeface="Times New Roman" panose="02020603050405020304" pitchFamily="18" charset="0"/>
                <a:cs typeface="Times New Roman" panose="02020603050405020304" pitchFamily="18" charset="0"/>
              </a:rPr>
              <a:t> thống</a:t>
            </a:r>
            <a:r>
              <a:rPr lang="vi-VN" sz="2000" b="0" kern="1200">
                <a:solidFill>
                  <a:sysClr val="windowText" lastClr="000000"/>
                </a:solidFill>
                <a:latin typeface="Times New Roman" panose="02020603050405020304" pitchFamily="18" charset="0"/>
                <a:cs typeface="Times New Roman" panose="02020603050405020304" pitchFamily="18" charset="0"/>
              </a:rPr>
              <a:t> Depalletizing</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sp macro="" textlink="">
        <xdr:nvSpPr>
          <xdr:cNvPr id="76" name="Rectangle: Rounded Corners 75">
            <a:extLst>
              <a:ext uri="{FF2B5EF4-FFF2-40B4-BE49-F238E27FC236}">
                <a16:creationId xmlns:a16="http://schemas.microsoft.com/office/drawing/2014/main" id="{DBAF98B3-97C6-7344-4609-EE6BAB7D76C7}"/>
              </a:ext>
            </a:extLst>
          </xdr:cNvPr>
          <xdr:cNvSpPr/>
        </xdr:nvSpPr>
        <xdr:spPr>
          <a:xfrm>
            <a:off x="18264896" y="16911128"/>
            <a:ext cx="15715700" cy="87887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2400" b="0" kern="1200">
              <a:solidFill>
                <a:sysClr val="windowText" lastClr="000000"/>
              </a:solidFill>
              <a:latin typeface="Times New Roman" panose="02020603050405020304" pitchFamily="18" charset="0"/>
              <a:cs typeface="Times New Roman" panose="02020603050405020304" pitchFamily="18" charset="0"/>
            </a:endParaRPr>
          </a:p>
        </xdr:txBody>
      </xdr:sp>
    </xdr:grpSp>
    <xdr:clientData/>
  </xdr:twoCellAnchor>
  <xdr:twoCellAnchor>
    <xdr:from>
      <xdr:col>27</xdr:col>
      <xdr:colOff>69273</xdr:colOff>
      <xdr:row>123</xdr:row>
      <xdr:rowOff>138545</xdr:rowOff>
    </xdr:from>
    <xdr:to>
      <xdr:col>47</xdr:col>
      <xdr:colOff>398318</xdr:colOff>
      <xdr:row>144</xdr:row>
      <xdr:rowOff>13855</xdr:rowOff>
    </xdr:to>
    <xdr:sp macro="" textlink="">
      <xdr:nvSpPr>
        <xdr:cNvPr id="345" name="Rectangle: Rounded Corners 344">
          <a:extLst>
            <a:ext uri="{FF2B5EF4-FFF2-40B4-BE49-F238E27FC236}">
              <a16:creationId xmlns:a16="http://schemas.microsoft.com/office/drawing/2014/main" id="{6B845073-1784-61BC-BEEA-47811E1FE90D}"/>
            </a:ext>
          </a:extLst>
        </xdr:cNvPr>
        <xdr:cNvSpPr/>
      </xdr:nvSpPr>
      <xdr:spPr>
        <a:xfrm>
          <a:off x="16815955" y="27951545"/>
          <a:ext cx="12694227" cy="3875810"/>
        </a:xfrm>
        <a:prstGeom prst="roundRect">
          <a:avLst>
            <a:gd name="adj" fmla="val 3139"/>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0</xdr:col>
      <xdr:colOff>155864</xdr:colOff>
      <xdr:row>37</xdr:row>
      <xdr:rowOff>138545</xdr:rowOff>
    </xdr:from>
    <xdr:to>
      <xdr:col>26</xdr:col>
      <xdr:colOff>415636</xdr:colOff>
      <xdr:row>62</xdr:row>
      <xdr:rowOff>86591</xdr:rowOff>
    </xdr:to>
    <xdr:sp macro="" textlink="">
      <xdr:nvSpPr>
        <xdr:cNvPr id="296" name="Rectangle: Rounded Corners 295">
          <a:extLst>
            <a:ext uri="{FF2B5EF4-FFF2-40B4-BE49-F238E27FC236}">
              <a16:creationId xmlns:a16="http://schemas.microsoft.com/office/drawing/2014/main" id="{FFF2BBE0-FEDE-4B0C-B2C8-8623178D19F0}"/>
            </a:ext>
          </a:extLst>
        </xdr:cNvPr>
        <xdr:cNvSpPr/>
      </xdr:nvSpPr>
      <xdr:spPr>
        <a:xfrm>
          <a:off x="155864" y="10183090"/>
          <a:ext cx="16919863" cy="4710546"/>
        </a:xfrm>
        <a:prstGeom prst="roundRect">
          <a:avLst>
            <a:gd name="adj" fmla="val 6667"/>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12</xdr:col>
      <xdr:colOff>502227</xdr:colOff>
      <xdr:row>66</xdr:row>
      <xdr:rowOff>130394</xdr:rowOff>
    </xdr:from>
    <xdr:to>
      <xdr:col>26</xdr:col>
      <xdr:colOff>536864</xdr:colOff>
      <xdr:row>145</xdr:row>
      <xdr:rowOff>27709</xdr:rowOff>
    </xdr:to>
    <xdr:sp macro="" textlink="">
      <xdr:nvSpPr>
        <xdr:cNvPr id="8" name="Rectangle: Rounded Corners 7">
          <a:extLst>
            <a:ext uri="{FF2B5EF4-FFF2-40B4-BE49-F238E27FC236}">
              <a16:creationId xmlns:a16="http://schemas.microsoft.com/office/drawing/2014/main" id="{A15524B5-330F-39D3-1671-0F023AD05D8C}"/>
            </a:ext>
          </a:extLst>
        </xdr:cNvPr>
        <xdr:cNvSpPr/>
      </xdr:nvSpPr>
      <xdr:spPr>
        <a:xfrm>
          <a:off x="8399318" y="16922103"/>
          <a:ext cx="8763001" cy="14125933"/>
        </a:xfrm>
        <a:prstGeom prst="roundRect">
          <a:avLst>
            <a:gd name="adj" fmla="val 6667"/>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0</xdr:col>
      <xdr:colOff>293370</xdr:colOff>
      <xdr:row>66</xdr:row>
      <xdr:rowOff>130223</xdr:rowOff>
    </xdr:from>
    <xdr:to>
      <xdr:col>12</xdr:col>
      <xdr:colOff>415636</xdr:colOff>
      <xdr:row>145</xdr:row>
      <xdr:rowOff>69273</xdr:rowOff>
    </xdr:to>
    <xdr:sp macro="" textlink="">
      <xdr:nvSpPr>
        <xdr:cNvPr id="2" name="Rectangle: Rounded Corners 1">
          <a:extLst>
            <a:ext uri="{FF2B5EF4-FFF2-40B4-BE49-F238E27FC236}">
              <a16:creationId xmlns:a16="http://schemas.microsoft.com/office/drawing/2014/main" id="{E65C2B59-867B-F29E-9DAA-1AE8E4F152CB}"/>
            </a:ext>
          </a:extLst>
        </xdr:cNvPr>
        <xdr:cNvSpPr/>
      </xdr:nvSpPr>
      <xdr:spPr>
        <a:xfrm>
          <a:off x="293370" y="16921932"/>
          <a:ext cx="8019357" cy="14167668"/>
        </a:xfrm>
        <a:prstGeom prst="roundRect">
          <a:avLst>
            <a:gd name="adj" fmla="val 6667"/>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13</xdr:col>
      <xdr:colOff>103910</xdr:colOff>
      <xdr:row>134</xdr:row>
      <xdr:rowOff>69262</xdr:rowOff>
    </xdr:from>
    <xdr:to>
      <xdr:col>26</xdr:col>
      <xdr:colOff>155864</xdr:colOff>
      <xdr:row>144</xdr:row>
      <xdr:rowOff>69273</xdr:rowOff>
    </xdr:to>
    <xdr:grpSp>
      <xdr:nvGrpSpPr>
        <xdr:cNvPr id="228" name="Group 227">
          <a:extLst>
            <a:ext uri="{FF2B5EF4-FFF2-40B4-BE49-F238E27FC236}">
              <a16:creationId xmlns:a16="http://schemas.microsoft.com/office/drawing/2014/main" id="{ECC3F46A-0A77-635A-DD4F-F0DB1D5B337B}"/>
            </a:ext>
          </a:extLst>
        </xdr:cNvPr>
        <xdr:cNvGrpSpPr/>
      </xdr:nvGrpSpPr>
      <xdr:grpSpPr>
        <a:xfrm>
          <a:off x="8364683" y="29977762"/>
          <a:ext cx="7931726" cy="1905011"/>
          <a:chOff x="8884228" y="20366177"/>
          <a:chExt cx="7931727" cy="1905011"/>
        </a:xfrm>
      </xdr:grpSpPr>
      <xdr:sp macro="" textlink="">
        <xdr:nvSpPr>
          <xdr:cNvPr id="36" name="Rectangle: Rounded Corners 35">
            <a:extLst>
              <a:ext uri="{FF2B5EF4-FFF2-40B4-BE49-F238E27FC236}">
                <a16:creationId xmlns:a16="http://schemas.microsoft.com/office/drawing/2014/main" id="{6F753823-6C6B-F83F-4798-4AFF6CC2A80D}"/>
              </a:ext>
            </a:extLst>
          </xdr:cNvPr>
          <xdr:cNvSpPr/>
        </xdr:nvSpPr>
        <xdr:spPr>
          <a:xfrm>
            <a:off x="9715501" y="20366177"/>
            <a:ext cx="6650181" cy="512784"/>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KR06 TRIỂN</a:t>
            </a:r>
            <a:r>
              <a:rPr lang="en-US" sz="1600" b="1" kern="1200" baseline="0">
                <a:solidFill>
                  <a:schemeClr val="lt1"/>
                </a:solidFill>
                <a:latin typeface="Times New Roman" panose="02020603050405020304" pitchFamily="18" charset="0"/>
                <a:ea typeface="+mn-ea"/>
                <a:cs typeface="Times New Roman" panose="02020603050405020304" pitchFamily="18" charset="0"/>
              </a:rPr>
              <a:t> KHAI HÀNH ĐỘNG KHẮC PHỤC PHÒNG NGỪA</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sp macro="" textlink="">
        <xdr:nvSpPr>
          <xdr:cNvPr id="44" name="Rectangle: Rounded Corners 43">
            <a:extLst>
              <a:ext uri="{FF2B5EF4-FFF2-40B4-BE49-F238E27FC236}">
                <a16:creationId xmlns:a16="http://schemas.microsoft.com/office/drawing/2014/main" id="{95DA2F99-6369-DB61-A732-F010DD302267}"/>
              </a:ext>
            </a:extLst>
          </xdr:cNvPr>
          <xdr:cNvSpPr/>
        </xdr:nvSpPr>
        <xdr:spPr>
          <a:xfrm>
            <a:off x="8884228" y="21100788"/>
            <a:ext cx="7931727" cy="1170400"/>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kern="1200">
                <a:solidFill>
                  <a:sysClr val="windowText" lastClr="000000"/>
                </a:solidFill>
                <a:latin typeface="Times New Roman" panose="02020603050405020304" pitchFamily="18" charset="0"/>
                <a:cs typeface="Times New Roman" panose="02020603050405020304" pitchFamily="18" charset="0"/>
              </a:rPr>
              <a:t>Không</a:t>
            </a:r>
            <a:r>
              <a:rPr lang="en-US" sz="2000" b="1" kern="1200" baseline="0">
                <a:solidFill>
                  <a:sysClr val="windowText" lastClr="000000"/>
                </a:solidFill>
                <a:latin typeface="Times New Roman" panose="02020603050405020304" pitchFamily="18" charset="0"/>
                <a:cs typeface="Times New Roman" panose="02020603050405020304" pitchFamily="18" charset="0"/>
              </a:rPr>
              <a:t> có kế hoạch trong tháng</a:t>
            </a:r>
            <a:endParaRPr lang="en-US" sz="2000" b="1" kern="1200">
              <a:solidFill>
                <a:sysClr val="windowText" lastClr="000000"/>
              </a:solidFill>
              <a:latin typeface="Times New Roman" panose="02020603050405020304" pitchFamily="18" charset="0"/>
              <a:cs typeface="Times New Roman" panose="02020603050405020304" pitchFamily="18" charset="0"/>
            </a:endParaRPr>
          </a:p>
        </xdr:txBody>
      </xdr:sp>
    </xdr:grpSp>
    <xdr:clientData/>
  </xdr:twoCellAnchor>
  <xdr:twoCellAnchor>
    <xdr:from>
      <xdr:col>0</xdr:col>
      <xdr:colOff>457436</xdr:colOff>
      <xdr:row>120</xdr:row>
      <xdr:rowOff>31166</xdr:rowOff>
    </xdr:from>
    <xdr:to>
      <xdr:col>12</xdr:col>
      <xdr:colOff>187562</xdr:colOff>
      <xdr:row>135</xdr:row>
      <xdr:rowOff>35170</xdr:rowOff>
    </xdr:to>
    <xdr:grpSp>
      <xdr:nvGrpSpPr>
        <xdr:cNvPr id="68" name="Group 67">
          <a:extLst>
            <a:ext uri="{FF2B5EF4-FFF2-40B4-BE49-F238E27FC236}">
              <a16:creationId xmlns:a16="http://schemas.microsoft.com/office/drawing/2014/main" id="{E6CFCF40-A95A-44F6-F880-ED63DBC382AF}"/>
            </a:ext>
          </a:extLst>
        </xdr:cNvPr>
        <xdr:cNvGrpSpPr/>
      </xdr:nvGrpSpPr>
      <xdr:grpSpPr>
        <a:xfrm>
          <a:off x="457436" y="27272666"/>
          <a:ext cx="7384762" cy="2861504"/>
          <a:chOff x="8961680" y="7317124"/>
          <a:chExt cx="7256405" cy="2693034"/>
        </a:xfrm>
      </xdr:grpSpPr>
      <xdr:sp macro="" textlink="">
        <xdr:nvSpPr>
          <xdr:cNvPr id="21" name="Rectangle: Rounded Corners 20">
            <a:extLst>
              <a:ext uri="{FF2B5EF4-FFF2-40B4-BE49-F238E27FC236}">
                <a16:creationId xmlns:a16="http://schemas.microsoft.com/office/drawing/2014/main" id="{70860932-88EC-10E6-2B24-6B8AEBF0A908}"/>
              </a:ext>
            </a:extLst>
          </xdr:cNvPr>
          <xdr:cNvSpPr/>
        </xdr:nvSpPr>
        <xdr:spPr>
          <a:xfrm>
            <a:off x="9644386" y="7317124"/>
            <a:ext cx="5923104" cy="427490"/>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KR04</a:t>
            </a:r>
            <a:r>
              <a:rPr lang="en-US" sz="1600" b="1" kern="1200" baseline="0">
                <a:solidFill>
                  <a:schemeClr val="lt1"/>
                </a:solidFill>
                <a:latin typeface="Times New Roman" panose="02020603050405020304" pitchFamily="18" charset="0"/>
                <a:ea typeface="+mn-ea"/>
                <a:cs typeface="Times New Roman" panose="02020603050405020304" pitchFamily="18" charset="0"/>
              </a:rPr>
              <a:t> </a:t>
            </a:r>
            <a:r>
              <a:rPr lang="en-US" sz="1600" b="1" kern="1200">
                <a:solidFill>
                  <a:schemeClr val="lt1"/>
                </a:solidFill>
                <a:latin typeface="Times New Roman" panose="02020603050405020304" pitchFamily="18" charset="0"/>
                <a:ea typeface="+mn-ea"/>
                <a:cs typeface="Times New Roman" panose="02020603050405020304" pitchFamily="18" charset="0"/>
              </a:rPr>
              <a:t>BÁO</a:t>
            </a:r>
            <a:r>
              <a:rPr lang="en-US" sz="1600" b="1" kern="1200" baseline="0">
                <a:solidFill>
                  <a:schemeClr val="lt1"/>
                </a:solidFill>
                <a:latin typeface="Times New Roman" panose="02020603050405020304" pitchFamily="18" charset="0"/>
                <a:ea typeface="+mn-ea"/>
                <a:cs typeface="Times New Roman" panose="02020603050405020304" pitchFamily="18" charset="0"/>
              </a:rPr>
              <a:t> CÁO CÔNG TÁC BẢO DƯỠNG TỔNG THỂ TỔ TB ĐL &amp; ĐK</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pic>
        <xdr:nvPicPr>
          <xdr:cNvPr id="23" name="Picture 22" descr="Target - Free seo and web icons">
            <a:extLst>
              <a:ext uri="{FF2B5EF4-FFF2-40B4-BE49-F238E27FC236}">
                <a16:creationId xmlns:a16="http://schemas.microsoft.com/office/drawing/2014/main" id="{E5DB8126-2EC4-0099-AC77-F2FD9754A7B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961680" y="8110034"/>
            <a:ext cx="867458" cy="753484"/>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4" name="Picture 23" descr="Results Save Icon Format PNG Transparent Background, Free Download #17968 -  FreeIconsPNG">
            <a:extLst>
              <a:ext uri="{FF2B5EF4-FFF2-40B4-BE49-F238E27FC236}">
                <a16:creationId xmlns:a16="http://schemas.microsoft.com/office/drawing/2014/main" id="{E730A469-8CFC-F246-C8E4-6200EC7A27B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5176687" y="7821035"/>
            <a:ext cx="1041398" cy="939388"/>
          </a:xfrm>
          <a:prstGeom prst="rect">
            <a:avLst/>
          </a:prstGeom>
          <a:noFill/>
          <a:extLst>
            <a:ext uri="{909E8E84-426E-40DD-AFC4-6F175D3DCCD1}">
              <a14:hiddenFill xmlns:a14="http://schemas.microsoft.com/office/drawing/2010/main">
                <a:solidFill>
                  <a:srgbClr val="FFFFFF"/>
                </a:solidFill>
              </a14:hiddenFill>
            </a:ext>
          </a:extLst>
        </xdr:spPr>
      </xdr:pic>
      <xdr:cxnSp macro="">
        <xdr:nvCxnSpPr>
          <xdr:cNvPr id="26" name="Straight Connector 25">
            <a:extLst>
              <a:ext uri="{FF2B5EF4-FFF2-40B4-BE49-F238E27FC236}">
                <a16:creationId xmlns:a16="http://schemas.microsoft.com/office/drawing/2014/main" id="{37B51A70-7411-E9C3-B37B-3888B7024B01}"/>
              </a:ext>
            </a:extLst>
          </xdr:cNvPr>
          <xdr:cNvCxnSpPr/>
        </xdr:nvCxnSpPr>
        <xdr:spPr>
          <a:xfrm>
            <a:off x="11934825" y="7862047"/>
            <a:ext cx="0" cy="2033805"/>
          </a:xfrm>
          <a:prstGeom prst="line">
            <a:avLst/>
          </a:prstGeom>
          <a:ln w="28575"/>
        </xdr:spPr>
        <xdr:style>
          <a:lnRef idx="1">
            <a:schemeClr val="accent1"/>
          </a:lnRef>
          <a:fillRef idx="0">
            <a:schemeClr val="accent1"/>
          </a:fillRef>
          <a:effectRef idx="0">
            <a:schemeClr val="accent1"/>
          </a:effectRef>
          <a:fontRef idx="minor">
            <a:schemeClr val="tx1"/>
          </a:fontRef>
        </xdr:style>
      </xdr:cxnSp>
      <xdr:pic>
        <xdr:nvPicPr>
          <xdr:cNvPr id="121" name="Picture 120" descr="Clock - Free time and date icons">
            <a:extLst>
              <a:ext uri="{FF2B5EF4-FFF2-40B4-BE49-F238E27FC236}">
                <a16:creationId xmlns:a16="http://schemas.microsoft.com/office/drawing/2014/main" id="{49537731-AF8D-506E-2340-8117BC6D40E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755322" y="9228323"/>
            <a:ext cx="851962" cy="776404"/>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22" name="Rectangle: Rounded Corners 121">
            <a:extLst>
              <a:ext uri="{FF2B5EF4-FFF2-40B4-BE49-F238E27FC236}">
                <a16:creationId xmlns:a16="http://schemas.microsoft.com/office/drawing/2014/main" id="{651E3D28-FEB4-FD95-0E64-50F951142716}"/>
              </a:ext>
            </a:extLst>
          </xdr:cNvPr>
          <xdr:cNvSpPr/>
        </xdr:nvSpPr>
        <xdr:spPr>
          <a:xfrm>
            <a:off x="10558419" y="9175331"/>
            <a:ext cx="1357928" cy="83482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kern="1200">
                <a:solidFill>
                  <a:sysClr val="windowText" lastClr="000000"/>
                </a:solidFill>
                <a:latin typeface="Times New Roman" panose="02020603050405020304" pitchFamily="18" charset="0"/>
                <a:cs typeface="Times New Roman" panose="02020603050405020304" pitchFamily="18" charset="0"/>
              </a:rPr>
              <a:t>Vượt</a:t>
            </a:r>
            <a:r>
              <a:rPr lang="en-US" sz="1600" kern="1200" baseline="0">
                <a:solidFill>
                  <a:sysClr val="windowText" lastClr="000000"/>
                </a:solidFill>
                <a:latin typeface="Times New Roman" panose="02020603050405020304" pitchFamily="18" charset="0"/>
                <a:cs typeface="Times New Roman" panose="02020603050405020304" pitchFamily="18" charset="0"/>
              </a:rPr>
              <a:t> tiến độ </a:t>
            </a:r>
            <a:r>
              <a:rPr lang="en-US" sz="2400" b="1" kern="1200" baseline="0">
                <a:solidFill>
                  <a:srgbClr val="FF0000"/>
                </a:solidFill>
                <a:latin typeface="Times New Roman" panose="02020603050405020304" pitchFamily="18" charset="0"/>
                <a:cs typeface="Times New Roman" panose="02020603050405020304" pitchFamily="18" charset="0"/>
              </a:rPr>
              <a:t>4h</a:t>
            </a:r>
            <a:endParaRPr lang="en-US" sz="1600" b="1" kern="1200">
              <a:solidFill>
                <a:srgbClr val="FF0000"/>
              </a:solidFill>
              <a:latin typeface="Times New Roman" panose="02020603050405020304" pitchFamily="18" charset="0"/>
              <a:cs typeface="Times New Roman" panose="02020603050405020304" pitchFamily="18" charset="0"/>
            </a:endParaRPr>
          </a:p>
        </xdr:txBody>
      </xdr:sp>
      <xdr:sp macro="" textlink="">
        <xdr:nvSpPr>
          <xdr:cNvPr id="123" name="Rectangle: Rounded Corners 122">
            <a:extLst>
              <a:ext uri="{FF2B5EF4-FFF2-40B4-BE49-F238E27FC236}">
                <a16:creationId xmlns:a16="http://schemas.microsoft.com/office/drawing/2014/main" id="{F2C92E32-B8CE-ECBE-12FE-1F7ADDA2A110}"/>
              </a:ext>
            </a:extLst>
          </xdr:cNvPr>
          <xdr:cNvSpPr/>
        </xdr:nvSpPr>
        <xdr:spPr>
          <a:xfrm>
            <a:off x="9820611" y="8065769"/>
            <a:ext cx="2065468" cy="119574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kern="1200">
                <a:solidFill>
                  <a:sysClr val="windowText" lastClr="000000"/>
                </a:solidFill>
                <a:latin typeface="Times New Roman" panose="02020603050405020304" pitchFamily="18" charset="0"/>
                <a:cs typeface="Times New Roman" panose="02020603050405020304" pitchFamily="18" charset="0"/>
              </a:rPr>
              <a:t>Hoàn</a:t>
            </a:r>
            <a:r>
              <a:rPr lang="en-US" sz="1600" kern="1200" baseline="0">
                <a:solidFill>
                  <a:sysClr val="windowText" lastClr="000000"/>
                </a:solidFill>
                <a:latin typeface="Times New Roman" panose="02020603050405020304" pitchFamily="18" charset="0"/>
                <a:cs typeface="Times New Roman" panose="02020603050405020304" pitchFamily="18" charset="0"/>
              </a:rPr>
              <a:t> thành đạt </a:t>
            </a:r>
            <a:r>
              <a:rPr lang="en-US" sz="2000" b="1" kern="1200" baseline="0">
                <a:solidFill>
                  <a:srgbClr val="FF0000"/>
                </a:solidFill>
                <a:latin typeface="Times New Roman" panose="02020603050405020304" pitchFamily="18" charset="0"/>
                <a:cs typeface="Times New Roman" panose="02020603050405020304" pitchFamily="18" charset="0"/>
              </a:rPr>
              <a:t>99%</a:t>
            </a:r>
            <a:r>
              <a:rPr lang="en-US" sz="1600" kern="1200" baseline="0">
                <a:solidFill>
                  <a:sysClr val="windowText" lastClr="000000"/>
                </a:solidFill>
                <a:latin typeface="Times New Roman" panose="02020603050405020304" pitchFamily="18" charset="0"/>
                <a:cs typeface="Times New Roman" panose="02020603050405020304" pitchFamily="18" charset="0"/>
              </a:rPr>
              <a:t> khối lượng &amp; </a:t>
            </a:r>
            <a:r>
              <a:rPr lang="en-US" sz="2000" b="1" kern="1200" baseline="0">
                <a:solidFill>
                  <a:srgbClr val="FF0000"/>
                </a:solidFill>
                <a:latin typeface="Times New Roman" panose="02020603050405020304" pitchFamily="18" charset="0"/>
                <a:cs typeface="Times New Roman" panose="02020603050405020304" pitchFamily="18" charset="0"/>
              </a:rPr>
              <a:t>chất lượng</a:t>
            </a:r>
            <a:endParaRPr lang="en-US" sz="1600" b="1" kern="1200">
              <a:solidFill>
                <a:srgbClr val="FF0000"/>
              </a:solidFill>
              <a:latin typeface="Times New Roman" panose="02020603050405020304" pitchFamily="18" charset="0"/>
              <a:cs typeface="Times New Roman" panose="02020603050405020304" pitchFamily="18" charset="0"/>
            </a:endParaRPr>
          </a:p>
        </xdr:txBody>
      </xdr:sp>
      <xdr:sp macro="" textlink="">
        <xdr:nvSpPr>
          <xdr:cNvPr id="127" name="Rectangle: Rounded Corners 126">
            <a:extLst>
              <a:ext uri="{FF2B5EF4-FFF2-40B4-BE49-F238E27FC236}">
                <a16:creationId xmlns:a16="http://schemas.microsoft.com/office/drawing/2014/main" id="{2C49DA42-1700-2DE7-FCFE-702A97762E2C}"/>
              </a:ext>
            </a:extLst>
          </xdr:cNvPr>
          <xdr:cNvSpPr/>
        </xdr:nvSpPr>
        <xdr:spPr>
          <a:xfrm>
            <a:off x="11944307" y="8126942"/>
            <a:ext cx="3264153" cy="11207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i="0">
                <a:solidFill>
                  <a:schemeClr val="tx1"/>
                </a:solidFill>
                <a:effectLst/>
                <a:latin typeface="+mj-lt"/>
                <a:ea typeface="+mn-ea"/>
                <a:cs typeface="+mn-cs"/>
              </a:rPr>
              <a:t>TBD</a:t>
            </a:r>
            <a:endParaRPr lang="vi-VN" sz="6600" b="1" kern="1200">
              <a:solidFill>
                <a:schemeClr val="tx1"/>
              </a:solidFill>
              <a:latin typeface="+mj-lt"/>
              <a:cs typeface="Times New Roman" panose="02020603050405020304" pitchFamily="18" charset="0"/>
            </a:endParaRPr>
          </a:p>
        </xdr:txBody>
      </xdr:sp>
      <xdr:sp macro="" textlink="">
        <xdr:nvSpPr>
          <xdr:cNvPr id="144" name="Rectangle: Rounded Corners 143">
            <a:extLst>
              <a:ext uri="{FF2B5EF4-FFF2-40B4-BE49-F238E27FC236}">
                <a16:creationId xmlns:a16="http://schemas.microsoft.com/office/drawing/2014/main" id="{C168062E-5CBD-D32E-3755-01EE82BF5B50}"/>
              </a:ext>
            </a:extLst>
          </xdr:cNvPr>
          <xdr:cNvSpPr/>
        </xdr:nvSpPr>
        <xdr:spPr>
          <a:xfrm>
            <a:off x="10180993" y="7782261"/>
            <a:ext cx="1350308" cy="34525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kern="1200">
                <a:solidFill>
                  <a:srgbClr val="00B050"/>
                </a:solidFill>
                <a:latin typeface="Times New Roman" panose="02020603050405020304" pitchFamily="18" charset="0"/>
                <a:cs typeface="Times New Roman" panose="02020603050405020304" pitchFamily="18" charset="0"/>
              </a:rPr>
              <a:t>MỤC</a:t>
            </a:r>
            <a:r>
              <a:rPr lang="en-US" sz="1400" b="1" kern="1200" baseline="0">
                <a:solidFill>
                  <a:srgbClr val="00B050"/>
                </a:solidFill>
                <a:latin typeface="Times New Roman" panose="02020603050405020304" pitchFamily="18" charset="0"/>
                <a:cs typeface="Times New Roman" panose="02020603050405020304" pitchFamily="18" charset="0"/>
              </a:rPr>
              <a:t> TIÊU</a:t>
            </a:r>
            <a:endParaRPr lang="en-US" sz="1400" b="1" kern="1200">
              <a:solidFill>
                <a:srgbClr val="00B050"/>
              </a:solidFill>
              <a:latin typeface="Times New Roman" panose="02020603050405020304" pitchFamily="18" charset="0"/>
              <a:cs typeface="Times New Roman" panose="02020603050405020304" pitchFamily="18" charset="0"/>
            </a:endParaRPr>
          </a:p>
        </xdr:txBody>
      </xdr:sp>
      <xdr:sp macro="" textlink="">
        <xdr:nvSpPr>
          <xdr:cNvPr id="145" name="Rectangle: Rounded Corners 144">
            <a:extLst>
              <a:ext uri="{FF2B5EF4-FFF2-40B4-BE49-F238E27FC236}">
                <a16:creationId xmlns:a16="http://schemas.microsoft.com/office/drawing/2014/main" id="{EBDD665E-D677-E4E9-5128-68691307FA14}"/>
              </a:ext>
            </a:extLst>
          </xdr:cNvPr>
          <xdr:cNvSpPr/>
        </xdr:nvSpPr>
        <xdr:spPr>
          <a:xfrm>
            <a:off x="12522686" y="7773296"/>
            <a:ext cx="1364428" cy="34906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kern="1200">
                <a:solidFill>
                  <a:srgbClr val="00B050"/>
                </a:solidFill>
                <a:latin typeface="Times New Roman" panose="02020603050405020304" pitchFamily="18" charset="0"/>
                <a:cs typeface="Times New Roman" panose="02020603050405020304" pitchFamily="18" charset="0"/>
              </a:rPr>
              <a:t>KẾT</a:t>
            </a:r>
            <a:r>
              <a:rPr lang="en-US" sz="1400" b="1" kern="1200" baseline="0">
                <a:solidFill>
                  <a:srgbClr val="00B050"/>
                </a:solidFill>
                <a:latin typeface="Times New Roman" panose="02020603050405020304" pitchFamily="18" charset="0"/>
                <a:cs typeface="Times New Roman" panose="02020603050405020304" pitchFamily="18" charset="0"/>
              </a:rPr>
              <a:t> QUẢ</a:t>
            </a:r>
            <a:endParaRPr lang="en-US" sz="1400" b="1" kern="1200">
              <a:solidFill>
                <a:srgbClr val="00B050"/>
              </a:solidFill>
              <a:latin typeface="Times New Roman" panose="02020603050405020304" pitchFamily="18" charset="0"/>
              <a:cs typeface="Times New Roman" panose="02020603050405020304" pitchFamily="18" charset="0"/>
            </a:endParaRPr>
          </a:p>
        </xdr:txBody>
      </xdr:sp>
    </xdr:grpSp>
    <xdr:clientData/>
  </xdr:twoCellAnchor>
  <xdr:twoCellAnchor>
    <xdr:from>
      <xdr:col>0</xdr:col>
      <xdr:colOff>588818</xdr:colOff>
      <xdr:row>134</xdr:row>
      <xdr:rowOff>138540</xdr:rowOff>
    </xdr:from>
    <xdr:to>
      <xdr:col>12</xdr:col>
      <xdr:colOff>346364</xdr:colOff>
      <xdr:row>144</xdr:row>
      <xdr:rowOff>69268</xdr:rowOff>
    </xdr:to>
    <xdr:grpSp>
      <xdr:nvGrpSpPr>
        <xdr:cNvPr id="227" name="Group 226">
          <a:extLst>
            <a:ext uri="{FF2B5EF4-FFF2-40B4-BE49-F238E27FC236}">
              <a16:creationId xmlns:a16="http://schemas.microsoft.com/office/drawing/2014/main" id="{6A245AC3-8894-5471-F0F1-31A27C971B42}"/>
            </a:ext>
          </a:extLst>
        </xdr:cNvPr>
        <xdr:cNvGrpSpPr/>
      </xdr:nvGrpSpPr>
      <xdr:grpSpPr>
        <a:xfrm>
          <a:off x="588818" y="30047040"/>
          <a:ext cx="7412182" cy="1835728"/>
          <a:chOff x="588818" y="20435455"/>
          <a:chExt cx="7931728" cy="1835728"/>
        </a:xfrm>
      </xdr:grpSpPr>
      <xdr:sp macro="" textlink="">
        <xdr:nvSpPr>
          <xdr:cNvPr id="4" name="Rectangle: Rounded Corners 3">
            <a:extLst>
              <a:ext uri="{FF2B5EF4-FFF2-40B4-BE49-F238E27FC236}">
                <a16:creationId xmlns:a16="http://schemas.microsoft.com/office/drawing/2014/main" id="{34D6FD02-793B-2164-F0B7-B501C8E0C3BC}"/>
              </a:ext>
            </a:extLst>
          </xdr:cNvPr>
          <xdr:cNvSpPr/>
        </xdr:nvSpPr>
        <xdr:spPr>
          <a:xfrm>
            <a:off x="1281545" y="20435455"/>
            <a:ext cx="6338454" cy="518845"/>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KR05  TRIỂN</a:t>
            </a:r>
            <a:r>
              <a:rPr lang="en-US" sz="1600" b="1" kern="1200" baseline="0">
                <a:solidFill>
                  <a:schemeClr val="lt1"/>
                </a:solidFill>
                <a:latin typeface="Times New Roman" panose="02020603050405020304" pitchFamily="18" charset="0"/>
                <a:ea typeface="+mn-ea"/>
                <a:cs typeface="Times New Roman" panose="02020603050405020304" pitchFamily="18" charset="0"/>
              </a:rPr>
              <a:t> KHAI HẠNG MỤC NÂNG CAO ĐỘ TIN CẬY</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sp macro="" textlink="">
        <xdr:nvSpPr>
          <xdr:cNvPr id="18" name="Rectangle: Rounded Corners 17">
            <a:extLst>
              <a:ext uri="{FF2B5EF4-FFF2-40B4-BE49-F238E27FC236}">
                <a16:creationId xmlns:a16="http://schemas.microsoft.com/office/drawing/2014/main" id="{536428E0-1394-CB25-E7C1-AC8905D1CC8F}"/>
              </a:ext>
            </a:extLst>
          </xdr:cNvPr>
          <xdr:cNvSpPr/>
        </xdr:nvSpPr>
        <xdr:spPr>
          <a:xfrm>
            <a:off x="588818" y="21054843"/>
            <a:ext cx="7931728" cy="1216340"/>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kern="1200" baseline="0">
                <a:solidFill>
                  <a:schemeClr val="tx1"/>
                </a:solidFill>
                <a:latin typeface="Times New Roman" panose="02020603050405020304" pitchFamily="18" charset="0"/>
                <a:cs typeface="Times New Roman" panose="02020603050405020304" pitchFamily="18" charset="0"/>
              </a:rPr>
              <a:t>TBD</a:t>
            </a:r>
          </a:p>
        </xdr:txBody>
      </xdr:sp>
    </xdr:grpSp>
    <xdr:clientData/>
  </xdr:twoCellAnchor>
  <xdr:twoCellAnchor>
    <xdr:from>
      <xdr:col>0</xdr:col>
      <xdr:colOff>375407</xdr:colOff>
      <xdr:row>236</xdr:row>
      <xdr:rowOff>121224</xdr:rowOff>
    </xdr:from>
    <xdr:to>
      <xdr:col>47</xdr:col>
      <xdr:colOff>318654</xdr:colOff>
      <xdr:row>257</xdr:row>
      <xdr:rowOff>121225</xdr:rowOff>
    </xdr:to>
    <xdr:grpSp>
      <xdr:nvGrpSpPr>
        <xdr:cNvPr id="41" name="Group 40">
          <a:extLst>
            <a:ext uri="{FF2B5EF4-FFF2-40B4-BE49-F238E27FC236}">
              <a16:creationId xmlns:a16="http://schemas.microsoft.com/office/drawing/2014/main" id="{D0C8B61A-2AEB-3498-3BBD-E9BB94E50EFD}"/>
            </a:ext>
          </a:extLst>
        </xdr:cNvPr>
        <xdr:cNvGrpSpPr/>
      </xdr:nvGrpSpPr>
      <xdr:grpSpPr>
        <a:xfrm>
          <a:off x="375407" y="49460724"/>
          <a:ext cx="29055111" cy="4000501"/>
          <a:chOff x="247253" y="18091067"/>
          <a:chExt cx="28154573" cy="3130201"/>
        </a:xfrm>
      </xdr:grpSpPr>
      <xdr:grpSp>
        <xdr:nvGrpSpPr>
          <xdr:cNvPr id="3" name="Group 2">
            <a:extLst>
              <a:ext uri="{FF2B5EF4-FFF2-40B4-BE49-F238E27FC236}">
                <a16:creationId xmlns:a16="http://schemas.microsoft.com/office/drawing/2014/main" id="{BAED3889-0FCF-445C-F51B-5FB827F3B3C6}"/>
              </a:ext>
            </a:extLst>
          </xdr:cNvPr>
          <xdr:cNvGrpSpPr/>
        </xdr:nvGrpSpPr>
        <xdr:grpSpPr>
          <a:xfrm>
            <a:off x="247253" y="18117098"/>
            <a:ext cx="9220941" cy="3104170"/>
            <a:chOff x="247253" y="16219020"/>
            <a:chExt cx="9220941" cy="3104170"/>
          </a:xfrm>
        </xdr:grpSpPr>
        <xdr:grpSp>
          <xdr:nvGrpSpPr>
            <xdr:cNvPr id="143" name="Group 142">
              <a:extLst>
                <a:ext uri="{FF2B5EF4-FFF2-40B4-BE49-F238E27FC236}">
                  <a16:creationId xmlns:a16="http://schemas.microsoft.com/office/drawing/2014/main" id="{90C61797-C12F-4D5E-CE76-F4AA469A3A1D}"/>
                </a:ext>
              </a:extLst>
            </xdr:cNvPr>
            <xdr:cNvGrpSpPr/>
          </xdr:nvGrpSpPr>
          <xdr:grpSpPr>
            <a:xfrm>
              <a:off x="247253" y="16219020"/>
              <a:ext cx="9220941" cy="3104170"/>
              <a:chOff x="330381" y="13846627"/>
              <a:chExt cx="9237323" cy="3143116"/>
            </a:xfrm>
          </xdr:grpSpPr>
          <xdr:sp macro="" textlink="">
            <xdr:nvSpPr>
              <xdr:cNvPr id="128" name="Rectangle: Rounded Corners 127">
                <a:extLst>
                  <a:ext uri="{FF2B5EF4-FFF2-40B4-BE49-F238E27FC236}">
                    <a16:creationId xmlns:a16="http://schemas.microsoft.com/office/drawing/2014/main" id="{683DCA0B-3B07-1030-487C-F48A569B3F3A}"/>
                  </a:ext>
                </a:extLst>
              </xdr:cNvPr>
              <xdr:cNvSpPr/>
            </xdr:nvSpPr>
            <xdr:spPr>
              <a:xfrm>
                <a:off x="330381" y="13846627"/>
                <a:ext cx="9237323" cy="3143116"/>
              </a:xfrm>
              <a:prstGeom prst="roundRect">
                <a:avLst>
                  <a:gd name="adj" fmla="val 6667"/>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129" name="Rectangle: Rounded Corners 128">
                <a:extLst>
                  <a:ext uri="{FF2B5EF4-FFF2-40B4-BE49-F238E27FC236}">
                    <a16:creationId xmlns:a16="http://schemas.microsoft.com/office/drawing/2014/main" id="{E5BF9CD3-8465-2D3B-CB0B-8EED14869238}"/>
                  </a:ext>
                </a:extLst>
              </xdr:cNvPr>
              <xdr:cNvSpPr/>
            </xdr:nvSpPr>
            <xdr:spPr>
              <a:xfrm>
                <a:off x="2423344" y="14103383"/>
                <a:ext cx="5167990" cy="406200"/>
              </a:xfrm>
              <a:prstGeom prst="round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HẠNG</a:t>
                </a:r>
                <a:r>
                  <a:rPr lang="en-US" sz="1600" b="1" kern="1200" baseline="0">
                    <a:solidFill>
                      <a:schemeClr val="lt1"/>
                    </a:solidFill>
                    <a:latin typeface="Times New Roman" panose="02020603050405020304" pitchFamily="18" charset="0"/>
                    <a:ea typeface="+mn-ea"/>
                    <a:cs typeface="Times New Roman" panose="02020603050405020304" pitchFamily="18" charset="0"/>
                  </a:rPr>
                  <a:t> MỤC PHÁT SINH ĐỘI TBHTĐK</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sp macro="" textlink="">
            <xdr:nvSpPr>
              <xdr:cNvPr id="138" name="Rectangle: Rounded Corners 137">
                <a:extLst>
                  <a:ext uri="{FF2B5EF4-FFF2-40B4-BE49-F238E27FC236}">
                    <a16:creationId xmlns:a16="http://schemas.microsoft.com/office/drawing/2014/main" id="{F3145D15-00E4-15F1-EE26-8E4730CE908B}"/>
                  </a:ext>
                </a:extLst>
              </xdr:cNvPr>
              <xdr:cNvSpPr/>
            </xdr:nvSpPr>
            <xdr:spPr>
              <a:xfrm>
                <a:off x="678132" y="14712114"/>
                <a:ext cx="8679930" cy="2222750"/>
              </a:xfrm>
              <a:prstGeom prst="roundRect">
                <a:avLst>
                  <a:gd name="adj" fmla="val 3509"/>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r>
                  <a:rPr lang="en-US" sz="1600">
                    <a:solidFill>
                      <a:schemeClr val="tx1"/>
                    </a:solidFill>
                    <a:effectLst/>
                    <a:latin typeface="Times New Roman" panose="02020603050405020304" pitchFamily="18" charset="0"/>
                    <a:ea typeface="+mn-ea"/>
                    <a:cs typeface="Times New Roman" panose="02020603050405020304" pitchFamily="18" charset="0"/>
                  </a:rPr>
                  <a:t>1. </a:t>
                </a:r>
                <a:r>
                  <a:rPr lang="vi-VN" sz="1600">
                    <a:solidFill>
                      <a:schemeClr val="tx1"/>
                    </a:solidFill>
                    <a:effectLst/>
                    <a:latin typeface="Times New Roman" panose="02020603050405020304" pitchFamily="18" charset="0"/>
                    <a:ea typeface="+mn-ea"/>
                    <a:cs typeface="Times New Roman" panose="02020603050405020304" pitchFamily="18" charset="0"/>
                  </a:rPr>
                  <a:t>Thực hiện di dời các đầu dò báo cháy &gt; 0.3 m theo WR từ P.AT</a:t>
                </a:r>
              </a:p>
              <a:p>
                <a:pPr lvl="0"/>
                <a:r>
                  <a:rPr lang="en-US" sz="1600">
                    <a:solidFill>
                      <a:schemeClr val="tx1"/>
                    </a:solidFill>
                    <a:effectLst/>
                    <a:latin typeface="Times New Roman" panose="02020603050405020304" pitchFamily="18" charset="0"/>
                    <a:ea typeface="+mn-ea"/>
                    <a:cs typeface="Times New Roman" panose="02020603050405020304" pitchFamily="18" charset="0"/>
                  </a:rPr>
                  <a:t>2. </a:t>
                </a:r>
                <a:r>
                  <a:rPr lang="vi-VN" sz="1600">
                    <a:solidFill>
                      <a:schemeClr val="tx1"/>
                    </a:solidFill>
                    <a:effectLst/>
                    <a:latin typeface="Times New Roman" panose="02020603050405020304" pitchFamily="18" charset="0"/>
                    <a:ea typeface="+mn-ea"/>
                    <a:cs typeface="Times New Roman" panose="02020603050405020304" pitchFamily="18" charset="0"/>
                  </a:rPr>
                  <a:t>Cập nhật các tài liệu loop diagram, Interlock Logic diagram, Alarm trip setpoint</a:t>
                </a:r>
              </a:p>
              <a:p>
                <a:pPr lvl="0"/>
                <a:r>
                  <a:rPr lang="en-US" sz="1600">
                    <a:solidFill>
                      <a:schemeClr val="tx1"/>
                    </a:solidFill>
                    <a:effectLst/>
                    <a:latin typeface="Times New Roman" panose="02020603050405020304" pitchFamily="18" charset="0"/>
                    <a:ea typeface="+mn-ea"/>
                    <a:cs typeface="Times New Roman" panose="02020603050405020304" pitchFamily="18" charset="0"/>
                  </a:rPr>
                  <a:t>3. </a:t>
                </a:r>
                <a:r>
                  <a:rPr lang="vi-VN" sz="1600">
                    <a:solidFill>
                      <a:schemeClr val="tx1"/>
                    </a:solidFill>
                    <a:effectLst/>
                    <a:latin typeface="Times New Roman" panose="02020603050405020304" pitchFamily="18" charset="0"/>
                    <a:ea typeface="+mn-ea"/>
                    <a:cs typeface="Times New Roman" panose="02020603050405020304" pitchFamily="18" charset="0"/>
                  </a:rPr>
                  <a:t>Kiểm tra thông tin và mã hóa mã vật tư mới theo yêu cầu từ ĐMMS</a:t>
                </a:r>
              </a:p>
              <a:p>
                <a:pPr lvl="0"/>
                <a:r>
                  <a:rPr lang="en-US" sz="1600">
                    <a:solidFill>
                      <a:schemeClr val="tx1"/>
                    </a:solidFill>
                    <a:effectLst/>
                    <a:latin typeface="Times New Roman" panose="02020603050405020304" pitchFamily="18" charset="0"/>
                    <a:ea typeface="+mn-ea"/>
                    <a:cs typeface="Times New Roman" panose="02020603050405020304" pitchFamily="18" charset="0"/>
                  </a:rPr>
                  <a:t>4. </a:t>
                </a:r>
                <a:r>
                  <a:rPr lang="vi-VN" sz="1600">
                    <a:solidFill>
                      <a:schemeClr val="tx1"/>
                    </a:solidFill>
                    <a:effectLst/>
                    <a:latin typeface="Times New Roman" panose="02020603050405020304" pitchFamily="18" charset="0"/>
                    <a:ea typeface="+mn-ea"/>
                    <a:cs typeface="Times New Roman" panose="02020603050405020304" pitchFamily="18" charset="0"/>
                  </a:rPr>
                  <a:t>Kiểm tra thiết bị hệ thống DCS, PLC, ESD, MPS, báo cháy và chữa cháy tự động toàn Nhà máy trước khi nghỉ tết nguyên đán</a:t>
                </a:r>
              </a:p>
              <a:p>
                <a:pPr lvl="0"/>
                <a:r>
                  <a:rPr lang="en-US" sz="1600">
                    <a:solidFill>
                      <a:schemeClr val="tx1"/>
                    </a:solidFill>
                    <a:effectLst/>
                    <a:latin typeface="Times New Roman" panose="02020603050405020304" pitchFamily="18" charset="0"/>
                    <a:ea typeface="+mn-ea"/>
                    <a:cs typeface="Times New Roman" panose="02020603050405020304" pitchFamily="18" charset="0"/>
                  </a:rPr>
                  <a:t>5. </a:t>
                </a:r>
                <a:r>
                  <a:rPr lang="vi-VN" sz="1600">
                    <a:solidFill>
                      <a:schemeClr val="tx1"/>
                    </a:solidFill>
                    <a:effectLst/>
                    <a:latin typeface="Times New Roman" panose="02020603050405020304" pitchFamily="18" charset="0"/>
                    <a:ea typeface="+mn-ea"/>
                    <a:cs typeface="Times New Roman" panose="02020603050405020304" pitchFamily="18" charset="0"/>
                  </a:rPr>
                  <a:t>Tham gia hiện trạng báo cháy Khảo sát Kho 12.000 tấn nội bộ Nhà máy</a:t>
                </a:r>
              </a:p>
              <a:p>
                <a:pPr lvl="0"/>
                <a:r>
                  <a:rPr lang="en-US" sz="1600">
                    <a:solidFill>
                      <a:schemeClr val="tx1"/>
                    </a:solidFill>
                    <a:effectLst/>
                    <a:latin typeface="Times New Roman" panose="02020603050405020304" pitchFamily="18" charset="0"/>
                    <a:ea typeface="+mn-ea"/>
                    <a:cs typeface="Times New Roman" panose="02020603050405020304" pitchFamily="18" charset="0"/>
                  </a:rPr>
                  <a:t>6. </a:t>
                </a:r>
                <a:r>
                  <a:rPr lang="vi-VN" sz="1600">
                    <a:solidFill>
                      <a:schemeClr val="tx1"/>
                    </a:solidFill>
                    <a:effectLst/>
                    <a:latin typeface="Times New Roman" panose="02020603050405020304" pitchFamily="18" charset="0"/>
                    <a:ea typeface="+mn-ea"/>
                    <a:cs typeface="Times New Roman" panose="02020603050405020304" pitchFamily="18" charset="0"/>
                  </a:rPr>
                  <a:t>Thực hiện ĐGRR và cập nhật địa chỉ cách ly theo y/c từ P. KTBD 06PT0219, 06LT1023, 31PT0139, 31PT0105B</a:t>
                </a:r>
              </a:p>
              <a:p>
                <a:pPr lvl="0"/>
                <a:r>
                  <a:rPr lang="en-US" sz="1600">
                    <a:solidFill>
                      <a:schemeClr val="tx1"/>
                    </a:solidFill>
                    <a:effectLst/>
                    <a:latin typeface="Times New Roman" panose="02020603050405020304" pitchFamily="18" charset="0"/>
                    <a:ea typeface="+mn-ea"/>
                    <a:cs typeface="Times New Roman" panose="02020603050405020304" pitchFamily="18" charset="0"/>
                  </a:rPr>
                  <a:t>7. </a:t>
                </a:r>
                <a:r>
                  <a:rPr lang="vi-VN" sz="1600">
                    <a:solidFill>
                      <a:schemeClr val="tx1"/>
                    </a:solidFill>
                    <a:effectLst/>
                    <a:latin typeface="Times New Roman" panose="02020603050405020304" pitchFamily="18" charset="0"/>
                    <a:ea typeface="+mn-ea"/>
                    <a:cs typeface="Times New Roman" panose="02020603050405020304" pitchFamily="18" charset="0"/>
                  </a:rPr>
                  <a:t>Hỗ trợ Download chương trình cho PLC và HMI hệ thống AHU</a:t>
                </a:r>
              </a:p>
              <a:p>
                <a:pPr lvl="0"/>
                <a:r>
                  <a:rPr lang="en-US" sz="1600">
                    <a:solidFill>
                      <a:schemeClr val="tx1"/>
                    </a:solidFill>
                    <a:effectLst/>
                    <a:latin typeface="Times New Roman" panose="02020603050405020304" pitchFamily="18" charset="0"/>
                    <a:ea typeface="+mn-ea"/>
                    <a:cs typeface="Times New Roman" panose="02020603050405020304" pitchFamily="18" charset="0"/>
                  </a:rPr>
                  <a:t>8. </a:t>
                </a:r>
                <a:r>
                  <a:rPr lang="vi-VN" sz="1600">
                    <a:solidFill>
                      <a:schemeClr val="tx1"/>
                    </a:solidFill>
                    <a:effectLst/>
                    <a:latin typeface="Times New Roman" panose="02020603050405020304" pitchFamily="18" charset="0"/>
                    <a:ea typeface="+mn-ea"/>
                    <a:cs typeface="Times New Roman" panose="02020603050405020304" pitchFamily="18" charset="0"/>
                  </a:rPr>
                  <a:t>Đọc tài liệu "PVCFC_Technical Proposal for Upgrading Nitrogen package_v1" do Siemens cung cấp</a:t>
                </a:r>
              </a:p>
              <a:p>
                <a:pPr lvl="0"/>
                <a:r>
                  <a:rPr lang="en-US" sz="1600">
                    <a:solidFill>
                      <a:schemeClr val="tx1"/>
                    </a:solidFill>
                    <a:effectLst/>
                    <a:latin typeface="Times New Roman" panose="02020603050405020304" pitchFamily="18" charset="0"/>
                    <a:ea typeface="+mn-ea"/>
                    <a:cs typeface="Times New Roman" panose="02020603050405020304" pitchFamily="18" charset="0"/>
                  </a:rPr>
                  <a:t>9. </a:t>
                </a:r>
                <a:r>
                  <a:rPr lang="vi-VN" sz="1600">
                    <a:solidFill>
                      <a:schemeClr val="tx1"/>
                    </a:solidFill>
                    <a:effectLst/>
                    <a:latin typeface="Times New Roman" panose="02020603050405020304" pitchFamily="18" charset="0"/>
                    <a:ea typeface="+mn-ea"/>
                    <a:cs typeface="Times New Roman" panose="02020603050405020304" pitchFamily="18" charset="0"/>
                  </a:rPr>
                  <a:t>Thực hiện WO link các tín hiệu hiển thị lên Graphic DCS Ure </a:t>
                </a:r>
              </a:p>
            </xdr:txBody>
          </xdr:sp>
        </xdr:grpSp>
        <xdr:pic>
          <xdr:nvPicPr>
            <xdr:cNvPr id="150" name="Picture 149" descr="S7-400/S7-400H/S7-400F/FH - SiePortal - Siemens Poland">
              <a:extLst>
                <a:ext uri="{FF2B5EF4-FFF2-40B4-BE49-F238E27FC236}">
                  <a16:creationId xmlns:a16="http://schemas.microsoft.com/office/drawing/2014/main" id="{B441988E-CC6D-4747-A407-308F22B33437}"/>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787236" y="16306800"/>
              <a:ext cx="762000" cy="812122"/>
            </a:xfrm>
            <a:prstGeom prst="rect">
              <a:avLst/>
            </a:prstGeom>
            <a:noFill/>
            <a:extLst>
              <a:ext uri="{909E8E84-426E-40DD-AFC4-6F175D3DCCD1}">
                <a14:hiddenFill xmlns:a14="http://schemas.microsoft.com/office/drawing/2010/main">
                  <a:solidFill>
                    <a:srgbClr val="FFFFFF"/>
                  </a:solidFill>
                </a14:hiddenFill>
              </a:ext>
            </a:extLst>
          </xdr:spPr>
        </xdr:pic>
      </xdr:grpSp>
      <xdr:grpSp>
        <xdr:nvGrpSpPr>
          <xdr:cNvPr id="39" name="Group 38">
            <a:extLst>
              <a:ext uri="{FF2B5EF4-FFF2-40B4-BE49-F238E27FC236}">
                <a16:creationId xmlns:a16="http://schemas.microsoft.com/office/drawing/2014/main" id="{3448993E-C04B-C48C-ADC5-03E5A91929F2}"/>
              </a:ext>
            </a:extLst>
          </xdr:cNvPr>
          <xdr:cNvGrpSpPr/>
        </xdr:nvGrpSpPr>
        <xdr:grpSpPr>
          <a:xfrm>
            <a:off x="9698188" y="18091067"/>
            <a:ext cx="8965870" cy="3008242"/>
            <a:chOff x="9698188" y="16192989"/>
            <a:chExt cx="8965870" cy="3008242"/>
          </a:xfrm>
        </xdr:grpSpPr>
        <xdr:grpSp>
          <xdr:nvGrpSpPr>
            <xdr:cNvPr id="142" name="Group 141">
              <a:extLst>
                <a:ext uri="{FF2B5EF4-FFF2-40B4-BE49-F238E27FC236}">
                  <a16:creationId xmlns:a16="http://schemas.microsoft.com/office/drawing/2014/main" id="{5EC566DF-EDE6-0327-AE85-493BFA6A7FD6}"/>
                </a:ext>
              </a:extLst>
            </xdr:cNvPr>
            <xdr:cNvGrpSpPr/>
          </xdr:nvGrpSpPr>
          <xdr:grpSpPr>
            <a:xfrm>
              <a:off x="9698188" y="16192989"/>
              <a:ext cx="8965870" cy="3008242"/>
              <a:chOff x="12892624" y="13824855"/>
              <a:chExt cx="8922348" cy="2937784"/>
            </a:xfrm>
          </xdr:grpSpPr>
          <xdr:sp macro="" textlink="">
            <xdr:nvSpPr>
              <xdr:cNvPr id="139" name="Rectangle: Rounded Corners 138">
                <a:extLst>
                  <a:ext uri="{FF2B5EF4-FFF2-40B4-BE49-F238E27FC236}">
                    <a16:creationId xmlns:a16="http://schemas.microsoft.com/office/drawing/2014/main" id="{5352B824-C941-FF5F-6A14-4424BE7BD382}"/>
                  </a:ext>
                </a:extLst>
              </xdr:cNvPr>
              <xdr:cNvSpPr/>
            </xdr:nvSpPr>
            <xdr:spPr>
              <a:xfrm>
                <a:off x="12892624" y="13824855"/>
                <a:ext cx="8922348" cy="2937784"/>
              </a:xfrm>
              <a:prstGeom prst="roundRect">
                <a:avLst>
                  <a:gd name="adj" fmla="val 6667"/>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140" name="Rectangle: Rounded Corners 139">
                <a:extLst>
                  <a:ext uri="{FF2B5EF4-FFF2-40B4-BE49-F238E27FC236}">
                    <a16:creationId xmlns:a16="http://schemas.microsoft.com/office/drawing/2014/main" id="{7E2FC8EB-3C23-C8EA-8B84-EC98A315FC8E}"/>
                  </a:ext>
                </a:extLst>
              </xdr:cNvPr>
              <xdr:cNvSpPr/>
            </xdr:nvSpPr>
            <xdr:spPr>
              <a:xfrm>
                <a:off x="14956410" y="14092497"/>
                <a:ext cx="5167990" cy="406200"/>
              </a:xfrm>
              <a:prstGeom prst="round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HẠNG</a:t>
                </a:r>
                <a:r>
                  <a:rPr lang="en-US" sz="1600" b="1" kern="1200" baseline="0">
                    <a:solidFill>
                      <a:schemeClr val="lt1"/>
                    </a:solidFill>
                    <a:latin typeface="Times New Roman" panose="02020603050405020304" pitchFamily="18" charset="0"/>
                    <a:ea typeface="+mn-ea"/>
                    <a:cs typeface="Times New Roman" panose="02020603050405020304" pitchFamily="18" charset="0"/>
                  </a:rPr>
                  <a:t> MỤC PHÁT SINH ĐỘI TBĐL</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sp macro="" textlink="">
            <xdr:nvSpPr>
              <xdr:cNvPr id="141" name="Rectangle: Rounded Corners 140">
                <a:extLst>
                  <a:ext uri="{FF2B5EF4-FFF2-40B4-BE49-F238E27FC236}">
                    <a16:creationId xmlns:a16="http://schemas.microsoft.com/office/drawing/2014/main" id="{44EB3706-65B2-E6B2-5F4F-F1E06CE91732}"/>
                  </a:ext>
                </a:extLst>
              </xdr:cNvPr>
              <xdr:cNvSpPr/>
            </xdr:nvSpPr>
            <xdr:spPr>
              <a:xfrm>
                <a:off x="13028636" y="14607930"/>
                <a:ext cx="8633879" cy="2115012"/>
              </a:xfrm>
              <a:prstGeom prst="roundRect">
                <a:avLst>
                  <a:gd name="adj" fmla="val 3509"/>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sz="1600">
                    <a:solidFill>
                      <a:schemeClr val="tx1"/>
                    </a:solidFill>
                    <a:effectLst/>
                    <a:latin typeface="Times New Roman" panose="02020603050405020304" pitchFamily="18" charset="0"/>
                    <a:ea typeface="+mn-ea"/>
                    <a:cs typeface="Times New Roman" panose="02020603050405020304" pitchFamily="18" charset="0"/>
                  </a:rPr>
                  <a:t>1.</a:t>
                </a:r>
                <a:r>
                  <a:rPr lang="vi-VN" sz="1600">
                    <a:solidFill>
                      <a:schemeClr val="tx1"/>
                    </a:solidFill>
                    <a:effectLst/>
                    <a:latin typeface="Times New Roman" panose="02020603050405020304" pitchFamily="18" charset="0"/>
                    <a:ea typeface="+mn-ea"/>
                    <a:cs typeface="Times New Roman" panose="02020603050405020304" pitchFamily="18" charset="0"/>
                  </a:rPr>
                  <a:t> Hoàn thành lắp đặt các pát sắt 304 cải tạo tuyến cáp dưới mương cùng nhà thầu các tuyến đường có cáp trong nhà máy;</a:t>
                </a:r>
              </a:p>
              <a:p>
                <a:r>
                  <a:rPr lang="en-US" sz="1600">
                    <a:solidFill>
                      <a:schemeClr val="tx1"/>
                    </a:solidFill>
                    <a:effectLst/>
                    <a:latin typeface="Times New Roman" panose="02020603050405020304" pitchFamily="18" charset="0"/>
                    <a:ea typeface="+mn-ea"/>
                    <a:cs typeface="Times New Roman" panose="02020603050405020304" pitchFamily="18" charset="0"/>
                  </a:rPr>
                  <a:t>2.</a:t>
                </a:r>
                <a:r>
                  <a:rPr lang="vi-VN" sz="1600">
                    <a:solidFill>
                      <a:schemeClr val="tx1"/>
                    </a:solidFill>
                    <a:effectLst/>
                    <a:latin typeface="Times New Roman" panose="02020603050405020304" pitchFamily="18" charset="0"/>
                    <a:ea typeface="+mn-ea"/>
                    <a:cs typeface="Times New Roman" panose="02020603050405020304" pitchFamily="18" charset="0"/>
                  </a:rPr>
                  <a:t> Hoàn thành rà soát các thiết bị đo phân loại I, IIa và xử lý 4 hạng mục có rủi ro (Gia cố cable gland 31PT-0105B, 31PT-0139, xử lý cable gland 06PT-0210, xử lý màn hình 06LT-1023)</a:t>
                </a:r>
              </a:p>
              <a:p>
                <a:r>
                  <a:rPr lang="en-US" sz="1600">
                    <a:solidFill>
                      <a:schemeClr val="tx1"/>
                    </a:solidFill>
                    <a:effectLst/>
                    <a:latin typeface="Times New Roman" panose="02020603050405020304" pitchFamily="18" charset="0"/>
                    <a:ea typeface="+mn-ea"/>
                    <a:cs typeface="Times New Roman" panose="02020603050405020304" pitchFamily="18" charset="0"/>
                  </a:rPr>
                  <a:t>3.</a:t>
                </a:r>
                <a:r>
                  <a:rPr lang="vi-VN" sz="1600">
                    <a:solidFill>
                      <a:schemeClr val="tx1"/>
                    </a:solidFill>
                    <a:effectLst/>
                    <a:latin typeface="Times New Roman" panose="02020603050405020304" pitchFamily="18" charset="0"/>
                    <a:ea typeface="+mn-ea"/>
                    <a:cs typeface="Times New Roman" panose="02020603050405020304" pitchFamily="18" charset="0"/>
                  </a:rPr>
                  <a:t> Tiếp nhận, kiểm tra các PI/TI từ tổ TCĐK, sửa chữa các thiết bị từ các đơn vị trong nhà máy;</a:t>
                </a:r>
              </a:p>
              <a:p>
                <a:r>
                  <a:rPr lang="en-US" sz="1600">
                    <a:solidFill>
                      <a:schemeClr val="tx1"/>
                    </a:solidFill>
                    <a:effectLst/>
                    <a:latin typeface="Times New Roman" panose="02020603050405020304" pitchFamily="18" charset="0"/>
                    <a:ea typeface="+mn-ea"/>
                    <a:cs typeface="Times New Roman" panose="02020603050405020304" pitchFamily="18" charset="0"/>
                  </a:rPr>
                  <a:t>4.</a:t>
                </a:r>
                <a:r>
                  <a:rPr lang="vi-VN" sz="1600">
                    <a:solidFill>
                      <a:schemeClr val="tx1"/>
                    </a:solidFill>
                    <a:effectLst/>
                    <a:latin typeface="Times New Roman" panose="02020603050405020304" pitchFamily="18" charset="0"/>
                    <a:ea typeface="+mn-ea"/>
                    <a:cs typeface="Times New Roman" panose="02020603050405020304" pitchFamily="18" charset="0"/>
                  </a:rPr>
                  <a:t> Thực hiện thu hồi 4 CAM quan sát xuất hàng xá theo yêu cầu của TCNM;</a:t>
                </a:r>
              </a:p>
              <a:p>
                <a:r>
                  <a:rPr lang="en-US" sz="1600">
                    <a:solidFill>
                      <a:schemeClr val="tx1"/>
                    </a:solidFill>
                    <a:effectLst/>
                    <a:latin typeface="Times New Roman" panose="02020603050405020304" pitchFamily="18" charset="0"/>
                    <a:ea typeface="+mn-ea"/>
                    <a:cs typeface="Times New Roman" panose="02020603050405020304" pitchFamily="18" charset="0"/>
                  </a:rPr>
                  <a:t>5.</a:t>
                </a:r>
                <a:r>
                  <a:rPr lang="vi-VN" sz="1600">
                    <a:solidFill>
                      <a:schemeClr val="tx1"/>
                    </a:solidFill>
                    <a:effectLst/>
                    <a:latin typeface="Times New Roman" panose="02020603050405020304" pitchFamily="18" charset="0"/>
                    <a:ea typeface="+mn-ea"/>
                    <a:cs typeface="Times New Roman" panose="02020603050405020304" pitchFamily="18" charset="0"/>
                  </a:rPr>
                  <a:t> Xử lý 08TT-0062 bị bung support giữ sensor và thay thế dây kéo dài mới;</a:t>
                </a:r>
              </a:p>
              <a:p>
                <a:r>
                  <a:rPr lang="en-US" sz="1600">
                    <a:solidFill>
                      <a:schemeClr val="tx1"/>
                    </a:solidFill>
                    <a:effectLst/>
                    <a:latin typeface="Times New Roman" panose="02020603050405020304" pitchFamily="18" charset="0"/>
                    <a:ea typeface="+mn-ea"/>
                    <a:cs typeface="Times New Roman" panose="02020603050405020304" pitchFamily="18" charset="0"/>
                  </a:rPr>
                  <a:t>6.</a:t>
                </a:r>
                <a:r>
                  <a:rPr lang="vi-VN" sz="1600">
                    <a:solidFill>
                      <a:schemeClr val="tx1"/>
                    </a:solidFill>
                    <a:effectLst/>
                    <a:latin typeface="Times New Roman" panose="02020603050405020304" pitchFamily="18" charset="0"/>
                    <a:ea typeface="+mn-ea"/>
                    <a:cs typeface="Times New Roman" panose="02020603050405020304" pitchFamily="18" charset="0"/>
                  </a:rPr>
                  <a:t> Đã lắp đặt thêm 2 box chắn gió 04PXT-2032A/C, đang đợi đánh giá kết nối ống impluse line;</a:t>
                </a:r>
              </a:p>
              <a:p>
                <a:r>
                  <a:rPr lang="en-US" sz="1600">
                    <a:solidFill>
                      <a:schemeClr val="tx1"/>
                    </a:solidFill>
                    <a:effectLst/>
                    <a:latin typeface="Times New Roman" panose="02020603050405020304" pitchFamily="18" charset="0"/>
                    <a:ea typeface="+mn-ea"/>
                    <a:cs typeface="Times New Roman" panose="02020603050405020304" pitchFamily="18" charset="0"/>
                  </a:rPr>
                  <a:t>7.</a:t>
                </a:r>
                <a:r>
                  <a:rPr lang="vi-VN" sz="1600">
                    <a:solidFill>
                      <a:schemeClr val="tx1"/>
                    </a:solidFill>
                    <a:effectLst/>
                    <a:latin typeface="Times New Roman" panose="02020603050405020304" pitchFamily="18" charset="0"/>
                    <a:ea typeface="+mn-ea"/>
                    <a:cs typeface="Times New Roman" panose="02020603050405020304" pitchFamily="18" charset="0"/>
                  </a:rPr>
                  <a:t> Hoàn thành vệ sinh, thay thế bu lông, lắp mới mái che các thiết bị đo mức kiểu radar X.NPK;</a:t>
                </a:r>
              </a:p>
              <a:p>
                <a:r>
                  <a:rPr lang="en-US" sz="1600">
                    <a:solidFill>
                      <a:schemeClr val="tx1"/>
                    </a:solidFill>
                    <a:effectLst/>
                    <a:latin typeface="Times New Roman" panose="02020603050405020304" pitchFamily="18" charset="0"/>
                    <a:ea typeface="+mn-ea"/>
                    <a:cs typeface="Times New Roman" panose="02020603050405020304" pitchFamily="18" charset="0"/>
                  </a:rPr>
                  <a:t>8.</a:t>
                </a:r>
                <a:r>
                  <a:rPr lang="vi-VN" sz="1600">
                    <a:solidFill>
                      <a:schemeClr val="tx1"/>
                    </a:solidFill>
                    <a:effectLst/>
                    <a:latin typeface="Times New Roman" panose="02020603050405020304" pitchFamily="18" charset="0"/>
                    <a:ea typeface="+mn-ea"/>
                    <a:cs typeface="Times New Roman" panose="02020603050405020304" pitchFamily="18" charset="0"/>
                  </a:rPr>
                  <a:t> Thực hiện, rà soát hệ thống ACS, camera an ninh, công nghệ trước khi nghỉ Tết;</a:t>
                </a:r>
              </a:p>
            </xdr:txBody>
          </xdr:sp>
        </xdr:grpSp>
        <xdr:pic>
          <xdr:nvPicPr>
            <xdr:cNvPr id="151" name="Picture 150" descr="3051TG4A2B21BK8M5 | Rosemount 3051 Series Pressure Sensor, -1bar Min,  276bar Max, 4 → 20 mA, Hart Output, Absolute, Differential, | RS">
              <a:extLst>
                <a:ext uri="{FF2B5EF4-FFF2-40B4-BE49-F238E27FC236}">
                  <a16:creationId xmlns:a16="http://schemas.microsoft.com/office/drawing/2014/main" id="{6E0F5897-BB12-4728-B77A-158CA2A87692}"/>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0986658" y="16334509"/>
              <a:ext cx="842522" cy="678873"/>
            </a:xfrm>
            <a:prstGeom prst="rect">
              <a:avLst/>
            </a:prstGeom>
            <a:noFill/>
            <a:extLst>
              <a:ext uri="{909E8E84-426E-40DD-AFC4-6F175D3DCCD1}">
                <a14:hiddenFill xmlns:a14="http://schemas.microsoft.com/office/drawing/2010/main">
                  <a:solidFill>
                    <a:srgbClr val="FFFFFF"/>
                  </a:solidFill>
                </a14:hiddenFill>
              </a:ext>
            </a:extLst>
          </xdr:spPr>
        </xdr:pic>
      </xdr:grpSp>
      <xdr:grpSp>
        <xdr:nvGrpSpPr>
          <xdr:cNvPr id="40" name="Group 39">
            <a:extLst>
              <a:ext uri="{FF2B5EF4-FFF2-40B4-BE49-F238E27FC236}">
                <a16:creationId xmlns:a16="http://schemas.microsoft.com/office/drawing/2014/main" id="{9C1D0C02-D52C-7F26-03A5-B8A26E2C11D4}"/>
              </a:ext>
            </a:extLst>
          </xdr:cNvPr>
          <xdr:cNvGrpSpPr/>
        </xdr:nvGrpSpPr>
        <xdr:grpSpPr>
          <a:xfrm>
            <a:off x="18856044" y="18116786"/>
            <a:ext cx="9545782" cy="2982527"/>
            <a:chOff x="18856044" y="16218708"/>
            <a:chExt cx="9545782" cy="2982527"/>
          </a:xfrm>
        </xdr:grpSpPr>
        <xdr:grpSp>
          <xdr:nvGrpSpPr>
            <xdr:cNvPr id="146" name="Group 145">
              <a:extLst>
                <a:ext uri="{FF2B5EF4-FFF2-40B4-BE49-F238E27FC236}">
                  <a16:creationId xmlns:a16="http://schemas.microsoft.com/office/drawing/2014/main" id="{21F8DF19-1BCA-9977-4497-7028A56ED7E3}"/>
                </a:ext>
              </a:extLst>
            </xdr:cNvPr>
            <xdr:cNvGrpSpPr/>
          </xdr:nvGrpSpPr>
          <xdr:grpSpPr>
            <a:xfrm>
              <a:off x="18856044" y="16218708"/>
              <a:ext cx="9545782" cy="2982527"/>
              <a:chOff x="13027142" y="13764443"/>
              <a:chExt cx="11453175" cy="3033913"/>
            </a:xfrm>
          </xdr:grpSpPr>
          <xdr:sp macro="" textlink="">
            <xdr:nvSpPr>
              <xdr:cNvPr id="147" name="Rectangle: Rounded Corners 146">
                <a:extLst>
                  <a:ext uri="{FF2B5EF4-FFF2-40B4-BE49-F238E27FC236}">
                    <a16:creationId xmlns:a16="http://schemas.microsoft.com/office/drawing/2014/main" id="{E9AAD015-1202-2410-0861-9C23122E0245}"/>
                  </a:ext>
                </a:extLst>
              </xdr:cNvPr>
              <xdr:cNvSpPr/>
            </xdr:nvSpPr>
            <xdr:spPr>
              <a:xfrm>
                <a:off x="13027142" y="13764443"/>
                <a:ext cx="11453175" cy="3033913"/>
              </a:xfrm>
              <a:prstGeom prst="roundRect">
                <a:avLst>
                  <a:gd name="adj" fmla="val 6667"/>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148" name="Rectangle: Rounded Corners 147">
                <a:extLst>
                  <a:ext uri="{FF2B5EF4-FFF2-40B4-BE49-F238E27FC236}">
                    <a16:creationId xmlns:a16="http://schemas.microsoft.com/office/drawing/2014/main" id="{B14EA20C-10C2-5A3A-4ED3-F9AAA6263165}"/>
                  </a:ext>
                </a:extLst>
              </xdr:cNvPr>
              <xdr:cNvSpPr/>
            </xdr:nvSpPr>
            <xdr:spPr>
              <a:xfrm>
                <a:off x="16417099" y="14120683"/>
                <a:ext cx="5167990" cy="406200"/>
              </a:xfrm>
              <a:prstGeom prst="round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HẠNG</a:t>
                </a:r>
                <a:r>
                  <a:rPr lang="en-US" sz="1600" b="1" kern="1200" baseline="0">
                    <a:solidFill>
                      <a:schemeClr val="lt1"/>
                    </a:solidFill>
                    <a:latin typeface="Times New Roman" panose="02020603050405020304" pitchFamily="18" charset="0"/>
                    <a:ea typeface="+mn-ea"/>
                    <a:cs typeface="Times New Roman" panose="02020603050405020304" pitchFamily="18" charset="0"/>
                  </a:rPr>
                  <a:t> MỤC PHÁT SINH ĐỘI TBCH</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sp macro="" textlink="">
            <xdr:nvSpPr>
              <xdr:cNvPr id="149" name="Rectangle: Rounded Corners 148">
                <a:extLst>
                  <a:ext uri="{FF2B5EF4-FFF2-40B4-BE49-F238E27FC236}">
                    <a16:creationId xmlns:a16="http://schemas.microsoft.com/office/drawing/2014/main" id="{46A352AF-643E-F9DD-D38E-2A9B80E8D752}"/>
                  </a:ext>
                </a:extLst>
              </xdr:cNvPr>
              <xdr:cNvSpPr/>
            </xdr:nvSpPr>
            <xdr:spPr>
              <a:xfrm>
                <a:off x="13295524" y="14643927"/>
                <a:ext cx="10878114" cy="2030374"/>
              </a:xfrm>
              <a:prstGeom prst="roundRect">
                <a:avLst>
                  <a:gd name="adj" fmla="val 3509"/>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sz="1600">
                    <a:solidFill>
                      <a:schemeClr val="tx1"/>
                    </a:solidFill>
                    <a:effectLst/>
                    <a:latin typeface="Times New Roman" panose="02020603050405020304" pitchFamily="18" charset="0"/>
                    <a:ea typeface="+mn-ea"/>
                    <a:cs typeface="Times New Roman" panose="02020603050405020304" pitchFamily="18" charset="0"/>
                  </a:rPr>
                  <a:t>1.</a:t>
                </a:r>
                <a:r>
                  <a:rPr lang="vi-VN" sz="1600">
                    <a:solidFill>
                      <a:schemeClr val="tx1"/>
                    </a:solidFill>
                    <a:effectLst/>
                    <a:latin typeface="Times New Roman" panose="02020603050405020304" pitchFamily="18" charset="0"/>
                    <a:ea typeface="+mn-ea"/>
                    <a:cs typeface="Times New Roman" panose="02020603050405020304" pitchFamily="18" charset="0"/>
                  </a:rPr>
                  <a:t> Hoàn thành nhận vật tư, tháo xử lý 4 van cụm 20000 phát hiện rò seal (20KV-2019, 20KV-2020, 20KV-1005, 20KV-2003) phát sinh trong BDĐK. </a:t>
                </a:r>
              </a:p>
              <a:p>
                <a:r>
                  <a:rPr lang="en-US" sz="1600">
                    <a:solidFill>
                      <a:schemeClr val="tx1"/>
                    </a:solidFill>
                    <a:effectLst/>
                    <a:latin typeface="Times New Roman" panose="02020603050405020304" pitchFamily="18" charset="0"/>
                    <a:ea typeface="+mn-ea"/>
                    <a:cs typeface="Times New Roman" panose="02020603050405020304" pitchFamily="18" charset="0"/>
                  </a:rPr>
                  <a:t>2.</a:t>
                </a:r>
                <a:r>
                  <a:rPr lang="vi-VN" sz="1600">
                    <a:solidFill>
                      <a:schemeClr val="tx1"/>
                    </a:solidFill>
                    <a:effectLst/>
                    <a:latin typeface="Times New Roman" panose="02020603050405020304" pitchFamily="18" charset="0"/>
                    <a:ea typeface="+mn-ea"/>
                    <a:cs typeface="Times New Roman" panose="02020603050405020304" pitchFamily="18" charset="0"/>
                  </a:rPr>
                  <a:t> Hoàn thành thực hiện 12 hạng mục BDCH khi dừng máy xưởng NPK.</a:t>
                </a:r>
              </a:p>
              <a:p>
                <a:r>
                  <a:rPr lang="en-US" sz="1600">
                    <a:solidFill>
                      <a:schemeClr val="tx1"/>
                    </a:solidFill>
                    <a:effectLst/>
                    <a:latin typeface="Times New Roman" panose="02020603050405020304" pitchFamily="18" charset="0"/>
                    <a:ea typeface="+mn-ea"/>
                    <a:cs typeface="Times New Roman" panose="02020603050405020304" pitchFamily="18" charset="0"/>
                  </a:rPr>
                  <a:t>3.</a:t>
                </a:r>
                <a:r>
                  <a:rPr lang="vi-VN" sz="1600">
                    <a:solidFill>
                      <a:schemeClr val="tx1"/>
                    </a:solidFill>
                    <a:effectLst/>
                    <a:latin typeface="Times New Roman" panose="02020603050405020304" pitchFamily="18" charset="0"/>
                    <a:ea typeface="+mn-ea"/>
                    <a:cs typeface="Times New Roman" panose="02020603050405020304" pitchFamily="18" charset="0"/>
                  </a:rPr>
                  <a:t> Hoàn thành thay các bình đệm dung môi bị lão hóa và chỉnh lại tia mực các máy in 48Priner 01-08.</a:t>
                </a:r>
              </a:p>
              <a:p>
                <a:r>
                  <a:rPr lang="en-US" sz="1600">
                    <a:solidFill>
                      <a:schemeClr val="tx1"/>
                    </a:solidFill>
                    <a:effectLst/>
                    <a:latin typeface="Times New Roman" panose="02020603050405020304" pitchFamily="18" charset="0"/>
                    <a:ea typeface="+mn-ea"/>
                    <a:cs typeface="Times New Roman" panose="02020603050405020304" pitchFamily="18" charset="0"/>
                  </a:rPr>
                  <a:t>4.</a:t>
                </a:r>
                <a:r>
                  <a:rPr lang="vi-VN" sz="1600">
                    <a:solidFill>
                      <a:schemeClr val="tx1"/>
                    </a:solidFill>
                    <a:effectLst/>
                    <a:latin typeface="Times New Roman" panose="02020603050405020304" pitchFamily="18" charset="0"/>
                    <a:ea typeface="+mn-ea"/>
                    <a:cs typeface="Times New Roman" panose="02020603050405020304" pitchFamily="18" charset="0"/>
                  </a:rPr>
                  <a:t> Hoàn thành thay box local OP2 bị bể và thay cylinder cửa thô/tinh bị rò khí, ăn mòn của Shiploader C/D.</a:t>
                </a:r>
              </a:p>
              <a:p>
                <a:r>
                  <a:rPr lang="en-US" sz="1600">
                    <a:solidFill>
                      <a:schemeClr val="tx1"/>
                    </a:solidFill>
                    <a:effectLst/>
                    <a:latin typeface="Times New Roman" panose="02020603050405020304" pitchFamily="18" charset="0"/>
                    <a:ea typeface="+mn-ea"/>
                    <a:cs typeface="Times New Roman" panose="02020603050405020304" pitchFamily="18" charset="0"/>
                  </a:rPr>
                  <a:t>5.</a:t>
                </a:r>
                <a:r>
                  <a:rPr lang="vi-VN" sz="1600">
                    <a:solidFill>
                      <a:schemeClr val="tx1"/>
                    </a:solidFill>
                    <a:effectLst/>
                    <a:latin typeface="Times New Roman" panose="02020603050405020304" pitchFamily="18" charset="0"/>
                    <a:ea typeface="+mn-ea"/>
                    <a:cs typeface="Times New Roman" panose="02020603050405020304" pitchFamily="18" charset="0"/>
                  </a:rPr>
                  <a:t> Hoàn thành Xử lý lỗi máy in Linx8830 không in được do báo lỗi module chính.</a:t>
                </a:r>
              </a:p>
              <a:p>
                <a:r>
                  <a:rPr lang="en-US" sz="1600">
                    <a:solidFill>
                      <a:schemeClr val="tx1"/>
                    </a:solidFill>
                    <a:effectLst/>
                    <a:latin typeface="Times New Roman" panose="02020603050405020304" pitchFamily="18" charset="0"/>
                    <a:ea typeface="+mn-ea"/>
                    <a:cs typeface="Times New Roman" panose="02020603050405020304" pitchFamily="18" charset="0"/>
                  </a:rPr>
                  <a:t>6.</a:t>
                </a:r>
                <a:r>
                  <a:rPr lang="vi-VN" sz="1600">
                    <a:solidFill>
                      <a:schemeClr val="tx1"/>
                    </a:solidFill>
                    <a:effectLst/>
                    <a:latin typeface="Times New Roman" panose="02020603050405020304" pitchFamily="18" charset="0"/>
                    <a:ea typeface="+mn-ea"/>
                    <a:cs typeface="Times New Roman" panose="02020603050405020304" pitchFamily="18" charset="0"/>
                  </a:rPr>
                  <a:t> Hoàn thành triển khai thực hiện rà soát 336 hạng mục van diều khiển nhóm 1 trước khi nghỉ Tết Nguyên đán. </a:t>
                </a:r>
                <a:r>
                  <a:rPr lang="en-US" sz="1600">
                    <a:solidFill>
                      <a:schemeClr val="tx1"/>
                    </a:solidFill>
                    <a:effectLst/>
                    <a:latin typeface="Times New Roman" panose="02020603050405020304" pitchFamily="18" charset="0"/>
                    <a:ea typeface="+mn-ea"/>
                    <a:cs typeface="Times New Roman" panose="02020603050405020304" pitchFamily="18" charset="0"/>
                  </a:rPr>
                  <a:t>7. </a:t>
                </a:r>
                <a:r>
                  <a:rPr lang="vi-VN" sz="1600">
                    <a:solidFill>
                      <a:schemeClr val="tx1"/>
                    </a:solidFill>
                    <a:effectLst/>
                    <a:latin typeface="Times New Roman" panose="02020603050405020304" pitchFamily="18" charset="0"/>
                    <a:ea typeface="+mn-ea"/>
                    <a:cs typeface="Times New Roman" panose="02020603050405020304" pitchFamily="18" charset="0"/>
                  </a:rPr>
                  <a:t>Đã phát hiện và xử lý kịp thời 9 hạng mục van điều khiển (bao gồm: 04FV-4201, 04FV-4202, 04HV-3024, 04LV-3012A, 29FV-2201, 06HV-1005, 06HV-1102, 07TV-2612, 04PCV-4308) có phát sinh lỗi có nguy cơ gây fail van làm ảnh hưởng đến hoạt động của nhà máy</a:t>
                </a:r>
              </a:p>
            </xdr:txBody>
          </xdr:sp>
        </xdr:grpSp>
        <xdr:pic>
          <xdr:nvPicPr>
            <xdr:cNvPr id="152" name="Picture 151" descr="Fisher Easy-E ES Control Valve at best price in Pune by Emerson | ID:  15901586355">
              <a:extLst>
                <a:ext uri="{FF2B5EF4-FFF2-40B4-BE49-F238E27FC236}">
                  <a16:creationId xmlns:a16="http://schemas.microsoft.com/office/drawing/2014/main" id="{78FE315D-8A4A-4653-805D-506D1A760C3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20852277" y="16376073"/>
              <a:ext cx="873962" cy="742853"/>
            </a:xfrm>
            <a:prstGeom prst="rect">
              <a:avLst/>
            </a:prstGeom>
            <a:noFill/>
            <a:extLst>
              <a:ext uri="{909E8E84-426E-40DD-AFC4-6F175D3DCCD1}">
                <a14:hiddenFill xmlns:a14="http://schemas.microsoft.com/office/drawing/2010/main">
                  <a:solidFill>
                    <a:srgbClr val="FFFFFF"/>
                  </a:solidFill>
                </a14:hiddenFill>
              </a:ext>
            </a:extLst>
          </xdr:spPr>
        </xdr:pic>
      </xdr:grpSp>
    </xdr:grpSp>
    <xdr:clientData/>
  </xdr:twoCellAnchor>
  <xdr:twoCellAnchor>
    <xdr:from>
      <xdr:col>16</xdr:col>
      <xdr:colOff>92703</xdr:colOff>
      <xdr:row>16</xdr:row>
      <xdr:rowOff>138545</xdr:rowOff>
    </xdr:from>
    <xdr:to>
      <xdr:col>18</xdr:col>
      <xdr:colOff>519546</xdr:colOff>
      <xdr:row>19</xdr:row>
      <xdr:rowOff>144658</xdr:rowOff>
    </xdr:to>
    <xdr:grpSp>
      <xdr:nvGrpSpPr>
        <xdr:cNvPr id="72" name="Group 71">
          <a:extLst>
            <a:ext uri="{FF2B5EF4-FFF2-40B4-BE49-F238E27FC236}">
              <a16:creationId xmlns:a16="http://schemas.microsoft.com/office/drawing/2014/main" id="{3CDEF981-236C-39C3-0E77-8877EB55C88F}"/>
            </a:ext>
          </a:extLst>
        </xdr:cNvPr>
        <xdr:cNvGrpSpPr/>
      </xdr:nvGrpSpPr>
      <xdr:grpSpPr>
        <a:xfrm>
          <a:off x="10171885" y="5507181"/>
          <a:ext cx="1639116" cy="941295"/>
          <a:chOff x="10016007" y="3429000"/>
          <a:chExt cx="1639130" cy="941420"/>
        </a:xfrm>
      </xdr:grpSpPr>
      <xdr:cxnSp macro="">
        <xdr:nvCxnSpPr>
          <xdr:cNvPr id="37" name="Straight Connector 36">
            <a:extLst>
              <a:ext uri="{FF2B5EF4-FFF2-40B4-BE49-F238E27FC236}">
                <a16:creationId xmlns:a16="http://schemas.microsoft.com/office/drawing/2014/main" id="{4D07A34C-B730-EDEF-7570-AC997EFB35DB}"/>
              </a:ext>
            </a:extLst>
          </xdr:cNvPr>
          <xdr:cNvCxnSpPr/>
        </xdr:nvCxnSpPr>
        <xdr:spPr>
          <a:xfrm>
            <a:off x="10027227" y="3429000"/>
            <a:ext cx="502228"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38" name="Straight Connector 37">
            <a:extLst>
              <a:ext uri="{FF2B5EF4-FFF2-40B4-BE49-F238E27FC236}">
                <a16:creationId xmlns:a16="http://schemas.microsoft.com/office/drawing/2014/main" id="{D5508204-4B19-AE0E-7760-BC4995964B22}"/>
              </a:ext>
            </a:extLst>
          </xdr:cNvPr>
          <xdr:cNvCxnSpPr/>
        </xdr:nvCxnSpPr>
        <xdr:spPr>
          <a:xfrm>
            <a:off x="10027227" y="3758045"/>
            <a:ext cx="502228"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52" name="Straight Connector 51">
            <a:extLst>
              <a:ext uri="{FF2B5EF4-FFF2-40B4-BE49-F238E27FC236}">
                <a16:creationId xmlns:a16="http://schemas.microsoft.com/office/drawing/2014/main" id="{925806A2-EF94-88FE-7081-911666D51EDD}"/>
              </a:ext>
            </a:extLst>
          </xdr:cNvPr>
          <xdr:cNvCxnSpPr/>
        </xdr:nvCxnSpPr>
        <xdr:spPr>
          <a:xfrm>
            <a:off x="10027227" y="4069773"/>
            <a:ext cx="502228"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53" name="Straight Connector 52">
            <a:extLst>
              <a:ext uri="{FF2B5EF4-FFF2-40B4-BE49-F238E27FC236}">
                <a16:creationId xmlns:a16="http://schemas.microsoft.com/office/drawing/2014/main" id="{A500FB92-B6CE-99C8-2C72-F691DD95F486}"/>
              </a:ext>
            </a:extLst>
          </xdr:cNvPr>
          <xdr:cNvCxnSpPr/>
        </xdr:nvCxnSpPr>
        <xdr:spPr>
          <a:xfrm>
            <a:off x="11152909" y="3913938"/>
            <a:ext cx="502228"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164" name="Straight Connector 163">
            <a:extLst>
              <a:ext uri="{FF2B5EF4-FFF2-40B4-BE49-F238E27FC236}">
                <a16:creationId xmlns:a16="http://schemas.microsoft.com/office/drawing/2014/main" id="{BF0FA1B3-20D0-1CE2-588D-7606D0974651}"/>
              </a:ext>
            </a:extLst>
          </xdr:cNvPr>
          <xdr:cNvCxnSpPr/>
        </xdr:nvCxnSpPr>
        <xdr:spPr>
          <a:xfrm>
            <a:off x="10016007" y="4370420"/>
            <a:ext cx="502228"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26</xdr:col>
      <xdr:colOff>86590</xdr:colOff>
      <xdr:row>17</xdr:row>
      <xdr:rowOff>164522</xdr:rowOff>
    </xdr:from>
    <xdr:to>
      <xdr:col>26</xdr:col>
      <xdr:colOff>588818</xdr:colOff>
      <xdr:row>17</xdr:row>
      <xdr:rowOff>164522</xdr:rowOff>
    </xdr:to>
    <xdr:cxnSp macro="">
      <xdr:nvCxnSpPr>
        <xdr:cNvPr id="105" name="Straight Connector 104">
          <a:extLst>
            <a:ext uri="{FF2B5EF4-FFF2-40B4-BE49-F238E27FC236}">
              <a16:creationId xmlns:a16="http://schemas.microsoft.com/office/drawing/2014/main" id="{46EE6D4E-F178-09FD-BF17-53650B1A38C1}"/>
            </a:ext>
          </a:extLst>
        </xdr:cNvPr>
        <xdr:cNvCxnSpPr/>
      </xdr:nvCxnSpPr>
      <xdr:spPr>
        <a:xfrm>
          <a:off x="16071272" y="3766704"/>
          <a:ext cx="502228"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86590</xdr:colOff>
      <xdr:row>16</xdr:row>
      <xdr:rowOff>181840</xdr:rowOff>
    </xdr:from>
    <xdr:to>
      <xdr:col>26</xdr:col>
      <xdr:colOff>588818</xdr:colOff>
      <xdr:row>16</xdr:row>
      <xdr:rowOff>181840</xdr:rowOff>
    </xdr:to>
    <xdr:cxnSp macro="">
      <xdr:nvCxnSpPr>
        <xdr:cNvPr id="112" name="Straight Connector 111">
          <a:extLst>
            <a:ext uri="{FF2B5EF4-FFF2-40B4-BE49-F238E27FC236}">
              <a16:creationId xmlns:a16="http://schemas.microsoft.com/office/drawing/2014/main" id="{D1DB4742-25A7-0283-6A15-CCBA058E2364}"/>
            </a:ext>
          </a:extLst>
        </xdr:cNvPr>
        <xdr:cNvCxnSpPr/>
      </xdr:nvCxnSpPr>
      <xdr:spPr>
        <a:xfrm>
          <a:off x="16071272" y="3472295"/>
          <a:ext cx="502228"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86590</xdr:colOff>
      <xdr:row>17</xdr:row>
      <xdr:rowOff>164522</xdr:rowOff>
    </xdr:from>
    <xdr:to>
      <xdr:col>36</xdr:col>
      <xdr:colOff>588818</xdr:colOff>
      <xdr:row>17</xdr:row>
      <xdr:rowOff>164522</xdr:rowOff>
    </xdr:to>
    <xdr:cxnSp macro="">
      <xdr:nvCxnSpPr>
        <xdr:cNvPr id="130" name="Straight Connector 129">
          <a:extLst>
            <a:ext uri="{FF2B5EF4-FFF2-40B4-BE49-F238E27FC236}">
              <a16:creationId xmlns:a16="http://schemas.microsoft.com/office/drawing/2014/main" id="{EEC0CB8A-0A07-4F31-86AB-60AA10A5CAD7}"/>
            </a:ext>
          </a:extLst>
        </xdr:cNvPr>
        <xdr:cNvCxnSpPr/>
      </xdr:nvCxnSpPr>
      <xdr:spPr>
        <a:xfrm>
          <a:off x="16071272" y="3766704"/>
          <a:ext cx="502228"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86590</xdr:colOff>
      <xdr:row>16</xdr:row>
      <xdr:rowOff>181840</xdr:rowOff>
    </xdr:from>
    <xdr:to>
      <xdr:col>36</xdr:col>
      <xdr:colOff>588818</xdr:colOff>
      <xdr:row>16</xdr:row>
      <xdr:rowOff>181840</xdr:rowOff>
    </xdr:to>
    <xdr:cxnSp macro="">
      <xdr:nvCxnSpPr>
        <xdr:cNvPr id="137" name="Straight Connector 136">
          <a:extLst>
            <a:ext uri="{FF2B5EF4-FFF2-40B4-BE49-F238E27FC236}">
              <a16:creationId xmlns:a16="http://schemas.microsoft.com/office/drawing/2014/main" id="{172DE947-47F4-49DD-9070-1824021784D8}"/>
            </a:ext>
          </a:extLst>
        </xdr:cNvPr>
        <xdr:cNvCxnSpPr/>
      </xdr:nvCxnSpPr>
      <xdr:spPr>
        <a:xfrm>
          <a:off x="16071272" y="3472295"/>
          <a:ext cx="502228"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720436</xdr:colOff>
      <xdr:row>15</xdr:row>
      <xdr:rowOff>55418</xdr:rowOff>
    </xdr:from>
    <xdr:to>
      <xdr:col>42</xdr:col>
      <xdr:colOff>0</xdr:colOff>
      <xdr:row>20</xdr:row>
      <xdr:rowOff>41563</xdr:rowOff>
    </xdr:to>
    <xdr:sp macro="" textlink="">
      <xdr:nvSpPr>
        <xdr:cNvPr id="73" name="Rectangle: Rounded Corners 72">
          <a:extLst>
            <a:ext uri="{FF2B5EF4-FFF2-40B4-BE49-F238E27FC236}">
              <a16:creationId xmlns:a16="http://schemas.microsoft.com/office/drawing/2014/main" id="{21B3DB52-E202-31D8-A0C7-6B54217A249C}"/>
            </a:ext>
          </a:extLst>
        </xdr:cNvPr>
        <xdr:cNvSpPr/>
      </xdr:nvSpPr>
      <xdr:spPr>
        <a:xfrm>
          <a:off x="5223163" y="5153891"/>
          <a:ext cx="21377564" cy="1579417"/>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125679</xdr:colOff>
      <xdr:row>14</xdr:row>
      <xdr:rowOff>180110</xdr:rowOff>
    </xdr:from>
    <xdr:to>
      <xdr:col>27</xdr:col>
      <xdr:colOff>393074</xdr:colOff>
      <xdr:row>15</xdr:row>
      <xdr:rowOff>198222</xdr:rowOff>
    </xdr:to>
    <xdr:sp macro="" textlink="">
      <xdr:nvSpPr>
        <xdr:cNvPr id="108" name="Rectangle: Rounded Corners 107">
          <a:extLst>
            <a:ext uri="{FF2B5EF4-FFF2-40B4-BE49-F238E27FC236}">
              <a16:creationId xmlns:a16="http://schemas.microsoft.com/office/drawing/2014/main" id="{2B51C875-733D-4ED8-9514-0308256F36B4}"/>
            </a:ext>
          </a:extLst>
        </xdr:cNvPr>
        <xdr:cNvSpPr/>
      </xdr:nvSpPr>
      <xdr:spPr>
        <a:xfrm>
          <a:off x="14257315" y="4959928"/>
          <a:ext cx="3384668" cy="336767"/>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TIÊU</a:t>
          </a:r>
          <a:r>
            <a:rPr lang="en-US" sz="1600" b="1" kern="1200" baseline="0">
              <a:solidFill>
                <a:schemeClr val="lt1"/>
              </a:solidFill>
              <a:latin typeface="Times New Roman" panose="02020603050405020304" pitchFamily="18" charset="0"/>
              <a:ea typeface="+mn-ea"/>
              <a:cs typeface="Times New Roman" panose="02020603050405020304" pitchFamily="18" charset="0"/>
            </a:rPr>
            <a:t> CHÍ ĐÁNH GIÁ</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12</xdr:col>
      <xdr:colOff>588818</xdr:colOff>
      <xdr:row>67</xdr:row>
      <xdr:rowOff>99828</xdr:rowOff>
    </xdr:from>
    <xdr:to>
      <xdr:col>26</xdr:col>
      <xdr:colOff>484908</xdr:colOff>
      <xdr:row>98</xdr:row>
      <xdr:rowOff>159488</xdr:rowOff>
    </xdr:to>
    <xdr:grpSp>
      <xdr:nvGrpSpPr>
        <xdr:cNvPr id="230" name="Group 229">
          <a:extLst>
            <a:ext uri="{FF2B5EF4-FFF2-40B4-BE49-F238E27FC236}">
              <a16:creationId xmlns:a16="http://schemas.microsoft.com/office/drawing/2014/main" id="{384D89EE-BA06-623D-DE10-EFF7F9A4918B}"/>
            </a:ext>
          </a:extLst>
        </xdr:cNvPr>
        <xdr:cNvGrpSpPr/>
      </xdr:nvGrpSpPr>
      <xdr:grpSpPr>
        <a:xfrm>
          <a:off x="8243454" y="17244828"/>
          <a:ext cx="8381999" cy="5965160"/>
          <a:chOff x="8763000" y="7633243"/>
          <a:chExt cx="8381999" cy="5965160"/>
        </a:xfrm>
      </xdr:grpSpPr>
      <xdr:graphicFrame macro="">
        <xdr:nvGraphicFramePr>
          <xdr:cNvPr id="6" name="Chart 5">
            <a:extLst>
              <a:ext uri="{FF2B5EF4-FFF2-40B4-BE49-F238E27FC236}">
                <a16:creationId xmlns:a16="http://schemas.microsoft.com/office/drawing/2014/main" id="{286D2E17-46BE-4928-B37B-FE3341AE659E}"/>
              </a:ext>
            </a:extLst>
          </xdr:cNvPr>
          <xdr:cNvGraphicFramePr>
            <a:graphicFrameLocks/>
          </xdr:cNvGraphicFramePr>
        </xdr:nvGraphicFramePr>
        <xdr:xfrm>
          <a:off x="8763000" y="8295410"/>
          <a:ext cx="8381999" cy="4468091"/>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10" name="Rectangle: Rounded Corners 9">
            <a:extLst>
              <a:ext uri="{FF2B5EF4-FFF2-40B4-BE49-F238E27FC236}">
                <a16:creationId xmlns:a16="http://schemas.microsoft.com/office/drawing/2014/main" id="{EE189F0D-AB0E-276C-9AAC-D26FF8A07A82}"/>
              </a:ext>
            </a:extLst>
          </xdr:cNvPr>
          <xdr:cNvSpPr/>
        </xdr:nvSpPr>
        <xdr:spPr>
          <a:xfrm>
            <a:off x="9897341" y="7633243"/>
            <a:ext cx="6286500" cy="506303"/>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KR02 BÁO CÁO LŨY</a:t>
            </a:r>
            <a:r>
              <a:rPr lang="en-US" sz="1600" b="1" kern="1200" baseline="0">
                <a:solidFill>
                  <a:schemeClr val="lt1"/>
                </a:solidFill>
                <a:latin typeface="Times New Roman" panose="02020603050405020304" pitchFamily="18" charset="0"/>
                <a:ea typeface="+mn-ea"/>
                <a:cs typeface="Times New Roman" panose="02020603050405020304" pitchFamily="18" charset="0"/>
              </a:rPr>
              <a:t> KẾ</a:t>
            </a:r>
            <a:r>
              <a:rPr lang="en-US" sz="1600" b="1" kern="1200">
                <a:solidFill>
                  <a:schemeClr val="lt1"/>
                </a:solidFill>
                <a:latin typeface="Times New Roman" panose="02020603050405020304" pitchFamily="18" charset="0"/>
                <a:ea typeface="+mn-ea"/>
                <a:cs typeface="Times New Roman" panose="02020603050405020304" pitchFamily="18" charset="0"/>
              </a:rPr>
              <a:t> CÔNG TÁC BDĐK </a:t>
            </a:r>
          </a:p>
        </xdr:txBody>
      </xdr:sp>
      <xdr:grpSp>
        <xdr:nvGrpSpPr>
          <xdr:cNvPr id="59" name="Group 58">
            <a:extLst>
              <a:ext uri="{FF2B5EF4-FFF2-40B4-BE49-F238E27FC236}">
                <a16:creationId xmlns:a16="http://schemas.microsoft.com/office/drawing/2014/main" id="{66758F71-5D6B-3BA2-5229-ED9430547544}"/>
              </a:ext>
            </a:extLst>
          </xdr:cNvPr>
          <xdr:cNvGrpSpPr/>
        </xdr:nvGrpSpPr>
        <xdr:grpSpPr>
          <a:xfrm>
            <a:off x="10055491" y="12680482"/>
            <a:ext cx="5894554" cy="917921"/>
            <a:chOff x="9573026" y="10192630"/>
            <a:chExt cx="6108485" cy="867336"/>
          </a:xfrm>
        </xdr:grpSpPr>
        <xdr:sp macro="" textlink="data!B15">
          <xdr:nvSpPr>
            <xdr:cNvPr id="56" name="Rectangle: Rounded Corners 55">
              <a:extLst>
                <a:ext uri="{FF2B5EF4-FFF2-40B4-BE49-F238E27FC236}">
                  <a16:creationId xmlns:a16="http://schemas.microsoft.com/office/drawing/2014/main" id="{E101CBEC-1183-6099-B3F1-CF432CF45944}"/>
                </a:ext>
              </a:extLst>
            </xdr:cNvPr>
            <xdr:cNvSpPr/>
          </xdr:nvSpPr>
          <xdr:spPr>
            <a:xfrm>
              <a:off x="10444443" y="10361758"/>
              <a:ext cx="1294999" cy="529079"/>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F95A0A1-85D8-4D6A-B89F-A9BC907E1CB3}" type="TxLink">
                <a:rPr lang="en-US" sz="2400" b="1" i="0" u="none" strike="noStrike">
                  <a:solidFill>
                    <a:sysClr val="windowText" lastClr="000000"/>
                  </a:solidFill>
                  <a:latin typeface="Abadi" panose="020B0604020104020204" pitchFamily="34" charset="0"/>
                  <a:cs typeface="Times New Roman" panose="02020603050405020304" pitchFamily="18" charset="0"/>
                </a:rPr>
                <a:pPr algn="ctr"/>
                <a:t>2328</a:t>
              </a:fld>
              <a:endParaRPr lang="en-US" sz="2400" b="1">
                <a:solidFill>
                  <a:sysClr val="windowText" lastClr="000000"/>
                </a:solidFill>
                <a:latin typeface="Abadi" panose="020B0604020104020204" pitchFamily="34" charset="0"/>
                <a:cs typeface="Times New Roman" panose="02020603050405020304" pitchFamily="18" charset="0"/>
              </a:endParaRPr>
            </a:p>
          </xdr:txBody>
        </xdr:sp>
        <xdr:sp macro="" textlink="data!C15">
          <xdr:nvSpPr>
            <xdr:cNvPr id="57" name="Rectangle: Rounded Corners 56">
              <a:extLst>
                <a:ext uri="{FF2B5EF4-FFF2-40B4-BE49-F238E27FC236}">
                  <a16:creationId xmlns:a16="http://schemas.microsoft.com/office/drawing/2014/main" id="{9B0FD51E-DCA9-AA49-74A8-EA09AA0D769B}"/>
                </a:ext>
              </a:extLst>
            </xdr:cNvPr>
            <xdr:cNvSpPr/>
          </xdr:nvSpPr>
          <xdr:spPr>
            <a:xfrm>
              <a:off x="12863952" y="10348152"/>
              <a:ext cx="1275151" cy="556293"/>
            </a:xfrm>
            <a:prstGeom prst="round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F200690-4CB8-431D-9B73-A1BE6BF4C3F5}" type="TxLink">
                <a:rPr lang="en-US" sz="2400" b="1" i="0" u="none" strike="noStrike">
                  <a:solidFill>
                    <a:schemeClr val="bg1"/>
                  </a:solidFill>
                  <a:latin typeface="Abadi" panose="020B0604020104020204" pitchFamily="34" charset="0"/>
                  <a:ea typeface="+mn-ea"/>
                  <a:cs typeface="Times New Roman" panose="02020603050405020304" pitchFamily="18" charset="0"/>
                </a:rPr>
                <a:pPr marL="0" indent="0" algn="ctr"/>
                <a:t>2572</a:t>
              </a:fld>
              <a:endParaRPr lang="en-US" sz="2400" b="1" i="0" u="none" strike="noStrike">
                <a:solidFill>
                  <a:schemeClr val="bg1"/>
                </a:solidFill>
                <a:latin typeface="Abadi" panose="020B0604020104020204" pitchFamily="34" charset="0"/>
                <a:ea typeface="+mn-ea"/>
                <a:cs typeface="Times New Roman" panose="02020603050405020304" pitchFamily="18" charset="0"/>
              </a:endParaRPr>
            </a:p>
          </xdr:txBody>
        </xdr:sp>
        <xdr:sp macro="" textlink="data!D15">
          <xdr:nvSpPr>
            <xdr:cNvPr id="58" name="Rectangle: Rounded Corners 57">
              <a:extLst>
                <a:ext uri="{FF2B5EF4-FFF2-40B4-BE49-F238E27FC236}">
                  <a16:creationId xmlns:a16="http://schemas.microsoft.com/office/drawing/2014/main" id="{DC3A0CFC-DF5C-52C4-4344-C559CCA8930C}"/>
                </a:ext>
              </a:extLst>
            </xdr:cNvPr>
            <xdr:cNvSpPr/>
          </xdr:nvSpPr>
          <xdr:spPr>
            <a:xfrm>
              <a:off x="14448865" y="10335745"/>
              <a:ext cx="1232646" cy="581106"/>
            </a:xfrm>
            <a:prstGeom prst="round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E789F6F-BDE4-4BAA-A7AA-60A46855A67E}" type="TxLink">
                <a:rPr lang="en-US" sz="2400" b="1" i="0" u="none" strike="noStrike">
                  <a:solidFill>
                    <a:schemeClr val="bg1"/>
                  </a:solidFill>
                  <a:latin typeface="Calibri"/>
                  <a:ea typeface="+mn-ea"/>
                  <a:cs typeface="Calibri"/>
                </a:rPr>
                <a:pPr marL="0" indent="0" algn="ctr"/>
                <a:t>90,5%</a:t>
              </a:fld>
              <a:endParaRPr lang="en-US" sz="6000" b="1" i="0" u="none" strike="noStrike">
                <a:solidFill>
                  <a:schemeClr val="bg1"/>
                </a:solidFill>
                <a:latin typeface="Abadi" panose="020B0604020104020204" pitchFamily="34" charset="0"/>
                <a:ea typeface="+mn-ea"/>
                <a:cs typeface="Times New Roman" panose="02020603050405020304" pitchFamily="18" charset="0"/>
              </a:endParaRPr>
            </a:p>
          </xdr:txBody>
        </xdr:sp>
        <xdr:sp macro="" textlink="">
          <xdr:nvSpPr>
            <xdr:cNvPr id="74" name="Rectangle: Rounded Corners 73">
              <a:extLst>
                <a:ext uri="{FF2B5EF4-FFF2-40B4-BE49-F238E27FC236}">
                  <a16:creationId xmlns:a16="http://schemas.microsoft.com/office/drawing/2014/main" id="{88936630-F0AA-497A-88C2-45B6B966105A}"/>
                </a:ext>
              </a:extLst>
            </xdr:cNvPr>
            <xdr:cNvSpPr/>
          </xdr:nvSpPr>
          <xdr:spPr>
            <a:xfrm>
              <a:off x="9573026" y="10192630"/>
              <a:ext cx="1048799" cy="86733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kern="1200">
                  <a:solidFill>
                    <a:srgbClr val="EE0000"/>
                  </a:solidFill>
                  <a:latin typeface="Times New Roman" panose="02020603050405020304" pitchFamily="18" charset="0"/>
                  <a:cs typeface="Times New Roman" panose="02020603050405020304" pitchFamily="18" charset="0"/>
                </a:rPr>
                <a:t>Thực</a:t>
              </a:r>
              <a:r>
                <a:rPr lang="en-US" sz="1800" b="1" kern="1200" baseline="0">
                  <a:solidFill>
                    <a:srgbClr val="EE0000"/>
                  </a:solidFill>
                  <a:latin typeface="Times New Roman" panose="02020603050405020304" pitchFamily="18" charset="0"/>
                  <a:cs typeface="Times New Roman" panose="02020603050405020304" pitchFamily="18" charset="0"/>
                </a:rPr>
                <a:t> hiện</a:t>
              </a:r>
              <a:endParaRPr lang="en-US" sz="1800" b="1" kern="1200">
                <a:solidFill>
                  <a:srgbClr val="EE0000"/>
                </a:solidFill>
                <a:latin typeface="Times New Roman" panose="02020603050405020304" pitchFamily="18" charset="0"/>
                <a:cs typeface="Times New Roman" panose="02020603050405020304" pitchFamily="18" charset="0"/>
              </a:endParaRPr>
            </a:p>
          </xdr:txBody>
        </xdr:sp>
        <xdr:sp macro="" textlink="">
          <xdr:nvSpPr>
            <xdr:cNvPr id="75" name="Rectangle: Rounded Corners 74">
              <a:extLst>
                <a:ext uri="{FF2B5EF4-FFF2-40B4-BE49-F238E27FC236}">
                  <a16:creationId xmlns:a16="http://schemas.microsoft.com/office/drawing/2014/main" id="{3436B4BF-4AF6-7BA1-8A3D-5D8663C043BF}"/>
                </a:ext>
              </a:extLst>
            </xdr:cNvPr>
            <xdr:cNvSpPr/>
          </xdr:nvSpPr>
          <xdr:spPr>
            <a:xfrm>
              <a:off x="11930904" y="10192630"/>
              <a:ext cx="934570" cy="86733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kern="1200">
                  <a:solidFill>
                    <a:srgbClr val="7030A0"/>
                  </a:solidFill>
                  <a:latin typeface="Times New Roman" panose="02020603050405020304" pitchFamily="18" charset="0"/>
                  <a:cs typeface="Times New Roman" panose="02020603050405020304" pitchFamily="18" charset="0"/>
                </a:rPr>
                <a:t>Kế</a:t>
              </a:r>
              <a:r>
                <a:rPr lang="en-US" sz="1800" b="1" kern="1200" baseline="0">
                  <a:solidFill>
                    <a:srgbClr val="7030A0"/>
                  </a:solidFill>
                  <a:latin typeface="Times New Roman" panose="02020603050405020304" pitchFamily="18" charset="0"/>
                  <a:cs typeface="Times New Roman" panose="02020603050405020304" pitchFamily="18" charset="0"/>
                </a:rPr>
                <a:t> </a:t>
              </a:r>
            </a:p>
            <a:p>
              <a:pPr algn="ctr"/>
              <a:r>
                <a:rPr lang="en-US" sz="1800" b="1" kern="1200" baseline="0">
                  <a:solidFill>
                    <a:srgbClr val="7030A0"/>
                  </a:solidFill>
                  <a:latin typeface="Times New Roman" panose="02020603050405020304" pitchFamily="18" charset="0"/>
                  <a:cs typeface="Times New Roman" panose="02020603050405020304" pitchFamily="18" charset="0"/>
                </a:rPr>
                <a:t>hoạch</a:t>
              </a:r>
              <a:endParaRPr lang="en-US" sz="1800" b="1" kern="1200">
                <a:solidFill>
                  <a:srgbClr val="7030A0"/>
                </a:solidFill>
                <a:latin typeface="Times New Roman" panose="02020603050405020304" pitchFamily="18" charset="0"/>
                <a:cs typeface="Times New Roman" panose="02020603050405020304" pitchFamily="18" charset="0"/>
              </a:endParaRPr>
            </a:p>
          </xdr:txBody>
        </xdr:sp>
      </xdr:grpSp>
    </xdr:grpSp>
    <xdr:clientData/>
  </xdr:twoCellAnchor>
  <xdr:twoCellAnchor>
    <xdr:from>
      <xdr:col>13</xdr:col>
      <xdr:colOff>17319</xdr:colOff>
      <xdr:row>98</xdr:row>
      <xdr:rowOff>173178</xdr:rowOff>
    </xdr:from>
    <xdr:to>
      <xdr:col>26</xdr:col>
      <xdr:colOff>502228</xdr:colOff>
      <xdr:row>129</xdr:row>
      <xdr:rowOff>38000</xdr:rowOff>
    </xdr:to>
    <xdr:grpSp>
      <xdr:nvGrpSpPr>
        <xdr:cNvPr id="229" name="Group 228">
          <a:extLst>
            <a:ext uri="{FF2B5EF4-FFF2-40B4-BE49-F238E27FC236}">
              <a16:creationId xmlns:a16="http://schemas.microsoft.com/office/drawing/2014/main" id="{6A79B3B7-2BB4-9F24-2A64-3F84E075149E}"/>
            </a:ext>
          </a:extLst>
        </xdr:cNvPr>
        <xdr:cNvGrpSpPr/>
      </xdr:nvGrpSpPr>
      <xdr:grpSpPr>
        <a:xfrm>
          <a:off x="8278092" y="23223678"/>
          <a:ext cx="8364681" cy="5770322"/>
          <a:chOff x="8797637" y="13612093"/>
          <a:chExt cx="8364682" cy="5770322"/>
        </a:xfrm>
      </xdr:grpSpPr>
      <xdr:sp macro="" textlink="">
        <xdr:nvSpPr>
          <xdr:cNvPr id="13" name="Rectangle: Rounded Corners 12">
            <a:extLst>
              <a:ext uri="{FF2B5EF4-FFF2-40B4-BE49-F238E27FC236}">
                <a16:creationId xmlns:a16="http://schemas.microsoft.com/office/drawing/2014/main" id="{BA6F2E1D-0FBB-7BC5-CE24-0DB86DC0B3DC}"/>
              </a:ext>
            </a:extLst>
          </xdr:cNvPr>
          <xdr:cNvSpPr/>
        </xdr:nvSpPr>
        <xdr:spPr>
          <a:xfrm>
            <a:off x="9819409" y="13612093"/>
            <a:ext cx="6442364" cy="484908"/>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KR03 BÁO CÁO LŨY</a:t>
            </a:r>
            <a:r>
              <a:rPr lang="en-US" sz="1600" b="1" kern="1200" baseline="0">
                <a:solidFill>
                  <a:schemeClr val="lt1"/>
                </a:solidFill>
                <a:latin typeface="Times New Roman" panose="02020603050405020304" pitchFamily="18" charset="0"/>
                <a:ea typeface="+mn-ea"/>
                <a:cs typeface="Times New Roman" panose="02020603050405020304" pitchFamily="18" charset="0"/>
              </a:rPr>
              <a:t> KẾ</a:t>
            </a:r>
            <a:r>
              <a:rPr lang="en-US" sz="1600" b="1" kern="1200">
                <a:solidFill>
                  <a:schemeClr val="lt1"/>
                </a:solidFill>
                <a:latin typeface="Times New Roman" panose="02020603050405020304" pitchFamily="18" charset="0"/>
                <a:ea typeface="+mn-ea"/>
                <a:cs typeface="Times New Roman" panose="02020603050405020304" pitchFamily="18" charset="0"/>
              </a:rPr>
              <a:t> CÔNG TÁC SỬA CHỮA ĐỘT XUÁT</a:t>
            </a:r>
          </a:p>
        </xdr:txBody>
      </xdr:sp>
      <xdr:graphicFrame macro="">
        <xdr:nvGraphicFramePr>
          <xdr:cNvPr id="15" name="Chart 14">
            <a:extLst>
              <a:ext uri="{FF2B5EF4-FFF2-40B4-BE49-F238E27FC236}">
                <a16:creationId xmlns:a16="http://schemas.microsoft.com/office/drawing/2014/main" id="{2B3A84D4-6BE5-4DC1-BFD9-152A6E8A86E6}"/>
              </a:ext>
            </a:extLst>
          </xdr:cNvPr>
          <xdr:cNvGraphicFramePr>
            <a:graphicFrameLocks/>
          </xdr:cNvGraphicFramePr>
        </xdr:nvGraphicFramePr>
        <xdr:xfrm>
          <a:off x="8797637" y="14443363"/>
          <a:ext cx="8364682" cy="3929737"/>
        </xdr:xfrm>
        <a:graphic>
          <a:graphicData uri="http://schemas.openxmlformats.org/drawingml/2006/chart">
            <c:chart xmlns:c="http://schemas.openxmlformats.org/drawingml/2006/chart" xmlns:r="http://schemas.openxmlformats.org/officeDocument/2006/relationships" r:id="rId9"/>
          </a:graphicData>
        </a:graphic>
      </xdr:graphicFrame>
      <xdr:grpSp>
        <xdr:nvGrpSpPr>
          <xdr:cNvPr id="70" name="Group 69">
            <a:extLst>
              <a:ext uri="{FF2B5EF4-FFF2-40B4-BE49-F238E27FC236}">
                <a16:creationId xmlns:a16="http://schemas.microsoft.com/office/drawing/2014/main" id="{B0D149EE-7EDE-E114-44F5-F12BF027A61D}"/>
              </a:ext>
            </a:extLst>
          </xdr:cNvPr>
          <xdr:cNvGrpSpPr/>
        </xdr:nvGrpSpPr>
        <xdr:grpSpPr>
          <a:xfrm>
            <a:off x="10132764" y="18436639"/>
            <a:ext cx="5900161" cy="945776"/>
            <a:chOff x="9581027" y="13473952"/>
            <a:chExt cx="6114092" cy="889747"/>
          </a:xfrm>
        </xdr:grpSpPr>
        <xdr:sp macro="" textlink="data!B35">
          <xdr:nvSpPr>
            <xdr:cNvPr id="79" name="Rectangle: Rounded Corners 78">
              <a:extLst>
                <a:ext uri="{FF2B5EF4-FFF2-40B4-BE49-F238E27FC236}">
                  <a16:creationId xmlns:a16="http://schemas.microsoft.com/office/drawing/2014/main" id="{6B108CD8-7FE0-4FC8-E764-953C6FA3794D}"/>
                </a:ext>
              </a:extLst>
            </xdr:cNvPr>
            <xdr:cNvSpPr/>
          </xdr:nvSpPr>
          <xdr:spPr>
            <a:xfrm>
              <a:off x="10370910" y="13633316"/>
              <a:ext cx="1477390" cy="620326"/>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E1C0735-1FF7-4F67-BEE9-AB4F8994E84C}" type="TxLink">
                <a:rPr lang="en-US" sz="3200" b="1" i="0" u="none" strike="noStrike">
                  <a:solidFill>
                    <a:sysClr val="windowText" lastClr="000000"/>
                  </a:solidFill>
                  <a:latin typeface="Abadi" panose="020B0604020104020204" pitchFamily="34" charset="0"/>
                  <a:ea typeface="+mn-ea"/>
                  <a:cs typeface="Times New Roman" panose="02020603050405020304" pitchFamily="18" charset="0"/>
                </a:rPr>
                <a:pPr marL="0" indent="0" algn="ctr"/>
                <a:t>409</a:t>
              </a:fld>
              <a:endParaRPr lang="en-US" sz="3200" b="1" i="0" u="none" strike="noStrike">
                <a:solidFill>
                  <a:sysClr val="windowText" lastClr="000000"/>
                </a:solidFill>
                <a:latin typeface="Abadi" panose="020B0604020104020204" pitchFamily="34" charset="0"/>
                <a:ea typeface="+mn-ea"/>
                <a:cs typeface="Times New Roman" panose="02020603050405020304" pitchFamily="18" charset="0"/>
              </a:endParaRPr>
            </a:p>
          </xdr:txBody>
        </xdr:sp>
        <xdr:sp macro="" textlink="data!C35">
          <xdr:nvSpPr>
            <xdr:cNvPr id="80" name="Rectangle: Rounded Corners 79">
              <a:extLst>
                <a:ext uri="{FF2B5EF4-FFF2-40B4-BE49-F238E27FC236}">
                  <a16:creationId xmlns:a16="http://schemas.microsoft.com/office/drawing/2014/main" id="{ED636CFE-1C1F-7F28-AF65-34497ADC5E71}"/>
                </a:ext>
              </a:extLst>
            </xdr:cNvPr>
            <xdr:cNvSpPr/>
          </xdr:nvSpPr>
          <xdr:spPr>
            <a:xfrm>
              <a:off x="12939990" y="13612905"/>
              <a:ext cx="1322294" cy="661146"/>
            </a:xfrm>
            <a:prstGeom prst="round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86DD50B-9B2B-4742-A3F8-EF7A31732ABC}" type="TxLink">
                <a:rPr lang="en-US" sz="3200" b="1" i="0" u="none" strike="noStrike">
                  <a:solidFill>
                    <a:schemeClr val="bg1"/>
                  </a:solidFill>
                  <a:latin typeface="Abadi" panose="020B0604020104020204" pitchFamily="34" charset="0"/>
                  <a:ea typeface="+mn-ea"/>
                  <a:cs typeface="Times New Roman" panose="02020603050405020304" pitchFamily="18" charset="0"/>
                </a:rPr>
                <a:pPr marL="0" indent="0" algn="ctr"/>
                <a:t>417</a:t>
              </a:fld>
              <a:endParaRPr lang="en-US" sz="3200" b="1" i="0" u="none" strike="noStrike">
                <a:solidFill>
                  <a:schemeClr val="bg1"/>
                </a:solidFill>
                <a:latin typeface="Abadi" panose="020B0604020104020204" pitchFamily="34" charset="0"/>
                <a:ea typeface="+mn-ea"/>
                <a:cs typeface="Times New Roman" panose="02020603050405020304" pitchFamily="18" charset="0"/>
              </a:endParaRPr>
            </a:p>
          </xdr:txBody>
        </xdr:sp>
        <xdr:sp macro="" textlink="data!D35">
          <xdr:nvSpPr>
            <xdr:cNvPr id="84" name="Rectangle: Rounded Corners 83">
              <a:extLst>
                <a:ext uri="{FF2B5EF4-FFF2-40B4-BE49-F238E27FC236}">
                  <a16:creationId xmlns:a16="http://schemas.microsoft.com/office/drawing/2014/main" id="{43A81D8E-0D6A-3AD2-1762-EE5A4A7EBC78}"/>
                </a:ext>
              </a:extLst>
            </xdr:cNvPr>
            <xdr:cNvSpPr/>
          </xdr:nvSpPr>
          <xdr:spPr>
            <a:xfrm>
              <a:off x="14470475" y="13653726"/>
              <a:ext cx="1224644" cy="579505"/>
            </a:xfrm>
            <a:prstGeom prst="round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A6A0622-ED2F-4C77-AD32-E04EB63F18BE}" type="TxLink">
                <a:rPr lang="en-US" sz="2400" b="1" i="0" u="none" strike="noStrike">
                  <a:solidFill>
                    <a:schemeClr val="bg1"/>
                  </a:solidFill>
                  <a:latin typeface="Calibri"/>
                  <a:ea typeface="+mn-ea"/>
                  <a:cs typeface="Calibri"/>
                </a:rPr>
                <a:pPr marL="0" indent="0" algn="ctr"/>
                <a:t>98,08%</a:t>
              </a:fld>
              <a:endParaRPr lang="en-US" sz="2400" b="1" i="0" u="none" strike="noStrike">
                <a:solidFill>
                  <a:schemeClr val="bg1"/>
                </a:solidFill>
                <a:latin typeface="Calibri"/>
                <a:ea typeface="+mn-ea"/>
                <a:cs typeface="Calibri"/>
              </a:endParaRPr>
            </a:p>
          </xdr:txBody>
        </xdr:sp>
        <xdr:sp macro="" textlink="">
          <xdr:nvSpPr>
            <xdr:cNvPr id="92" name="Rectangle: Rounded Corners 91">
              <a:extLst>
                <a:ext uri="{FF2B5EF4-FFF2-40B4-BE49-F238E27FC236}">
                  <a16:creationId xmlns:a16="http://schemas.microsoft.com/office/drawing/2014/main" id="{04C39DED-FBFE-0E2D-06EA-8347F723EE66}"/>
                </a:ext>
              </a:extLst>
            </xdr:cNvPr>
            <xdr:cNvSpPr/>
          </xdr:nvSpPr>
          <xdr:spPr>
            <a:xfrm>
              <a:off x="9581027" y="13496363"/>
              <a:ext cx="856129" cy="86733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kern="1200">
                  <a:solidFill>
                    <a:srgbClr val="EE0000"/>
                  </a:solidFill>
                  <a:latin typeface="Times New Roman" panose="02020603050405020304" pitchFamily="18" charset="0"/>
                  <a:cs typeface="Times New Roman" panose="02020603050405020304" pitchFamily="18" charset="0"/>
                </a:rPr>
                <a:t>Thực</a:t>
              </a:r>
              <a:r>
                <a:rPr lang="en-US" sz="1800" b="1" kern="1200" baseline="0">
                  <a:solidFill>
                    <a:srgbClr val="EE0000"/>
                  </a:solidFill>
                  <a:latin typeface="Times New Roman" panose="02020603050405020304" pitchFamily="18" charset="0"/>
                  <a:cs typeface="Times New Roman" panose="02020603050405020304" pitchFamily="18" charset="0"/>
                </a:rPr>
                <a:t> hiện</a:t>
              </a:r>
              <a:endParaRPr lang="en-US" sz="1800" b="1" kern="1200">
                <a:solidFill>
                  <a:srgbClr val="EE0000"/>
                </a:solidFill>
                <a:latin typeface="Times New Roman" panose="02020603050405020304" pitchFamily="18" charset="0"/>
                <a:cs typeface="Times New Roman" panose="02020603050405020304" pitchFamily="18" charset="0"/>
              </a:endParaRPr>
            </a:p>
          </xdr:txBody>
        </xdr:sp>
        <xdr:sp macro="" textlink="">
          <xdr:nvSpPr>
            <xdr:cNvPr id="93" name="Rectangle: Rounded Corners 92">
              <a:extLst>
                <a:ext uri="{FF2B5EF4-FFF2-40B4-BE49-F238E27FC236}">
                  <a16:creationId xmlns:a16="http://schemas.microsoft.com/office/drawing/2014/main" id="{55164FD3-02AD-C135-BEEF-BB1A5D4CD79E}"/>
                </a:ext>
              </a:extLst>
            </xdr:cNvPr>
            <xdr:cNvSpPr/>
          </xdr:nvSpPr>
          <xdr:spPr>
            <a:xfrm>
              <a:off x="12020548" y="13473952"/>
              <a:ext cx="934570" cy="86733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kern="1200">
                  <a:solidFill>
                    <a:srgbClr val="7030A0"/>
                  </a:solidFill>
                  <a:latin typeface="Times New Roman" panose="02020603050405020304" pitchFamily="18" charset="0"/>
                  <a:cs typeface="Times New Roman" panose="02020603050405020304" pitchFamily="18" charset="0"/>
                </a:rPr>
                <a:t>Kế</a:t>
              </a:r>
              <a:r>
                <a:rPr lang="en-US" sz="1800" b="1" kern="1200" baseline="0">
                  <a:solidFill>
                    <a:srgbClr val="7030A0"/>
                  </a:solidFill>
                  <a:latin typeface="Times New Roman" panose="02020603050405020304" pitchFamily="18" charset="0"/>
                  <a:cs typeface="Times New Roman" panose="02020603050405020304" pitchFamily="18" charset="0"/>
                </a:rPr>
                <a:t> </a:t>
              </a:r>
            </a:p>
            <a:p>
              <a:pPr algn="ctr"/>
              <a:r>
                <a:rPr lang="en-US" sz="1800" b="1" kern="1200" baseline="0">
                  <a:solidFill>
                    <a:srgbClr val="7030A0"/>
                  </a:solidFill>
                  <a:latin typeface="Times New Roman" panose="02020603050405020304" pitchFamily="18" charset="0"/>
                  <a:cs typeface="Times New Roman" panose="02020603050405020304" pitchFamily="18" charset="0"/>
                </a:rPr>
                <a:t>hoạch</a:t>
              </a:r>
              <a:endParaRPr lang="en-US" sz="1800" b="1" kern="1200">
                <a:solidFill>
                  <a:srgbClr val="7030A0"/>
                </a:solidFill>
                <a:latin typeface="Times New Roman" panose="02020603050405020304" pitchFamily="18" charset="0"/>
                <a:cs typeface="Times New Roman" panose="02020603050405020304" pitchFamily="18" charset="0"/>
              </a:endParaRPr>
            </a:p>
          </xdr:txBody>
        </xdr:sp>
      </xdr:grpSp>
    </xdr:grpSp>
    <xdr:clientData/>
  </xdr:twoCellAnchor>
  <xdr:twoCellAnchor>
    <xdr:from>
      <xdr:col>0</xdr:col>
      <xdr:colOff>321863</xdr:colOff>
      <xdr:row>150</xdr:row>
      <xdr:rowOff>2760</xdr:rowOff>
    </xdr:from>
    <xdr:to>
      <xdr:col>13</xdr:col>
      <xdr:colOff>306110</xdr:colOff>
      <xdr:row>174</xdr:row>
      <xdr:rowOff>174289</xdr:rowOff>
    </xdr:to>
    <xdr:sp macro="" textlink="">
      <xdr:nvSpPr>
        <xdr:cNvPr id="54" name="Rectangle: Rounded Corners 53">
          <a:extLst>
            <a:ext uri="{FF2B5EF4-FFF2-40B4-BE49-F238E27FC236}">
              <a16:creationId xmlns:a16="http://schemas.microsoft.com/office/drawing/2014/main" id="{442E13B7-8FBE-D1DB-74C6-8813F72FEBFA}"/>
            </a:ext>
          </a:extLst>
        </xdr:cNvPr>
        <xdr:cNvSpPr/>
      </xdr:nvSpPr>
      <xdr:spPr>
        <a:xfrm>
          <a:off x="321863" y="31923633"/>
          <a:ext cx="8477083" cy="4494147"/>
        </a:xfrm>
        <a:prstGeom prst="roundRect">
          <a:avLst>
            <a:gd name="adj" fmla="val 14596"/>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2</xdr:col>
      <xdr:colOff>462324</xdr:colOff>
      <xdr:row>150</xdr:row>
      <xdr:rowOff>166471</xdr:rowOff>
    </xdr:from>
    <xdr:to>
      <xdr:col>11</xdr:col>
      <xdr:colOff>1415</xdr:colOff>
      <xdr:row>153</xdr:row>
      <xdr:rowOff>150018</xdr:rowOff>
    </xdr:to>
    <xdr:sp macro="" textlink="">
      <xdr:nvSpPr>
        <xdr:cNvPr id="55" name="Rectangle: Rounded Corners 54">
          <a:extLst>
            <a:ext uri="{FF2B5EF4-FFF2-40B4-BE49-F238E27FC236}">
              <a16:creationId xmlns:a16="http://schemas.microsoft.com/office/drawing/2014/main" id="{40C3962C-22B9-B58C-B21F-E01E9C1AD9B8}"/>
            </a:ext>
          </a:extLst>
        </xdr:cNvPr>
        <xdr:cNvSpPr/>
      </xdr:nvSpPr>
      <xdr:spPr>
        <a:xfrm>
          <a:off x="1709233" y="32087344"/>
          <a:ext cx="5538109" cy="523874"/>
        </a:xfrm>
        <a:prstGeom prst="roundRect">
          <a:avLst/>
        </a:prstGeom>
        <a:solidFill>
          <a:schemeClr val="accent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KR2 CHƯƠNG</a:t>
          </a:r>
          <a:r>
            <a:rPr lang="en-US" sz="1600" b="1" kern="1200" baseline="0">
              <a:solidFill>
                <a:schemeClr val="lt1"/>
              </a:solidFill>
              <a:latin typeface="Times New Roman" panose="02020603050405020304" pitchFamily="18" charset="0"/>
              <a:ea typeface="+mn-ea"/>
              <a:cs typeface="Times New Roman" panose="02020603050405020304" pitchFamily="18" charset="0"/>
            </a:rPr>
            <a:t> TRÌNH STOP TRONG THÁNG</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xdr:col>
      <xdr:colOff>190746</xdr:colOff>
      <xdr:row>154</xdr:row>
      <xdr:rowOff>45530</xdr:rowOff>
    </xdr:from>
    <xdr:to>
      <xdr:col>12</xdr:col>
      <xdr:colOff>98194</xdr:colOff>
      <xdr:row>173</xdr:row>
      <xdr:rowOff>138949</xdr:rowOff>
    </xdr:to>
    <xdr:graphicFrame macro="">
      <xdr:nvGraphicFramePr>
        <xdr:cNvPr id="62" name="Chart 61">
          <a:extLst>
            <a:ext uri="{FF2B5EF4-FFF2-40B4-BE49-F238E27FC236}">
              <a16:creationId xmlns:a16="http://schemas.microsoft.com/office/drawing/2014/main" id="{33699EEE-2485-459E-8679-1A2D057300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403317</xdr:colOff>
      <xdr:row>150</xdr:row>
      <xdr:rowOff>19131</xdr:rowOff>
    </xdr:from>
    <xdr:to>
      <xdr:col>26</xdr:col>
      <xdr:colOff>144780</xdr:colOff>
      <xdr:row>174</xdr:row>
      <xdr:rowOff>165464</xdr:rowOff>
    </xdr:to>
    <xdr:sp macro="" textlink="">
      <xdr:nvSpPr>
        <xdr:cNvPr id="63" name="Rectangle: Rounded Corners 62">
          <a:extLst>
            <a:ext uri="{FF2B5EF4-FFF2-40B4-BE49-F238E27FC236}">
              <a16:creationId xmlns:a16="http://schemas.microsoft.com/office/drawing/2014/main" id="{FE5173A3-9CF9-0942-3120-AB2041836F1B}"/>
            </a:ext>
          </a:extLst>
        </xdr:cNvPr>
        <xdr:cNvSpPr/>
      </xdr:nvSpPr>
      <xdr:spPr>
        <a:xfrm>
          <a:off x="8896153" y="31940004"/>
          <a:ext cx="7846372" cy="4468951"/>
        </a:xfrm>
        <a:prstGeom prst="roundRect">
          <a:avLst>
            <a:gd name="adj" fmla="val 14596"/>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15</xdr:col>
      <xdr:colOff>371542</xdr:colOff>
      <xdr:row>150</xdr:row>
      <xdr:rowOff>166472</xdr:rowOff>
    </xdr:from>
    <xdr:to>
      <xdr:col>24</xdr:col>
      <xdr:colOff>367570</xdr:colOff>
      <xdr:row>153</xdr:row>
      <xdr:rowOff>136983</xdr:rowOff>
    </xdr:to>
    <xdr:sp macro="" textlink="">
      <xdr:nvSpPr>
        <xdr:cNvPr id="64" name="Rectangle: Rounded Corners 63">
          <a:extLst>
            <a:ext uri="{FF2B5EF4-FFF2-40B4-BE49-F238E27FC236}">
              <a16:creationId xmlns:a16="http://schemas.microsoft.com/office/drawing/2014/main" id="{D877676B-4A97-84BD-1C92-A6FA3443BC92}"/>
            </a:ext>
          </a:extLst>
        </xdr:cNvPr>
        <xdr:cNvSpPr/>
      </xdr:nvSpPr>
      <xdr:spPr>
        <a:xfrm>
          <a:off x="10111287" y="32087345"/>
          <a:ext cx="5607119" cy="510838"/>
        </a:xfrm>
        <a:prstGeom prst="roundRect">
          <a:avLst/>
        </a:prstGeom>
        <a:solidFill>
          <a:schemeClr val="accent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KR2 BÁO CÁO LŨY KẾ CHƯƠNG TRÌNH STOP</a:t>
          </a:r>
        </a:p>
      </xdr:txBody>
    </xdr:sp>
    <xdr:clientData/>
  </xdr:twoCellAnchor>
  <xdr:twoCellAnchor>
    <xdr:from>
      <xdr:col>14</xdr:col>
      <xdr:colOff>302556</xdr:colOff>
      <xdr:row>155</xdr:row>
      <xdr:rowOff>3180</xdr:rowOff>
    </xdr:from>
    <xdr:to>
      <xdr:col>25</xdr:col>
      <xdr:colOff>481027</xdr:colOff>
      <xdr:row>167</xdr:row>
      <xdr:rowOff>169231</xdr:rowOff>
    </xdr:to>
    <xdr:graphicFrame macro="">
      <xdr:nvGraphicFramePr>
        <xdr:cNvPr id="65" name="Chart 64">
          <a:extLst>
            <a:ext uri="{FF2B5EF4-FFF2-40B4-BE49-F238E27FC236}">
              <a16:creationId xmlns:a16="http://schemas.microsoft.com/office/drawing/2014/main" id="{533D721A-F974-45E9-AC98-8F00511E29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473822</xdr:colOff>
      <xdr:row>159</xdr:row>
      <xdr:rowOff>152972</xdr:rowOff>
    </xdr:from>
    <xdr:to>
      <xdr:col>14</xdr:col>
      <xdr:colOff>131783</xdr:colOff>
      <xdr:row>166</xdr:row>
      <xdr:rowOff>165455</xdr:rowOff>
    </xdr:to>
    <xdr:pic>
      <xdr:nvPicPr>
        <xdr:cNvPr id="66" name="Picture 65" descr="Stop program – Udruga sudaca za mladež, obiteljskih sudaca i stručnjaka za  djecu i mladež">
          <a:extLst>
            <a:ext uri="{FF2B5EF4-FFF2-40B4-BE49-F238E27FC236}">
              <a16:creationId xmlns:a16="http://schemas.microsoft.com/office/drawing/2014/main" id="{6EA6AE63-39A1-75DF-431E-4BC8751166C2}"/>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8343204" y="33694827"/>
          <a:ext cx="904870" cy="1273246"/>
        </a:xfrm>
        <a:prstGeom prst="rect">
          <a:avLst/>
        </a:prstGeom>
        <a:solidFill>
          <a:srgbClr val="0070C0"/>
        </a:solidFill>
        <a:ln>
          <a:noFill/>
        </a:ln>
      </xdr:spPr>
    </xdr:pic>
    <xdr:clientData/>
  </xdr:twoCellAnchor>
  <xdr:twoCellAnchor>
    <xdr:from>
      <xdr:col>16</xdr:col>
      <xdr:colOff>139075</xdr:colOff>
      <xdr:row>168</xdr:row>
      <xdr:rowOff>73499</xdr:rowOff>
    </xdr:from>
    <xdr:to>
      <xdr:col>18</xdr:col>
      <xdr:colOff>134881</xdr:colOff>
      <xdr:row>172</xdr:row>
      <xdr:rowOff>20728</xdr:rowOff>
    </xdr:to>
    <xdr:sp macro="" textlink="data!B84">
      <xdr:nvSpPr>
        <xdr:cNvPr id="60" name="Rectangle: Rounded Corners 59">
          <a:extLst>
            <a:ext uri="{FF2B5EF4-FFF2-40B4-BE49-F238E27FC236}">
              <a16:creationId xmlns:a16="http://schemas.microsoft.com/office/drawing/2014/main" id="{D575DB4A-905B-43E7-8A9A-9D357C8C50F8}"/>
            </a:ext>
          </a:extLst>
        </xdr:cNvPr>
        <xdr:cNvSpPr/>
      </xdr:nvSpPr>
      <xdr:spPr>
        <a:xfrm>
          <a:off x="10502275" y="35236335"/>
          <a:ext cx="1242715" cy="667666"/>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A96CA8E-B816-424A-8F8C-F76F4886515E}" type="TxLink">
            <a:rPr lang="en-US" sz="3200" b="1" i="0" u="none" strike="noStrike">
              <a:solidFill>
                <a:sysClr val="windowText" lastClr="000000"/>
              </a:solidFill>
              <a:latin typeface="Calibri"/>
              <a:cs typeface="Calibri"/>
            </a:rPr>
            <a:pPr algn="ctr"/>
            <a:t>110</a:t>
          </a:fld>
          <a:endParaRPr lang="en-US" sz="7200" b="1">
            <a:solidFill>
              <a:sysClr val="windowText" lastClr="000000"/>
            </a:solidFill>
            <a:latin typeface="Abadi" panose="020B0604020104020204" pitchFamily="34" charset="0"/>
            <a:cs typeface="Times New Roman" panose="02020603050405020304" pitchFamily="18" charset="0"/>
          </a:endParaRPr>
        </a:p>
      </xdr:txBody>
    </xdr:sp>
    <xdr:clientData/>
  </xdr:twoCellAnchor>
  <xdr:twoCellAnchor>
    <xdr:from>
      <xdr:col>22</xdr:col>
      <xdr:colOff>200454</xdr:colOff>
      <xdr:row>168</xdr:row>
      <xdr:rowOff>73499</xdr:rowOff>
    </xdr:from>
    <xdr:to>
      <xdr:col>24</xdr:col>
      <xdr:colOff>496947</xdr:colOff>
      <xdr:row>172</xdr:row>
      <xdr:rowOff>26198</xdr:rowOff>
    </xdr:to>
    <xdr:sp macro="" textlink="data!D84">
      <xdr:nvSpPr>
        <xdr:cNvPr id="158" name="Rectangle: Rounded Corners 157">
          <a:extLst>
            <a:ext uri="{FF2B5EF4-FFF2-40B4-BE49-F238E27FC236}">
              <a16:creationId xmlns:a16="http://schemas.microsoft.com/office/drawing/2014/main" id="{0F7B71FA-BF42-98B6-79AE-3343F5227FA0}"/>
            </a:ext>
          </a:extLst>
        </xdr:cNvPr>
        <xdr:cNvSpPr/>
      </xdr:nvSpPr>
      <xdr:spPr>
        <a:xfrm>
          <a:off x="14304381" y="35236335"/>
          <a:ext cx="1543402" cy="673136"/>
        </a:xfrm>
        <a:prstGeom prst="round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3C7E21F-9873-4C3C-8385-5E080D054039}" type="TxLink">
            <a:rPr lang="en-US" sz="2400" b="1" i="0" u="none" strike="noStrike">
              <a:solidFill>
                <a:schemeClr val="bg1"/>
              </a:solidFill>
              <a:latin typeface="Calibri"/>
              <a:ea typeface="+mn-ea"/>
              <a:cs typeface="Calibri"/>
            </a:rPr>
            <a:pPr marL="0" indent="0" algn="ctr"/>
            <a:t>55,0%</a:t>
          </a:fld>
          <a:endParaRPr lang="en-US" sz="2400" b="1" i="0" u="none" strike="noStrike">
            <a:solidFill>
              <a:schemeClr val="bg1"/>
            </a:solidFill>
            <a:latin typeface="Calibri"/>
            <a:ea typeface="+mn-ea"/>
            <a:cs typeface="Calibri"/>
          </a:endParaRPr>
        </a:p>
      </xdr:txBody>
    </xdr:sp>
    <xdr:clientData/>
  </xdr:twoCellAnchor>
  <xdr:twoCellAnchor>
    <xdr:from>
      <xdr:col>19</xdr:col>
      <xdr:colOff>491754</xdr:colOff>
      <xdr:row>168</xdr:row>
      <xdr:rowOff>73499</xdr:rowOff>
    </xdr:from>
    <xdr:to>
      <xdr:col>21</xdr:col>
      <xdr:colOff>487560</xdr:colOff>
      <xdr:row>172</xdr:row>
      <xdr:rowOff>20728</xdr:rowOff>
    </xdr:to>
    <xdr:sp macro="" textlink="">
      <xdr:nvSpPr>
        <xdr:cNvPr id="82" name="Rectangle: Rounded Corners 81">
          <a:extLst>
            <a:ext uri="{FF2B5EF4-FFF2-40B4-BE49-F238E27FC236}">
              <a16:creationId xmlns:a16="http://schemas.microsoft.com/office/drawing/2014/main" id="{9D1F808B-E5A6-36ED-2F28-718300D206FF}"/>
            </a:ext>
          </a:extLst>
        </xdr:cNvPr>
        <xdr:cNvSpPr/>
      </xdr:nvSpPr>
      <xdr:spPr>
        <a:xfrm>
          <a:off x="12725318" y="35236335"/>
          <a:ext cx="1242715" cy="667666"/>
        </a:xfrm>
        <a:prstGeom prst="round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i="0" u="none" strike="noStrike">
              <a:solidFill>
                <a:schemeClr val="bg1"/>
              </a:solidFill>
              <a:latin typeface="Calibri"/>
              <a:cs typeface="Calibri"/>
            </a:rPr>
            <a:t>200</a:t>
          </a:r>
        </a:p>
      </xdr:txBody>
    </xdr:sp>
    <xdr:clientData/>
  </xdr:twoCellAnchor>
  <xdr:twoCellAnchor>
    <xdr:from>
      <xdr:col>27</xdr:col>
      <xdr:colOff>86591</xdr:colOff>
      <xdr:row>37</xdr:row>
      <xdr:rowOff>155864</xdr:rowOff>
    </xdr:from>
    <xdr:to>
      <xdr:col>47</xdr:col>
      <xdr:colOff>415636</xdr:colOff>
      <xdr:row>95</xdr:row>
      <xdr:rowOff>121227</xdr:rowOff>
    </xdr:to>
    <xdr:sp macro="" textlink="">
      <xdr:nvSpPr>
        <xdr:cNvPr id="115" name="Rectangle: Rounded Corners 114">
          <a:extLst>
            <a:ext uri="{FF2B5EF4-FFF2-40B4-BE49-F238E27FC236}">
              <a16:creationId xmlns:a16="http://schemas.microsoft.com/office/drawing/2014/main" id="{14560FE2-8457-4C27-B7E3-F584C847852F}"/>
            </a:ext>
          </a:extLst>
        </xdr:cNvPr>
        <xdr:cNvSpPr/>
      </xdr:nvSpPr>
      <xdr:spPr>
        <a:xfrm>
          <a:off x="17307791" y="11724409"/>
          <a:ext cx="13047518" cy="10411691"/>
        </a:xfrm>
        <a:prstGeom prst="roundRect">
          <a:avLst>
            <a:gd name="adj" fmla="val 3139"/>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31</xdr:col>
      <xdr:colOff>436416</xdr:colOff>
      <xdr:row>39</xdr:row>
      <xdr:rowOff>110866</xdr:rowOff>
    </xdr:from>
    <xdr:to>
      <xdr:col>34</xdr:col>
      <xdr:colOff>7838</xdr:colOff>
      <xdr:row>41</xdr:row>
      <xdr:rowOff>97519</xdr:rowOff>
    </xdr:to>
    <xdr:sp macro="" textlink="">
      <xdr:nvSpPr>
        <xdr:cNvPr id="120" name="Rectangle: Rounded Corners 119">
          <a:extLst>
            <a:ext uri="{FF2B5EF4-FFF2-40B4-BE49-F238E27FC236}">
              <a16:creationId xmlns:a16="http://schemas.microsoft.com/office/drawing/2014/main" id="{DC93FAF7-2238-4898-909F-EBC1311F1904}"/>
            </a:ext>
          </a:extLst>
        </xdr:cNvPr>
        <xdr:cNvSpPr/>
      </xdr:nvSpPr>
      <xdr:spPr>
        <a:xfrm>
          <a:off x="20151434" y="12039630"/>
          <a:ext cx="1441786" cy="34687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kern="1200">
              <a:solidFill>
                <a:srgbClr val="00B050"/>
              </a:solidFill>
              <a:latin typeface="Times New Roman" panose="02020603050405020304" pitchFamily="18" charset="0"/>
              <a:cs typeface="Times New Roman" panose="02020603050405020304" pitchFamily="18" charset="0"/>
            </a:rPr>
            <a:t>MỤC</a:t>
          </a:r>
          <a:r>
            <a:rPr lang="en-US" sz="1600" b="1" kern="1200" baseline="0">
              <a:solidFill>
                <a:srgbClr val="00B050"/>
              </a:solidFill>
              <a:latin typeface="Times New Roman" panose="02020603050405020304" pitchFamily="18" charset="0"/>
              <a:cs typeface="Times New Roman" panose="02020603050405020304" pitchFamily="18" charset="0"/>
            </a:rPr>
            <a:t> TIÊU</a:t>
          </a:r>
          <a:endParaRPr lang="en-US" sz="1600" b="1" kern="1200">
            <a:solidFill>
              <a:srgbClr val="00B050"/>
            </a:solidFill>
            <a:latin typeface="Times New Roman" panose="02020603050405020304" pitchFamily="18" charset="0"/>
            <a:cs typeface="Times New Roman" panose="02020603050405020304" pitchFamily="18" charset="0"/>
          </a:endParaRPr>
        </a:p>
      </xdr:txBody>
    </xdr:sp>
    <xdr:clientData/>
  </xdr:twoCellAnchor>
  <xdr:twoCellAnchor>
    <xdr:from>
      <xdr:col>41</xdr:col>
      <xdr:colOff>108097</xdr:colOff>
      <xdr:row>39</xdr:row>
      <xdr:rowOff>110866</xdr:rowOff>
    </xdr:from>
    <xdr:to>
      <xdr:col>43</xdr:col>
      <xdr:colOff>179323</xdr:colOff>
      <xdr:row>41</xdr:row>
      <xdr:rowOff>101347</xdr:rowOff>
    </xdr:to>
    <xdr:sp macro="" textlink="">
      <xdr:nvSpPr>
        <xdr:cNvPr id="124" name="Rectangle: Rounded Corners 123">
          <a:extLst>
            <a:ext uri="{FF2B5EF4-FFF2-40B4-BE49-F238E27FC236}">
              <a16:creationId xmlns:a16="http://schemas.microsoft.com/office/drawing/2014/main" id="{260AB8AA-631D-4877-AD3B-9E4662DB0787}"/>
            </a:ext>
          </a:extLst>
        </xdr:cNvPr>
        <xdr:cNvSpPr/>
      </xdr:nvSpPr>
      <xdr:spPr>
        <a:xfrm>
          <a:off x="26057661" y="12039630"/>
          <a:ext cx="1442826" cy="35069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kern="1200">
              <a:solidFill>
                <a:srgbClr val="00B050"/>
              </a:solidFill>
              <a:latin typeface="Times New Roman" panose="02020603050405020304" pitchFamily="18" charset="0"/>
              <a:cs typeface="Times New Roman" panose="02020603050405020304" pitchFamily="18" charset="0"/>
            </a:rPr>
            <a:t>KẾT</a:t>
          </a:r>
          <a:r>
            <a:rPr lang="en-US" sz="1600" b="1" kern="1200" baseline="0">
              <a:solidFill>
                <a:srgbClr val="00B050"/>
              </a:solidFill>
              <a:latin typeface="Times New Roman" panose="02020603050405020304" pitchFamily="18" charset="0"/>
              <a:cs typeface="Times New Roman" panose="02020603050405020304" pitchFamily="18" charset="0"/>
            </a:rPr>
            <a:t> QUẢ</a:t>
          </a:r>
          <a:endParaRPr lang="en-US" sz="1600" b="1" kern="1200">
            <a:solidFill>
              <a:srgbClr val="00B050"/>
            </a:solidFill>
            <a:latin typeface="Times New Roman" panose="02020603050405020304" pitchFamily="18" charset="0"/>
            <a:cs typeface="Times New Roman" panose="02020603050405020304" pitchFamily="18" charset="0"/>
          </a:endParaRPr>
        </a:p>
      </xdr:txBody>
    </xdr:sp>
    <xdr:clientData/>
  </xdr:twoCellAnchor>
  <xdr:twoCellAnchor>
    <xdr:from>
      <xdr:col>30</xdr:col>
      <xdr:colOff>79663</xdr:colOff>
      <xdr:row>38</xdr:row>
      <xdr:rowOff>27710</xdr:rowOff>
    </xdr:from>
    <xdr:to>
      <xdr:col>31</xdr:col>
      <xdr:colOff>353988</xdr:colOff>
      <xdr:row>42</xdr:row>
      <xdr:rowOff>64285</xdr:rowOff>
    </xdr:to>
    <xdr:pic>
      <xdr:nvPicPr>
        <xdr:cNvPr id="126" name="Picture 125" descr="Target - Free seo and web icons">
          <a:extLst>
            <a:ext uri="{FF2B5EF4-FFF2-40B4-BE49-F238E27FC236}">
              <a16:creationId xmlns:a16="http://schemas.microsoft.com/office/drawing/2014/main" id="{EC9B8F00-B2A7-4C9A-BC5D-F731C5BB4F1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9164299" y="10262755"/>
          <a:ext cx="880462" cy="798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37</xdr:col>
      <xdr:colOff>426028</xdr:colOff>
      <xdr:row>40</xdr:row>
      <xdr:rowOff>34628</xdr:rowOff>
    </xdr:from>
    <xdr:to>
      <xdr:col>37</xdr:col>
      <xdr:colOff>426028</xdr:colOff>
      <xdr:row>55</xdr:row>
      <xdr:rowOff>51947</xdr:rowOff>
    </xdr:to>
    <xdr:cxnSp macro="">
      <xdr:nvCxnSpPr>
        <xdr:cNvPr id="131" name="Straight Connector 130">
          <a:extLst>
            <a:ext uri="{FF2B5EF4-FFF2-40B4-BE49-F238E27FC236}">
              <a16:creationId xmlns:a16="http://schemas.microsoft.com/office/drawing/2014/main" id="{226172B4-25A1-4416-A182-F92B3C56E8AF}"/>
            </a:ext>
          </a:extLst>
        </xdr:cNvPr>
        <xdr:cNvCxnSpPr/>
      </xdr:nvCxnSpPr>
      <xdr:spPr>
        <a:xfrm>
          <a:off x="23881773" y="12143501"/>
          <a:ext cx="0" cy="2718955"/>
        </a:xfrm>
        <a:prstGeom prst="line">
          <a:avLst/>
        </a:prstGeom>
        <a:ln w="28575">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45027</xdr:colOff>
      <xdr:row>42</xdr:row>
      <xdr:rowOff>56636</xdr:rowOff>
    </xdr:from>
    <xdr:to>
      <xdr:col>36</xdr:col>
      <xdr:colOff>46656</xdr:colOff>
      <xdr:row>44</xdr:row>
      <xdr:rowOff>131610</xdr:rowOff>
    </xdr:to>
    <xdr:sp macro="" textlink="">
      <xdr:nvSpPr>
        <xdr:cNvPr id="159" name="Rectangle: Rounded Corners 158">
          <a:extLst>
            <a:ext uri="{FF2B5EF4-FFF2-40B4-BE49-F238E27FC236}">
              <a16:creationId xmlns:a16="http://schemas.microsoft.com/office/drawing/2014/main" id="{8511AE63-9791-4F29-A688-6670B61A3B6C}"/>
            </a:ext>
          </a:extLst>
        </xdr:cNvPr>
        <xdr:cNvSpPr/>
      </xdr:nvSpPr>
      <xdr:spPr>
        <a:xfrm>
          <a:off x="17889682" y="12525727"/>
          <a:ext cx="4989265" cy="43519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baseline="0">
              <a:solidFill>
                <a:sysClr val="windowText" lastClr="000000"/>
              </a:solidFill>
              <a:latin typeface="Times New Roman" panose="02020603050405020304" pitchFamily="18" charset="0"/>
              <a:cs typeface="Times New Roman" panose="02020603050405020304" pitchFamily="18" charset="0"/>
            </a:rPr>
            <a:t>KR 1</a:t>
          </a:r>
          <a:r>
            <a:rPr lang="en-US" sz="2000" kern="1200" baseline="0">
              <a:solidFill>
                <a:sysClr val="windowText" lastClr="000000"/>
              </a:solidFill>
              <a:latin typeface="Times New Roman" panose="02020603050405020304" pitchFamily="18" charset="0"/>
              <a:cs typeface="Times New Roman" panose="02020603050405020304" pitchFamily="18" charset="0"/>
            </a:rPr>
            <a:t>. </a:t>
          </a:r>
          <a:r>
            <a:rPr lang="en-US" sz="2000" kern="1200">
              <a:solidFill>
                <a:sysClr val="windowText" lastClr="000000"/>
              </a:solidFill>
              <a:latin typeface="Times New Roman" panose="02020603050405020304" pitchFamily="18" charset="0"/>
              <a:cs typeface="Times New Roman" panose="02020603050405020304" pitchFamily="18" charset="0"/>
            </a:rPr>
            <a:t>Xây dựng khung năng lực</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28</xdr:col>
      <xdr:colOff>45027</xdr:colOff>
      <xdr:row>49</xdr:row>
      <xdr:rowOff>5286</xdr:rowOff>
    </xdr:from>
    <xdr:to>
      <xdr:col>36</xdr:col>
      <xdr:colOff>557643</xdr:colOff>
      <xdr:row>51</xdr:row>
      <xdr:rowOff>121219</xdr:rowOff>
    </xdr:to>
    <xdr:sp macro="" textlink="">
      <xdr:nvSpPr>
        <xdr:cNvPr id="160" name="Rectangle: Rounded Corners 159">
          <a:extLst>
            <a:ext uri="{FF2B5EF4-FFF2-40B4-BE49-F238E27FC236}">
              <a16:creationId xmlns:a16="http://schemas.microsoft.com/office/drawing/2014/main" id="{5B9EEED1-1BF5-00DD-DC50-696F276A59C6}"/>
            </a:ext>
          </a:extLst>
        </xdr:cNvPr>
        <xdr:cNvSpPr/>
      </xdr:nvSpPr>
      <xdr:spPr>
        <a:xfrm>
          <a:off x="17889682" y="13735141"/>
          <a:ext cx="5500252" cy="47615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baseline="0">
              <a:solidFill>
                <a:sysClr val="windowText" lastClr="000000"/>
              </a:solidFill>
              <a:latin typeface="Times New Roman" panose="02020603050405020304" pitchFamily="18" charset="0"/>
              <a:cs typeface="Times New Roman" panose="02020603050405020304" pitchFamily="18" charset="0"/>
            </a:rPr>
            <a:t>KR 2</a:t>
          </a:r>
          <a:r>
            <a:rPr lang="en-US" sz="2000" kern="1200" baseline="0">
              <a:solidFill>
                <a:sysClr val="windowText" lastClr="000000"/>
              </a:solidFill>
              <a:latin typeface="Times New Roman" panose="02020603050405020304" pitchFamily="18" charset="0"/>
              <a:cs typeface="Times New Roman" panose="02020603050405020304" pitchFamily="18" charset="0"/>
            </a:rPr>
            <a:t>. </a:t>
          </a:r>
          <a:r>
            <a:rPr lang="en-US" sz="2000" kern="1200">
              <a:solidFill>
                <a:sysClr val="windowText" lastClr="000000"/>
              </a:solidFill>
              <a:latin typeface="Times New Roman" panose="02020603050405020304" pitchFamily="18" charset="0"/>
              <a:cs typeface="Times New Roman" panose="02020603050405020304" pitchFamily="18" charset="0"/>
            </a:rPr>
            <a:t>Đánh giá năng lực cho CBCNV</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26</xdr:col>
      <xdr:colOff>554182</xdr:colOff>
      <xdr:row>173</xdr:row>
      <xdr:rowOff>143415</xdr:rowOff>
    </xdr:from>
    <xdr:to>
      <xdr:col>47</xdr:col>
      <xdr:colOff>277091</xdr:colOff>
      <xdr:row>217</xdr:row>
      <xdr:rowOff>13865</xdr:rowOff>
    </xdr:to>
    <xdr:grpSp>
      <xdr:nvGrpSpPr>
        <xdr:cNvPr id="169" name="Group 168">
          <a:extLst>
            <a:ext uri="{FF2B5EF4-FFF2-40B4-BE49-F238E27FC236}">
              <a16:creationId xmlns:a16="http://schemas.microsoft.com/office/drawing/2014/main" id="{D1CF0546-3F61-CB4D-CC55-2F8BBBC3836A}"/>
            </a:ext>
          </a:extLst>
        </xdr:cNvPr>
        <xdr:cNvGrpSpPr/>
      </xdr:nvGrpSpPr>
      <xdr:grpSpPr>
        <a:xfrm>
          <a:off x="16694727" y="37481415"/>
          <a:ext cx="12694228" cy="8252450"/>
          <a:chOff x="17064581" y="21869464"/>
          <a:chExt cx="12033443" cy="7787952"/>
        </a:xfrm>
      </xdr:grpSpPr>
      <xdr:grpSp>
        <xdr:nvGrpSpPr>
          <xdr:cNvPr id="168" name="Group 167">
            <a:extLst>
              <a:ext uri="{FF2B5EF4-FFF2-40B4-BE49-F238E27FC236}">
                <a16:creationId xmlns:a16="http://schemas.microsoft.com/office/drawing/2014/main" id="{B5917970-CD08-3E4D-537F-CB5574E71BBF}"/>
              </a:ext>
            </a:extLst>
          </xdr:cNvPr>
          <xdr:cNvGrpSpPr/>
        </xdr:nvGrpSpPr>
        <xdr:grpSpPr>
          <a:xfrm>
            <a:off x="17064581" y="21869464"/>
            <a:ext cx="12033443" cy="7787952"/>
            <a:chOff x="17064581" y="21869464"/>
            <a:chExt cx="12033443" cy="7787952"/>
          </a:xfrm>
        </xdr:grpSpPr>
        <xdr:sp macro="" textlink="">
          <xdr:nvSpPr>
            <xdr:cNvPr id="32" name="Rectangle: Rounded Corners 31">
              <a:extLst>
                <a:ext uri="{FF2B5EF4-FFF2-40B4-BE49-F238E27FC236}">
                  <a16:creationId xmlns:a16="http://schemas.microsoft.com/office/drawing/2014/main" id="{5F6D3393-8180-734B-05A6-F5817905E3BF}"/>
                </a:ext>
              </a:extLst>
            </xdr:cNvPr>
            <xdr:cNvSpPr/>
          </xdr:nvSpPr>
          <xdr:spPr>
            <a:xfrm>
              <a:off x="17064581" y="21869464"/>
              <a:ext cx="12033443" cy="7787952"/>
            </a:xfrm>
            <a:prstGeom prst="roundRect">
              <a:avLst>
                <a:gd name="adj" fmla="val 4047"/>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nvGrpSpPr>
            <xdr:cNvPr id="162" name="Group 161">
              <a:extLst>
                <a:ext uri="{FF2B5EF4-FFF2-40B4-BE49-F238E27FC236}">
                  <a16:creationId xmlns:a16="http://schemas.microsoft.com/office/drawing/2014/main" id="{F1199129-9BF8-AB98-BEA8-582C9FA29E7E}"/>
                </a:ext>
              </a:extLst>
            </xdr:cNvPr>
            <xdr:cNvGrpSpPr/>
          </xdr:nvGrpSpPr>
          <xdr:grpSpPr>
            <a:xfrm>
              <a:off x="17365890" y="22858470"/>
              <a:ext cx="11533664" cy="3075457"/>
              <a:chOff x="17365890" y="22858470"/>
              <a:chExt cx="11533664" cy="3075457"/>
            </a:xfrm>
          </xdr:grpSpPr>
          <xdr:graphicFrame macro="">
            <xdr:nvGraphicFramePr>
              <xdr:cNvPr id="42" name="Chart 41">
                <a:extLst>
                  <a:ext uri="{FF2B5EF4-FFF2-40B4-BE49-F238E27FC236}">
                    <a16:creationId xmlns:a16="http://schemas.microsoft.com/office/drawing/2014/main" id="{CAAD9861-5437-4439-B171-17DCE23134EC}"/>
                  </a:ext>
                </a:extLst>
              </xdr:cNvPr>
              <xdr:cNvGraphicFramePr>
                <a:graphicFrameLocks/>
              </xdr:cNvGraphicFramePr>
            </xdr:nvGraphicFramePr>
            <xdr:xfrm>
              <a:off x="17365890" y="22858470"/>
              <a:ext cx="5836475" cy="3061850"/>
            </xdr:xfrm>
            <a:graphic>
              <a:graphicData uri="http://schemas.openxmlformats.org/drawingml/2006/chart">
                <c:chart xmlns:c="http://schemas.openxmlformats.org/drawingml/2006/chart" xmlns:r="http://schemas.openxmlformats.org/officeDocument/2006/relationships" r:id="rId13"/>
              </a:graphicData>
            </a:graphic>
          </xdr:graphicFrame>
          <xdr:graphicFrame macro="">
            <xdr:nvGraphicFramePr>
              <xdr:cNvPr id="156" name="Chart 155">
                <a:extLst>
                  <a:ext uri="{FF2B5EF4-FFF2-40B4-BE49-F238E27FC236}">
                    <a16:creationId xmlns:a16="http://schemas.microsoft.com/office/drawing/2014/main" id="{F98E7F34-06B0-2FC8-F8CF-13BD58D28831}"/>
                  </a:ext>
                </a:extLst>
              </xdr:cNvPr>
              <xdr:cNvGraphicFramePr>
                <a:graphicFrameLocks/>
              </xdr:cNvGraphicFramePr>
            </xdr:nvGraphicFramePr>
            <xdr:xfrm>
              <a:off x="23303554" y="22872077"/>
              <a:ext cx="5596000" cy="3061850"/>
            </xdr:xfrm>
            <a:graphic>
              <a:graphicData uri="http://schemas.openxmlformats.org/drawingml/2006/chart">
                <c:chart xmlns:c="http://schemas.openxmlformats.org/drawingml/2006/chart" xmlns:r="http://schemas.openxmlformats.org/officeDocument/2006/relationships" r:id="rId14"/>
              </a:graphicData>
            </a:graphic>
          </xdr:graphicFrame>
        </xdr:grpSp>
        <xdr:sp macro="" textlink="">
          <xdr:nvSpPr>
            <xdr:cNvPr id="34" name="Rectangle: Rounded Corners 33">
              <a:extLst>
                <a:ext uri="{FF2B5EF4-FFF2-40B4-BE49-F238E27FC236}">
                  <a16:creationId xmlns:a16="http://schemas.microsoft.com/office/drawing/2014/main" id="{E4A6924B-5091-4321-BCFB-A9E83FA9E716}"/>
                </a:ext>
              </a:extLst>
            </xdr:cNvPr>
            <xdr:cNvSpPr/>
          </xdr:nvSpPr>
          <xdr:spPr>
            <a:xfrm>
              <a:off x="18544835" y="22072222"/>
              <a:ext cx="3325320" cy="362642"/>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KR1 RÈN</a:t>
              </a:r>
              <a:r>
                <a:rPr lang="en-US" sz="1600" b="1" kern="1200" baseline="0">
                  <a:solidFill>
                    <a:schemeClr val="lt1"/>
                  </a:solidFill>
                  <a:latin typeface="Times New Roman" panose="02020603050405020304" pitchFamily="18" charset="0"/>
                  <a:ea typeface="+mn-ea"/>
                  <a:cs typeface="Times New Roman" panose="02020603050405020304" pitchFamily="18" charset="0"/>
                </a:rPr>
                <a:t> LUYỆN CHẠY BỘ</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sp macro="" textlink="">
          <xdr:nvSpPr>
            <xdr:cNvPr id="155" name="Rectangle: Rounded Corners 154">
              <a:extLst>
                <a:ext uri="{FF2B5EF4-FFF2-40B4-BE49-F238E27FC236}">
                  <a16:creationId xmlns:a16="http://schemas.microsoft.com/office/drawing/2014/main" id="{33813529-FC40-869D-1013-561C92521402}"/>
                </a:ext>
              </a:extLst>
            </xdr:cNvPr>
            <xdr:cNvSpPr/>
          </xdr:nvSpPr>
          <xdr:spPr>
            <a:xfrm>
              <a:off x="23811846" y="22077334"/>
              <a:ext cx="4719741" cy="415868"/>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 2 HỘI</a:t>
              </a:r>
              <a:r>
                <a:rPr lang="en-US" sz="1600" b="1" kern="1200" baseline="0">
                  <a:solidFill>
                    <a:schemeClr val="lt1"/>
                  </a:solidFill>
                  <a:latin typeface="Times New Roman" panose="02020603050405020304" pitchFamily="18" charset="0"/>
                  <a:ea typeface="+mn-ea"/>
                  <a:cs typeface="Times New Roman" panose="02020603050405020304" pitchFamily="18" charset="0"/>
                </a:rPr>
                <a:t> THAO QUÝ/CHƯƠNG TRÌNH CHUNG</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grpSp>
      <xdr:pic>
        <xdr:nvPicPr>
          <xdr:cNvPr id="157" name="Picture 156" descr="Sport - Free sports icons">
            <a:extLst>
              <a:ext uri="{FF2B5EF4-FFF2-40B4-BE49-F238E27FC236}">
                <a16:creationId xmlns:a16="http://schemas.microsoft.com/office/drawing/2014/main" id="{28213297-264C-FF1D-DE5F-CB66C64920FE}"/>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22726052" y="25289013"/>
            <a:ext cx="879517" cy="81187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27</xdr:col>
      <xdr:colOff>38101</xdr:colOff>
      <xdr:row>154</xdr:row>
      <xdr:rowOff>75049</xdr:rowOff>
    </xdr:from>
    <xdr:to>
      <xdr:col>47</xdr:col>
      <xdr:colOff>263237</xdr:colOff>
      <xdr:row>168</xdr:row>
      <xdr:rowOff>145485</xdr:rowOff>
    </xdr:to>
    <xdr:grpSp>
      <xdr:nvGrpSpPr>
        <xdr:cNvPr id="166" name="Group 165">
          <a:extLst>
            <a:ext uri="{FF2B5EF4-FFF2-40B4-BE49-F238E27FC236}">
              <a16:creationId xmlns:a16="http://schemas.microsoft.com/office/drawing/2014/main" id="{E97B795C-E1BE-E57B-ED71-D7A5AE58E020}"/>
            </a:ext>
          </a:extLst>
        </xdr:cNvPr>
        <xdr:cNvGrpSpPr/>
      </xdr:nvGrpSpPr>
      <xdr:grpSpPr>
        <a:xfrm>
          <a:off x="16784783" y="33793549"/>
          <a:ext cx="12590318" cy="2737436"/>
          <a:chOff x="17089359" y="15201670"/>
          <a:chExt cx="12032896" cy="2580623"/>
        </a:xfrm>
      </xdr:grpSpPr>
      <xdr:sp macro="" textlink="">
        <xdr:nvSpPr>
          <xdr:cNvPr id="89" name="Rectangle: Rounded Corners 88">
            <a:extLst>
              <a:ext uri="{FF2B5EF4-FFF2-40B4-BE49-F238E27FC236}">
                <a16:creationId xmlns:a16="http://schemas.microsoft.com/office/drawing/2014/main" id="{72DC5C64-2F81-9ECA-A6BC-2CFDF43CC93F}"/>
              </a:ext>
            </a:extLst>
          </xdr:cNvPr>
          <xdr:cNvSpPr/>
        </xdr:nvSpPr>
        <xdr:spPr>
          <a:xfrm>
            <a:off x="23182490" y="15227407"/>
            <a:ext cx="5939765" cy="2533693"/>
          </a:xfrm>
          <a:prstGeom prst="roundRect">
            <a:avLst>
              <a:gd name="adj" fmla="val 7574"/>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91" name="Rectangle: Rounded Corners 90">
            <a:extLst>
              <a:ext uri="{FF2B5EF4-FFF2-40B4-BE49-F238E27FC236}">
                <a16:creationId xmlns:a16="http://schemas.microsoft.com/office/drawing/2014/main" id="{949148BC-869F-6180-0B48-7FE13A2FAC51}"/>
              </a:ext>
            </a:extLst>
          </xdr:cNvPr>
          <xdr:cNvSpPr/>
        </xdr:nvSpPr>
        <xdr:spPr>
          <a:xfrm>
            <a:off x="17089359" y="15201670"/>
            <a:ext cx="5937674" cy="2580623"/>
          </a:xfrm>
          <a:prstGeom prst="roundRect">
            <a:avLst>
              <a:gd name="adj" fmla="val 8417"/>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114" name="Rectangle: Rounded Corners 113">
            <a:extLst>
              <a:ext uri="{FF2B5EF4-FFF2-40B4-BE49-F238E27FC236}">
                <a16:creationId xmlns:a16="http://schemas.microsoft.com/office/drawing/2014/main" id="{1E62D970-5ED3-38E8-CEAC-4F481836746E}"/>
              </a:ext>
            </a:extLst>
          </xdr:cNvPr>
          <xdr:cNvSpPr/>
        </xdr:nvSpPr>
        <xdr:spPr>
          <a:xfrm>
            <a:off x="17235063" y="15323417"/>
            <a:ext cx="5577158" cy="397694"/>
          </a:xfrm>
          <a:prstGeom prst="round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baseline="0">
                <a:solidFill>
                  <a:schemeClr val="lt1"/>
                </a:solidFill>
                <a:latin typeface="Times New Roman" panose="02020603050405020304" pitchFamily="18" charset="0"/>
                <a:ea typeface="+mn-ea"/>
                <a:cs typeface="Times New Roman" panose="02020603050405020304" pitchFamily="18" charset="0"/>
              </a:rPr>
              <a:t>KR13 CÓ Ý TƯỞNG/CTKT </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sp macro="" textlink="">
        <xdr:nvSpPr>
          <xdr:cNvPr id="117" name="Rectangle: Rounded Corners 116">
            <a:extLst>
              <a:ext uri="{FF2B5EF4-FFF2-40B4-BE49-F238E27FC236}">
                <a16:creationId xmlns:a16="http://schemas.microsoft.com/office/drawing/2014/main" id="{244B7249-235B-D454-FF9C-242238FEAD67}"/>
              </a:ext>
            </a:extLst>
          </xdr:cNvPr>
          <xdr:cNvSpPr/>
        </xdr:nvSpPr>
        <xdr:spPr>
          <a:xfrm>
            <a:off x="23357490" y="15321160"/>
            <a:ext cx="5577158" cy="397694"/>
          </a:xfrm>
          <a:prstGeom prst="round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baseline="0">
                <a:solidFill>
                  <a:schemeClr val="lt1"/>
                </a:solidFill>
                <a:latin typeface="Times New Roman" panose="02020603050405020304" pitchFamily="18" charset="0"/>
                <a:ea typeface="+mn-ea"/>
                <a:cs typeface="Times New Roman" panose="02020603050405020304" pitchFamily="18" charset="0"/>
              </a:rPr>
              <a:t>KR13 LŨY KẾ Ý TƯỞNG/CTKT </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sp macro="" textlink="">
        <xdr:nvSpPr>
          <xdr:cNvPr id="125" name="Rectangle: Rounded Corners 124">
            <a:extLst>
              <a:ext uri="{FF2B5EF4-FFF2-40B4-BE49-F238E27FC236}">
                <a16:creationId xmlns:a16="http://schemas.microsoft.com/office/drawing/2014/main" id="{9ED25ACB-7A43-4A93-B1F6-BA7203BA3B7E}"/>
              </a:ext>
            </a:extLst>
          </xdr:cNvPr>
          <xdr:cNvSpPr/>
        </xdr:nvSpPr>
        <xdr:spPr>
          <a:xfrm>
            <a:off x="17608632" y="15999484"/>
            <a:ext cx="4916114" cy="1444765"/>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lnSpc>
                <a:spcPct val="100000"/>
              </a:lnSpc>
            </a:pPr>
            <a:r>
              <a:rPr lang="en-US" sz="1800" b="0" kern="1200">
                <a:solidFill>
                  <a:sysClr val="windowText" lastClr="000000"/>
                </a:solidFill>
                <a:latin typeface="Times New Roman" panose="02020603050405020304" pitchFamily="18" charset="0"/>
                <a:cs typeface="Times New Roman" panose="02020603050405020304" pitchFamily="18" charset="0"/>
              </a:rPr>
              <a:t>Đội</a:t>
            </a:r>
            <a:r>
              <a:rPr lang="en-US" sz="1800" b="0" kern="1200" baseline="0">
                <a:solidFill>
                  <a:sysClr val="windowText" lastClr="000000"/>
                </a:solidFill>
                <a:latin typeface="Times New Roman" panose="02020603050405020304" pitchFamily="18" charset="0"/>
                <a:cs typeface="Times New Roman" panose="02020603050405020304" pitchFamily="18" charset="0"/>
              </a:rPr>
              <a:t> thiết bị chấp hành: </a:t>
            </a:r>
            <a:r>
              <a:rPr lang="en-US" sz="2000" b="1" kern="1200" baseline="0">
                <a:solidFill>
                  <a:srgbClr val="FF0000"/>
                </a:solidFill>
                <a:latin typeface="Times New Roman" panose="02020603050405020304" pitchFamily="18" charset="0"/>
                <a:cs typeface="Times New Roman" panose="02020603050405020304" pitchFamily="18" charset="0"/>
              </a:rPr>
              <a:t>3</a:t>
            </a:r>
            <a:endParaRPr lang="en-US" sz="1800" b="1" kern="1200" baseline="0">
              <a:solidFill>
                <a:srgbClr val="FF0000"/>
              </a:solidFill>
              <a:latin typeface="Times New Roman" panose="02020603050405020304" pitchFamily="18" charset="0"/>
              <a:cs typeface="Times New Roman" panose="02020603050405020304" pitchFamily="18" charset="0"/>
            </a:endParaRPr>
          </a:p>
          <a:p>
            <a:pPr algn="l">
              <a:lnSpc>
                <a:spcPct val="100000"/>
              </a:lnSpc>
            </a:pPr>
            <a:r>
              <a:rPr lang="en-US" sz="1800" b="0" kern="1200" baseline="0">
                <a:solidFill>
                  <a:sysClr val="windowText" lastClr="000000"/>
                </a:solidFill>
                <a:latin typeface="Times New Roman" panose="02020603050405020304" pitchFamily="18" charset="0"/>
                <a:cs typeface="Times New Roman" panose="02020603050405020304" pitchFamily="18" charset="0"/>
              </a:rPr>
              <a:t>Đội thiết bị hệ thống điều khiển: </a:t>
            </a:r>
            <a:r>
              <a:rPr lang="en-US" sz="2000" b="1" kern="1200" baseline="0">
                <a:solidFill>
                  <a:srgbClr val="FF0000"/>
                </a:solidFill>
                <a:latin typeface="Times New Roman" panose="02020603050405020304" pitchFamily="18" charset="0"/>
                <a:cs typeface="Times New Roman" panose="02020603050405020304" pitchFamily="18" charset="0"/>
              </a:rPr>
              <a:t>1 </a:t>
            </a:r>
            <a:r>
              <a:rPr lang="en-US" sz="1800" b="0" kern="1200" baseline="0">
                <a:solidFill>
                  <a:sysClr val="windowText" lastClr="000000"/>
                </a:solidFill>
                <a:latin typeface="Times New Roman" panose="02020603050405020304" pitchFamily="18" charset="0"/>
                <a:cs typeface="Times New Roman" panose="02020603050405020304" pitchFamily="18" charset="0"/>
              </a:rPr>
              <a:t>  </a:t>
            </a:r>
          </a:p>
          <a:p>
            <a:pPr algn="l">
              <a:lnSpc>
                <a:spcPct val="100000"/>
              </a:lnSpc>
            </a:pPr>
            <a:r>
              <a:rPr lang="en-US" sz="1800" b="0" kern="1200" baseline="0">
                <a:solidFill>
                  <a:sysClr val="windowText" lastClr="000000"/>
                </a:solidFill>
                <a:latin typeface="Times New Roman" panose="02020603050405020304" pitchFamily="18" charset="0"/>
                <a:cs typeface="Times New Roman" panose="02020603050405020304" pitchFamily="18" charset="0"/>
              </a:rPr>
              <a:t>Đội thiết bị đo lường: </a:t>
            </a:r>
            <a:r>
              <a:rPr lang="en-US" sz="2000" b="1" kern="1200" baseline="0">
                <a:solidFill>
                  <a:srgbClr val="FF0000"/>
                </a:solidFill>
                <a:latin typeface="Times New Roman" panose="02020603050405020304" pitchFamily="18" charset="0"/>
                <a:cs typeface="Times New Roman" panose="02020603050405020304" pitchFamily="18" charset="0"/>
              </a:rPr>
              <a:t>1 </a:t>
            </a:r>
            <a:endParaRPr lang="en-US" sz="1800" b="1" kern="1200" baseline="0">
              <a:solidFill>
                <a:srgbClr val="FF0000"/>
              </a:solidFill>
              <a:latin typeface="Times New Roman" panose="02020603050405020304" pitchFamily="18" charset="0"/>
              <a:cs typeface="Times New Roman" panose="02020603050405020304" pitchFamily="18" charset="0"/>
            </a:endParaRPr>
          </a:p>
          <a:p>
            <a:pPr algn="l">
              <a:lnSpc>
                <a:spcPct val="100000"/>
              </a:lnSpc>
            </a:pPr>
            <a:r>
              <a:rPr lang="en-US" sz="1800" b="0" kern="1200" baseline="0">
                <a:solidFill>
                  <a:sysClr val="windowText" lastClr="000000"/>
                </a:solidFill>
                <a:latin typeface="Times New Roman" panose="02020603050405020304" pitchFamily="18" charset="0"/>
                <a:cs typeface="Times New Roman" panose="02020603050405020304" pitchFamily="18" charset="0"/>
              </a:rPr>
              <a:t>Tổ trực ca điều khiển:  </a:t>
            </a:r>
            <a:r>
              <a:rPr lang="en-US" sz="2000" b="1" kern="1200" baseline="0">
                <a:solidFill>
                  <a:srgbClr val="FF0000"/>
                </a:solidFill>
                <a:latin typeface="Times New Roman" panose="02020603050405020304" pitchFamily="18" charset="0"/>
                <a:cs typeface="Times New Roman" panose="02020603050405020304" pitchFamily="18" charset="0"/>
              </a:rPr>
              <a:t>3</a:t>
            </a:r>
            <a:endParaRPr lang="en-US" sz="1800" b="1" kern="1200">
              <a:solidFill>
                <a:srgbClr val="FF0000"/>
              </a:solidFill>
              <a:latin typeface="Times New Roman" panose="02020603050405020304" pitchFamily="18" charset="0"/>
              <a:cs typeface="Times New Roman" panose="02020603050405020304" pitchFamily="18" charset="0"/>
            </a:endParaRPr>
          </a:p>
        </xdr:txBody>
      </xdr:sp>
      <xdr:graphicFrame macro="">
        <xdr:nvGraphicFramePr>
          <xdr:cNvPr id="31" name="Chart 30">
            <a:extLst>
              <a:ext uri="{FF2B5EF4-FFF2-40B4-BE49-F238E27FC236}">
                <a16:creationId xmlns:a16="http://schemas.microsoft.com/office/drawing/2014/main" id="{42673A37-9E3D-4563-86AA-D2E0AC7C2342}"/>
              </a:ext>
            </a:extLst>
          </xdr:cNvPr>
          <xdr:cNvGraphicFramePr>
            <a:graphicFrameLocks/>
          </xdr:cNvGraphicFramePr>
        </xdr:nvGraphicFramePr>
        <xdr:xfrm>
          <a:off x="23869303" y="15719787"/>
          <a:ext cx="4925260" cy="2004060"/>
        </xdr:xfrm>
        <a:graphic>
          <a:graphicData uri="http://schemas.openxmlformats.org/drawingml/2006/chart">
            <c:chart xmlns:c="http://schemas.openxmlformats.org/drawingml/2006/chart" xmlns:r="http://schemas.openxmlformats.org/officeDocument/2006/relationships" r:id="rId16"/>
          </a:graphicData>
        </a:graphic>
      </xdr:graphicFrame>
      <xdr:pic>
        <xdr:nvPicPr>
          <xdr:cNvPr id="134" name="Picture 133">
            <a:extLst>
              <a:ext uri="{FF2B5EF4-FFF2-40B4-BE49-F238E27FC236}">
                <a16:creationId xmlns:a16="http://schemas.microsoft.com/office/drawing/2014/main" id="{FD31DFB6-BC48-B6C4-D2DC-3CC7A206DD76}"/>
              </a:ext>
            </a:extLst>
          </xdr:cNvPr>
          <xdr:cNvPicPr>
            <a:picLocks noChangeAspect="1"/>
          </xdr:cNvPicPr>
        </xdr:nvPicPr>
        <xdr:blipFill>
          <a:blip xmlns:r="http://schemas.openxmlformats.org/officeDocument/2006/relationships" r:embed="rId17"/>
          <a:stretch>
            <a:fillRect/>
          </a:stretch>
        </xdr:blipFill>
        <xdr:spPr>
          <a:xfrm>
            <a:off x="22537936" y="15832964"/>
            <a:ext cx="1195686" cy="1371165"/>
          </a:xfrm>
          <a:prstGeom prst="rect">
            <a:avLst/>
          </a:prstGeom>
          <a:ln>
            <a:noFill/>
          </a:ln>
          <a:effectLst>
            <a:softEdge rad="112500"/>
          </a:effectLst>
        </xdr:spPr>
      </xdr:pic>
    </xdr:grpSp>
    <xdr:clientData/>
  </xdr:twoCellAnchor>
  <xdr:twoCellAnchor>
    <xdr:from>
      <xdr:col>28</xdr:col>
      <xdr:colOff>564573</xdr:colOff>
      <xdr:row>124</xdr:row>
      <xdr:rowOff>130463</xdr:rowOff>
    </xdr:from>
    <xdr:to>
      <xdr:col>37</xdr:col>
      <xdr:colOff>387927</xdr:colOff>
      <xdr:row>134</xdr:row>
      <xdr:rowOff>107374</xdr:rowOff>
    </xdr:to>
    <xdr:sp macro="" textlink="">
      <xdr:nvSpPr>
        <xdr:cNvPr id="177" name="Rectangle: Rounded Corners 176">
          <a:extLst>
            <a:ext uri="{FF2B5EF4-FFF2-40B4-BE49-F238E27FC236}">
              <a16:creationId xmlns:a16="http://schemas.microsoft.com/office/drawing/2014/main" id="{54F9DCAF-24BC-851E-5510-BD03DA5A3D05}"/>
            </a:ext>
          </a:extLst>
        </xdr:cNvPr>
        <xdr:cNvSpPr/>
      </xdr:nvSpPr>
      <xdr:spPr>
        <a:xfrm>
          <a:off x="17917391" y="28133963"/>
          <a:ext cx="5278581" cy="18819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baseline="0">
              <a:solidFill>
                <a:sysClr val="windowText" lastClr="000000"/>
              </a:solidFill>
              <a:latin typeface="Times New Roman" panose="02020603050405020304" pitchFamily="18" charset="0"/>
              <a:cs typeface="Times New Roman" panose="02020603050405020304" pitchFamily="18" charset="0"/>
            </a:rPr>
            <a:t>KR 11. </a:t>
          </a:r>
          <a:r>
            <a:rPr lang="vi-VN" sz="2000" kern="1200">
              <a:solidFill>
                <a:sysClr val="windowText" lastClr="000000"/>
              </a:solidFill>
              <a:latin typeface="Times New Roman" panose="02020603050405020304" pitchFamily="18" charset="0"/>
              <a:cs typeface="Times New Roman" panose="02020603050405020304" pitchFamily="18" charset="0"/>
            </a:rPr>
            <a:t>Rà soát cập nhật lại kế hoạch bảo dưỡng theo phương thức bảo dưỡng để tăng hiệu quả trong công tác bảo dưỡng (áp dụng đối với Phân xưởng/hệ thống do X. ĐK phụ trách công tác lập kế hoạch)</a:t>
          </a:r>
        </a:p>
        <a:p>
          <a:pPr algn="l"/>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36</xdr:col>
      <xdr:colOff>528203</xdr:colOff>
      <xdr:row>43</xdr:row>
      <xdr:rowOff>86584</xdr:rowOff>
    </xdr:from>
    <xdr:to>
      <xdr:col>38</xdr:col>
      <xdr:colOff>292677</xdr:colOff>
      <xdr:row>43</xdr:row>
      <xdr:rowOff>86584</xdr:rowOff>
    </xdr:to>
    <xdr:cxnSp macro="">
      <xdr:nvCxnSpPr>
        <xdr:cNvPr id="180" name="Straight Arrow Connector 179">
          <a:extLst>
            <a:ext uri="{FF2B5EF4-FFF2-40B4-BE49-F238E27FC236}">
              <a16:creationId xmlns:a16="http://schemas.microsoft.com/office/drawing/2014/main" id="{0205F160-69F6-4A5B-7003-26947EB0C489}"/>
            </a:ext>
          </a:extLst>
        </xdr:cNvPr>
        <xdr:cNvCxnSpPr/>
      </xdr:nvCxnSpPr>
      <xdr:spPr>
        <a:xfrm>
          <a:off x="23360494" y="12735784"/>
          <a:ext cx="1011383" cy="0"/>
        </a:xfrm>
        <a:prstGeom prst="straightConnector1">
          <a:avLst/>
        </a:prstGeom>
        <a:ln w="57150">
          <a:solidFill>
            <a:srgbClr val="FF000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528203</xdr:colOff>
      <xdr:row>49</xdr:row>
      <xdr:rowOff>180101</xdr:rowOff>
    </xdr:from>
    <xdr:to>
      <xdr:col>38</xdr:col>
      <xdr:colOff>292677</xdr:colOff>
      <xdr:row>49</xdr:row>
      <xdr:rowOff>180101</xdr:rowOff>
    </xdr:to>
    <xdr:cxnSp macro="">
      <xdr:nvCxnSpPr>
        <xdr:cNvPr id="182" name="Straight Arrow Connector 181">
          <a:extLst>
            <a:ext uri="{FF2B5EF4-FFF2-40B4-BE49-F238E27FC236}">
              <a16:creationId xmlns:a16="http://schemas.microsoft.com/office/drawing/2014/main" id="{76274D03-177F-FC11-9EA5-0935DE876DCD}"/>
            </a:ext>
          </a:extLst>
        </xdr:cNvPr>
        <xdr:cNvCxnSpPr/>
      </xdr:nvCxnSpPr>
      <xdr:spPr>
        <a:xfrm>
          <a:off x="23360494" y="13909956"/>
          <a:ext cx="1011383" cy="0"/>
        </a:xfrm>
        <a:prstGeom prst="straightConnector1">
          <a:avLst/>
        </a:prstGeom>
        <a:ln w="57150">
          <a:solidFill>
            <a:srgbClr val="FF000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374072</xdr:colOff>
      <xdr:row>135</xdr:row>
      <xdr:rowOff>85438</xdr:rowOff>
    </xdr:from>
    <xdr:to>
      <xdr:col>39</xdr:col>
      <xdr:colOff>121227</xdr:colOff>
      <xdr:row>135</xdr:row>
      <xdr:rowOff>85438</xdr:rowOff>
    </xdr:to>
    <xdr:cxnSp macro="">
      <xdr:nvCxnSpPr>
        <xdr:cNvPr id="186" name="Straight Arrow Connector 185">
          <a:extLst>
            <a:ext uri="{FF2B5EF4-FFF2-40B4-BE49-F238E27FC236}">
              <a16:creationId xmlns:a16="http://schemas.microsoft.com/office/drawing/2014/main" id="{E7E1295F-4A71-8814-FDD5-C5F8B39B8C53}"/>
            </a:ext>
          </a:extLst>
        </xdr:cNvPr>
        <xdr:cNvCxnSpPr/>
      </xdr:nvCxnSpPr>
      <xdr:spPr>
        <a:xfrm>
          <a:off x="23182117" y="30184438"/>
          <a:ext cx="959428" cy="0"/>
        </a:xfrm>
        <a:prstGeom prst="straightConnector1">
          <a:avLst/>
        </a:prstGeom>
        <a:ln w="57150">
          <a:solidFill>
            <a:srgbClr val="FF000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581890</xdr:colOff>
      <xdr:row>44</xdr:row>
      <xdr:rowOff>131644</xdr:rowOff>
    </xdr:from>
    <xdr:to>
      <xdr:col>33</xdr:col>
      <xdr:colOff>401782</xdr:colOff>
      <xdr:row>46</xdr:row>
      <xdr:rowOff>169708</xdr:rowOff>
    </xdr:to>
    <xdr:sp macro="" textlink="">
      <xdr:nvSpPr>
        <xdr:cNvPr id="187" name="Rectangle: Rounded Corners 186">
          <a:extLst>
            <a:ext uri="{FF2B5EF4-FFF2-40B4-BE49-F238E27FC236}">
              <a16:creationId xmlns:a16="http://schemas.microsoft.com/office/drawing/2014/main" id="{B804133B-AE75-1691-59BF-E8171E660D6F}"/>
            </a:ext>
          </a:extLst>
        </xdr:cNvPr>
        <xdr:cNvSpPr/>
      </xdr:nvSpPr>
      <xdr:spPr>
        <a:xfrm>
          <a:off x="19049999" y="12960953"/>
          <a:ext cx="2313710" cy="39828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kern="1200">
              <a:solidFill>
                <a:srgbClr val="FF0000"/>
              </a:solidFill>
              <a:latin typeface="Times New Roman" panose="02020603050405020304" pitchFamily="18" charset="0"/>
              <a:cs typeface="Times New Roman" panose="02020603050405020304" pitchFamily="18" charset="0"/>
            </a:rPr>
            <a:t>8</a:t>
          </a:r>
          <a:r>
            <a:rPr lang="en-US" sz="1800" b="1" kern="1200">
              <a:solidFill>
                <a:srgbClr val="00B050"/>
              </a:solidFill>
              <a:latin typeface="Times New Roman" panose="02020603050405020304" pitchFamily="18" charset="0"/>
              <a:cs typeface="Times New Roman" panose="02020603050405020304" pitchFamily="18" charset="0"/>
            </a:rPr>
            <a:t> vị</a:t>
          </a:r>
          <a:r>
            <a:rPr lang="en-US" sz="1800" b="1" kern="1200" baseline="0">
              <a:solidFill>
                <a:srgbClr val="00B050"/>
              </a:solidFill>
              <a:latin typeface="Times New Roman" panose="02020603050405020304" pitchFamily="18" charset="0"/>
              <a:cs typeface="Times New Roman" panose="02020603050405020304" pitchFamily="18" charset="0"/>
            </a:rPr>
            <a:t> trí chức danh</a:t>
          </a:r>
          <a:endParaRPr lang="en-US" sz="1800" b="1" kern="1200">
            <a:solidFill>
              <a:srgbClr val="00B050"/>
            </a:solidFill>
            <a:latin typeface="Times New Roman" panose="02020603050405020304" pitchFamily="18" charset="0"/>
            <a:cs typeface="Times New Roman" panose="02020603050405020304" pitchFamily="18" charset="0"/>
          </a:endParaRPr>
        </a:p>
      </xdr:txBody>
    </xdr:sp>
    <xdr:clientData/>
  </xdr:twoCellAnchor>
  <xdr:twoCellAnchor>
    <xdr:from>
      <xdr:col>29</xdr:col>
      <xdr:colOff>460662</xdr:colOff>
      <xdr:row>51</xdr:row>
      <xdr:rowOff>159353</xdr:rowOff>
    </xdr:from>
    <xdr:to>
      <xdr:col>33</xdr:col>
      <xdr:colOff>280554</xdr:colOff>
      <xdr:row>53</xdr:row>
      <xdr:rowOff>179406</xdr:rowOff>
    </xdr:to>
    <xdr:sp macro="" textlink="">
      <xdr:nvSpPr>
        <xdr:cNvPr id="188" name="Rectangle: Rounded Corners 187">
          <a:extLst>
            <a:ext uri="{FF2B5EF4-FFF2-40B4-BE49-F238E27FC236}">
              <a16:creationId xmlns:a16="http://schemas.microsoft.com/office/drawing/2014/main" id="{ED3269D5-ABF2-DFE2-FFD0-31E6EADCE9B7}"/>
            </a:ext>
          </a:extLst>
        </xdr:cNvPr>
        <xdr:cNvSpPr/>
      </xdr:nvSpPr>
      <xdr:spPr>
        <a:xfrm>
          <a:off x="18928771" y="14249426"/>
          <a:ext cx="2313710" cy="38027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kern="1200">
              <a:solidFill>
                <a:srgbClr val="FF0000"/>
              </a:solidFill>
              <a:latin typeface="Times New Roman" panose="02020603050405020304" pitchFamily="18" charset="0"/>
              <a:cs typeface="Times New Roman" panose="02020603050405020304" pitchFamily="18" charset="0"/>
            </a:rPr>
            <a:t>33</a:t>
          </a:r>
          <a:r>
            <a:rPr lang="en-US" sz="1800" b="1" kern="1200">
              <a:solidFill>
                <a:srgbClr val="00B050"/>
              </a:solidFill>
              <a:latin typeface="Times New Roman" panose="02020603050405020304" pitchFamily="18" charset="0"/>
              <a:cs typeface="Times New Roman" panose="02020603050405020304" pitchFamily="18" charset="0"/>
            </a:rPr>
            <a:t> CBCNV</a:t>
          </a:r>
        </a:p>
      </xdr:txBody>
    </xdr:sp>
    <xdr:clientData/>
  </xdr:twoCellAnchor>
  <xdr:twoCellAnchor>
    <xdr:from>
      <xdr:col>28</xdr:col>
      <xdr:colOff>401782</xdr:colOff>
      <xdr:row>133</xdr:row>
      <xdr:rowOff>124691</xdr:rowOff>
    </xdr:from>
    <xdr:to>
      <xdr:col>37</xdr:col>
      <xdr:colOff>235528</xdr:colOff>
      <xdr:row>144</xdr:row>
      <xdr:rowOff>16162</xdr:rowOff>
    </xdr:to>
    <xdr:sp macro="" textlink="">
      <xdr:nvSpPr>
        <xdr:cNvPr id="194" name="Rectangle: Rounded Corners 193">
          <a:extLst>
            <a:ext uri="{FF2B5EF4-FFF2-40B4-BE49-F238E27FC236}">
              <a16:creationId xmlns:a16="http://schemas.microsoft.com/office/drawing/2014/main" id="{D4A16C6F-4756-BD8F-9220-38D37AC14998}"/>
            </a:ext>
          </a:extLst>
        </xdr:cNvPr>
        <xdr:cNvSpPr/>
      </xdr:nvSpPr>
      <xdr:spPr>
        <a:xfrm>
          <a:off x="18246437" y="28983709"/>
          <a:ext cx="5444836" cy="187267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800" b="1" kern="1200">
              <a:solidFill>
                <a:srgbClr val="FF0000"/>
              </a:solidFill>
              <a:latin typeface="Times New Roman" panose="02020603050405020304" pitchFamily="18" charset="0"/>
              <a:cs typeface="Times New Roman" panose="02020603050405020304" pitchFamily="18" charset="0"/>
            </a:rPr>
            <a:t>- Đội TBCH: </a:t>
          </a:r>
          <a:r>
            <a:rPr lang="en-US" sz="1800" b="1" kern="1200">
              <a:solidFill>
                <a:srgbClr val="00B050"/>
              </a:solidFill>
              <a:latin typeface="Times New Roman" panose="02020603050405020304" pitchFamily="18" charset="0"/>
              <a:cs typeface="Times New Roman" panose="02020603050405020304" pitchFamily="18" charset="0"/>
            </a:rPr>
            <a:t>SP/NPK/GN/Quan trắc/Phân tích/TB đo khí cầm tay;</a:t>
          </a:r>
        </a:p>
        <a:p>
          <a:pPr algn="l"/>
          <a:endParaRPr lang="en-US" sz="1800" b="1" kern="1200">
            <a:solidFill>
              <a:srgbClr val="FF0000"/>
            </a:solidFill>
            <a:latin typeface="Times New Roman" panose="02020603050405020304" pitchFamily="18" charset="0"/>
            <a:cs typeface="Times New Roman" panose="02020603050405020304" pitchFamily="18" charset="0"/>
          </a:endParaRPr>
        </a:p>
        <a:p>
          <a:pPr algn="l"/>
          <a:r>
            <a:rPr lang="en-US" sz="1800" b="1" kern="1200">
              <a:solidFill>
                <a:srgbClr val="FF0000"/>
              </a:solidFill>
              <a:latin typeface="Times New Roman" panose="02020603050405020304" pitchFamily="18" charset="0"/>
              <a:cs typeface="Times New Roman" panose="02020603050405020304" pitchFamily="18" charset="0"/>
            </a:rPr>
            <a:t>- Đội TB Đo: </a:t>
          </a:r>
          <a:r>
            <a:rPr lang="en-US" sz="1800" b="1" kern="1200">
              <a:solidFill>
                <a:srgbClr val="00B050"/>
              </a:solidFill>
              <a:latin typeface="Times New Roman" panose="02020603050405020304" pitchFamily="18" charset="0"/>
              <a:cs typeface="Times New Roman" panose="02020603050405020304" pitchFamily="18" charset="0"/>
            </a:rPr>
            <a:t>PI,TI/ ACC/ PA/Camera/Bộ đàm;</a:t>
          </a:r>
        </a:p>
        <a:p>
          <a:pPr algn="l"/>
          <a:endParaRPr lang="en-US" sz="1800" b="1" kern="1200">
            <a:solidFill>
              <a:srgbClr val="00B050"/>
            </a:solidFill>
            <a:latin typeface="Times New Roman" panose="02020603050405020304" pitchFamily="18" charset="0"/>
            <a:cs typeface="Times New Roman" panose="02020603050405020304" pitchFamily="18" charset="0"/>
          </a:endParaRPr>
        </a:p>
        <a:p>
          <a:pPr algn="l"/>
          <a:r>
            <a:rPr lang="en-US" sz="1800" b="1" kern="1200">
              <a:solidFill>
                <a:srgbClr val="FF0000"/>
              </a:solidFill>
              <a:latin typeface="Times New Roman" panose="02020603050405020304" pitchFamily="18" charset="0"/>
              <a:cs typeface="Times New Roman" panose="02020603050405020304" pitchFamily="18" charset="0"/>
            </a:rPr>
            <a:t>- Đội TBHTĐK: </a:t>
          </a:r>
          <a:r>
            <a:rPr lang="en-US" sz="1800" b="1" kern="1200">
              <a:solidFill>
                <a:srgbClr val="00B050"/>
              </a:solidFill>
              <a:latin typeface="Times New Roman" panose="02020603050405020304" pitchFamily="18" charset="0"/>
              <a:cs typeface="Times New Roman" panose="02020603050405020304" pitchFamily="18" charset="0"/>
            </a:rPr>
            <a:t>Hệ thống phòng cháy</a:t>
          </a:r>
          <a:endParaRPr lang="en-US" sz="1100" b="1" kern="1200">
            <a:solidFill>
              <a:srgbClr val="00B050"/>
            </a:solidFill>
            <a:latin typeface="Times New Roman" panose="02020603050405020304" pitchFamily="18" charset="0"/>
            <a:cs typeface="Times New Roman" panose="02020603050405020304" pitchFamily="18" charset="0"/>
          </a:endParaRPr>
        </a:p>
      </xdr:txBody>
    </xdr:sp>
    <xdr:clientData/>
  </xdr:twoCellAnchor>
  <xdr:twoCellAnchor>
    <xdr:from>
      <xdr:col>39</xdr:col>
      <xdr:colOff>290947</xdr:colOff>
      <xdr:row>132</xdr:row>
      <xdr:rowOff>102788</xdr:rowOff>
    </xdr:from>
    <xdr:to>
      <xdr:col>47</xdr:col>
      <xdr:colOff>190499</xdr:colOff>
      <xdr:row>138</xdr:row>
      <xdr:rowOff>2310</xdr:rowOff>
    </xdr:to>
    <xdr:sp macro="" textlink="">
      <xdr:nvSpPr>
        <xdr:cNvPr id="195" name="Rectangle: Rounded Corners 194">
          <a:extLst>
            <a:ext uri="{FF2B5EF4-FFF2-40B4-BE49-F238E27FC236}">
              <a16:creationId xmlns:a16="http://schemas.microsoft.com/office/drawing/2014/main" id="{3224CEC4-E1D0-E1DA-1FD2-1F19D11DFBEF}"/>
            </a:ext>
          </a:extLst>
        </xdr:cNvPr>
        <xdr:cNvSpPr/>
      </xdr:nvSpPr>
      <xdr:spPr>
        <a:xfrm>
          <a:off x="24311265" y="29630288"/>
          <a:ext cx="4991098" cy="104252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1" kern="1200">
              <a:solidFill>
                <a:srgbClr val="FF0000"/>
              </a:solidFill>
              <a:latin typeface="Times New Roman" panose="02020603050405020304" pitchFamily="18" charset="0"/>
              <a:cs typeface="Times New Roman" panose="02020603050405020304" pitchFamily="18" charset="0"/>
            </a:rPr>
            <a:t>Không</a:t>
          </a:r>
          <a:r>
            <a:rPr lang="en-US" sz="2000" b="1" kern="1200" baseline="0">
              <a:solidFill>
                <a:srgbClr val="FF0000"/>
              </a:solidFill>
              <a:latin typeface="Times New Roman" panose="02020603050405020304" pitchFamily="18" charset="0"/>
              <a:cs typeface="Times New Roman" panose="02020603050405020304" pitchFamily="18" charset="0"/>
            </a:rPr>
            <a:t> có KH trong tháng</a:t>
          </a:r>
          <a:endParaRPr lang="en-US" sz="12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38</xdr:col>
      <xdr:colOff>363682</xdr:colOff>
      <xdr:row>41</xdr:row>
      <xdr:rowOff>65835</xdr:rowOff>
    </xdr:from>
    <xdr:to>
      <xdr:col>47</xdr:col>
      <xdr:colOff>294409</xdr:colOff>
      <xdr:row>46</xdr:row>
      <xdr:rowOff>34636</xdr:rowOff>
    </xdr:to>
    <xdr:sp macro="" textlink="">
      <xdr:nvSpPr>
        <xdr:cNvPr id="196" name="Rectangle: Rounded Corners 195">
          <a:extLst>
            <a:ext uri="{FF2B5EF4-FFF2-40B4-BE49-F238E27FC236}">
              <a16:creationId xmlns:a16="http://schemas.microsoft.com/office/drawing/2014/main" id="{EBE315F6-450D-E1DB-5A63-BD38821F2AC4}"/>
            </a:ext>
          </a:extLst>
        </xdr:cNvPr>
        <xdr:cNvSpPr/>
      </xdr:nvSpPr>
      <xdr:spPr>
        <a:xfrm>
          <a:off x="23777864" y="12257835"/>
          <a:ext cx="5628409" cy="92130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0" kern="1200">
              <a:solidFill>
                <a:schemeClr val="tx1"/>
              </a:solidFill>
              <a:latin typeface="Times New Roman" panose="02020603050405020304" pitchFamily="18" charset="0"/>
              <a:cs typeface="Times New Roman" panose="02020603050405020304" pitchFamily="18" charset="0"/>
            </a:rPr>
            <a:t>Hoàn</a:t>
          </a:r>
          <a:r>
            <a:rPr lang="en-US" sz="2000" b="0" kern="1200" baseline="0">
              <a:solidFill>
                <a:schemeClr val="tx1"/>
              </a:solidFill>
              <a:latin typeface="Times New Roman" panose="02020603050405020304" pitchFamily="18" charset="0"/>
              <a:cs typeface="Times New Roman" panose="02020603050405020304" pitchFamily="18" charset="0"/>
            </a:rPr>
            <a:t> thành </a:t>
          </a:r>
          <a:r>
            <a:rPr lang="en-US" sz="2000" b="1" kern="1200" baseline="0">
              <a:solidFill>
                <a:schemeClr val="tx1"/>
              </a:solidFill>
              <a:latin typeface="Times New Roman" panose="02020603050405020304" pitchFamily="18" charset="0"/>
              <a:cs typeface="Times New Roman" panose="02020603050405020304" pitchFamily="18" charset="0"/>
            </a:rPr>
            <a:t>1 KNL </a:t>
          </a:r>
          <a:r>
            <a:rPr lang="en-US" sz="2000" b="0" kern="1200" baseline="0">
              <a:solidFill>
                <a:schemeClr val="tx1"/>
              </a:solidFill>
              <a:latin typeface="Times New Roman" panose="02020603050405020304" pitchFamily="18" charset="0"/>
              <a:cs typeface="Times New Roman" panose="02020603050405020304" pitchFamily="18" charset="0"/>
            </a:rPr>
            <a:t>cho vị trí KTV BDSC TBHTĐK</a:t>
          </a:r>
        </a:p>
        <a:p>
          <a:pPr algn="l"/>
          <a:r>
            <a:rPr lang="en-US" sz="2000" b="0" kern="1200" baseline="0">
              <a:solidFill>
                <a:schemeClr val="tx1"/>
              </a:solidFill>
              <a:latin typeface="Times New Roman" panose="02020603050405020304" pitchFamily="18" charset="0"/>
              <a:cs typeface="Times New Roman" panose="02020603050405020304" pitchFamily="18" charset="0"/>
            </a:rPr>
            <a:t>Đang tiếp tục triển khai cho KTV BDSC TBĐ</a:t>
          </a:r>
        </a:p>
      </xdr:txBody>
    </xdr:sp>
    <xdr:clientData/>
  </xdr:twoCellAnchor>
  <xdr:twoCellAnchor>
    <xdr:from>
      <xdr:col>38</xdr:col>
      <xdr:colOff>498763</xdr:colOff>
      <xdr:row>48</xdr:row>
      <xdr:rowOff>48492</xdr:rowOff>
    </xdr:from>
    <xdr:to>
      <xdr:col>46</xdr:col>
      <xdr:colOff>554181</xdr:colOff>
      <xdr:row>51</xdr:row>
      <xdr:rowOff>90046</xdr:rowOff>
    </xdr:to>
    <xdr:sp macro="" textlink="">
      <xdr:nvSpPr>
        <xdr:cNvPr id="197" name="Rectangle: Rounded Corners 196">
          <a:extLst>
            <a:ext uri="{FF2B5EF4-FFF2-40B4-BE49-F238E27FC236}">
              <a16:creationId xmlns:a16="http://schemas.microsoft.com/office/drawing/2014/main" id="{A7B3E727-592B-B313-71F7-81A54DA10A48}"/>
            </a:ext>
          </a:extLst>
        </xdr:cNvPr>
        <xdr:cNvSpPr/>
      </xdr:nvSpPr>
      <xdr:spPr>
        <a:xfrm>
          <a:off x="23912945" y="13573992"/>
          <a:ext cx="5146963" cy="61305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1" kern="1200">
              <a:solidFill>
                <a:schemeClr val="tx1"/>
              </a:solidFill>
              <a:latin typeface="Times New Roman" panose="02020603050405020304" pitchFamily="18" charset="0"/>
              <a:cs typeface="Times New Roman" panose="02020603050405020304" pitchFamily="18" charset="0"/>
            </a:rPr>
            <a:t>Chưa</a:t>
          </a:r>
          <a:r>
            <a:rPr lang="en-US" sz="2000" b="1" kern="1200" baseline="0">
              <a:solidFill>
                <a:schemeClr val="tx1"/>
              </a:solidFill>
              <a:latin typeface="Times New Roman" panose="02020603050405020304" pitchFamily="18" charset="0"/>
              <a:cs typeface="Times New Roman" panose="02020603050405020304" pitchFamily="18" charset="0"/>
            </a:rPr>
            <a:t> thực hiện do chưa xây dựng xong KNL</a:t>
          </a:r>
          <a:endParaRPr lang="en-US" sz="12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27</xdr:col>
      <xdr:colOff>31173</xdr:colOff>
      <xdr:row>145</xdr:row>
      <xdr:rowOff>67750</xdr:rowOff>
    </xdr:from>
    <xdr:to>
      <xdr:col>47</xdr:col>
      <xdr:colOff>308263</xdr:colOff>
      <xdr:row>153</xdr:row>
      <xdr:rowOff>115464</xdr:rowOff>
    </xdr:to>
    <xdr:grpSp>
      <xdr:nvGrpSpPr>
        <xdr:cNvPr id="332" name="Group 331">
          <a:extLst>
            <a:ext uri="{FF2B5EF4-FFF2-40B4-BE49-F238E27FC236}">
              <a16:creationId xmlns:a16="http://schemas.microsoft.com/office/drawing/2014/main" id="{F31520E1-B3C4-6D8C-44FE-399EFA3C16F2}"/>
            </a:ext>
          </a:extLst>
        </xdr:cNvPr>
        <xdr:cNvGrpSpPr/>
      </xdr:nvGrpSpPr>
      <xdr:grpSpPr>
        <a:xfrm>
          <a:off x="16777855" y="32071750"/>
          <a:ext cx="12642272" cy="1571714"/>
          <a:chOff x="17404773" y="26897449"/>
          <a:chExt cx="12642272" cy="1574798"/>
        </a:xfrm>
      </xdr:grpSpPr>
      <xdr:sp macro="" textlink="">
        <xdr:nvSpPr>
          <xdr:cNvPr id="204" name="Rectangle: Rounded Corners 203">
            <a:extLst>
              <a:ext uri="{FF2B5EF4-FFF2-40B4-BE49-F238E27FC236}">
                <a16:creationId xmlns:a16="http://schemas.microsoft.com/office/drawing/2014/main" id="{93A4DE86-F23B-44B0-BAD9-11420BCD4E6B}"/>
              </a:ext>
            </a:extLst>
          </xdr:cNvPr>
          <xdr:cNvSpPr/>
        </xdr:nvSpPr>
        <xdr:spPr>
          <a:xfrm>
            <a:off x="17404773" y="26897449"/>
            <a:ext cx="12642272" cy="1574798"/>
          </a:xfrm>
          <a:prstGeom prst="roundRect">
            <a:avLst>
              <a:gd name="adj" fmla="val 8417"/>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205" name="Rectangle: Rounded Corners 204">
            <a:extLst>
              <a:ext uri="{FF2B5EF4-FFF2-40B4-BE49-F238E27FC236}">
                <a16:creationId xmlns:a16="http://schemas.microsoft.com/office/drawing/2014/main" id="{E830662A-76F3-4140-9D56-A21780CB7049}"/>
              </a:ext>
            </a:extLst>
          </xdr:cNvPr>
          <xdr:cNvSpPr/>
        </xdr:nvSpPr>
        <xdr:spPr>
          <a:xfrm>
            <a:off x="20207785" y="26999048"/>
            <a:ext cx="7120305" cy="417902"/>
          </a:xfrm>
          <a:prstGeom prst="round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baseline="0">
                <a:solidFill>
                  <a:schemeClr val="lt1"/>
                </a:solidFill>
                <a:latin typeface="Times New Roman" panose="02020603050405020304" pitchFamily="18" charset="0"/>
                <a:ea typeface="+mn-ea"/>
                <a:cs typeface="Times New Roman" panose="02020603050405020304" pitchFamily="18" charset="0"/>
              </a:rPr>
              <a:t>KR12 SÁNG KIẾN ĐƯỢC CÔNG NHẬN CẤP TIỂU BAN ĐIỀU KHIỂN</a:t>
            </a:r>
          </a:p>
        </xdr:txBody>
      </xdr:sp>
      <xdr:sp macro="" textlink="">
        <xdr:nvSpPr>
          <xdr:cNvPr id="206" name="Rectangle: Rounded Corners 205">
            <a:extLst>
              <a:ext uri="{FF2B5EF4-FFF2-40B4-BE49-F238E27FC236}">
                <a16:creationId xmlns:a16="http://schemas.microsoft.com/office/drawing/2014/main" id="{3D35B8A8-FDB0-EF3B-9DCA-BE46980BBF61}"/>
              </a:ext>
            </a:extLst>
          </xdr:cNvPr>
          <xdr:cNvSpPr/>
        </xdr:nvSpPr>
        <xdr:spPr>
          <a:xfrm>
            <a:off x="18802926" y="27600021"/>
            <a:ext cx="1389831" cy="36765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kern="1200">
                <a:solidFill>
                  <a:srgbClr val="00B050"/>
                </a:solidFill>
                <a:latin typeface="Times New Roman" panose="02020603050405020304" pitchFamily="18" charset="0"/>
                <a:cs typeface="Times New Roman" panose="02020603050405020304" pitchFamily="18" charset="0"/>
              </a:rPr>
              <a:t>MỤC</a:t>
            </a:r>
            <a:r>
              <a:rPr lang="en-US" sz="1400" b="1" kern="1200" baseline="0">
                <a:solidFill>
                  <a:srgbClr val="00B050"/>
                </a:solidFill>
                <a:latin typeface="Times New Roman" panose="02020603050405020304" pitchFamily="18" charset="0"/>
                <a:cs typeface="Times New Roman" panose="02020603050405020304" pitchFamily="18" charset="0"/>
              </a:rPr>
              <a:t> TIÊU</a:t>
            </a:r>
            <a:endParaRPr lang="en-US" sz="1400" b="1" kern="1200">
              <a:solidFill>
                <a:srgbClr val="00B050"/>
              </a:solidFill>
              <a:latin typeface="Times New Roman" panose="02020603050405020304" pitchFamily="18" charset="0"/>
              <a:cs typeface="Times New Roman" panose="02020603050405020304" pitchFamily="18" charset="0"/>
            </a:endParaRPr>
          </a:p>
        </xdr:txBody>
      </xdr:sp>
      <xdr:cxnSp macro="">
        <xdr:nvCxnSpPr>
          <xdr:cNvPr id="208" name="Straight Connector 207">
            <a:extLst>
              <a:ext uri="{FF2B5EF4-FFF2-40B4-BE49-F238E27FC236}">
                <a16:creationId xmlns:a16="http://schemas.microsoft.com/office/drawing/2014/main" id="{6B6DFB26-19BC-41D3-9265-5851CEDEE2EA}"/>
              </a:ext>
            </a:extLst>
          </xdr:cNvPr>
          <xdr:cNvCxnSpPr/>
        </xdr:nvCxnSpPr>
        <xdr:spPr>
          <a:xfrm>
            <a:off x="23706147" y="27562464"/>
            <a:ext cx="0" cy="762000"/>
          </a:xfrm>
          <a:prstGeom prst="line">
            <a:avLst/>
          </a:prstGeom>
          <a:ln w="28575">
            <a:prstDash val="dash"/>
          </a:ln>
        </xdr:spPr>
        <xdr:style>
          <a:lnRef idx="1">
            <a:schemeClr val="accent1"/>
          </a:lnRef>
          <a:fillRef idx="0">
            <a:schemeClr val="accent1"/>
          </a:fillRef>
          <a:effectRef idx="0">
            <a:schemeClr val="accent1"/>
          </a:effectRef>
          <a:fontRef idx="minor">
            <a:schemeClr val="tx1"/>
          </a:fontRef>
        </xdr:style>
      </xdr:cxnSp>
      <xdr:sp macro="" textlink="">
        <xdr:nvSpPr>
          <xdr:cNvPr id="211" name="Rectangle: Rounded Corners 210">
            <a:extLst>
              <a:ext uri="{FF2B5EF4-FFF2-40B4-BE49-F238E27FC236}">
                <a16:creationId xmlns:a16="http://schemas.microsoft.com/office/drawing/2014/main" id="{747E5CF9-9D22-425D-75E3-FF0750FDB32E}"/>
              </a:ext>
            </a:extLst>
          </xdr:cNvPr>
          <xdr:cNvSpPr/>
        </xdr:nvSpPr>
        <xdr:spPr>
          <a:xfrm>
            <a:off x="20086780" y="27600021"/>
            <a:ext cx="2244437" cy="40867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kern="1200">
                <a:solidFill>
                  <a:srgbClr val="FF0000"/>
                </a:solidFill>
                <a:latin typeface="Times New Roman" panose="02020603050405020304" pitchFamily="18" charset="0"/>
                <a:cs typeface="Times New Roman" panose="02020603050405020304" pitchFamily="18" charset="0"/>
              </a:rPr>
              <a:t>8</a:t>
            </a:r>
            <a:r>
              <a:rPr lang="en-US" sz="1800" b="1" kern="1200">
                <a:solidFill>
                  <a:srgbClr val="00B050"/>
                </a:solidFill>
                <a:latin typeface="Times New Roman" panose="02020603050405020304" pitchFamily="18" charset="0"/>
                <a:cs typeface="Times New Roman" panose="02020603050405020304" pitchFamily="18" charset="0"/>
              </a:rPr>
              <a:t> SÁNG</a:t>
            </a:r>
            <a:r>
              <a:rPr lang="en-US" sz="1800" b="1" kern="1200" baseline="0">
                <a:solidFill>
                  <a:srgbClr val="00B050"/>
                </a:solidFill>
                <a:latin typeface="Times New Roman" panose="02020603050405020304" pitchFamily="18" charset="0"/>
                <a:cs typeface="Times New Roman" panose="02020603050405020304" pitchFamily="18" charset="0"/>
              </a:rPr>
              <a:t> KIẾN</a:t>
            </a:r>
            <a:endParaRPr lang="en-US" sz="1800" b="1" kern="1200">
              <a:solidFill>
                <a:srgbClr val="00B050"/>
              </a:solidFill>
              <a:latin typeface="Times New Roman" panose="02020603050405020304" pitchFamily="18" charset="0"/>
              <a:cs typeface="Times New Roman" panose="02020603050405020304" pitchFamily="18" charset="0"/>
            </a:endParaRPr>
          </a:p>
        </xdr:txBody>
      </xdr:sp>
      <xdr:sp macro="" textlink="">
        <xdr:nvSpPr>
          <xdr:cNvPr id="212" name="Rectangle: Rounded Corners 211">
            <a:extLst>
              <a:ext uri="{FF2B5EF4-FFF2-40B4-BE49-F238E27FC236}">
                <a16:creationId xmlns:a16="http://schemas.microsoft.com/office/drawing/2014/main" id="{F208D183-3F8E-D225-50A6-45C107381776}"/>
              </a:ext>
            </a:extLst>
          </xdr:cNvPr>
          <xdr:cNvSpPr/>
        </xdr:nvSpPr>
        <xdr:spPr>
          <a:xfrm>
            <a:off x="25182515" y="27548067"/>
            <a:ext cx="1404726" cy="37148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kern="1200">
                <a:solidFill>
                  <a:srgbClr val="00B050"/>
                </a:solidFill>
                <a:latin typeface="Times New Roman" panose="02020603050405020304" pitchFamily="18" charset="0"/>
                <a:cs typeface="Times New Roman" panose="02020603050405020304" pitchFamily="18" charset="0"/>
              </a:rPr>
              <a:t>KẾT</a:t>
            </a:r>
            <a:r>
              <a:rPr lang="en-US" sz="1400" b="1" kern="1200" baseline="0">
                <a:solidFill>
                  <a:srgbClr val="00B050"/>
                </a:solidFill>
                <a:latin typeface="Times New Roman" panose="02020603050405020304" pitchFamily="18" charset="0"/>
                <a:cs typeface="Times New Roman" panose="02020603050405020304" pitchFamily="18" charset="0"/>
              </a:rPr>
              <a:t> QUẢ</a:t>
            </a:r>
            <a:endParaRPr lang="en-US" sz="1400" b="1" kern="1200">
              <a:solidFill>
                <a:srgbClr val="00B050"/>
              </a:solidFill>
              <a:latin typeface="Times New Roman" panose="02020603050405020304" pitchFamily="18" charset="0"/>
              <a:cs typeface="Times New Roman" panose="02020603050405020304" pitchFamily="18" charset="0"/>
            </a:endParaRPr>
          </a:p>
        </xdr:txBody>
      </xdr:sp>
      <xdr:sp macro="" textlink="">
        <xdr:nvSpPr>
          <xdr:cNvPr id="213" name="Rectangle: Rounded Corners 212">
            <a:extLst>
              <a:ext uri="{FF2B5EF4-FFF2-40B4-BE49-F238E27FC236}">
                <a16:creationId xmlns:a16="http://schemas.microsoft.com/office/drawing/2014/main" id="{77880BF8-56D0-0512-4624-9D027315693E}"/>
              </a:ext>
            </a:extLst>
          </xdr:cNvPr>
          <xdr:cNvSpPr/>
        </xdr:nvSpPr>
        <xdr:spPr>
          <a:xfrm>
            <a:off x="26591489" y="27548067"/>
            <a:ext cx="2251076" cy="40867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kern="1200">
                <a:solidFill>
                  <a:srgbClr val="FF0000"/>
                </a:solidFill>
                <a:latin typeface="Times New Roman" panose="02020603050405020304" pitchFamily="18" charset="0"/>
                <a:cs typeface="Times New Roman" panose="02020603050405020304" pitchFamily="18" charset="0"/>
              </a:rPr>
              <a:t>0</a:t>
            </a:r>
            <a:r>
              <a:rPr lang="en-US" sz="1800" b="1" kern="1200">
                <a:solidFill>
                  <a:srgbClr val="00B050"/>
                </a:solidFill>
                <a:latin typeface="Times New Roman" panose="02020603050405020304" pitchFamily="18" charset="0"/>
                <a:cs typeface="Times New Roman" panose="02020603050405020304" pitchFamily="18" charset="0"/>
              </a:rPr>
              <a:t> SÁNG</a:t>
            </a:r>
            <a:r>
              <a:rPr lang="en-US" sz="1800" b="1" kern="1200" baseline="0">
                <a:solidFill>
                  <a:srgbClr val="00B050"/>
                </a:solidFill>
                <a:latin typeface="Times New Roman" panose="02020603050405020304" pitchFamily="18" charset="0"/>
                <a:cs typeface="Times New Roman" panose="02020603050405020304" pitchFamily="18" charset="0"/>
              </a:rPr>
              <a:t> KIẾN</a:t>
            </a:r>
            <a:endParaRPr lang="en-US" sz="1800" b="1" kern="1200">
              <a:solidFill>
                <a:srgbClr val="00B050"/>
              </a:solidFill>
              <a:latin typeface="Times New Roman" panose="02020603050405020304" pitchFamily="18" charset="0"/>
              <a:cs typeface="Times New Roman" panose="02020603050405020304" pitchFamily="18" charset="0"/>
            </a:endParaRPr>
          </a:p>
        </xdr:txBody>
      </xdr:sp>
      <xdr:pic>
        <xdr:nvPicPr>
          <xdr:cNvPr id="207" name="Picture 206" descr="Target - Free seo and web icons">
            <a:extLst>
              <a:ext uri="{FF2B5EF4-FFF2-40B4-BE49-F238E27FC236}">
                <a16:creationId xmlns:a16="http://schemas.microsoft.com/office/drawing/2014/main" id="{0D7C95D7-8E1F-75EB-3443-44953DEA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7887371" y="27550918"/>
            <a:ext cx="880463" cy="798575"/>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0</xdr:col>
      <xdr:colOff>64689</xdr:colOff>
      <xdr:row>98</xdr:row>
      <xdr:rowOff>86585</xdr:rowOff>
    </xdr:from>
    <xdr:to>
      <xdr:col>12</xdr:col>
      <xdr:colOff>328842</xdr:colOff>
      <xdr:row>119</xdr:row>
      <xdr:rowOff>43538</xdr:rowOff>
    </xdr:to>
    <xdr:grpSp>
      <xdr:nvGrpSpPr>
        <xdr:cNvPr id="201" name="Group 200">
          <a:extLst>
            <a:ext uri="{FF2B5EF4-FFF2-40B4-BE49-F238E27FC236}">
              <a16:creationId xmlns:a16="http://schemas.microsoft.com/office/drawing/2014/main" id="{23A609BD-AF6D-0D1F-7EA2-351AFB32B92E}"/>
            </a:ext>
          </a:extLst>
        </xdr:cNvPr>
        <xdr:cNvGrpSpPr/>
      </xdr:nvGrpSpPr>
      <xdr:grpSpPr>
        <a:xfrm>
          <a:off x="64689" y="23137085"/>
          <a:ext cx="7918789" cy="3957453"/>
          <a:chOff x="64689" y="13525500"/>
          <a:chExt cx="8438335" cy="3957453"/>
        </a:xfrm>
      </xdr:grpSpPr>
      <xdr:sp macro="" textlink="">
        <xdr:nvSpPr>
          <xdr:cNvPr id="12" name="Rectangle: Rounded Corners 11">
            <a:extLst>
              <a:ext uri="{FF2B5EF4-FFF2-40B4-BE49-F238E27FC236}">
                <a16:creationId xmlns:a16="http://schemas.microsoft.com/office/drawing/2014/main" id="{730793B9-883C-BE21-7E85-695B49BF3F42}"/>
              </a:ext>
            </a:extLst>
          </xdr:cNvPr>
          <xdr:cNvSpPr/>
        </xdr:nvSpPr>
        <xdr:spPr>
          <a:xfrm>
            <a:off x="1655108" y="13525500"/>
            <a:ext cx="5833783" cy="463081"/>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KR03 BÁO CÁO CÔNG TÁC SỬA CHỮA ĐỘT XUÁT</a:t>
            </a:r>
          </a:p>
        </xdr:txBody>
      </xdr:sp>
      <xdr:graphicFrame macro="">
        <xdr:nvGraphicFramePr>
          <xdr:cNvPr id="20" name="Chart 19">
            <a:extLst>
              <a:ext uri="{FF2B5EF4-FFF2-40B4-BE49-F238E27FC236}">
                <a16:creationId xmlns:a16="http://schemas.microsoft.com/office/drawing/2014/main" id="{685E8E35-4820-486B-9900-5F265327F6C7}"/>
              </a:ext>
            </a:extLst>
          </xdr:cNvPr>
          <xdr:cNvGraphicFramePr>
            <a:graphicFrameLocks/>
          </xdr:cNvGraphicFramePr>
        </xdr:nvGraphicFramePr>
        <xdr:xfrm>
          <a:off x="528854" y="14303668"/>
          <a:ext cx="3263827" cy="3179285"/>
        </xdr:xfrm>
        <a:graphic>
          <a:graphicData uri="http://schemas.openxmlformats.org/drawingml/2006/chart">
            <c:chart xmlns:c="http://schemas.openxmlformats.org/drawingml/2006/chart" xmlns:r="http://schemas.openxmlformats.org/officeDocument/2006/relationships" r:id="rId18"/>
          </a:graphicData>
        </a:graphic>
      </xdr:graphicFrame>
      <xdr:sp macro="" textlink="">
        <xdr:nvSpPr>
          <xdr:cNvPr id="119" name="Rectangle: Rounded Corners 118">
            <a:extLst>
              <a:ext uri="{FF2B5EF4-FFF2-40B4-BE49-F238E27FC236}">
                <a16:creationId xmlns:a16="http://schemas.microsoft.com/office/drawing/2014/main" id="{A74B7E0D-711B-E49A-22B5-A9398B6354A5}"/>
              </a:ext>
            </a:extLst>
          </xdr:cNvPr>
          <xdr:cNvSpPr/>
        </xdr:nvSpPr>
        <xdr:spPr>
          <a:xfrm>
            <a:off x="3851566" y="14422583"/>
            <a:ext cx="4651458" cy="2978728"/>
          </a:xfrm>
          <a:prstGeom prst="roundRect">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800" b="1" i="0">
                <a:solidFill>
                  <a:srgbClr val="FF0000"/>
                </a:solidFill>
                <a:effectLst/>
                <a:latin typeface="Times New Roman" panose="02020603050405020304" pitchFamily="18" charset="0"/>
                <a:ea typeface="+mn-ea"/>
                <a:cs typeface="Times New Roman" panose="02020603050405020304" pitchFamily="18" charset="0"/>
              </a:rPr>
              <a:t>T</a:t>
            </a:r>
            <a:r>
              <a:rPr lang="vi-VN" sz="1800" b="1" i="0">
                <a:solidFill>
                  <a:srgbClr val="FF0000"/>
                </a:solidFill>
                <a:effectLst/>
                <a:latin typeface="Times New Roman" panose="02020603050405020304" pitchFamily="18" charset="0"/>
                <a:ea typeface="+mn-ea"/>
                <a:cs typeface="Times New Roman" panose="02020603050405020304" pitchFamily="18" charset="0"/>
              </a:rPr>
              <a:t>ồn đọng </a:t>
            </a:r>
            <a:r>
              <a:rPr lang="en-US" sz="1800" b="1" i="0">
                <a:solidFill>
                  <a:srgbClr val="FF0000"/>
                </a:solidFill>
                <a:effectLst/>
                <a:latin typeface="Times New Roman" panose="02020603050405020304" pitchFamily="18" charset="0"/>
                <a:ea typeface="+mn-ea"/>
                <a:cs typeface="Times New Roman" panose="02020603050405020304" pitchFamily="18" charset="0"/>
              </a:rPr>
              <a:t>2</a:t>
            </a:r>
            <a:r>
              <a:rPr lang="vi-VN" sz="1800" b="1" i="0">
                <a:solidFill>
                  <a:srgbClr val="FF0000"/>
                </a:solidFill>
                <a:effectLst/>
                <a:latin typeface="Times New Roman" panose="02020603050405020304" pitchFamily="18" charset="0"/>
                <a:ea typeface="+mn-ea"/>
                <a:cs typeface="Times New Roman" panose="02020603050405020304" pitchFamily="18" charset="0"/>
              </a:rPr>
              <a:t> hạng mục chưa đạt</a:t>
            </a:r>
            <a:r>
              <a:rPr lang="en-US" sz="1800" b="1" i="0">
                <a:solidFill>
                  <a:srgbClr val="FF0000"/>
                </a:solidFill>
                <a:effectLst/>
                <a:latin typeface="Times New Roman" panose="02020603050405020304" pitchFamily="18" charset="0"/>
                <a:ea typeface="+mn-ea"/>
                <a:cs typeface="Times New Roman" panose="02020603050405020304" pitchFamily="18" charset="0"/>
              </a:rPr>
              <a:t> vì</a:t>
            </a:r>
            <a:r>
              <a:rPr lang="en-US" sz="1800" b="1" i="0" baseline="0">
                <a:solidFill>
                  <a:srgbClr val="FF0000"/>
                </a:solidFill>
                <a:effectLst/>
                <a:latin typeface="Times New Roman" panose="02020603050405020304" pitchFamily="18" charset="0"/>
                <a:ea typeface="+mn-ea"/>
                <a:cs typeface="Times New Roman" panose="02020603050405020304" pitchFamily="18" charset="0"/>
              </a:rPr>
              <a:t> lý do</a:t>
            </a:r>
            <a:r>
              <a:rPr lang="vi-VN" sz="1800" b="1" i="0">
                <a:solidFill>
                  <a:srgbClr val="FF0000"/>
                </a:solidFill>
                <a:effectLst/>
                <a:latin typeface="Times New Roman" panose="02020603050405020304" pitchFamily="18" charset="0"/>
                <a:ea typeface="+mn-ea"/>
                <a:cs typeface="Times New Roman" panose="02020603050405020304" pitchFamily="18" charset="0"/>
              </a:rPr>
              <a:t> khách quan: </a:t>
            </a:r>
          </a:p>
          <a:p>
            <a:pPr algn="l"/>
            <a:r>
              <a:rPr lang="vi-VN" sz="1800" b="0" i="0">
                <a:solidFill>
                  <a:schemeClr val="tx1"/>
                </a:solidFill>
                <a:effectLst/>
                <a:latin typeface="Times New Roman" panose="02020603050405020304" pitchFamily="18" charset="0"/>
                <a:ea typeface="+mn-ea"/>
                <a:cs typeface="Times New Roman" panose="02020603050405020304" pitchFamily="18" charset="0"/>
              </a:rPr>
              <a:t>+ 1 hết tồn kho: thanh gạt Barrier cổng D2-Relay output </a:t>
            </a:r>
          </a:p>
          <a:p>
            <a:pPr algn="l"/>
            <a:r>
              <a:rPr lang="vi-VN" sz="1800" b="0" i="0">
                <a:solidFill>
                  <a:schemeClr val="tx1"/>
                </a:solidFill>
                <a:effectLst/>
                <a:latin typeface="Times New Roman" panose="02020603050405020304" pitchFamily="18" charset="0"/>
                <a:ea typeface="+mn-ea"/>
                <a:cs typeface="Times New Roman" panose="02020603050405020304" pitchFamily="18" charset="0"/>
              </a:rPr>
              <a:t>+ 1  06FT-1037 lắp giáo kiểm tra, sau tết thực hiện. </a:t>
            </a:r>
            <a:endParaRPr lang="vi-VN" sz="1600" b="0" i="0">
              <a:solidFill>
                <a:schemeClr val="tx1"/>
              </a:solidFill>
              <a:effectLst/>
              <a:latin typeface="Times New Roman" panose="02020603050405020304" pitchFamily="18" charset="0"/>
              <a:ea typeface="+mn-ea"/>
              <a:cs typeface="Times New Roman" panose="02020603050405020304" pitchFamily="18" charset="0"/>
            </a:endParaRPr>
          </a:p>
        </xdr:txBody>
      </xdr:sp>
      <xdr:pic>
        <xdr:nvPicPr>
          <xdr:cNvPr id="14" name="Picture 13" descr="Maintenance and Care Archives | Autometrix">
            <a:extLst>
              <a:ext uri="{FF2B5EF4-FFF2-40B4-BE49-F238E27FC236}">
                <a16:creationId xmlns:a16="http://schemas.microsoft.com/office/drawing/2014/main" id="{3D9553CF-CBC5-C7FA-CEB5-407CD176FAB0}"/>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64689" y="15127881"/>
            <a:ext cx="1137832" cy="1144283"/>
          </a:xfrm>
          <a:prstGeom prst="ellipse">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30</xdr:col>
      <xdr:colOff>34638</xdr:colOff>
      <xdr:row>197</xdr:row>
      <xdr:rowOff>27720</xdr:rowOff>
    </xdr:from>
    <xdr:to>
      <xdr:col>35</xdr:col>
      <xdr:colOff>311729</xdr:colOff>
      <xdr:row>202</xdr:row>
      <xdr:rowOff>173193</xdr:rowOff>
    </xdr:to>
    <xdr:grpSp>
      <xdr:nvGrpSpPr>
        <xdr:cNvPr id="193" name="Group 192">
          <a:extLst>
            <a:ext uri="{FF2B5EF4-FFF2-40B4-BE49-F238E27FC236}">
              <a16:creationId xmlns:a16="http://schemas.microsoft.com/office/drawing/2014/main" id="{A45F3791-A07B-0660-3664-5B14125FF155}"/>
            </a:ext>
          </a:extLst>
        </xdr:cNvPr>
        <xdr:cNvGrpSpPr/>
      </xdr:nvGrpSpPr>
      <xdr:grpSpPr>
        <a:xfrm>
          <a:off x="18599729" y="41937720"/>
          <a:ext cx="3307773" cy="1097973"/>
          <a:chOff x="17958954" y="32055954"/>
          <a:chExt cx="3618550" cy="1122509"/>
        </a:xfrm>
      </xdr:grpSpPr>
      <xdr:sp macro="" textlink="data!H87">
        <xdr:nvSpPr>
          <xdr:cNvPr id="176" name="Rectangle: Rounded Corners 175">
            <a:extLst>
              <a:ext uri="{FF2B5EF4-FFF2-40B4-BE49-F238E27FC236}">
                <a16:creationId xmlns:a16="http://schemas.microsoft.com/office/drawing/2014/main" id="{15BDF3AE-3AF5-498D-9683-4C697DC806DC}"/>
              </a:ext>
            </a:extLst>
          </xdr:cNvPr>
          <xdr:cNvSpPr/>
        </xdr:nvSpPr>
        <xdr:spPr>
          <a:xfrm>
            <a:off x="18029291" y="32055954"/>
            <a:ext cx="1212046" cy="640254"/>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4C3ED12-A1DE-4B11-BF32-B613C1087CB5}" type="TxLink">
              <a:rPr lang="en-US" sz="3200" b="1" i="0" u="none" strike="noStrike">
                <a:solidFill>
                  <a:sysClr val="windowText" lastClr="000000"/>
                </a:solidFill>
                <a:latin typeface="Calibri"/>
                <a:cs typeface="Calibri"/>
              </a:rPr>
              <a:pPr algn="ctr"/>
              <a:t>1</a:t>
            </a:fld>
            <a:endParaRPr lang="en-US" sz="19900" b="1">
              <a:solidFill>
                <a:sysClr val="windowText" lastClr="000000"/>
              </a:solidFill>
              <a:latin typeface="Abadi" panose="020B0604020104020204" pitchFamily="34" charset="0"/>
              <a:cs typeface="Times New Roman" panose="02020603050405020304" pitchFamily="18" charset="0"/>
            </a:endParaRPr>
          </a:p>
        </xdr:txBody>
      </xdr:sp>
      <xdr:sp macro="" textlink="">
        <xdr:nvSpPr>
          <xdr:cNvPr id="178" name="Rectangle: Rounded Corners 177">
            <a:extLst>
              <a:ext uri="{FF2B5EF4-FFF2-40B4-BE49-F238E27FC236}">
                <a16:creationId xmlns:a16="http://schemas.microsoft.com/office/drawing/2014/main" id="{FBBB7163-2A22-47F4-BD3C-F0AD24EDCDA0}"/>
              </a:ext>
            </a:extLst>
          </xdr:cNvPr>
          <xdr:cNvSpPr/>
        </xdr:nvSpPr>
        <xdr:spPr>
          <a:xfrm>
            <a:off x="17958954" y="32716107"/>
            <a:ext cx="1257947" cy="43938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kern="1200">
                <a:solidFill>
                  <a:srgbClr val="FF33CC"/>
                </a:solidFill>
                <a:latin typeface="Times New Roman" panose="02020603050405020304" pitchFamily="18" charset="0"/>
                <a:cs typeface="Times New Roman" panose="02020603050405020304" pitchFamily="18" charset="0"/>
              </a:rPr>
              <a:t>Lũy</a:t>
            </a:r>
            <a:r>
              <a:rPr lang="en-US" sz="2000" b="1" kern="1200" baseline="0">
                <a:solidFill>
                  <a:srgbClr val="FF33CC"/>
                </a:solidFill>
                <a:latin typeface="Times New Roman" panose="02020603050405020304" pitchFamily="18" charset="0"/>
                <a:cs typeface="Times New Roman" panose="02020603050405020304" pitchFamily="18" charset="0"/>
              </a:rPr>
              <a:t> kế</a:t>
            </a:r>
            <a:endParaRPr lang="en-US" sz="2000" b="1" kern="1200">
              <a:solidFill>
                <a:srgbClr val="FF33CC"/>
              </a:solidFill>
              <a:latin typeface="Times New Roman" panose="02020603050405020304" pitchFamily="18" charset="0"/>
              <a:cs typeface="Times New Roman" panose="02020603050405020304" pitchFamily="18" charset="0"/>
            </a:endParaRPr>
          </a:p>
        </xdr:txBody>
      </xdr:sp>
      <xdr:sp macro="" textlink="">
        <xdr:nvSpPr>
          <xdr:cNvPr id="179" name="Rectangle: Rounded Corners 178">
            <a:extLst>
              <a:ext uri="{FF2B5EF4-FFF2-40B4-BE49-F238E27FC236}">
                <a16:creationId xmlns:a16="http://schemas.microsoft.com/office/drawing/2014/main" id="{361F146A-3588-4610-893C-56570A6F1D03}"/>
              </a:ext>
            </a:extLst>
          </xdr:cNvPr>
          <xdr:cNvSpPr/>
        </xdr:nvSpPr>
        <xdr:spPr>
          <a:xfrm>
            <a:off x="20107687" y="32716107"/>
            <a:ext cx="1469817" cy="46235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a:solidFill>
                  <a:srgbClr val="FF0000"/>
                </a:solidFill>
                <a:latin typeface="Times New Roman" panose="02020603050405020304" pitchFamily="18" charset="0"/>
                <a:cs typeface="Times New Roman" panose="02020603050405020304" pitchFamily="18" charset="0"/>
              </a:rPr>
              <a:t>Mục</a:t>
            </a:r>
            <a:r>
              <a:rPr lang="en-US" sz="2000" b="1" kern="1200" baseline="0">
                <a:solidFill>
                  <a:srgbClr val="FF0000"/>
                </a:solidFill>
                <a:latin typeface="Times New Roman" panose="02020603050405020304" pitchFamily="18" charset="0"/>
                <a:cs typeface="Times New Roman" panose="02020603050405020304" pitchFamily="18" charset="0"/>
              </a:rPr>
              <a:t> tiêu </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sp macro="" textlink="data!I87">
        <xdr:nvSpPr>
          <xdr:cNvPr id="181" name="Rectangle: Rounded Corners 180">
            <a:extLst>
              <a:ext uri="{FF2B5EF4-FFF2-40B4-BE49-F238E27FC236}">
                <a16:creationId xmlns:a16="http://schemas.microsoft.com/office/drawing/2014/main" id="{0289D305-FDD6-4961-9D2B-7ADBF8DC7D9A}"/>
              </a:ext>
            </a:extLst>
          </xdr:cNvPr>
          <xdr:cNvSpPr/>
        </xdr:nvSpPr>
        <xdr:spPr>
          <a:xfrm>
            <a:off x="20197471" y="32055954"/>
            <a:ext cx="1212046" cy="640254"/>
          </a:xfrm>
          <a:prstGeom prst="round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C2F1AEF-86B1-4A84-A002-DB18DCFA6904}" type="TxLink">
              <a:rPr lang="en-US" sz="3200" b="1" i="0" u="none" strike="noStrike">
                <a:solidFill>
                  <a:schemeClr val="bg1"/>
                </a:solidFill>
                <a:latin typeface="Calibri"/>
                <a:cs typeface="Calibri"/>
              </a:rPr>
              <a:pPr algn="ctr"/>
              <a:t>20</a:t>
            </a:fld>
            <a:endParaRPr lang="en-US" sz="6600" b="1" i="0" u="none" strike="noStrike">
              <a:solidFill>
                <a:schemeClr val="bg1"/>
              </a:solidFill>
              <a:latin typeface="Calibri"/>
              <a:cs typeface="Calibri"/>
            </a:endParaRPr>
          </a:p>
        </xdr:txBody>
      </xdr:sp>
    </xdr:grpSp>
    <xdr:clientData/>
  </xdr:twoCellAnchor>
  <xdr:twoCellAnchor>
    <xdr:from>
      <xdr:col>39</xdr:col>
      <xdr:colOff>398319</xdr:colOff>
      <xdr:row>197</xdr:row>
      <xdr:rowOff>10402</xdr:rowOff>
    </xdr:from>
    <xdr:to>
      <xdr:col>44</xdr:col>
      <xdr:colOff>432956</xdr:colOff>
      <xdr:row>202</xdr:row>
      <xdr:rowOff>155875</xdr:rowOff>
    </xdr:to>
    <xdr:grpSp>
      <xdr:nvGrpSpPr>
        <xdr:cNvPr id="199" name="Group 198">
          <a:extLst>
            <a:ext uri="{FF2B5EF4-FFF2-40B4-BE49-F238E27FC236}">
              <a16:creationId xmlns:a16="http://schemas.microsoft.com/office/drawing/2014/main" id="{DFE8D977-3B7D-D470-7418-8D7E9D367A41}"/>
            </a:ext>
          </a:extLst>
        </xdr:cNvPr>
        <xdr:cNvGrpSpPr/>
      </xdr:nvGrpSpPr>
      <xdr:grpSpPr>
        <a:xfrm>
          <a:off x="24418637" y="41920402"/>
          <a:ext cx="3307774" cy="1097973"/>
          <a:chOff x="17958954" y="32055954"/>
          <a:chExt cx="3618550" cy="1122509"/>
        </a:xfrm>
      </xdr:grpSpPr>
      <xdr:sp macro="" textlink="data!H91">
        <xdr:nvSpPr>
          <xdr:cNvPr id="202" name="Rectangle: Rounded Corners 201">
            <a:extLst>
              <a:ext uri="{FF2B5EF4-FFF2-40B4-BE49-F238E27FC236}">
                <a16:creationId xmlns:a16="http://schemas.microsoft.com/office/drawing/2014/main" id="{8BB153B6-45E7-2DBC-5299-34DF4B68CFBE}"/>
              </a:ext>
            </a:extLst>
          </xdr:cNvPr>
          <xdr:cNvSpPr/>
        </xdr:nvSpPr>
        <xdr:spPr>
          <a:xfrm>
            <a:off x="18029291" y="32055954"/>
            <a:ext cx="1212046" cy="640254"/>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8E5AF44-3959-46F7-8E3B-C82206AA1C39}" type="TxLink">
              <a:rPr lang="en-US" sz="3600" b="1" i="0" u="none" strike="noStrike">
                <a:solidFill>
                  <a:sysClr val="windowText" lastClr="000000"/>
                </a:solidFill>
                <a:latin typeface="Calibri"/>
                <a:cs typeface="Calibri"/>
              </a:rPr>
              <a:pPr algn="ctr"/>
              <a:t>0</a:t>
            </a:fld>
            <a:endParaRPr lang="en-US" sz="102800" b="1">
              <a:solidFill>
                <a:sysClr val="windowText" lastClr="000000"/>
              </a:solidFill>
              <a:latin typeface="Abadi" panose="020B0604020104020204" pitchFamily="34" charset="0"/>
              <a:cs typeface="Times New Roman" panose="02020603050405020304" pitchFamily="18" charset="0"/>
            </a:endParaRPr>
          </a:p>
        </xdr:txBody>
      </xdr:sp>
      <xdr:sp macro="" textlink="">
        <xdr:nvSpPr>
          <xdr:cNvPr id="203" name="Rectangle: Rounded Corners 202">
            <a:extLst>
              <a:ext uri="{FF2B5EF4-FFF2-40B4-BE49-F238E27FC236}">
                <a16:creationId xmlns:a16="http://schemas.microsoft.com/office/drawing/2014/main" id="{AF611FD2-0EE6-716F-DDFD-9F427C98850E}"/>
              </a:ext>
            </a:extLst>
          </xdr:cNvPr>
          <xdr:cNvSpPr/>
        </xdr:nvSpPr>
        <xdr:spPr>
          <a:xfrm>
            <a:off x="17958954" y="32716107"/>
            <a:ext cx="1257947" cy="43938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kern="1200">
                <a:solidFill>
                  <a:srgbClr val="FF33CC"/>
                </a:solidFill>
                <a:latin typeface="Times New Roman" panose="02020603050405020304" pitchFamily="18" charset="0"/>
                <a:cs typeface="Times New Roman" panose="02020603050405020304" pitchFamily="18" charset="0"/>
              </a:rPr>
              <a:t>Lũy</a:t>
            </a:r>
            <a:r>
              <a:rPr lang="en-US" sz="2000" b="1" kern="1200" baseline="0">
                <a:solidFill>
                  <a:srgbClr val="FF33CC"/>
                </a:solidFill>
                <a:latin typeface="Times New Roman" panose="02020603050405020304" pitchFamily="18" charset="0"/>
                <a:cs typeface="Times New Roman" panose="02020603050405020304" pitchFamily="18" charset="0"/>
              </a:rPr>
              <a:t> kế</a:t>
            </a:r>
            <a:endParaRPr lang="en-US" sz="2000" b="1" kern="1200">
              <a:solidFill>
                <a:srgbClr val="FF33CC"/>
              </a:solidFill>
              <a:latin typeface="Times New Roman" panose="02020603050405020304" pitchFamily="18" charset="0"/>
              <a:cs typeface="Times New Roman" panose="02020603050405020304" pitchFamily="18" charset="0"/>
            </a:endParaRPr>
          </a:p>
        </xdr:txBody>
      </xdr:sp>
      <xdr:sp macro="" textlink="">
        <xdr:nvSpPr>
          <xdr:cNvPr id="209" name="Rectangle: Rounded Corners 208">
            <a:extLst>
              <a:ext uri="{FF2B5EF4-FFF2-40B4-BE49-F238E27FC236}">
                <a16:creationId xmlns:a16="http://schemas.microsoft.com/office/drawing/2014/main" id="{9DA1C160-C9FE-75C8-66D2-6920F900AE46}"/>
              </a:ext>
            </a:extLst>
          </xdr:cNvPr>
          <xdr:cNvSpPr/>
        </xdr:nvSpPr>
        <xdr:spPr>
          <a:xfrm>
            <a:off x="20107687" y="32716107"/>
            <a:ext cx="1469817" cy="46235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a:solidFill>
                  <a:srgbClr val="FF0000"/>
                </a:solidFill>
                <a:latin typeface="Times New Roman" panose="02020603050405020304" pitchFamily="18" charset="0"/>
                <a:cs typeface="Times New Roman" panose="02020603050405020304" pitchFamily="18" charset="0"/>
              </a:rPr>
              <a:t>Mục</a:t>
            </a:r>
            <a:r>
              <a:rPr lang="en-US" sz="2000" b="1" kern="1200" baseline="0">
                <a:solidFill>
                  <a:srgbClr val="FF0000"/>
                </a:solidFill>
                <a:latin typeface="Times New Roman" panose="02020603050405020304" pitchFamily="18" charset="0"/>
                <a:cs typeface="Times New Roman" panose="02020603050405020304" pitchFamily="18" charset="0"/>
              </a:rPr>
              <a:t> tiêu </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sp macro="" textlink="data!I91">
        <xdr:nvSpPr>
          <xdr:cNvPr id="210" name="Rectangle: Rounded Corners 209">
            <a:extLst>
              <a:ext uri="{FF2B5EF4-FFF2-40B4-BE49-F238E27FC236}">
                <a16:creationId xmlns:a16="http://schemas.microsoft.com/office/drawing/2014/main" id="{EDD6F332-EC92-8D34-0132-533BC33E8C40}"/>
              </a:ext>
            </a:extLst>
          </xdr:cNvPr>
          <xdr:cNvSpPr/>
        </xdr:nvSpPr>
        <xdr:spPr>
          <a:xfrm>
            <a:off x="20197471" y="32055954"/>
            <a:ext cx="1212046" cy="640254"/>
          </a:xfrm>
          <a:prstGeom prst="round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6F9DD92-88F0-4F18-92CF-61B9FF46180B}" type="TxLink">
              <a:rPr lang="en-US" sz="3600" b="1" i="0" u="none" strike="noStrike">
                <a:solidFill>
                  <a:schemeClr val="bg1"/>
                </a:solidFill>
                <a:latin typeface="Calibri"/>
                <a:cs typeface="Calibri"/>
              </a:rPr>
              <a:pPr algn="ctr"/>
              <a:t>4</a:t>
            </a:fld>
            <a:endParaRPr lang="en-US" sz="23900" b="1" i="0" u="none" strike="noStrike">
              <a:solidFill>
                <a:schemeClr val="bg1"/>
              </a:solidFill>
              <a:latin typeface="Calibri"/>
              <a:cs typeface="Calibri"/>
            </a:endParaRPr>
          </a:p>
        </xdr:txBody>
      </xdr:sp>
    </xdr:grpSp>
    <xdr:clientData/>
  </xdr:twoCellAnchor>
  <xdr:twoCellAnchor>
    <xdr:from>
      <xdr:col>28</xdr:col>
      <xdr:colOff>155866</xdr:colOff>
      <xdr:row>197</xdr:row>
      <xdr:rowOff>41578</xdr:rowOff>
    </xdr:from>
    <xdr:to>
      <xdr:col>30</xdr:col>
      <xdr:colOff>34638</xdr:colOff>
      <xdr:row>201</xdr:row>
      <xdr:rowOff>93531</xdr:rowOff>
    </xdr:to>
    <xdr:sp macro="" textlink="">
      <xdr:nvSpPr>
        <xdr:cNvPr id="214" name="Rectangle: Rounded Corners 213">
          <a:extLst>
            <a:ext uri="{FF2B5EF4-FFF2-40B4-BE49-F238E27FC236}">
              <a16:creationId xmlns:a16="http://schemas.microsoft.com/office/drawing/2014/main" id="{786DBEC8-444E-48DC-B73A-B2C6D92E1ECB}"/>
            </a:ext>
          </a:extLst>
        </xdr:cNvPr>
        <xdr:cNvSpPr/>
      </xdr:nvSpPr>
      <xdr:spPr>
        <a:xfrm>
          <a:off x="18028230" y="40427578"/>
          <a:ext cx="1125681" cy="77238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kern="1200">
              <a:solidFill>
                <a:sysClr val="windowText" lastClr="000000"/>
              </a:solidFill>
              <a:latin typeface="Times New Roman" panose="02020603050405020304" pitchFamily="18" charset="0"/>
              <a:cs typeface="Times New Roman" panose="02020603050405020304" pitchFamily="18" charset="0"/>
            </a:rPr>
            <a:t>Số</a:t>
          </a:r>
          <a:r>
            <a:rPr lang="en-US" sz="2000" b="1" kern="1200" baseline="0">
              <a:solidFill>
                <a:sysClr val="windowText" lastClr="000000"/>
              </a:solidFill>
              <a:latin typeface="Times New Roman" panose="02020603050405020304" pitchFamily="18" charset="0"/>
              <a:cs typeface="Times New Roman" panose="02020603050405020304" pitchFamily="18" charset="0"/>
            </a:rPr>
            <a:t> lần tổ chức</a:t>
          </a:r>
          <a:endParaRPr lang="en-US" sz="2000" b="1" kern="12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37</xdr:col>
      <xdr:colOff>571502</xdr:colOff>
      <xdr:row>197</xdr:row>
      <xdr:rowOff>41578</xdr:rowOff>
    </xdr:from>
    <xdr:to>
      <xdr:col>39</xdr:col>
      <xdr:colOff>450273</xdr:colOff>
      <xdr:row>201</xdr:row>
      <xdr:rowOff>93531</xdr:rowOff>
    </xdr:to>
    <xdr:sp macro="" textlink="">
      <xdr:nvSpPr>
        <xdr:cNvPr id="215" name="Rectangle: Rounded Corners 214">
          <a:extLst>
            <a:ext uri="{FF2B5EF4-FFF2-40B4-BE49-F238E27FC236}">
              <a16:creationId xmlns:a16="http://schemas.microsoft.com/office/drawing/2014/main" id="{89291D27-2D3D-37F3-F7CE-6BFEA7D64EB6}"/>
            </a:ext>
          </a:extLst>
        </xdr:cNvPr>
        <xdr:cNvSpPr/>
      </xdr:nvSpPr>
      <xdr:spPr>
        <a:xfrm>
          <a:off x="24054957" y="40427578"/>
          <a:ext cx="1125680" cy="77238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kern="1200">
              <a:solidFill>
                <a:sysClr val="windowText" lastClr="000000"/>
              </a:solidFill>
              <a:latin typeface="Times New Roman" panose="02020603050405020304" pitchFamily="18" charset="0"/>
              <a:cs typeface="Times New Roman" panose="02020603050405020304" pitchFamily="18" charset="0"/>
            </a:rPr>
            <a:t>Số</a:t>
          </a:r>
          <a:r>
            <a:rPr lang="en-US" sz="2000" b="1" kern="1200" baseline="0">
              <a:solidFill>
                <a:sysClr val="windowText" lastClr="000000"/>
              </a:solidFill>
              <a:latin typeface="Times New Roman" panose="02020603050405020304" pitchFamily="18" charset="0"/>
              <a:cs typeface="Times New Roman" panose="02020603050405020304" pitchFamily="18" charset="0"/>
            </a:rPr>
            <a:t> lần tổ chức</a:t>
          </a:r>
          <a:endParaRPr lang="en-US" sz="2000" b="1" kern="12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30</xdr:col>
      <xdr:colOff>275344</xdr:colOff>
      <xdr:row>202</xdr:row>
      <xdr:rowOff>175081</xdr:rowOff>
    </xdr:from>
    <xdr:to>
      <xdr:col>44</xdr:col>
      <xdr:colOff>565313</xdr:colOff>
      <xdr:row>205</xdr:row>
      <xdr:rowOff>110844</xdr:rowOff>
    </xdr:to>
    <xdr:sp macro="" textlink="">
      <xdr:nvSpPr>
        <xdr:cNvPr id="218" name="Rectangle: Rounded Corners 217">
          <a:extLst>
            <a:ext uri="{FF2B5EF4-FFF2-40B4-BE49-F238E27FC236}">
              <a16:creationId xmlns:a16="http://schemas.microsoft.com/office/drawing/2014/main" id="{F078E053-C782-4938-9AD8-52638F76DED3}"/>
            </a:ext>
          </a:extLst>
        </xdr:cNvPr>
        <xdr:cNvSpPr/>
      </xdr:nvSpPr>
      <xdr:spPr>
        <a:xfrm>
          <a:off x="19394617" y="41461626"/>
          <a:ext cx="9267714" cy="476091"/>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 3 CHIA</a:t>
          </a:r>
          <a:r>
            <a:rPr lang="en-US" sz="1600" b="1" kern="1200" baseline="0">
              <a:solidFill>
                <a:schemeClr val="lt1"/>
              </a:solidFill>
              <a:latin typeface="Times New Roman" panose="02020603050405020304" pitchFamily="18" charset="0"/>
              <a:ea typeface="+mn-ea"/>
              <a:cs typeface="Times New Roman" panose="02020603050405020304" pitchFamily="18" charset="0"/>
            </a:rPr>
            <a:t> SẼ VĂN HÓA/QUI TRÌNH</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33</xdr:col>
      <xdr:colOff>592512</xdr:colOff>
      <xdr:row>212</xdr:row>
      <xdr:rowOff>51211</xdr:rowOff>
    </xdr:from>
    <xdr:to>
      <xdr:col>41</xdr:col>
      <xdr:colOff>443118</xdr:colOff>
      <xdr:row>215</xdr:row>
      <xdr:rowOff>104649</xdr:rowOff>
    </xdr:to>
    <xdr:grpSp>
      <xdr:nvGrpSpPr>
        <xdr:cNvPr id="219" name="Group 218">
          <a:extLst>
            <a:ext uri="{FF2B5EF4-FFF2-40B4-BE49-F238E27FC236}">
              <a16:creationId xmlns:a16="http://schemas.microsoft.com/office/drawing/2014/main" id="{ABE62CBD-C14D-2997-A8EA-296607DAADB0}"/>
            </a:ext>
          </a:extLst>
        </xdr:cNvPr>
        <xdr:cNvGrpSpPr/>
      </xdr:nvGrpSpPr>
      <xdr:grpSpPr>
        <a:xfrm>
          <a:off x="20976012" y="44818711"/>
          <a:ext cx="4699697" cy="624938"/>
          <a:chOff x="16528696" y="32112750"/>
          <a:chExt cx="5038259" cy="640254"/>
        </a:xfrm>
      </xdr:grpSpPr>
      <xdr:sp macro="" textlink="">
        <xdr:nvSpPr>
          <xdr:cNvPr id="220" name="Rectangle: Rounded Corners 219">
            <a:extLst>
              <a:ext uri="{FF2B5EF4-FFF2-40B4-BE49-F238E27FC236}">
                <a16:creationId xmlns:a16="http://schemas.microsoft.com/office/drawing/2014/main" id="{99415CF1-3252-76A2-06E4-D98D200FAE41}"/>
              </a:ext>
            </a:extLst>
          </xdr:cNvPr>
          <xdr:cNvSpPr/>
        </xdr:nvSpPr>
        <xdr:spPr>
          <a:xfrm>
            <a:off x="17726959" y="32112750"/>
            <a:ext cx="1212046" cy="640254"/>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a:solidFill>
                  <a:sysClr val="windowText" lastClr="000000"/>
                </a:solidFill>
              </a:rPr>
              <a:t>0</a:t>
            </a:r>
            <a:endParaRPr lang="en-US" b="1">
              <a:solidFill>
                <a:sysClr val="windowText" lastClr="000000"/>
              </a:solidFill>
            </a:endParaRPr>
          </a:p>
        </xdr:txBody>
      </xdr:sp>
      <xdr:sp macro="" textlink="">
        <xdr:nvSpPr>
          <xdr:cNvPr id="221" name="Rectangle: Rounded Corners 220">
            <a:extLst>
              <a:ext uri="{FF2B5EF4-FFF2-40B4-BE49-F238E27FC236}">
                <a16:creationId xmlns:a16="http://schemas.microsoft.com/office/drawing/2014/main" id="{54D2AA19-B723-C088-A59D-59CF80EC3263}"/>
              </a:ext>
            </a:extLst>
          </xdr:cNvPr>
          <xdr:cNvSpPr/>
        </xdr:nvSpPr>
        <xdr:spPr>
          <a:xfrm>
            <a:off x="16528696" y="32216297"/>
            <a:ext cx="1257947" cy="43938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kern="1200">
                <a:solidFill>
                  <a:srgbClr val="FF33CC"/>
                </a:solidFill>
                <a:latin typeface="Times New Roman" panose="02020603050405020304" pitchFamily="18" charset="0"/>
                <a:cs typeface="Times New Roman" panose="02020603050405020304" pitchFamily="18" charset="0"/>
              </a:rPr>
              <a:t>Lũy</a:t>
            </a:r>
            <a:r>
              <a:rPr lang="en-US" sz="2000" b="1" kern="1200" baseline="0">
                <a:solidFill>
                  <a:srgbClr val="FF33CC"/>
                </a:solidFill>
                <a:latin typeface="Times New Roman" panose="02020603050405020304" pitchFamily="18" charset="0"/>
                <a:cs typeface="Times New Roman" panose="02020603050405020304" pitchFamily="18" charset="0"/>
              </a:rPr>
              <a:t> kế</a:t>
            </a:r>
            <a:endParaRPr lang="en-US" sz="2000" b="1" kern="1200">
              <a:solidFill>
                <a:srgbClr val="FF33CC"/>
              </a:solidFill>
              <a:latin typeface="Times New Roman" panose="02020603050405020304" pitchFamily="18" charset="0"/>
              <a:cs typeface="Times New Roman" panose="02020603050405020304" pitchFamily="18" charset="0"/>
            </a:endParaRPr>
          </a:p>
        </xdr:txBody>
      </xdr:sp>
      <xdr:sp macro="" textlink="">
        <xdr:nvSpPr>
          <xdr:cNvPr id="222" name="Rectangle: Rounded Corners 221">
            <a:extLst>
              <a:ext uri="{FF2B5EF4-FFF2-40B4-BE49-F238E27FC236}">
                <a16:creationId xmlns:a16="http://schemas.microsoft.com/office/drawing/2014/main" id="{683D8498-0732-F3BB-E9E0-F9C17CE9179D}"/>
              </a:ext>
            </a:extLst>
          </xdr:cNvPr>
          <xdr:cNvSpPr/>
        </xdr:nvSpPr>
        <xdr:spPr>
          <a:xfrm>
            <a:off x="19065426" y="32227657"/>
            <a:ext cx="1469817" cy="46235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a:solidFill>
                  <a:srgbClr val="FF0000"/>
                </a:solidFill>
                <a:latin typeface="Times New Roman" panose="02020603050405020304" pitchFamily="18" charset="0"/>
                <a:cs typeface="Times New Roman" panose="02020603050405020304" pitchFamily="18" charset="0"/>
              </a:rPr>
              <a:t>Mục</a:t>
            </a:r>
            <a:r>
              <a:rPr lang="en-US" sz="2000" b="1" kern="1200" baseline="0">
                <a:solidFill>
                  <a:srgbClr val="FF0000"/>
                </a:solidFill>
                <a:latin typeface="Times New Roman" panose="02020603050405020304" pitchFamily="18" charset="0"/>
                <a:cs typeface="Times New Roman" panose="02020603050405020304" pitchFamily="18" charset="0"/>
              </a:rPr>
              <a:t> tiêu </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sp macro="" textlink="">
        <xdr:nvSpPr>
          <xdr:cNvPr id="223" name="Rectangle: Rounded Corners 222">
            <a:extLst>
              <a:ext uri="{FF2B5EF4-FFF2-40B4-BE49-F238E27FC236}">
                <a16:creationId xmlns:a16="http://schemas.microsoft.com/office/drawing/2014/main" id="{69A2F50F-8692-E176-A50E-36D8D86256A0}"/>
              </a:ext>
            </a:extLst>
          </xdr:cNvPr>
          <xdr:cNvSpPr/>
        </xdr:nvSpPr>
        <xdr:spPr>
          <a:xfrm>
            <a:off x="20354909" y="32112750"/>
            <a:ext cx="1212046" cy="640254"/>
          </a:xfrm>
          <a:prstGeom prst="round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i="0" u="none" strike="noStrike">
                <a:solidFill>
                  <a:schemeClr val="bg1"/>
                </a:solidFill>
                <a:latin typeface="Calibri"/>
                <a:cs typeface="Calibri"/>
              </a:rPr>
              <a:t>11</a:t>
            </a:r>
          </a:p>
        </xdr:txBody>
      </xdr:sp>
    </xdr:grpSp>
    <xdr:clientData/>
  </xdr:twoCellAnchor>
  <xdr:twoCellAnchor>
    <xdr:from>
      <xdr:col>30</xdr:col>
      <xdr:colOff>285504</xdr:colOff>
      <xdr:row>212</xdr:row>
      <xdr:rowOff>146719</xdr:rowOff>
    </xdr:from>
    <xdr:to>
      <xdr:col>34</xdr:col>
      <xdr:colOff>41561</xdr:colOff>
      <xdr:row>215</xdr:row>
      <xdr:rowOff>65321</xdr:rowOff>
    </xdr:to>
    <xdr:sp macro="" textlink="">
      <xdr:nvSpPr>
        <xdr:cNvPr id="224" name="Rectangle: Rounded Corners 223">
          <a:extLst>
            <a:ext uri="{FF2B5EF4-FFF2-40B4-BE49-F238E27FC236}">
              <a16:creationId xmlns:a16="http://schemas.microsoft.com/office/drawing/2014/main" id="{10771EB7-2D82-04B4-A605-E13A2607EA74}"/>
            </a:ext>
          </a:extLst>
        </xdr:cNvPr>
        <xdr:cNvSpPr/>
      </xdr:nvSpPr>
      <xdr:spPr>
        <a:xfrm>
          <a:off x="19404777" y="43234355"/>
          <a:ext cx="2249875" cy="45893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kern="1200">
              <a:solidFill>
                <a:sysClr val="windowText" lastClr="000000"/>
              </a:solidFill>
              <a:latin typeface="Times New Roman" panose="02020603050405020304" pitchFamily="18" charset="0"/>
              <a:cs typeface="Times New Roman" panose="02020603050405020304" pitchFamily="18" charset="0"/>
            </a:rPr>
            <a:t>Số</a:t>
          </a:r>
          <a:r>
            <a:rPr lang="en-US" sz="2000" b="1" kern="1200" baseline="0">
              <a:solidFill>
                <a:sysClr val="windowText" lastClr="000000"/>
              </a:solidFill>
              <a:latin typeface="Times New Roman" panose="02020603050405020304" pitchFamily="18" charset="0"/>
              <a:cs typeface="Times New Roman" panose="02020603050405020304" pitchFamily="18" charset="0"/>
            </a:rPr>
            <a:t> lần tổ chức</a:t>
          </a:r>
          <a:endParaRPr lang="en-US" sz="2000" b="1" kern="12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55918</xdr:colOff>
      <xdr:row>67</xdr:row>
      <xdr:rowOff>103905</xdr:rowOff>
    </xdr:from>
    <xdr:to>
      <xdr:col>12</xdr:col>
      <xdr:colOff>166255</xdr:colOff>
      <xdr:row>97</xdr:row>
      <xdr:rowOff>124686</xdr:rowOff>
    </xdr:to>
    <xdr:grpSp>
      <xdr:nvGrpSpPr>
        <xdr:cNvPr id="175" name="Group 174">
          <a:extLst>
            <a:ext uri="{FF2B5EF4-FFF2-40B4-BE49-F238E27FC236}">
              <a16:creationId xmlns:a16="http://schemas.microsoft.com/office/drawing/2014/main" id="{1FD22138-4517-C97F-A2DC-7C0FAA8F4886}"/>
            </a:ext>
          </a:extLst>
        </xdr:cNvPr>
        <xdr:cNvGrpSpPr/>
      </xdr:nvGrpSpPr>
      <xdr:grpSpPr>
        <a:xfrm>
          <a:off x="55918" y="17248905"/>
          <a:ext cx="7764973" cy="5735781"/>
          <a:chOff x="55918" y="7637320"/>
          <a:chExt cx="8284519" cy="5735781"/>
        </a:xfrm>
      </xdr:grpSpPr>
      <xdr:graphicFrame macro="">
        <xdr:nvGraphicFramePr>
          <xdr:cNvPr id="7" name="Chart 6">
            <a:extLst>
              <a:ext uri="{FF2B5EF4-FFF2-40B4-BE49-F238E27FC236}">
                <a16:creationId xmlns:a16="http://schemas.microsoft.com/office/drawing/2014/main" id="{16C67947-1661-4757-A42A-74925BC115DF}"/>
              </a:ext>
            </a:extLst>
          </xdr:cNvPr>
          <xdr:cNvGraphicFramePr>
            <a:graphicFrameLocks/>
          </xdr:cNvGraphicFramePr>
        </xdr:nvGraphicFramePr>
        <xdr:xfrm>
          <a:off x="941295" y="8178663"/>
          <a:ext cx="7399142" cy="3261728"/>
        </xdr:xfrm>
        <a:graphic>
          <a:graphicData uri="http://schemas.openxmlformats.org/drawingml/2006/chart">
            <c:chart xmlns:c="http://schemas.openxmlformats.org/drawingml/2006/chart" xmlns:r="http://schemas.openxmlformats.org/officeDocument/2006/relationships" r:id="rId20"/>
          </a:graphicData>
        </a:graphic>
      </xdr:graphicFrame>
      <xdr:sp macro="" textlink="">
        <xdr:nvSpPr>
          <xdr:cNvPr id="9" name="Rectangle: Rounded Corners 8">
            <a:extLst>
              <a:ext uri="{FF2B5EF4-FFF2-40B4-BE49-F238E27FC236}">
                <a16:creationId xmlns:a16="http://schemas.microsoft.com/office/drawing/2014/main" id="{C0666125-EC39-9B73-007A-4ED0B68C529F}"/>
              </a:ext>
            </a:extLst>
          </xdr:cNvPr>
          <xdr:cNvSpPr/>
        </xdr:nvSpPr>
        <xdr:spPr>
          <a:xfrm>
            <a:off x="1950029" y="7637320"/>
            <a:ext cx="5243941" cy="471054"/>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kern="1200" baseline="0">
                <a:latin typeface="Times New Roman" panose="02020603050405020304" pitchFamily="18" charset="0"/>
                <a:cs typeface="Times New Roman" panose="02020603050405020304" pitchFamily="18" charset="0"/>
              </a:rPr>
              <a:t>KR02 BÁO CÁO CÔNG TÁC BDĐK </a:t>
            </a:r>
            <a:endParaRPr lang="en-US" sz="1600" b="1" kern="1200">
              <a:latin typeface="Times New Roman" panose="02020603050405020304" pitchFamily="18" charset="0"/>
              <a:cs typeface="Times New Roman" panose="02020603050405020304" pitchFamily="18" charset="0"/>
            </a:endParaRPr>
          </a:p>
        </xdr:txBody>
      </xdr:sp>
      <xdr:pic>
        <xdr:nvPicPr>
          <xdr:cNvPr id="11" name="Picture 10" descr="Schedule Generic color lineal-color icon">
            <a:extLst>
              <a:ext uri="{FF2B5EF4-FFF2-40B4-BE49-F238E27FC236}">
                <a16:creationId xmlns:a16="http://schemas.microsoft.com/office/drawing/2014/main" id="{AA5C59BC-4413-2F86-1D27-FF4D277342B2}"/>
              </a:ext>
            </a:extLst>
          </xdr:cNvPr>
          <xdr:cNvPicPr>
            <a:picLocks noChangeAspect="1" noChangeArrowheads="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a:fillRect/>
          </a:stretch>
        </xdr:blipFill>
        <xdr:spPr bwMode="auto">
          <a:xfrm>
            <a:off x="55918" y="9199632"/>
            <a:ext cx="970986" cy="990487"/>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00" name="Rectangle: Rounded Corners 99">
            <a:extLst>
              <a:ext uri="{FF2B5EF4-FFF2-40B4-BE49-F238E27FC236}">
                <a16:creationId xmlns:a16="http://schemas.microsoft.com/office/drawing/2014/main" id="{76ABC15E-1662-CAEB-4E77-1BAA720FD6B2}"/>
              </a:ext>
            </a:extLst>
          </xdr:cNvPr>
          <xdr:cNvSpPr/>
        </xdr:nvSpPr>
        <xdr:spPr>
          <a:xfrm>
            <a:off x="710047" y="11565082"/>
            <a:ext cx="7232071" cy="1808019"/>
          </a:xfrm>
          <a:prstGeom prst="roundRect">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800" b="1" i="0">
                <a:solidFill>
                  <a:srgbClr val="FF0000"/>
                </a:solidFill>
                <a:effectLst/>
                <a:latin typeface="Times New Roman" panose="02020603050405020304" pitchFamily="18" charset="0"/>
                <a:ea typeface="+mn-ea"/>
                <a:cs typeface="Times New Roman" panose="02020603050405020304" pitchFamily="18" charset="0"/>
              </a:rPr>
              <a:t>* Đội</a:t>
            </a:r>
            <a:r>
              <a:rPr lang="en-US" sz="1800" b="1" i="0" baseline="0">
                <a:solidFill>
                  <a:srgbClr val="FF0000"/>
                </a:solidFill>
                <a:effectLst/>
                <a:latin typeface="Times New Roman" panose="02020603050405020304" pitchFamily="18" charset="0"/>
                <a:ea typeface="+mn-ea"/>
                <a:cs typeface="Times New Roman" panose="02020603050405020304" pitchFamily="18" charset="0"/>
              </a:rPr>
              <a:t> TBCH</a:t>
            </a:r>
            <a:r>
              <a:rPr lang="vi-VN" sz="1800" b="1" i="0">
                <a:solidFill>
                  <a:srgbClr val="FF0000"/>
                </a:solidFill>
                <a:effectLst/>
                <a:latin typeface="Times New Roman" panose="02020603050405020304" pitchFamily="18" charset="0"/>
                <a:ea typeface="+mn-ea"/>
                <a:cs typeface="Times New Roman" panose="02020603050405020304" pitchFamily="18" charset="0"/>
              </a:rPr>
              <a:t> </a:t>
            </a:r>
          </a:p>
          <a:p>
            <a:pPr algn="l"/>
            <a:r>
              <a:rPr lang="en-US" sz="1800" b="0" i="0">
                <a:solidFill>
                  <a:schemeClr val="tx1"/>
                </a:solidFill>
                <a:effectLst/>
                <a:latin typeface="Times New Roman" panose="02020603050405020304" pitchFamily="18" charset="0"/>
                <a:ea typeface="+mn-ea"/>
                <a:cs typeface="Times New Roman" panose="02020603050405020304" pitchFamily="18" charset="0"/>
              </a:rPr>
              <a:t>Các</a:t>
            </a:r>
            <a:r>
              <a:rPr lang="en-US" sz="1800" b="0" i="0" baseline="0">
                <a:solidFill>
                  <a:schemeClr val="tx1"/>
                </a:solidFill>
                <a:effectLst/>
                <a:latin typeface="Times New Roman" panose="02020603050405020304" pitchFamily="18" charset="0"/>
                <a:ea typeface="+mn-ea"/>
                <a:cs typeface="Times New Roman" panose="02020603050405020304" pitchFamily="18" charset="0"/>
              </a:rPr>
              <a:t> hạng mục còn lại sẽ hoàn thành đến cuối tháng</a:t>
            </a:r>
            <a:endParaRPr lang="en-US" sz="1800" b="0" i="0">
              <a:solidFill>
                <a:schemeClr val="tx1"/>
              </a:solidFill>
              <a:effectLst/>
              <a:latin typeface="Times New Roman" panose="02020603050405020304" pitchFamily="18" charset="0"/>
              <a:ea typeface="+mn-ea"/>
              <a:cs typeface="Times New Roman" panose="02020603050405020304" pitchFamily="18" charset="0"/>
            </a:endParaRPr>
          </a:p>
          <a:p>
            <a:pPr algn="l"/>
            <a:r>
              <a:rPr lang="en-US" sz="1800" b="1" i="0">
                <a:solidFill>
                  <a:srgbClr val="FF0000"/>
                </a:solidFill>
                <a:effectLst/>
                <a:latin typeface="Times New Roman" panose="02020603050405020304" pitchFamily="18" charset="0"/>
                <a:ea typeface="+mn-ea"/>
                <a:cs typeface="Times New Roman" panose="02020603050405020304" pitchFamily="18" charset="0"/>
              </a:rPr>
              <a:t>* Đội</a:t>
            </a:r>
            <a:r>
              <a:rPr lang="en-US" sz="1800" b="1" i="0" baseline="0">
                <a:solidFill>
                  <a:srgbClr val="FF0000"/>
                </a:solidFill>
                <a:effectLst/>
                <a:latin typeface="Times New Roman" panose="02020603050405020304" pitchFamily="18" charset="0"/>
                <a:ea typeface="+mn-ea"/>
                <a:cs typeface="Times New Roman" panose="02020603050405020304" pitchFamily="18" charset="0"/>
              </a:rPr>
              <a:t> TBĐ</a:t>
            </a:r>
          </a:p>
          <a:p>
            <a:pPr algn="l"/>
            <a:r>
              <a:rPr lang="vi-VN" sz="1800" b="0" i="0">
                <a:solidFill>
                  <a:schemeClr val="tx1"/>
                </a:solidFill>
                <a:effectLst/>
                <a:latin typeface="Times New Roman" panose="02020603050405020304" pitchFamily="18" charset="0"/>
                <a:ea typeface="+mn-ea"/>
                <a:cs typeface="Times New Roman" panose="02020603050405020304" pitchFamily="18" charset="0"/>
              </a:rPr>
              <a:t>Các hạng mục còn lại sẽ hoàn thành đến cuối tháng</a:t>
            </a:r>
          </a:p>
        </xdr:txBody>
      </xdr:sp>
    </xdr:grpSp>
    <xdr:clientData/>
  </xdr:twoCellAnchor>
  <xdr:twoCellAnchor editAs="oneCell">
    <xdr:from>
      <xdr:col>11</xdr:col>
      <xdr:colOff>231200</xdr:colOff>
      <xdr:row>89</xdr:row>
      <xdr:rowOff>50884</xdr:rowOff>
    </xdr:from>
    <xdr:to>
      <xdr:col>13</xdr:col>
      <xdr:colOff>451488</xdr:colOff>
      <xdr:row>100</xdr:row>
      <xdr:rowOff>125752</xdr:rowOff>
    </xdr:to>
    <xdr:pic>
      <xdr:nvPicPr>
        <xdr:cNvPr id="133" name="Picture 132" descr="Sản phẩm - Phân bón Cà Mau">
          <a:extLst>
            <a:ext uri="{FF2B5EF4-FFF2-40B4-BE49-F238E27FC236}">
              <a16:creationId xmlns:a16="http://schemas.microsoft.com/office/drawing/2014/main" id="{D967398D-BADF-091A-3496-F1B140B37F8C}"/>
            </a:ext>
          </a:extLst>
        </xdr:cNvPr>
        <xdr:cNvPicPr>
          <a:picLocks noChangeAspect="1" noChangeArrowheads="1"/>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a:stretch>
          <a:fillRect/>
        </a:stretch>
      </xdr:blipFill>
      <xdr:spPr bwMode="auto">
        <a:xfrm>
          <a:off x="7799245" y="20936611"/>
          <a:ext cx="1432561" cy="21703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277090</xdr:colOff>
      <xdr:row>62</xdr:row>
      <xdr:rowOff>173177</xdr:rowOff>
    </xdr:from>
    <xdr:to>
      <xdr:col>26</xdr:col>
      <xdr:colOff>415636</xdr:colOff>
      <xdr:row>66</xdr:row>
      <xdr:rowOff>51950</xdr:rowOff>
    </xdr:to>
    <xdr:sp macro="" textlink="">
      <xdr:nvSpPr>
        <xdr:cNvPr id="231" name="Rectangle: Rounded Corners 230">
          <a:extLst>
            <a:ext uri="{FF2B5EF4-FFF2-40B4-BE49-F238E27FC236}">
              <a16:creationId xmlns:a16="http://schemas.microsoft.com/office/drawing/2014/main" id="{B806A2B1-D3C4-3731-21FE-97A53319D70F}"/>
            </a:ext>
          </a:extLst>
        </xdr:cNvPr>
        <xdr:cNvSpPr/>
      </xdr:nvSpPr>
      <xdr:spPr>
        <a:xfrm>
          <a:off x="277090" y="13109859"/>
          <a:ext cx="16798637" cy="640773"/>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tx1"/>
              </a:solidFill>
              <a:latin typeface="Times New Roman" panose="02020603050405020304" pitchFamily="18" charset="0"/>
              <a:cs typeface="Times New Roman" panose="02020603050405020304" pitchFamily="18" charset="0"/>
            </a:rPr>
            <a:t>O2: Đảm bảo tính ổn định của thiết bị điều</a:t>
          </a:r>
          <a:r>
            <a:rPr lang="en-US" sz="2400" b="1" baseline="0">
              <a:solidFill>
                <a:schemeClr val="tx1"/>
              </a:solidFill>
              <a:latin typeface="Times New Roman" panose="02020603050405020304" pitchFamily="18" charset="0"/>
              <a:cs typeface="Times New Roman" panose="02020603050405020304" pitchFamily="18" charset="0"/>
            </a:rPr>
            <a:t> khiển</a:t>
          </a:r>
          <a:r>
            <a:rPr lang="en-US" sz="2400" b="1">
              <a:solidFill>
                <a:schemeClr val="tx1"/>
              </a:solidFill>
              <a:latin typeface="Times New Roman" panose="02020603050405020304" pitchFamily="18" charset="0"/>
              <a:cs typeface="Times New Roman" panose="02020603050405020304" pitchFamily="18" charset="0"/>
            </a:rPr>
            <a:t> - Mục</a:t>
          </a:r>
          <a:r>
            <a:rPr lang="en-US" sz="2400" b="1" baseline="0">
              <a:solidFill>
                <a:schemeClr val="tx1"/>
              </a:solidFill>
              <a:latin typeface="Times New Roman" panose="02020603050405020304" pitchFamily="18" charset="0"/>
              <a:cs typeface="Times New Roman" panose="02020603050405020304" pitchFamily="18" charset="0"/>
            </a:rPr>
            <a:t> tiêu: </a:t>
          </a:r>
          <a:r>
            <a:rPr lang="en-US" sz="2400" b="1">
              <a:solidFill>
                <a:schemeClr val="tx1"/>
              </a:solidFill>
              <a:latin typeface="Times New Roman" panose="02020603050405020304" pitchFamily="18" charset="0"/>
              <a:cs typeface="Times New Roman" panose="02020603050405020304" pitchFamily="18" charset="0"/>
            </a:rPr>
            <a:t>≤ 0,0 giờ - Kết</a:t>
          </a:r>
          <a:r>
            <a:rPr lang="en-US" sz="2400" b="1" baseline="0">
              <a:solidFill>
                <a:schemeClr val="tx1"/>
              </a:solidFill>
              <a:latin typeface="Times New Roman" panose="02020603050405020304" pitchFamily="18" charset="0"/>
              <a:cs typeface="Times New Roman" panose="02020603050405020304" pitchFamily="18" charset="0"/>
            </a:rPr>
            <a:t> quả: 0,0 giờ (Theo b/c ĐTSC) </a:t>
          </a:r>
          <a:endParaRPr lang="en-US" sz="24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329045</xdr:colOff>
      <xdr:row>33</xdr:row>
      <xdr:rowOff>129886</xdr:rowOff>
    </xdr:from>
    <xdr:to>
      <xdr:col>26</xdr:col>
      <xdr:colOff>467591</xdr:colOff>
      <xdr:row>37</xdr:row>
      <xdr:rowOff>8659</xdr:rowOff>
    </xdr:to>
    <xdr:sp macro="" textlink="">
      <xdr:nvSpPr>
        <xdr:cNvPr id="232" name="Rectangle: Rounded Corners 231">
          <a:extLst>
            <a:ext uri="{FF2B5EF4-FFF2-40B4-BE49-F238E27FC236}">
              <a16:creationId xmlns:a16="http://schemas.microsoft.com/office/drawing/2014/main" id="{7E1D51F0-562F-E59A-EF29-8A9AB28DBD99}"/>
            </a:ext>
          </a:extLst>
        </xdr:cNvPr>
        <xdr:cNvSpPr/>
      </xdr:nvSpPr>
      <xdr:spPr>
        <a:xfrm>
          <a:off x="329045" y="10964141"/>
          <a:ext cx="16736291" cy="613063"/>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tx1"/>
              </a:solidFill>
              <a:latin typeface="Times New Roman" panose="02020603050405020304" pitchFamily="18" charset="0"/>
              <a:cs typeface="Times New Roman" panose="02020603050405020304" pitchFamily="18" charset="0"/>
            </a:rPr>
            <a:t>O1: K</a:t>
          </a:r>
          <a:r>
            <a:rPr lang="vi-VN" sz="2400" b="1">
              <a:solidFill>
                <a:schemeClr val="tx1"/>
              </a:solidFill>
              <a:latin typeface="Times New Roman" panose="02020603050405020304" pitchFamily="18" charset="0"/>
              <a:cs typeface="Times New Roman" panose="02020603050405020304" pitchFamily="18" charset="0"/>
            </a:rPr>
            <a:t>hông có Sự cố gây dừng máy hay mất sản lượng do lỗi chủ quan của con người</a:t>
          </a:r>
          <a:r>
            <a:rPr lang="en-US" sz="2400" b="1">
              <a:solidFill>
                <a:schemeClr val="tx1"/>
              </a:solidFill>
              <a:latin typeface="Times New Roman" panose="02020603050405020304" pitchFamily="18" charset="0"/>
              <a:cs typeface="Times New Roman" panose="02020603050405020304" pitchFamily="18" charset="0"/>
            </a:rPr>
            <a:t> - Mục</a:t>
          </a:r>
          <a:r>
            <a:rPr lang="en-US" sz="2400" b="1" baseline="0">
              <a:solidFill>
                <a:schemeClr val="tx1"/>
              </a:solidFill>
              <a:latin typeface="Times New Roman" panose="02020603050405020304" pitchFamily="18" charset="0"/>
              <a:cs typeface="Times New Roman" panose="02020603050405020304" pitchFamily="18" charset="0"/>
            </a:rPr>
            <a:t> tiêu: 0 vụ - Kết quả: 0 vụ</a:t>
          </a:r>
          <a:endParaRPr lang="en-US" sz="24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266699</xdr:colOff>
      <xdr:row>145</xdr:row>
      <xdr:rowOff>162786</xdr:rowOff>
    </xdr:from>
    <xdr:to>
      <xdr:col>26</xdr:col>
      <xdr:colOff>405245</xdr:colOff>
      <xdr:row>149</xdr:row>
      <xdr:rowOff>51949</xdr:rowOff>
    </xdr:to>
    <xdr:sp macro="" textlink="">
      <xdr:nvSpPr>
        <xdr:cNvPr id="233" name="Rectangle: Rounded Corners 232">
          <a:extLst>
            <a:ext uri="{FF2B5EF4-FFF2-40B4-BE49-F238E27FC236}">
              <a16:creationId xmlns:a16="http://schemas.microsoft.com/office/drawing/2014/main" id="{8FE99E55-CB88-424C-8CEE-2992F83ABFD5}"/>
            </a:ext>
          </a:extLst>
        </xdr:cNvPr>
        <xdr:cNvSpPr/>
      </xdr:nvSpPr>
      <xdr:spPr>
        <a:xfrm>
          <a:off x="266699" y="31183113"/>
          <a:ext cx="16764001" cy="609600"/>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tx1"/>
              </a:solidFill>
              <a:latin typeface="Times New Roman" panose="02020603050405020304" pitchFamily="18" charset="0"/>
              <a:cs typeface="Times New Roman" panose="02020603050405020304" pitchFamily="18" charset="0"/>
            </a:rPr>
            <a:t>O3: </a:t>
          </a:r>
          <a:r>
            <a:rPr lang="vi-VN" sz="2400" b="1">
              <a:solidFill>
                <a:schemeClr val="tx1"/>
              </a:solidFill>
              <a:latin typeface="Times New Roman" panose="02020603050405020304" pitchFamily="18" charset="0"/>
              <a:cs typeface="Times New Roman" panose="02020603050405020304" pitchFamily="18" charset="0"/>
            </a:rPr>
            <a:t>Không có tai nạn và sự cố liên quan đến an toàn sức khỏe môi trường bị xử lý bởi cơ quan chức năng</a:t>
          </a:r>
          <a:endParaRPr lang="en-US" sz="24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277091</xdr:colOff>
      <xdr:row>44</xdr:row>
      <xdr:rowOff>138541</xdr:rowOff>
    </xdr:from>
    <xdr:to>
      <xdr:col>13</xdr:col>
      <xdr:colOff>17319</xdr:colOff>
      <xdr:row>48</xdr:row>
      <xdr:rowOff>72731</xdr:rowOff>
    </xdr:to>
    <xdr:sp macro="" textlink="">
      <xdr:nvSpPr>
        <xdr:cNvPr id="272" name="Rectangle: Rounded Corners 271">
          <a:extLst>
            <a:ext uri="{FF2B5EF4-FFF2-40B4-BE49-F238E27FC236}">
              <a16:creationId xmlns:a16="http://schemas.microsoft.com/office/drawing/2014/main" id="{41865857-62AE-470C-84FA-3C90DBDD87B2}"/>
            </a:ext>
          </a:extLst>
        </xdr:cNvPr>
        <xdr:cNvSpPr/>
      </xdr:nvSpPr>
      <xdr:spPr>
        <a:xfrm>
          <a:off x="277091" y="9646223"/>
          <a:ext cx="8520546" cy="696190"/>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1" kern="1200" baseline="0">
              <a:solidFill>
                <a:schemeClr val="tx1"/>
              </a:solidFill>
              <a:latin typeface="Times New Roman" panose="02020603050405020304" pitchFamily="18" charset="0"/>
              <a:cs typeface="Times New Roman" panose="02020603050405020304" pitchFamily="18" charset="0"/>
            </a:rPr>
            <a:t>KR01 </a:t>
          </a:r>
          <a:r>
            <a:rPr lang="vi-VN" sz="2000" b="1" kern="1200" baseline="0">
              <a:solidFill>
                <a:schemeClr val="tx1"/>
              </a:solidFill>
              <a:latin typeface="Times New Roman" panose="02020603050405020304" pitchFamily="18" charset="0"/>
              <a:cs typeface="Times New Roman" panose="02020603050405020304" pitchFamily="18" charset="0"/>
            </a:rPr>
            <a:t>Đảm bảo công tác BD có kế hoạch có đầy đủ hướng dẫn</a:t>
          </a:r>
          <a:endParaRPr lang="en-US" sz="2000" b="1" kern="120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277091</xdr:colOff>
      <xdr:row>49</xdr:row>
      <xdr:rowOff>121223</xdr:rowOff>
    </xdr:from>
    <xdr:to>
      <xdr:col>12</xdr:col>
      <xdr:colOff>588819</xdr:colOff>
      <xdr:row>55</xdr:row>
      <xdr:rowOff>51951</xdr:rowOff>
    </xdr:to>
    <xdr:sp macro="" textlink="">
      <xdr:nvSpPr>
        <xdr:cNvPr id="273" name="Rectangle: Rounded Corners 272">
          <a:extLst>
            <a:ext uri="{FF2B5EF4-FFF2-40B4-BE49-F238E27FC236}">
              <a16:creationId xmlns:a16="http://schemas.microsoft.com/office/drawing/2014/main" id="{2BAFBAC4-70D4-407D-4F88-6EADBE387DB9}"/>
            </a:ext>
          </a:extLst>
        </xdr:cNvPr>
        <xdr:cNvSpPr/>
      </xdr:nvSpPr>
      <xdr:spPr>
        <a:xfrm>
          <a:off x="277091" y="10581405"/>
          <a:ext cx="8485910" cy="1073728"/>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1" kern="1200" baseline="0">
              <a:solidFill>
                <a:schemeClr val="tx1"/>
              </a:solidFill>
              <a:latin typeface="Times New Roman" panose="02020603050405020304" pitchFamily="18" charset="0"/>
              <a:cs typeface="Times New Roman" panose="02020603050405020304" pitchFamily="18" charset="0"/>
            </a:rPr>
            <a:t>KR02 </a:t>
          </a:r>
          <a:r>
            <a:rPr lang="vi-VN" sz="2000" b="1" kern="1200" baseline="0">
              <a:solidFill>
                <a:schemeClr val="tx1"/>
              </a:solidFill>
              <a:latin typeface="Times New Roman" panose="02020603050405020304" pitchFamily="18" charset="0"/>
              <a:cs typeface="Times New Roman" panose="02020603050405020304" pitchFamily="18" charset="0"/>
            </a:rPr>
            <a:t>Đảm bảo công tác sửa chữa đột xuất có nhận diện mối nguy và ĐGRR đối với hạng mục có mối nguy ảnh hưởng đến giảm tải, gián đoạn sản xuất</a:t>
          </a:r>
          <a:endParaRPr lang="en-US" sz="2000" b="1" kern="120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277091</xdr:colOff>
      <xdr:row>56</xdr:row>
      <xdr:rowOff>51951</xdr:rowOff>
    </xdr:from>
    <xdr:to>
      <xdr:col>12</xdr:col>
      <xdr:colOff>588819</xdr:colOff>
      <xdr:row>61</xdr:row>
      <xdr:rowOff>173179</xdr:rowOff>
    </xdr:to>
    <xdr:sp macro="" textlink="">
      <xdr:nvSpPr>
        <xdr:cNvPr id="274" name="Rectangle: Rounded Corners 273">
          <a:extLst>
            <a:ext uri="{FF2B5EF4-FFF2-40B4-BE49-F238E27FC236}">
              <a16:creationId xmlns:a16="http://schemas.microsoft.com/office/drawing/2014/main" id="{8DADAF17-FD57-18AA-8010-481DCF10D57F}"/>
            </a:ext>
          </a:extLst>
        </xdr:cNvPr>
        <xdr:cNvSpPr/>
      </xdr:nvSpPr>
      <xdr:spPr>
        <a:xfrm>
          <a:off x="277091" y="11845633"/>
          <a:ext cx="8485910" cy="1073728"/>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1" kern="1200" baseline="0">
              <a:solidFill>
                <a:schemeClr val="tx1"/>
              </a:solidFill>
              <a:latin typeface="Times New Roman" panose="02020603050405020304" pitchFamily="18" charset="0"/>
              <a:cs typeface="Times New Roman" panose="02020603050405020304" pitchFamily="18" charset="0"/>
            </a:rPr>
            <a:t>KR03 </a:t>
          </a:r>
          <a:r>
            <a:rPr lang="vi-VN" sz="2000" b="1" kern="1200" baseline="0">
              <a:solidFill>
                <a:schemeClr val="tx1"/>
              </a:solidFill>
              <a:latin typeface="Times New Roman" panose="02020603050405020304" pitchFamily="18" charset="0"/>
              <a:cs typeface="Times New Roman" panose="02020603050405020304" pitchFamily="18" charset="0"/>
            </a:rPr>
            <a:t>Đảm bảo công tác lắp đặt cải tiến cải tạo có nhận diện mối nguy và ĐGRR đối với hạng mục có mối nguy</a:t>
          </a:r>
          <a:endParaRPr lang="en-US" sz="2000" b="1" kern="120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14</xdr:col>
      <xdr:colOff>138546</xdr:colOff>
      <xdr:row>39</xdr:row>
      <xdr:rowOff>0</xdr:rowOff>
    </xdr:from>
    <xdr:to>
      <xdr:col>15</xdr:col>
      <xdr:colOff>290754</xdr:colOff>
      <xdr:row>43</xdr:row>
      <xdr:rowOff>161565</xdr:rowOff>
    </xdr:to>
    <xdr:pic>
      <xdr:nvPicPr>
        <xdr:cNvPr id="275" name="Picture 274" descr="S7-400/S7-400H/S7-400F/FH - SiePortal - Siemens Poland">
          <a:extLst>
            <a:ext uri="{FF2B5EF4-FFF2-40B4-BE49-F238E27FC236}">
              <a16:creationId xmlns:a16="http://schemas.microsoft.com/office/drawing/2014/main" id="{03D026C4-6154-48AA-85A3-BCDC5545393E}"/>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9525001" y="8555182"/>
          <a:ext cx="758344" cy="9235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16</xdr:col>
      <xdr:colOff>357652</xdr:colOff>
      <xdr:row>39</xdr:row>
      <xdr:rowOff>66146</xdr:rowOff>
    </xdr:from>
    <xdr:to>
      <xdr:col>17</xdr:col>
      <xdr:colOff>589995</xdr:colOff>
      <xdr:row>43</xdr:row>
      <xdr:rowOff>76177</xdr:rowOff>
    </xdr:to>
    <xdr:pic>
      <xdr:nvPicPr>
        <xdr:cNvPr id="276" name="Picture 275" descr="3051TG4A2B21BK8M5 | Rosemount 3051 Series Pressure Sensor, -1bar Min,  276bar Max, 4 → 20 mA, Hart Output, Absolute, Differential, | RS">
          <a:extLst>
            <a:ext uri="{FF2B5EF4-FFF2-40B4-BE49-F238E27FC236}">
              <a16:creationId xmlns:a16="http://schemas.microsoft.com/office/drawing/2014/main" id="{7748C21C-4ADA-4CFA-840F-CF65F3327078}"/>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0956379" y="8621328"/>
          <a:ext cx="838480" cy="7720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18</xdr:col>
      <xdr:colOff>564343</xdr:colOff>
      <xdr:row>39</xdr:row>
      <xdr:rowOff>26824</xdr:rowOff>
    </xdr:from>
    <xdr:to>
      <xdr:col>20</xdr:col>
      <xdr:colOff>221839</xdr:colOff>
      <xdr:row>43</xdr:row>
      <xdr:rowOff>109614</xdr:rowOff>
    </xdr:to>
    <xdr:pic>
      <xdr:nvPicPr>
        <xdr:cNvPr id="277" name="Picture 276" descr="Fisher Easy-E ES Control Valve at best price in Pune by Emerson | ID:  15901586355">
          <a:extLst>
            <a:ext uri="{FF2B5EF4-FFF2-40B4-BE49-F238E27FC236}">
              <a16:creationId xmlns:a16="http://schemas.microsoft.com/office/drawing/2014/main" id="{755DA72A-B3A7-4FBB-9BFC-90CDAC507F1B}"/>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2375343" y="8582006"/>
          <a:ext cx="869769" cy="844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21</xdr:col>
      <xdr:colOff>51955</xdr:colOff>
      <xdr:row>39</xdr:row>
      <xdr:rowOff>103908</xdr:rowOff>
    </xdr:from>
    <xdr:to>
      <xdr:col>23</xdr:col>
      <xdr:colOff>415637</xdr:colOff>
      <xdr:row>43</xdr:row>
      <xdr:rowOff>173181</xdr:rowOff>
    </xdr:to>
    <xdr:sp macro="" textlink="">
      <xdr:nvSpPr>
        <xdr:cNvPr id="279" name="Oval 278">
          <a:extLst>
            <a:ext uri="{FF2B5EF4-FFF2-40B4-BE49-F238E27FC236}">
              <a16:creationId xmlns:a16="http://schemas.microsoft.com/office/drawing/2014/main" id="{A056E21E-9BB8-D330-6276-217AA46C8742}"/>
            </a:ext>
          </a:extLst>
        </xdr:cNvPr>
        <xdr:cNvSpPr/>
      </xdr:nvSpPr>
      <xdr:spPr>
        <a:xfrm>
          <a:off x="13681364" y="8659090"/>
          <a:ext cx="1575955" cy="831273"/>
        </a:xfrm>
        <a:prstGeom prst="ellipse">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400" b="1">
              <a:solidFill>
                <a:schemeClr val="bg1"/>
              </a:solidFill>
              <a:latin typeface="Times New Roman" panose="02020603050405020304" pitchFamily="18" charset="0"/>
              <a:cs typeface="Times New Roman" panose="02020603050405020304" pitchFamily="18" charset="0"/>
            </a:rPr>
            <a:t>TCĐK</a:t>
          </a:r>
        </a:p>
      </xdr:txBody>
    </xdr:sp>
    <xdr:clientData/>
  </xdr:twoCellAnchor>
  <xdr:twoCellAnchor>
    <xdr:from>
      <xdr:col>14</xdr:col>
      <xdr:colOff>138545</xdr:colOff>
      <xdr:row>44</xdr:row>
      <xdr:rowOff>155864</xdr:rowOff>
    </xdr:from>
    <xdr:to>
      <xdr:col>15</xdr:col>
      <xdr:colOff>204395</xdr:colOff>
      <xdr:row>48</xdr:row>
      <xdr:rowOff>8660</xdr:rowOff>
    </xdr:to>
    <xdr:sp macro="" textlink="">
      <xdr:nvSpPr>
        <xdr:cNvPr id="280" name="Oval 279">
          <a:extLst>
            <a:ext uri="{FF2B5EF4-FFF2-40B4-BE49-F238E27FC236}">
              <a16:creationId xmlns:a16="http://schemas.microsoft.com/office/drawing/2014/main" id="{5A25E639-588F-7F09-DFCF-5AD3B216BED9}"/>
            </a:ext>
          </a:extLst>
        </xdr:cNvPr>
        <xdr:cNvSpPr/>
      </xdr:nvSpPr>
      <xdr:spPr>
        <a:xfrm>
          <a:off x="9525000" y="11533909"/>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329046</xdr:colOff>
      <xdr:row>38</xdr:row>
      <xdr:rowOff>43295</xdr:rowOff>
    </xdr:from>
    <xdr:to>
      <xdr:col>1</xdr:col>
      <xdr:colOff>190500</xdr:colOff>
      <xdr:row>40</xdr:row>
      <xdr:rowOff>103909</xdr:rowOff>
    </xdr:to>
    <xdr:sp macro="" textlink="">
      <xdr:nvSpPr>
        <xdr:cNvPr id="292" name="Oval 291">
          <a:extLst>
            <a:ext uri="{FF2B5EF4-FFF2-40B4-BE49-F238E27FC236}">
              <a16:creationId xmlns:a16="http://schemas.microsoft.com/office/drawing/2014/main" id="{D6ECA440-FD08-B420-829E-872B733EA5E4}"/>
            </a:ext>
          </a:extLst>
        </xdr:cNvPr>
        <xdr:cNvSpPr/>
      </xdr:nvSpPr>
      <xdr:spPr>
        <a:xfrm>
          <a:off x="329046" y="8407977"/>
          <a:ext cx="467590" cy="441614"/>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311727</xdr:colOff>
      <xdr:row>41</xdr:row>
      <xdr:rowOff>43295</xdr:rowOff>
    </xdr:from>
    <xdr:to>
      <xdr:col>1</xdr:col>
      <xdr:colOff>173181</xdr:colOff>
      <xdr:row>43</xdr:row>
      <xdr:rowOff>103909</xdr:rowOff>
    </xdr:to>
    <xdr:sp macro="" textlink="">
      <xdr:nvSpPr>
        <xdr:cNvPr id="293" name="Oval 292">
          <a:extLst>
            <a:ext uri="{FF2B5EF4-FFF2-40B4-BE49-F238E27FC236}">
              <a16:creationId xmlns:a16="http://schemas.microsoft.com/office/drawing/2014/main" id="{636EB28F-D779-1C3B-33A2-4FC9E69D1CC2}"/>
            </a:ext>
          </a:extLst>
        </xdr:cNvPr>
        <xdr:cNvSpPr/>
      </xdr:nvSpPr>
      <xdr:spPr>
        <a:xfrm>
          <a:off x="311727" y="8979477"/>
          <a:ext cx="467590" cy="441614"/>
        </a:xfrm>
        <a:prstGeom prst="ellipse">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242454</xdr:colOff>
      <xdr:row>38</xdr:row>
      <xdr:rowOff>51955</xdr:rowOff>
    </xdr:from>
    <xdr:to>
      <xdr:col>5</xdr:col>
      <xdr:colOff>363681</xdr:colOff>
      <xdr:row>40</xdr:row>
      <xdr:rowOff>138546</xdr:rowOff>
    </xdr:to>
    <xdr:sp macro="" textlink="">
      <xdr:nvSpPr>
        <xdr:cNvPr id="294" name="Rectangle: Rounded Corners 293">
          <a:extLst>
            <a:ext uri="{FF2B5EF4-FFF2-40B4-BE49-F238E27FC236}">
              <a16:creationId xmlns:a16="http://schemas.microsoft.com/office/drawing/2014/main" id="{A4049171-5D5E-1EFF-83B6-BC607D63F738}"/>
            </a:ext>
          </a:extLst>
        </xdr:cNvPr>
        <xdr:cNvSpPr/>
      </xdr:nvSpPr>
      <xdr:spPr>
        <a:xfrm>
          <a:off x="848590" y="8416637"/>
          <a:ext cx="2545773" cy="467591"/>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a:solidFill>
                <a:sysClr val="windowText" lastClr="000000"/>
              </a:solidFill>
              <a:latin typeface="Times New Roman" panose="02020603050405020304" pitchFamily="18" charset="0"/>
              <a:cs typeface="Times New Roman" panose="02020603050405020304" pitchFamily="18" charset="0"/>
            </a:rPr>
            <a:t>Hoàn</a:t>
          </a:r>
          <a:r>
            <a:rPr lang="en-US" sz="2000" baseline="0">
              <a:solidFill>
                <a:sysClr val="windowText" lastClr="000000"/>
              </a:solidFill>
              <a:latin typeface="Times New Roman" panose="02020603050405020304" pitchFamily="18" charset="0"/>
              <a:cs typeface="Times New Roman" panose="02020603050405020304" pitchFamily="18" charset="0"/>
            </a:rPr>
            <a:t> thành</a:t>
          </a:r>
          <a:endParaRPr lang="en-US" sz="20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242454</xdr:colOff>
      <xdr:row>41</xdr:row>
      <xdr:rowOff>34637</xdr:rowOff>
    </xdr:from>
    <xdr:to>
      <xdr:col>6</xdr:col>
      <xdr:colOff>450273</xdr:colOff>
      <xdr:row>43</xdr:row>
      <xdr:rowOff>121228</xdr:rowOff>
    </xdr:to>
    <xdr:sp macro="" textlink="">
      <xdr:nvSpPr>
        <xdr:cNvPr id="295" name="Rectangle: Rounded Corners 294">
          <a:extLst>
            <a:ext uri="{FF2B5EF4-FFF2-40B4-BE49-F238E27FC236}">
              <a16:creationId xmlns:a16="http://schemas.microsoft.com/office/drawing/2014/main" id="{49496BB7-8750-1B0E-16AA-D0EF4EAD914D}"/>
            </a:ext>
          </a:extLst>
        </xdr:cNvPr>
        <xdr:cNvSpPr/>
      </xdr:nvSpPr>
      <xdr:spPr>
        <a:xfrm>
          <a:off x="848590" y="8970819"/>
          <a:ext cx="3238501" cy="467591"/>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aseline="0">
              <a:solidFill>
                <a:sysClr val="windowText" lastClr="000000"/>
              </a:solidFill>
              <a:latin typeface="Times New Roman" panose="02020603050405020304" pitchFamily="18" charset="0"/>
              <a:cs typeface="Times New Roman" panose="02020603050405020304" pitchFamily="18" charset="0"/>
            </a:rPr>
            <a:t>Không hoàn thành thành</a:t>
          </a:r>
          <a:endParaRPr lang="en-US" sz="20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277091</xdr:colOff>
      <xdr:row>29</xdr:row>
      <xdr:rowOff>242456</xdr:rowOff>
    </xdr:from>
    <xdr:to>
      <xdr:col>26</xdr:col>
      <xdr:colOff>519546</xdr:colOff>
      <xdr:row>32</xdr:row>
      <xdr:rowOff>294410</xdr:rowOff>
    </xdr:to>
    <xdr:sp macro="" textlink="">
      <xdr:nvSpPr>
        <xdr:cNvPr id="297" name="Rectangle: Rounded Corners 296">
          <a:extLst>
            <a:ext uri="{FF2B5EF4-FFF2-40B4-BE49-F238E27FC236}">
              <a16:creationId xmlns:a16="http://schemas.microsoft.com/office/drawing/2014/main" id="{D57E7F6E-5081-4D53-7D38-A26FB02F3D01}"/>
            </a:ext>
          </a:extLst>
        </xdr:cNvPr>
        <xdr:cNvSpPr/>
      </xdr:nvSpPr>
      <xdr:spPr>
        <a:xfrm>
          <a:off x="277091" y="8278092"/>
          <a:ext cx="16902546" cy="987136"/>
        </a:xfrm>
        <a:prstGeom prst="roundRect">
          <a:avLst>
            <a:gd name="adj" fmla="val 6667"/>
          </a:avLst>
        </a:prstGeom>
        <a:solidFill>
          <a:srgbClr val="FFFFFF"/>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kern="1200">
              <a:solidFill>
                <a:srgbClr val="FF0000"/>
              </a:solidFill>
              <a:latin typeface="Times New Roman" panose="02020603050405020304" pitchFamily="18" charset="0"/>
              <a:cs typeface="Times New Roman" panose="02020603050405020304" pitchFamily="18" charset="0"/>
            </a:rPr>
            <a:t>KHÔNG</a:t>
          </a:r>
          <a:r>
            <a:rPr lang="en-US" sz="2000" b="1" kern="1200" baseline="0">
              <a:solidFill>
                <a:srgbClr val="FF0000"/>
              </a:solidFill>
              <a:latin typeface="Times New Roman" panose="02020603050405020304" pitchFamily="18" charset="0"/>
              <a:cs typeface="Times New Roman" panose="02020603050405020304" pitchFamily="18" charset="0"/>
            </a:rPr>
            <a:t> có nhân sự vi phạm</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329045</xdr:colOff>
      <xdr:row>27</xdr:row>
      <xdr:rowOff>86589</xdr:rowOff>
    </xdr:from>
    <xdr:to>
      <xdr:col>26</xdr:col>
      <xdr:colOff>467591</xdr:colOff>
      <xdr:row>29</xdr:row>
      <xdr:rowOff>103908</xdr:rowOff>
    </xdr:to>
    <xdr:sp macro="" textlink="">
      <xdr:nvSpPr>
        <xdr:cNvPr id="298" name="Rectangle: Rounded Corners 297">
          <a:extLst>
            <a:ext uri="{FF2B5EF4-FFF2-40B4-BE49-F238E27FC236}">
              <a16:creationId xmlns:a16="http://schemas.microsoft.com/office/drawing/2014/main" id="{550181F1-7B1E-1628-FDE1-7D1485AA47F4}"/>
            </a:ext>
          </a:extLst>
        </xdr:cNvPr>
        <xdr:cNvSpPr/>
      </xdr:nvSpPr>
      <xdr:spPr>
        <a:xfrm>
          <a:off x="329045" y="7498771"/>
          <a:ext cx="16798637" cy="640773"/>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tx1"/>
              </a:solidFill>
              <a:latin typeface="Times New Roman" panose="02020603050405020304" pitchFamily="18" charset="0"/>
              <a:cs typeface="Times New Roman" panose="02020603050405020304" pitchFamily="18" charset="0"/>
            </a:rPr>
            <a:t>VI PHẠM</a:t>
          </a:r>
          <a:r>
            <a:rPr lang="en-US" sz="2400" b="1" baseline="0">
              <a:solidFill>
                <a:schemeClr val="tx1"/>
              </a:solidFill>
              <a:latin typeface="Times New Roman" panose="02020603050405020304" pitchFamily="18" charset="0"/>
              <a:cs typeface="Times New Roman" panose="02020603050405020304" pitchFamily="18" charset="0"/>
            </a:rPr>
            <a:t> QUY ĐỊNH CỦA NHÀ MÁY/ CÔNG TY</a:t>
          </a:r>
          <a:endParaRPr lang="en-US" sz="24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26</xdr:col>
      <xdr:colOff>588817</xdr:colOff>
      <xdr:row>169</xdr:row>
      <xdr:rowOff>58878</xdr:rowOff>
    </xdr:from>
    <xdr:to>
      <xdr:col>47</xdr:col>
      <xdr:colOff>155863</xdr:colOff>
      <xdr:row>172</xdr:row>
      <xdr:rowOff>117759</xdr:rowOff>
    </xdr:to>
    <xdr:sp macro="" textlink="">
      <xdr:nvSpPr>
        <xdr:cNvPr id="299" name="Rectangle: Rounded Corners 298">
          <a:extLst>
            <a:ext uri="{FF2B5EF4-FFF2-40B4-BE49-F238E27FC236}">
              <a16:creationId xmlns:a16="http://schemas.microsoft.com/office/drawing/2014/main" id="{0F986599-7381-E846-0EA3-D9602FB00F3B}"/>
            </a:ext>
          </a:extLst>
        </xdr:cNvPr>
        <xdr:cNvSpPr/>
      </xdr:nvSpPr>
      <xdr:spPr>
        <a:xfrm>
          <a:off x="17214272" y="35401823"/>
          <a:ext cx="12908973" cy="599209"/>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tx1"/>
              </a:solidFill>
              <a:latin typeface="Times New Roman" panose="02020603050405020304" pitchFamily="18" charset="0"/>
              <a:cs typeface="Times New Roman" panose="02020603050405020304" pitchFamily="18" charset="0"/>
            </a:rPr>
            <a:t>O6: </a:t>
          </a:r>
          <a:r>
            <a:rPr lang="vi-VN" sz="2400" b="1">
              <a:solidFill>
                <a:schemeClr val="tx1"/>
              </a:solidFill>
              <a:latin typeface="Times New Roman" panose="02020603050405020304" pitchFamily="18" charset="0"/>
              <a:cs typeface="Times New Roman" panose="02020603050405020304" pitchFamily="18" charset="0"/>
            </a:rPr>
            <a:t>Văn hóa doanh nghiệp</a:t>
          </a:r>
          <a:endParaRPr lang="en-US" sz="24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27</xdr:col>
      <xdr:colOff>121228</xdr:colOff>
      <xdr:row>33</xdr:row>
      <xdr:rowOff>129886</xdr:rowOff>
    </xdr:from>
    <xdr:to>
      <xdr:col>47</xdr:col>
      <xdr:colOff>363682</xdr:colOff>
      <xdr:row>37</xdr:row>
      <xdr:rowOff>8659</xdr:rowOff>
    </xdr:to>
    <xdr:sp macro="" textlink="">
      <xdr:nvSpPr>
        <xdr:cNvPr id="313" name="Rectangle: Rounded Corners 312">
          <a:extLst>
            <a:ext uri="{FF2B5EF4-FFF2-40B4-BE49-F238E27FC236}">
              <a16:creationId xmlns:a16="http://schemas.microsoft.com/office/drawing/2014/main" id="{758AC7FC-2037-C0F8-17DD-75C48D91200B}"/>
            </a:ext>
          </a:extLst>
        </xdr:cNvPr>
        <xdr:cNvSpPr/>
      </xdr:nvSpPr>
      <xdr:spPr>
        <a:xfrm>
          <a:off x="17342428" y="10964141"/>
          <a:ext cx="12960927" cy="613063"/>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tx1"/>
              </a:solidFill>
              <a:latin typeface="Times New Roman" panose="02020603050405020304" pitchFamily="18" charset="0"/>
              <a:cs typeface="Times New Roman" panose="02020603050405020304" pitchFamily="18" charset="0"/>
            </a:rPr>
            <a:t>O5: Triển khai các trụ cột TPM thuộc chuyên môn phụ trách </a:t>
          </a:r>
        </a:p>
      </xdr:txBody>
    </xdr:sp>
    <xdr:clientData/>
  </xdr:twoCellAnchor>
  <xdr:twoCellAnchor>
    <xdr:from>
      <xdr:col>16</xdr:col>
      <xdr:colOff>450273</xdr:colOff>
      <xdr:row>44</xdr:row>
      <xdr:rowOff>155864</xdr:rowOff>
    </xdr:from>
    <xdr:to>
      <xdr:col>17</xdr:col>
      <xdr:colOff>516122</xdr:colOff>
      <xdr:row>48</xdr:row>
      <xdr:rowOff>8660</xdr:rowOff>
    </xdr:to>
    <xdr:sp macro="" textlink="">
      <xdr:nvSpPr>
        <xdr:cNvPr id="314" name="Oval 313">
          <a:extLst>
            <a:ext uri="{FF2B5EF4-FFF2-40B4-BE49-F238E27FC236}">
              <a16:creationId xmlns:a16="http://schemas.microsoft.com/office/drawing/2014/main" id="{D1936B02-6372-5F09-5A44-44451323638C}"/>
            </a:ext>
          </a:extLst>
        </xdr:cNvPr>
        <xdr:cNvSpPr/>
      </xdr:nvSpPr>
      <xdr:spPr>
        <a:xfrm>
          <a:off x="11049000" y="11533909"/>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51955</xdr:colOff>
      <xdr:row>44</xdr:row>
      <xdr:rowOff>155864</xdr:rowOff>
    </xdr:from>
    <xdr:to>
      <xdr:col>20</xdr:col>
      <xdr:colOff>117804</xdr:colOff>
      <xdr:row>48</xdr:row>
      <xdr:rowOff>8660</xdr:rowOff>
    </xdr:to>
    <xdr:sp macro="" textlink="">
      <xdr:nvSpPr>
        <xdr:cNvPr id="315" name="Oval 314">
          <a:extLst>
            <a:ext uri="{FF2B5EF4-FFF2-40B4-BE49-F238E27FC236}">
              <a16:creationId xmlns:a16="http://schemas.microsoft.com/office/drawing/2014/main" id="{7B4A1946-5176-825A-3E72-8898F4AB7616}"/>
            </a:ext>
          </a:extLst>
        </xdr:cNvPr>
        <xdr:cNvSpPr/>
      </xdr:nvSpPr>
      <xdr:spPr>
        <a:xfrm>
          <a:off x="12469091" y="11533909"/>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138545</xdr:colOff>
      <xdr:row>50</xdr:row>
      <xdr:rowOff>155864</xdr:rowOff>
    </xdr:from>
    <xdr:to>
      <xdr:col>15</xdr:col>
      <xdr:colOff>204395</xdr:colOff>
      <xdr:row>54</xdr:row>
      <xdr:rowOff>8660</xdr:rowOff>
    </xdr:to>
    <xdr:sp macro="" textlink="">
      <xdr:nvSpPr>
        <xdr:cNvPr id="316" name="Oval 315">
          <a:extLst>
            <a:ext uri="{FF2B5EF4-FFF2-40B4-BE49-F238E27FC236}">
              <a16:creationId xmlns:a16="http://schemas.microsoft.com/office/drawing/2014/main" id="{A9D20B09-0354-C00C-5D4B-F82747937272}"/>
            </a:ext>
          </a:extLst>
        </xdr:cNvPr>
        <xdr:cNvSpPr/>
      </xdr:nvSpPr>
      <xdr:spPr>
        <a:xfrm>
          <a:off x="9525000" y="12676909"/>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450273</xdr:colOff>
      <xdr:row>50</xdr:row>
      <xdr:rowOff>155864</xdr:rowOff>
    </xdr:from>
    <xdr:to>
      <xdr:col>17</xdr:col>
      <xdr:colOff>516122</xdr:colOff>
      <xdr:row>54</xdr:row>
      <xdr:rowOff>8660</xdr:rowOff>
    </xdr:to>
    <xdr:sp macro="" textlink="">
      <xdr:nvSpPr>
        <xdr:cNvPr id="317" name="Oval 316">
          <a:extLst>
            <a:ext uri="{FF2B5EF4-FFF2-40B4-BE49-F238E27FC236}">
              <a16:creationId xmlns:a16="http://schemas.microsoft.com/office/drawing/2014/main" id="{9A4DB4D0-F68C-45DC-178E-45E7FE8B89B8}"/>
            </a:ext>
          </a:extLst>
        </xdr:cNvPr>
        <xdr:cNvSpPr/>
      </xdr:nvSpPr>
      <xdr:spPr>
        <a:xfrm>
          <a:off x="11049000" y="12676909"/>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51955</xdr:colOff>
      <xdr:row>50</xdr:row>
      <xdr:rowOff>155864</xdr:rowOff>
    </xdr:from>
    <xdr:to>
      <xdr:col>20</xdr:col>
      <xdr:colOff>117804</xdr:colOff>
      <xdr:row>54</xdr:row>
      <xdr:rowOff>8660</xdr:rowOff>
    </xdr:to>
    <xdr:sp macro="" textlink="">
      <xdr:nvSpPr>
        <xdr:cNvPr id="318" name="Oval 317">
          <a:extLst>
            <a:ext uri="{FF2B5EF4-FFF2-40B4-BE49-F238E27FC236}">
              <a16:creationId xmlns:a16="http://schemas.microsoft.com/office/drawing/2014/main" id="{A674C0CD-32EE-CB9D-DF6B-EED95F4AE5C7}"/>
            </a:ext>
          </a:extLst>
        </xdr:cNvPr>
        <xdr:cNvSpPr/>
      </xdr:nvSpPr>
      <xdr:spPr>
        <a:xfrm>
          <a:off x="12469091" y="12676909"/>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138545</xdr:colOff>
      <xdr:row>57</xdr:row>
      <xdr:rowOff>69273</xdr:rowOff>
    </xdr:from>
    <xdr:to>
      <xdr:col>15</xdr:col>
      <xdr:colOff>204395</xdr:colOff>
      <xdr:row>60</xdr:row>
      <xdr:rowOff>112569</xdr:rowOff>
    </xdr:to>
    <xdr:sp macro="" textlink="">
      <xdr:nvSpPr>
        <xdr:cNvPr id="319" name="Oval 318">
          <a:extLst>
            <a:ext uri="{FF2B5EF4-FFF2-40B4-BE49-F238E27FC236}">
              <a16:creationId xmlns:a16="http://schemas.microsoft.com/office/drawing/2014/main" id="{674D598E-366E-92B4-D299-018F2A262399}"/>
            </a:ext>
          </a:extLst>
        </xdr:cNvPr>
        <xdr:cNvSpPr/>
      </xdr:nvSpPr>
      <xdr:spPr>
        <a:xfrm>
          <a:off x="9525000" y="13923818"/>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450273</xdr:colOff>
      <xdr:row>57</xdr:row>
      <xdr:rowOff>69273</xdr:rowOff>
    </xdr:from>
    <xdr:to>
      <xdr:col>17</xdr:col>
      <xdr:colOff>516122</xdr:colOff>
      <xdr:row>60</xdr:row>
      <xdr:rowOff>112569</xdr:rowOff>
    </xdr:to>
    <xdr:sp macro="" textlink="">
      <xdr:nvSpPr>
        <xdr:cNvPr id="320" name="Oval 319">
          <a:extLst>
            <a:ext uri="{FF2B5EF4-FFF2-40B4-BE49-F238E27FC236}">
              <a16:creationId xmlns:a16="http://schemas.microsoft.com/office/drawing/2014/main" id="{E738B75D-D7B5-06DC-5066-CB30A48D0FF7}"/>
            </a:ext>
          </a:extLst>
        </xdr:cNvPr>
        <xdr:cNvSpPr/>
      </xdr:nvSpPr>
      <xdr:spPr>
        <a:xfrm>
          <a:off x="11049000" y="13923818"/>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51955</xdr:colOff>
      <xdr:row>57</xdr:row>
      <xdr:rowOff>69273</xdr:rowOff>
    </xdr:from>
    <xdr:to>
      <xdr:col>20</xdr:col>
      <xdr:colOff>117804</xdr:colOff>
      <xdr:row>60</xdr:row>
      <xdr:rowOff>112569</xdr:rowOff>
    </xdr:to>
    <xdr:sp macro="" textlink="">
      <xdr:nvSpPr>
        <xdr:cNvPr id="321" name="Oval 320">
          <a:extLst>
            <a:ext uri="{FF2B5EF4-FFF2-40B4-BE49-F238E27FC236}">
              <a16:creationId xmlns:a16="http://schemas.microsoft.com/office/drawing/2014/main" id="{FBA69C8F-350E-0EE9-D6D9-4D806167FE21}"/>
            </a:ext>
          </a:extLst>
        </xdr:cNvPr>
        <xdr:cNvSpPr/>
      </xdr:nvSpPr>
      <xdr:spPr>
        <a:xfrm>
          <a:off x="12469091" y="13923818"/>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424294</xdr:colOff>
      <xdr:row>50</xdr:row>
      <xdr:rowOff>155864</xdr:rowOff>
    </xdr:from>
    <xdr:to>
      <xdr:col>22</xdr:col>
      <xdr:colOff>490144</xdr:colOff>
      <xdr:row>54</xdr:row>
      <xdr:rowOff>8660</xdr:rowOff>
    </xdr:to>
    <xdr:sp macro="" textlink="">
      <xdr:nvSpPr>
        <xdr:cNvPr id="322" name="Oval 321">
          <a:extLst>
            <a:ext uri="{FF2B5EF4-FFF2-40B4-BE49-F238E27FC236}">
              <a16:creationId xmlns:a16="http://schemas.microsoft.com/office/drawing/2014/main" id="{A5314E65-A064-DA07-29EA-827DD82C69DB}"/>
            </a:ext>
          </a:extLst>
        </xdr:cNvPr>
        <xdr:cNvSpPr/>
      </xdr:nvSpPr>
      <xdr:spPr>
        <a:xfrm>
          <a:off x="13534158" y="14062364"/>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424294</xdr:colOff>
      <xdr:row>57</xdr:row>
      <xdr:rowOff>103910</xdr:rowOff>
    </xdr:from>
    <xdr:to>
      <xdr:col>22</xdr:col>
      <xdr:colOff>490144</xdr:colOff>
      <xdr:row>60</xdr:row>
      <xdr:rowOff>147206</xdr:rowOff>
    </xdr:to>
    <xdr:sp macro="" textlink="">
      <xdr:nvSpPr>
        <xdr:cNvPr id="323" name="Oval 322">
          <a:extLst>
            <a:ext uri="{FF2B5EF4-FFF2-40B4-BE49-F238E27FC236}">
              <a16:creationId xmlns:a16="http://schemas.microsoft.com/office/drawing/2014/main" id="{603B8B12-CD76-5AC3-897C-B209DD58C705}"/>
            </a:ext>
          </a:extLst>
        </xdr:cNvPr>
        <xdr:cNvSpPr/>
      </xdr:nvSpPr>
      <xdr:spPr>
        <a:xfrm>
          <a:off x="13534158" y="15343910"/>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28</xdr:col>
      <xdr:colOff>45027</xdr:colOff>
      <xdr:row>55</xdr:row>
      <xdr:rowOff>71101</xdr:rowOff>
    </xdr:from>
    <xdr:to>
      <xdr:col>36</xdr:col>
      <xdr:colOff>557643</xdr:colOff>
      <xdr:row>58</xdr:row>
      <xdr:rowOff>6925</xdr:rowOff>
    </xdr:to>
    <xdr:sp macro="" textlink="">
      <xdr:nvSpPr>
        <xdr:cNvPr id="328" name="Rectangle: Rounded Corners 327">
          <a:extLst>
            <a:ext uri="{FF2B5EF4-FFF2-40B4-BE49-F238E27FC236}">
              <a16:creationId xmlns:a16="http://schemas.microsoft.com/office/drawing/2014/main" id="{4CF4EB9E-CAF9-E358-D1E0-28870007F08B}"/>
            </a:ext>
          </a:extLst>
        </xdr:cNvPr>
        <xdr:cNvSpPr/>
      </xdr:nvSpPr>
      <xdr:spPr>
        <a:xfrm>
          <a:off x="17889682" y="14881610"/>
          <a:ext cx="5500252" cy="47615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baseline="0">
              <a:solidFill>
                <a:sysClr val="windowText" lastClr="000000"/>
              </a:solidFill>
              <a:latin typeface="Times New Roman" panose="02020603050405020304" pitchFamily="18" charset="0"/>
              <a:cs typeface="Times New Roman" panose="02020603050405020304" pitchFamily="18" charset="0"/>
            </a:rPr>
            <a:t>KR 3</a:t>
          </a:r>
          <a:r>
            <a:rPr lang="en-US" sz="2000" kern="1200" baseline="0">
              <a:solidFill>
                <a:sysClr val="windowText" lastClr="000000"/>
              </a:solidFill>
              <a:latin typeface="Times New Roman" panose="02020603050405020304" pitchFamily="18" charset="0"/>
              <a:cs typeface="Times New Roman" panose="02020603050405020304" pitchFamily="18" charset="0"/>
            </a:rPr>
            <a:t>. </a:t>
          </a:r>
          <a:r>
            <a:rPr lang="vi-VN" sz="2000" kern="1200">
              <a:solidFill>
                <a:sysClr val="windowText" lastClr="000000"/>
              </a:solidFill>
              <a:latin typeface="Times New Roman" panose="02020603050405020304" pitchFamily="18" charset="0"/>
              <a:cs typeface="Times New Roman" panose="02020603050405020304" pitchFamily="18" charset="0"/>
            </a:rPr>
            <a:t>Triển khai đào tạo nội bộ theo kế hoạch được phê duyệt</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27</xdr:col>
      <xdr:colOff>277093</xdr:colOff>
      <xdr:row>59</xdr:row>
      <xdr:rowOff>86591</xdr:rowOff>
    </xdr:from>
    <xdr:to>
      <xdr:col>43</xdr:col>
      <xdr:colOff>235527</xdr:colOff>
      <xdr:row>83</xdr:row>
      <xdr:rowOff>121226</xdr:rowOff>
    </xdr:to>
    <xdr:graphicFrame macro="">
      <xdr:nvGraphicFramePr>
        <xdr:cNvPr id="85" name="Chart 84">
          <a:extLst>
            <a:ext uri="{FF2B5EF4-FFF2-40B4-BE49-F238E27FC236}">
              <a16:creationId xmlns:a16="http://schemas.microsoft.com/office/drawing/2014/main" id="{76E515FB-3537-46FD-8C9A-FF5A7148BC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43</xdr:col>
      <xdr:colOff>423593</xdr:colOff>
      <xdr:row>63</xdr:row>
      <xdr:rowOff>111439</xdr:rowOff>
    </xdr:from>
    <xdr:to>
      <xdr:col>47</xdr:col>
      <xdr:colOff>124688</xdr:colOff>
      <xdr:row>65</xdr:row>
      <xdr:rowOff>152401</xdr:rowOff>
    </xdr:to>
    <xdr:sp macro="" textlink="">
      <xdr:nvSpPr>
        <xdr:cNvPr id="103" name="Rectangle: Rounded Corners 102">
          <a:extLst>
            <a:ext uri="{FF2B5EF4-FFF2-40B4-BE49-F238E27FC236}">
              <a16:creationId xmlns:a16="http://schemas.microsoft.com/office/drawing/2014/main" id="{A8B7D990-9987-4AC5-92B0-5A32BD844B65}"/>
            </a:ext>
          </a:extLst>
        </xdr:cNvPr>
        <xdr:cNvSpPr/>
      </xdr:nvSpPr>
      <xdr:spPr>
        <a:xfrm>
          <a:off x="27744757" y="16362821"/>
          <a:ext cx="2319604" cy="4011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800" b="0" i="0">
              <a:solidFill>
                <a:srgbClr val="00B050"/>
              </a:solidFill>
              <a:effectLst/>
              <a:latin typeface="Times New Roman" panose="02020603050405020304" pitchFamily="18" charset="0"/>
              <a:ea typeface="ADLaM Display" panose="020F0502020204030204" pitchFamily="2" charset="0"/>
              <a:cs typeface="Times New Roman" panose="02020603050405020304" pitchFamily="18" charset="0"/>
            </a:rPr>
            <a:t>T</a:t>
          </a:r>
          <a:r>
            <a:rPr lang="vi-VN" sz="1800" b="0" i="0">
              <a:solidFill>
                <a:srgbClr val="00B050"/>
              </a:solidFill>
              <a:effectLst/>
              <a:latin typeface="Times New Roman" panose="02020603050405020304" pitchFamily="18" charset="0"/>
              <a:ea typeface="ADLaM Display" panose="020F0502020204030204" pitchFamily="2" charset="0"/>
              <a:cs typeface="Times New Roman" panose="02020603050405020304" pitchFamily="18" charset="0"/>
            </a:rPr>
            <a:t>hanh toán lần </a:t>
          </a:r>
          <a:r>
            <a:rPr lang="en-US" sz="1800" b="0" i="0">
              <a:solidFill>
                <a:srgbClr val="00B050"/>
              </a:solidFill>
              <a:effectLst/>
              <a:latin typeface="Times New Roman" panose="02020603050405020304" pitchFamily="18" charset="0"/>
              <a:ea typeface="ADLaM Display" panose="020F0502020204030204" pitchFamily="2" charset="0"/>
              <a:cs typeface="Times New Roman" panose="02020603050405020304" pitchFamily="18" charset="0"/>
            </a:rPr>
            <a:t>I: </a:t>
          </a:r>
          <a:r>
            <a:rPr lang="en-US" sz="2800" b="1" i="0">
              <a:solidFill>
                <a:srgbClr val="00B050"/>
              </a:solidFill>
              <a:effectLst/>
              <a:latin typeface="Times New Roman" panose="02020603050405020304" pitchFamily="18" charset="0"/>
              <a:ea typeface="ADLaM Display" panose="020F0502020204030204" pitchFamily="2" charset="0"/>
              <a:cs typeface="Times New Roman" panose="02020603050405020304" pitchFamily="18" charset="0"/>
            </a:rPr>
            <a:t>0h</a:t>
          </a:r>
          <a:endParaRPr lang="en-US" sz="1800" b="1" kern="1200">
            <a:solidFill>
              <a:srgbClr val="00B050"/>
            </a:solidFill>
            <a:latin typeface="Times New Roman" panose="02020603050405020304" pitchFamily="18" charset="0"/>
            <a:ea typeface="ADLaM Display" panose="020F0502020204030204" pitchFamily="2" charset="0"/>
            <a:cs typeface="Times New Roman" panose="02020603050405020304" pitchFamily="18" charset="0"/>
          </a:endParaRPr>
        </a:p>
      </xdr:txBody>
    </xdr:sp>
    <xdr:clientData/>
  </xdr:twoCellAnchor>
  <xdr:twoCellAnchor>
    <xdr:from>
      <xdr:col>40</xdr:col>
      <xdr:colOff>514056</xdr:colOff>
      <xdr:row>58</xdr:row>
      <xdr:rowOff>114629</xdr:rowOff>
    </xdr:from>
    <xdr:to>
      <xdr:col>42</xdr:col>
      <xdr:colOff>637306</xdr:colOff>
      <xdr:row>62</xdr:row>
      <xdr:rowOff>16344</xdr:rowOff>
    </xdr:to>
    <xdr:sp macro="" textlink="data!D107">
      <xdr:nvSpPr>
        <xdr:cNvPr id="331" name="Rectangle: Rounded Corners 330">
          <a:extLst>
            <a:ext uri="{FF2B5EF4-FFF2-40B4-BE49-F238E27FC236}">
              <a16:creationId xmlns:a16="http://schemas.microsoft.com/office/drawing/2014/main" id="{9610B3B2-5750-4135-85D8-59B06BEBFDA9}"/>
            </a:ext>
          </a:extLst>
        </xdr:cNvPr>
        <xdr:cNvSpPr/>
      </xdr:nvSpPr>
      <xdr:spPr>
        <a:xfrm>
          <a:off x="25840165" y="15465465"/>
          <a:ext cx="1370159" cy="622152"/>
        </a:xfrm>
        <a:prstGeom prst="round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36B4B56C-0495-4D09-9647-3810D00341EE}" type="TxLink">
            <a:rPr lang="en-US" sz="2400" b="1" i="0" u="none" strike="noStrike">
              <a:solidFill>
                <a:schemeClr val="bg1"/>
              </a:solidFill>
              <a:latin typeface="Calibri"/>
              <a:ea typeface="+mn-ea"/>
              <a:cs typeface="Calibri"/>
            </a:rPr>
            <a:pPr marL="0" indent="0" algn="ctr"/>
            <a:t>6,31%</a:t>
          </a:fld>
          <a:endParaRPr lang="en-US" sz="2400" b="1" i="0" u="none" strike="noStrike">
            <a:solidFill>
              <a:schemeClr val="bg1"/>
            </a:solidFill>
            <a:latin typeface="Calibri"/>
            <a:ea typeface="+mn-ea"/>
            <a:cs typeface="Calibri"/>
          </a:endParaRPr>
        </a:p>
      </xdr:txBody>
    </xdr:sp>
    <xdr:clientData/>
  </xdr:twoCellAnchor>
  <xdr:twoCellAnchor>
    <xdr:from>
      <xdr:col>27</xdr:col>
      <xdr:colOff>51955</xdr:colOff>
      <xdr:row>37</xdr:row>
      <xdr:rowOff>155864</xdr:rowOff>
    </xdr:from>
    <xdr:to>
      <xdr:col>28</xdr:col>
      <xdr:colOff>398318</xdr:colOff>
      <xdr:row>41</xdr:row>
      <xdr:rowOff>138545</xdr:rowOff>
    </xdr:to>
    <xdr:sp macro="" textlink="">
      <xdr:nvSpPr>
        <xdr:cNvPr id="333" name="Rectangle: Rounded Corners 332">
          <a:extLst>
            <a:ext uri="{FF2B5EF4-FFF2-40B4-BE49-F238E27FC236}">
              <a16:creationId xmlns:a16="http://schemas.microsoft.com/office/drawing/2014/main" id="{170EFB3F-9A52-A4EE-7D5B-67F7C64CC29C}"/>
            </a:ext>
          </a:extLst>
        </xdr:cNvPr>
        <xdr:cNvSpPr/>
      </xdr:nvSpPr>
      <xdr:spPr>
        <a:xfrm>
          <a:off x="17318182" y="11585864"/>
          <a:ext cx="952500" cy="744681"/>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ET</a:t>
          </a:r>
        </a:p>
      </xdr:txBody>
    </xdr:sp>
    <xdr:clientData/>
  </xdr:twoCellAnchor>
  <xdr:twoCellAnchor>
    <xdr:from>
      <xdr:col>28</xdr:col>
      <xdr:colOff>45027</xdr:colOff>
      <xdr:row>82</xdr:row>
      <xdr:rowOff>161157</xdr:rowOff>
    </xdr:from>
    <xdr:to>
      <xdr:col>41</xdr:col>
      <xdr:colOff>121227</xdr:colOff>
      <xdr:row>85</xdr:row>
      <xdr:rowOff>86590</xdr:rowOff>
    </xdr:to>
    <xdr:sp macro="" textlink="">
      <xdr:nvSpPr>
        <xdr:cNvPr id="334" name="Rectangle: Rounded Corners 333">
          <a:extLst>
            <a:ext uri="{FF2B5EF4-FFF2-40B4-BE49-F238E27FC236}">
              <a16:creationId xmlns:a16="http://schemas.microsoft.com/office/drawing/2014/main" id="{159A1C65-EAC5-E740-FA66-1867A874FF86}"/>
            </a:ext>
          </a:extLst>
        </xdr:cNvPr>
        <xdr:cNvSpPr/>
      </xdr:nvSpPr>
      <xdr:spPr>
        <a:xfrm>
          <a:off x="17397845" y="20163657"/>
          <a:ext cx="7955973" cy="49693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baseline="0">
              <a:solidFill>
                <a:sysClr val="windowText" lastClr="000000"/>
              </a:solidFill>
              <a:latin typeface="Times New Roman" panose="02020603050405020304" pitchFamily="18" charset="0"/>
              <a:cs typeface="Times New Roman" panose="02020603050405020304" pitchFamily="18" charset="0"/>
            </a:rPr>
            <a:t>KR 4</a:t>
          </a:r>
          <a:r>
            <a:rPr lang="en-US" sz="2000" kern="1200" baseline="0">
              <a:solidFill>
                <a:sysClr val="windowText" lastClr="000000"/>
              </a:solidFill>
              <a:latin typeface="Times New Roman" panose="02020603050405020304" pitchFamily="18" charset="0"/>
              <a:cs typeface="Times New Roman" panose="02020603050405020304" pitchFamily="18" charset="0"/>
            </a:rPr>
            <a:t>. </a:t>
          </a:r>
          <a:r>
            <a:rPr lang="vi-VN" sz="2000" kern="1200">
              <a:solidFill>
                <a:sysClr val="windowText" lastClr="000000"/>
              </a:solidFill>
              <a:latin typeface="Times New Roman" panose="02020603050405020304" pitchFamily="18" charset="0"/>
              <a:cs typeface="Times New Roman" panose="02020603050405020304" pitchFamily="18" charset="0"/>
            </a:rPr>
            <a:t>Tổ chức hội thảo chuyên môn</a:t>
          </a:r>
          <a:r>
            <a:rPr lang="en-US" sz="2000" kern="1200">
              <a:solidFill>
                <a:sysClr val="windowText" lastClr="000000"/>
              </a:solidFill>
              <a:latin typeface="Times New Roman" panose="02020603050405020304" pitchFamily="18" charset="0"/>
              <a:cs typeface="Times New Roman" panose="02020603050405020304" pitchFamily="18" charset="0"/>
            </a:rPr>
            <a:t> - </a:t>
          </a:r>
          <a:r>
            <a:rPr lang="en-US" sz="2400" b="1" kern="1200">
              <a:solidFill>
                <a:srgbClr val="FF0000"/>
              </a:solidFill>
              <a:latin typeface="Times New Roman" panose="02020603050405020304" pitchFamily="18" charset="0"/>
              <a:cs typeface="Times New Roman" panose="02020603050405020304" pitchFamily="18" charset="0"/>
            </a:rPr>
            <a:t>Không</a:t>
          </a:r>
          <a:r>
            <a:rPr lang="en-US" sz="2400" b="1" kern="1200" baseline="0">
              <a:solidFill>
                <a:srgbClr val="FF0000"/>
              </a:solidFill>
              <a:latin typeface="Times New Roman" panose="02020603050405020304" pitchFamily="18" charset="0"/>
              <a:cs typeface="Times New Roman" panose="02020603050405020304" pitchFamily="18" charset="0"/>
            </a:rPr>
            <a:t> có KH trong tháng</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28</xdr:col>
      <xdr:colOff>45027</xdr:colOff>
      <xdr:row>87</xdr:row>
      <xdr:rowOff>39931</xdr:rowOff>
    </xdr:from>
    <xdr:to>
      <xdr:col>45</xdr:col>
      <xdr:colOff>432954</xdr:colOff>
      <xdr:row>89</xdr:row>
      <xdr:rowOff>155864</xdr:rowOff>
    </xdr:to>
    <xdr:sp macro="" textlink="">
      <xdr:nvSpPr>
        <xdr:cNvPr id="337" name="Rectangle: Rounded Corners 336">
          <a:extLst>
            <a:ext uri="{FF2B5EF4-FFF2-40B4-BE49-F238E27FC236}">
              <a16:creationId xmlns:a16="http://schemas.microsoft.com/office/drawing/2014/main" id="{B4CC3305-0C90-8EF0-C5A0-BEC325A795E4}"/>
            </a:ext>
          </a:extLst>
        </xdr:cNvPr>
        <xdr:cNvSpPr/>
      </xdr:nvSpPr>
      <xdr:spPr>
        <a:xfrm>
          <a:off x="17397845" y="20994931"/>
          <a:ext cx="10934700" cy="49693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baseline="0">
              <a:solidFill>
                <a:sysClr val="windowText" lastClr="000000"/>
              </a:solidFill>
              <a:latin typeface="Times New Roman" panose="02020603050405020304" pitchFamily="18" charset="0"/>
              <a:cs typeface="Times New Roman" panose="02020603050405020304" pitchFamily="18" charset="0"/>
            </a:rPr>
            <a:t>KR 5</a:t>
          </a:r>
          <a:r>
            <a:rPr lang="en-US" sz="2000" kern="1200" baseline="0">
              <a:solidFill>
                <a:sysClr val="windowText" lastClr="000000"/>
              </a:solidFill>
              <a:latin typeface="Times New Roman" panose="02020603050405020304" pitchFamily="18" charset="0"/>
              <a:cs typeface="Times New Roman" panose="02020603050405020304" pitchFamily="18" charset="0"/>
            </a:rPr>
            <a:t>. </a:t>
          </a:r>
          <a:r>
            <a:rPr lang="vi-VN" sz="2000" kern="1200">
              <a:solidFill>
                <a:sysClr val="windowText" lastClr="000000"/>
              </a:solidFill>
              <a:latin typeface="Times New Roman" panose="02020603050405020304" pitchFamily="18" charset="0"/>
              <a:cs typeface="Times New Roman" panose="02020603050405020304" pitchFamily="18" charset="0"/>
            </a:rPr>
            <a:t>Triển khai đào tạo bên ngoài theo kế hoạch được phê duyệt</a:t>
          </a:r>
          <a:r>
            <a:rPr lang="en-US" sz="2000" kern="1200">
              <a:solidFill>
                <a:sysClr val="windowText" lastClr="000000"/>
              </a:solidFill>
              <a:latin typeface="Times New Roman" panose="02020603050405020304" pitchFamily="18" charset="0"/>
              <a:cs typeface="Times New Roman" panose="02020603050405020304" pitchFamily="18" charset="0"/>
            </a:rPr>
            <a:t> -</a:t>
          </a:r>
          <a:r>
            <a:rPr lang="en-US" sz="2000" kern="1200" baseline="0">
              <a:solidFill>
                <a:sysClr val="windowText" lastClr="000000"/>
              </a:solidFill>
              <a:latin typeface="Times New Roman" panose="02020603050405020304" pitchFamily="18" charset="0"/>
              <a:cs typeface="Times New Roman" panose="02020603050405020304" pitchFamily="18" charset="0"/>
            </a:rPr>
            <a:t> </a:t>
          </a:r>
          <a:r>
            <a:rPr lang="en-US" sz="2400" b="1" kern="1200" baseline="0">
              <a:solidFill>
                <a:srgbClr val="FF0000"/>
              </a:solidFill>
              <a:latin typeface="Times New Roman" panose="02020603050405020304" pitchFamily="18" charset="0"/>
              <a:cs typeface="Times New Roman" panose="02020603050405020304" pitchFamily="18" charset="0"/>
            </a:rPr>
            <a:t>Không có KH trong tháng</a:t>
          </a:r>
          <a:r>
            <a:rPr lang="en-US" sz="2400" b="1" kern="1200">
              <a:solidFill>
                <a:srgbClr val="FF0000"/>
              </a:solidFill>
              <a:latin typeface="Times New Roman" panose="02020603050405020304" pitchFamily="18" charset="0"/>
              <a:cs typeface="Times New Roman" panose="02020603050405020304" pitchFamily="18" charset="0"/>
            </a:rPr>
            <a:t> </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28</xdr:col>
      <xdr:colOff>45027</xdr:colOff>
      <xdr:row>91</xdr:row>
      <xdr:rowOff>5294</xdr:rowOff>
    </xdr:from>
    <xdr:to>
      <xdr:col>47</xdr:col>
      <xdr:colOff>138545</xdr:colOff>
      <xdr:row>93</xdr:row>
      <xdr:rowOff>121227</xdr:rowOff>
    </xdr:to>
    <xdr:sp macro="" textlink="">
      <xdr:nvSpPr>
        <xdr:cNvPr id="338" name="Rectangle: Rounded Corners 337">
          <a:extLst>
            <a:ext uri="{FF2B5EF4-FFF2-40B4-BE49-F238E27FC236}">
              <a16:creationId xmlns:a16="http://schemas.microsoft.com/office/drawing/2014/main" id="{F13D6A89-D433-C778-787E-CBF423660436}"/>
            </a:ext>
          </a:extLst>
        </xdr:cNvPr>
        <xdr:cNvSpPr/>
      </xdr:nvSpPr>
      <xdr:spPr>
        <a:xfrm>
          <a:off x="17397845" y="21722294"/>
          <a:ext cx="11852564" cy="49693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baseline="0">
              <a:solidFill>
                <a:sysClr val="windowText" lastClr="000000"/>
              </a:solidFill>
              <a:latin typeface="Times New Roman" panose="02020603050405020304" pitchFamily="18" charset="0"/>
              <a:cs typeface="Times New Roman" panose="02020603050405020304" pitchFamily="18" charset="0"/>
            </a:rPr>
            <a:t>KR 6</a:t>
          </a:r>
          <a:r>
            <a:rPr lang="en-US" sz="2000" kern="1200" baseline="0">
              <a:solidFill>
                <a:sysClr val="windowText" lastClr="000000"/>
              </a:solidFill>
              <a:latin typeface="Times New Roman" panose="02020603050405020304" pitchFamily="18" charset="0"/>
              <a:cs typeface="Times New Roman" panose="02020603050405020304" pitchFamily="18" charset="0"/>
            </a:rPr>
            <a:t>. </a:t>
          </a:r>
          <a:r>
            <a:rPr lang="vi-VN" sz="2000" kern="1200">
              <a:solidFill>
                <a:sysClr val="windowText" lastClr="000000"/>
              </a:solidFill>
              <a:latin typeface="Times New Roman" panose="02020603050405020304" pitchFamily="18" charset="0"/>
              <a:cs typeface="Times New Roman" panose="02020603050405020304" pitchFamily="18" charset="0"/>
            </a:rPr>
            <a:t>Triển khai chuẩn hóa giáo trình đào tạo theo kế hoạch được phê duyệt</a:t>
          </a:r>
          <a:r>
            <a:rPr lang="en-US" sz="2000" kern="1200">
              <a:solidFill>
                <a:sysClr val="windowText" lastClr="000000"/>
              </a:solidFill>
              <a:latin typeface="Times New Roman" panose="02020603050405020304" pitchFamily="18" charset="0"/>
              <a:cs typeface="Times New Roman" panose="02020603050405020304" pitchFamily="18" charset="0"/>
            </a:rPr>
            <a:t>-</a:t>
          </a:r>
          <a:r>
            <a:rPr lang="en-US" sz="2000" kern="1200" baseline="0">
              <a:solidFill>
                <a:sysClr val="windowText" lastClr="000000"/>
              </a:solidFill>
              <a:latin typeface="Times New Roman" panose="02020603050405020304" pitchFamily="18" charset="0"/>
              <a:cs typeface="Times New Roman" panose="02020603050405020304" pitchFamily="18" charset="0"/>
            </a:rPr>
            <a:t> </a:t>
          </a:r>
          <a:r>
            <a:rPr lang="en-US" sz="2400" b="1" kern="1200" baseline="0">
              <a:solidFill>
                <a:srgbClr val="FF0000"/>
              </a:solidFill>
              <a:latin typeface="Times New Roman" panose="02020603050405020304" pitchFamily="18" charset="0"/>
              <a:cs typeface="Times New Roman" panose="02020603050405020304" pitchFamily="18" charset="0"/>
            </a:rPr>
            <a:t>Không có KH trong tháng</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27</xdr:col>
      <xdr:colOff>86591</xdr:colOff>
      <xdr:row>96</xdr:row>
      <xdr:rowOff>34633</xdr:rowOff>
    </xdr:from>
    <xdr:to>
      <xdr:col>47</xdr:col>
      <xdr:colOff>415636</xdr:colOff>
      <xdr:row>123</xdr:row>
      <xdr:rowOff>34633</xdr:rowOff>
    </xdr:to>
    <xdr:sp macro="" textlink="">
      <xdr:nvSpPr>
        <xdr:cNvPr id="339" name="Rectangle: Rounded Corners 338">
          <a:extLst>
            <a:ext uri="{FF2B5EF4-FFF2-40B4-BE49-F238E27FC236}">
              <a16:creationId xmlns:a16="http://schemas.microsoft.com/office/drawing/2014/main" id="{B0C5DD01-9FD1-AA51-6167-2D05D3EF4B63}"/>
            </a:ext>
          </a:extLst>
        </xdr:cNvPr>
        <xdr:cNvSpPr/>
      </xdr:nvSpPr>
      <xdr:spPr>
        <a:xfrm>
          <a:off x="16833273" y="22704133"/>
          <a:ext cx="12694227" cy="5143500"/>
        </a:xfrm>
        <a:prstGeom prst="roundRect">
          <a:avLst>
            <a:gd name="adj" fmla="val 3139"/>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27</xdr:col>
      <xdr:colOff>69273</xdr:colOff>
      <xdr:row>96</xdr:row>
      <xdr:rowOff>34632</xdr:rowOff>
    </xdr:from>
    <xdr:to>
      <xdr:col>28</xdr:col>
      <xdr:colOff>415636</xdr:colOff>
      <xdr:row>100</xdr:row>
      <xdr:rowOff>17313</xdr:rowOff>
    </xdr:to>
    <xdr:sp macro="" textlink="">
      <xdr:nvSpPr>
        <xdr:cNvPr id="340" name="Rectangle: Rounded Corners 339">
          <a:extLst>
            <a:ext uri="{FF2B5EF4-FFF2-40B4-BE49-F238E27FC236}">
              <a16:creationId xmlns:a16="http://schemas.microsoft.com/office/drawing/2014/main" id="{5BE17EE6-1837-4C35-B11A-43592307C239}"/>
            </a:ext>
          </a:extLst>
        </xdr:cNvPr>
        <xdr:cNvSpPr/>
      </xdr:nvSpPr>
      <xdr:spPr>
        <a:xfrm>
          <a:off x="16815955" y="22704132"/>
          <a:ext cx="952499" cy="744681"/>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AM</a:t>
          </a:r>
        </a:p>
      </xdr:txBody>
    </xdr:sp>
    <xdr:clientData/>
  </xdr:twoCellAnchor>
  <xdr:twoCellAnchor>
    <xdr:from>
      <xdr:col>28</xdr:col>
      <xdr:colOff>432956</xdr:colOff>
      <xdr:row>96</xdr:row>
      <xdr:rowOff>140372</xdr:rowOff>
    </xdr:from>
    <xdr:to>
      <xdr:col>47</xdr:col>
      <xdr:colOff>443346</xdr:colOff>
      <xdr:row>103</xdr:row>
      <xdr:rowOff>166255</xdr:rowOff>
    </xdr:to>
    <xdr:sp macro="" textlink="">
      <xdr:nvSpPr>
        <xdr:cNvPr id="341" name="Rectangle: Rounded Corners 340">
          <a:extLst>
            <a:ext uri="{FF2B5EF4-FFF2-40B4-BE49-F238E27FC236}">
              <a16:creationId xmlns:a16="http://schemas.microsoft.com/office/drawing/2014/main" id="{3144C71C-7FAF-991E-404B-D8F10A570512}"/>
            </a:ext>
          </a:extLst>
        </xdr:cNvPr>
        <xdr:cNvSpPr/>
      </xdr:nvSpPr>
      <xdr:spPr>
        <a:xfrm>
          <a:off x="18277611" y="22335354"/>
          <a:ext cx="12105408" cy="128664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baseline="0">
              <a:solidFill>
                <a:sysClr val="windowText" lastClr="000000"/>
              </a:solidFill>
              <a:latin typeface="Times New Roman" panose="02020603050405020304" pitchFamily="18" charset="0"/>
              <a:cs typeface="Times New Roman" panose="02020603050405020304" pitchFamily="18" charset="0"/>
            </a:rPr>
            <a:t>KR 7</a:t>
          </a:r>
          <a:r>
            <a:rPr lang="en-US" sz="2000" kern="1200" baseline="0">
              <a:solidFill>
                <a:sysClr val="windowText" lastClr="000000"/>
              </a:solidFill>
              <a:latin typeface="Times New Roman" panose="02020603050405020304" pitchFamily="18" charset="0"/>
              <a:cs typeface="Times New Roman" panose="02020603050405020304" pitchFamily="18" charset="0"/>
            </a:rPr>
            <a:t>. </a:t>
          </a:r>
          <a:r>
            <a:rPr lang="vi-VN" sz="2000" kern="1200">
              <a:solidFill>
                <a:sysClr val="windowText" lastClr="000000"/>
              </a:solidFill>
              <a:latin typeface="Times New Roman" panose="02020603050405020304" pitchFamily="18" charset="0"/>
              <a:cs typeface="Times New Roman" panose="02020603050405020304" pitchFamily="18" charset="0"/>
            </a:rPr>
            <a:t>Thiết kế tagname dán lên thiết bị, Junction box thể hiện chức năng, thông số thiết bị range đo, môi chất đo,… thông tin chức năng được mã hóa bằng màu sắc ví dụ: màu đỏ thể interlock, cam điều khiển, xanh hiển thị,…</a:t>
          </a:r>
          <a:r>
            <a:rPr lang="en-US" sz="2000" kern="1200">
              <a:solidFill>
                <a:sysClr val="windowText" lastClr="000000"/>
              </a:solidFill>
              <a:latin typeface="Times New Roman" panose="02020603050405020304" pitchFamily="18" charset="0"/>
              <a:cs typeface="Times New Roman" panose="02020603050405020304" pitchFamily="18" charset="0"/>
            </a:rPr>
            <a:t> - </a:t>
          </a:r>
          <a:r>
            <a:rPr lang="vi-VN" sz="2400" b="1" kern="1200">
              <a:solidFill>
                <a:srgbClr val="FF0000"/>
              </a:solidFill>
              <a:latin typeface="Times New Roman" panose="02020603050405020304" pitchFamily="18" charset="0"/>
              <a:cs typeface="Times New Roman" panose="02020603050405020304" pitchFamily="18" charset="0"/>
            </a:rPr>
            <a:t>Hoàn thành họp thống nhất sơ đồ, đối tượng thực hiện</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27</xdr:col>
      <xdr:colOff>235529</xdr:colOff>
      <xdr:row>104</xdr:row>
      <xdr:rowOff>178472</xdr:rowOff>
    </xdr:from>
    <xdr:to>
      <xdr:col>45</xdr:col>
      <xdr:colOff>519546</xdr:colOff>
      <xdr:row>108</xdr:row>
      <xdr:rowOff>190496</xdr:rowOff>
    </xdr:to>
    <xdr:sp macro="" textlink="">
      <xdr:nvSpPr>
        <xdr:cNvPr id="342" name="Rectangle: Rounded Corners 341">
          <a:extLst>
            <a:ext uri="{FF2B5EF4-FFF2-40B4-BE49-F238E27FC236}">
              <a16:creationId xmlns:a16="http://schemas.microsoft.com/office/drawing/2014/main" id="{3719196C-BEB7-9C13-573E-9DB5838FF420}"/>
            </a:ext>
          </a:extLst>
        </xdr:cNvPr>
        <xdr:cNvSpPr/>
      </xdr:nvSpPr>
      <xdr:spPr>
        <a:xfrm>
          <a:off x="16982211" y="24371972"/>
          <a:ext cx="11436926" cy="77402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baseline="0">
              <a:solidFill>
                <a:sysClr val="windowText" lastClr="000000"/>
              </a:solidFill>
              <a:latin typeface="Times New Roman" panose="02020603050405020304" pitchFamily="18" charset="0"/>
              <a:cs typeface="Times New Roman" panose="02020603050405020304" pitchFamily="18" charset="0"/>
            </a:rPr>
            <a:t>KR 8</a:t>
          </a:r>
          <a:r>
            <a:rPr lang="en-US" sz="2000" kern="1200" baseline="0">
              <a:solidFill>
                <a:sysClr val="windowText" lastClr="000000"/>
              </a:solidFill>
              <a:latin typeface="Times New Roman" panose="02020603050405020304" pitchFamily="18" charset="0"/>
              <a:cs typeface="Times New Roman" panose="02020603050405020304" pitchFamily="18" charset="0"/>
            </a:rPr>
            <a:t>. </a:t>
          </a:r>
          <a:r>
            <a:rPr lang="vi-VN" sz="2000" kern="1200">
              <a:solidFill>
                <a:sysClr val="windowText" lastClr="000000"/>
              </a:solidFill>
              <a:latin typeface="Times New Roman" panose="02020603050405020304" pitchFamily="18" charset="0"/>
              <a:cs typeface="Times New Roman" panose="02020603050405020304" pitchFamily="18" charset="0"/>
            </a:rPr>
            <a:t>Rà soát ống turbing van điều khiển và thiết bị đo</a:t>
          </a:r>
          <a:r>
            <a:rPr lang="en-US" sz="2000" kern="1200" baseline="0">
              <a:solidFill>
                <a:sysClr val="windowText" lastClr="000000"/>
              </a:solidFill>
              <a:latin typeface="Times New Roman" panose="02020603050405020304" pitchFamily="18" charset="0"/>
              <a:cs typeface="Times New Roman" panose="02020603050405020304" pitchFamily="18" charset="0"/>
            </a:rPr>
            <a:t> - </a:t>
          </a:r>
          <a:r>
            <a:rPr lang="en-US" sz="2400" b="1" baseline="0">
              <a:solidFill>
                <a:srgbClr val="FF0000"/>
              </a:solidFill>
              <a:effectLst/>
              <a:latin typeface="Times New Roman" panose="02020603050405020304" pitchFamily="18" charset="0"/>
              <a:ea typeface="+mn-ea"/>
              <a:cs typeface="Times New Roman" panose="02020603050405020304" pitchFamily="18" charset="0"/>
            </a:rPr>
            <a:t>Không có KH trong tháng</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27</xdr:col>
      <xdr:colOff>270166</xdr:colOff>
      <xdr:row>110</xdr:row>
      <xdr:rowOff>91881</xdr:rowOff>
    </xdr:from>
    <xdr:to>
      <xdr:col>45</xdr:col>
      <xdr:colOff>554183</xdr:colOff>
      <xdr:row>114</xdr:row>
      <xdr:rowOff>103905</xdr:rowOff>
    </xdr:to>
    <xdr:sp macro="" textlink="">
      <xdr:nvSpPr>
        <xdr:cNvPr id="343" name="Rectangle: Rounded Corners 342">
          <a:extLst>
            <a:ext uri="{FF2B5EF4-FFF2-40B4-BE49-F238E27FC236}">
              <a16:creationId xmlns:a16="http://schemas.microsoft.com/office/drawing/2014/main" id="{EE111DFC-D435-177E-F6D8-A83FCA19DE48}"/>
            </a:ext>
          </a:extLst>
        </xdr:cNvPr>
        <xdr:cNvSpPr/>
      </xdr:nvSpPr>
      <xdr:spPr>
        <a:xfrm>
          <a:off x="17016848" y="25428381"/>
          <a:ext cx="11436926" cy="77402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baseline="0">
              <a:solidFill>
                <a:sysClr val="windowText" lastClr="000000"/>
              </a:solidFill>
              <a:latin typeface="Times New Roman" panose="02020603050405020304" pitchFamily="18" charset="0"/>
              <a:cs typeface="Times New Roman" panose="02020603050405020304" pitchFamily="18" charset="0"/>
            </a:rPr>
            <a:t>KR 9</a:t>
          </a:r>
          <a:r>
            <a:rPr lang="en-US" sz="2000" kern="1200" baseline="0">
              <a:solidFill>
                <a:sysClr val="windowText" lastClr="000000"/>
              </a:solidFill>
              <a:latin typeface="Times New Roman" panose="02020603050405020304" pitchFamily="18" charset="0"/>
              <a:cs typeface="Times New Roman" panose="02020603050405020304" pitchFamily="18" charset="0"/>
            </a:rPr>
            <a:t>. </a:t>
          </a:r>
          <a:r>
            <a:rPr lang="vi-VN" sz="2000" kern="1200">
              <a:solidFill>
                <a:sysClr val="windowText" lastClr="000000"/>
              </a:solidFill>
              <a:latin typeface="Times New Roman" panose="02020603050405020304" pitchFamily="18" charset="0"/>
              <a:cs typeface="Times New Roman" panose="02020603050405020304" pitchFamily="18" charset="0"/>
            </a:rPr>
            <a:t>Tiêu chuẩn hóa lắp đặt thiết bị đo lường và van điều khiển</a:t>
          </a:r>
          <a:r>
            <a:rPr lang="en-US" sz="2000" kern="1200" baseline="0">
              <a:solidFill>
                <a:sysClr val="windowText" lastClr="000000"/>
              </a:solidFill>
              <a:latin typeface="Times New Roman" panose="02020603050405020304" pitchFamily="18" charset="0"/>
              <a:cs typeface="Times New Roman" panose="02020603050405020304" pitchFamily="18" charset="0"/>
            </a:rPr>
            <a:t> - </a:t>
          </a:r>
          <a:r>
            <a:rPr lang="en-US" sz="2400" b="1" kern="1200" baseline="0">
              <a:solidFill>
                <a:srgbClr val="FF0000"/>
              </a:solidFill>
              <a:latin typeface="Times New Roman" panose="02020603050405020304" pitchFamily="18" charset="0"/>
              <a:cs typeface="Times New Roman" panose="02020603050405020304" pitchFamily="18" charset="0"/>
            </a:rPr>
            <a:t>Không có KH trong tháng</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27</xdr:col>
      <xdr:colOff>252848</xdr:colOff>
      <xdr:row>115</xdr:row>
      <xdr:rowOff>121227</xdr:rowOff>
    </xdr:from>
    <xdr:to>
      <xdr:col>45</xdr:col>
      <xdr:colOff>536865</xdr:colOff>
      <xdr:row>121</xdr:row>
      <xdr:rowOff>138545</xdr:rowOff>
    </xdr:to>
    <xdr:sp macro="" textlink="">
      <xdr:nvSpPr>
        <xdr:cNvPr id="344" name="Rectangle: Rounded Corners 343">
          <a:extLst>
            <a:ext uri="{FF2B5EF4-FFF2-40B4-BE49-F238E27FC236}">
              <a16:creationId xmlns:a16="http://schemas.microsoft.com/office/drawing/2014/main" id="{126EACAD-60DC-F684-C746-1DD878D281B6}"/>
            </a:ext>
          </a:extLst>
        </xdr:cNvPr>
        <xdr:cNvSpPr/>
      </xdr:nvSpPr>
      <xdr:spPr>
        <a:xfrm>
          <a:off x="16999530" y="26410227"/>
          <a:ext cx="11436926" cy="116031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baseline="0">
              <a:solidFill>
                <a:sysClr val="windowText" lastClr="000000"/>
              </a:solidFill>
              <a:latin typeface="Times New Roman" panose="02020603050405020304" pitchFamily="18" charset="0"/>
              <a:cs typeface="Times New Roman" panose="02020603050405020304" pitchFamily="18" charset="0"/>
            </a:rPr>
            <a:t>KR 10</a:t>
          </a:r>
          <a:r>
            <a:rPr lang="en-US" sz="2000" kern="1200" baseline="0">
              <a:solidFill>
                <a:sysClr val="windowText" lastClr="000000"/>
              </a:solidFill>
              <a:latin typeface="Times New Roman" panose="02020603050405020304" pitchFamily="18" charset="0"/>
              <a:cs typeface="Times New Roman" panose="02020603050405020304" pitchFamily="18" charset="0"/>
            </a:rPr>
            <a:t>. </a:t>
          </a:r>
          <a:r>
            <a:rPr lang="vi-VN" sz="2000" kern="1200">
              <a:solidFill>
                <a:sysClr val="windowText" lastClr="000000"/>
              </a:solidFill>
              <a:latin typeface="Times New Roman" panose="02020603050405020304" pitchFamily="18" charset="0"/>
              <a:cs typeface="Times New Roman" panose="02020603050405020304" pitchFamily="18" charset="0"/>
            </a:rPr>
            <a:t>Xử lý các thẻ TPM tag</a:t>
          </a:r>
          <a:r>
            <a:rPr lang="en-US" sz="2000" kern="1200">
              <a:solidFill>
                <a:sysClr val="windowText" lastClr="000000"/>
              </a:solidFill>
              <a:latin typeface="Times New Roman" panose="02020603050405020304" pitchFamily="18" charset="0"/>
              <a:cs typeface="Times New Roman" panose="02020603050405020304" pitchFamily="18" charset="0"/>
            </a:rPr>
            <a:t> - </a:t>
          </a:r>
          <a:r>
            <a:rPr lang="en-US" sz="2800" b="1" kern="1200">
              <a:solidFill>
                <a:srgbClr val="FF0000"/>
              </a:solidFill>
              <a:latin typeface="Times New Roman" panose="02020603050405020304" pitchFamily="18" charset="0"/>
              <a:cs typeface="Times New Roman" panose="02020603050405020304" pitchFamily="18" charset="0"/>
            </a:rPr>
            <a:t>Lũy</a:t>
          </a:r>
          <a:r>
            <a:rPr lang="en-US" sz="2800" b="1" kern="1200" baseline="0">
              <a:solidFill>
                <a:srgbClr val="FF0000"/>
              </a:solidFill>
              <a:latin typeface="Times New Roman" panose="02020603050405020304" pitchFamily="18" charset="0"/>
              <a:cs typeface="Times New Roman" panose="02020603050405020304" pitchFamily="18" charset="0"/>
            </a:rPr>
            <a:t> kế 176/196 HM ~ 89.7 %</a:t>
          </a:r>
        </a:p>
        <a:p>
          <a:pPr algn="l"/>
          <a:r>
            <a:rPr lang="en-US" sz="2400" b="1" kern="1200" baseline="0">
              <a:solidFill>
                <a:schemeClr val="tx1"/>
              </a:solidFill>
              <a:latin typeface="Times New Roman" panose="02020603050405020304" pitchFamily="18" charset="0"/>
              <a:cs typeface="Times New Roman" panose="02020603050405020304" pitchFamily="18" charset="0"/>
            </a:rPr>
            <a:t>Trong tháng 2 đã xử lý </a:t>
          </a:r>
          <a:r>
            <a:rPr lang="en-US" sz="2400" b="1" kern="1200" baseline="0">
              <a:solidFill>
                <a:srgbClr val="FF0000"/>
              </a:solidFill>
              <a:latin typeface="Times New Roman" panose="02020603050405020304" pitchFamily="18" charset="0"/>
              <a:cs typeface="Times New Roman" panose="02020603050405020304" pitchFamily="18" charset="0"/>
            </a:rPr>
            <a:t>2/2 HM</a:t>
          </a:r>
          <a:r>
            <a:rPr lang="en-US" sz="2800" b="1" kern="1200" baseline="0">
              <a:solidFill>
                <a:srgbClr val="FF0000"/>
              </a:solidFill>
              <a:latin typeface="Times New Roman" panose="02020603050405020304" pitchFamily="18" charset="0"/>
              <a:cs typeface="Times New Roman" panose="02020603050405020304" pitchFamily="18" charset="0"/>
            </a:rPr>
            <a:t> </a:t>
          </a:r>
          <a:r>
            <a:rPr lang="en-US" sz="2800" b="1" kern="1200">
              <a:solidFill>
                <a:srgbClr val="FF0000"/>
              </a:solidFill>
              <a:latin typeface="Times New Roman" panose="02020603050405020304" pitchFamily="18" charset="0"/>
              <a:cs typeface="Times New Roman" panose="02020603050405020304" pitchFamily="18" charset="0"/>
            </a:rPr>
            <a:t> </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27</xdr:col>
      <xdr:colOff>51955</xdr:colOff>
      <xdr:row>123</xdr:row>
      <xdr:rowOff>121228</xdr:rowOff>
    </xdr:from>
    <xdr:to>
      <xdr:col>28</xdr:col>
      <xdr:colOff>398318</xdr:colOff>
      <xdr:row>127</xdr:row>
      <xdr:rowOff>103909</xdr:rowOff>
    </xdr:to>
    <xdr:sp macro="" textlink="">
      <xdr:nvSpPr>
        <xdr:cNvPr id="346" name="Rectangle: Rounded Corners 345">
          <a:extLst>
            <a:ext uri="{FF2B5EF4-FFF2-40B4-BE49-F238E27FC236}">
              <a16:creationId xmlns:a16="http://schemas.microsoft.com/office/drawing/2014/main" id="{D2F6030A-9BCA-811B-FC64-ED9AA7A9F00D}"/>
            </a:ext>
          </a:extLst>
        </xdr:cNvPr>
        <xdr:cNvSpPr/>
      </xdr:nvSpPr>
      <xdr:spPr>
        <a:xfrm>
          <a:off x="16798637" y="27934228"/>
          <a:ext cx="952499" cy="744681"/>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PM</a:t>
          </a:r>
        </a:p>
      </xdr:txBody>
    </xdr:sp>
    <xdr:clientData/>
  </xdr:twoCellAnchor>
  <xdr:twoCellAnchor>
    <xdr:from>
      <xdr:col>27</xdr:col>
      <xdr:colOff>48492</xdr:colOff>
      <xdr:row>145</xdr:row>
      <xdr:rowOff>65809</xdr:rowOff>
    </xdr:from>
    <xdr:to>
      <xdr:col>28</xdr:col>
      <xdr:colOff>394855</xdr:colOff>
      <xdr:row>149</xdr:row>
      <xdr:rowOff>48489</xdr:rowOff>
    </xdr:to>
    <xdr:sp macro="" textlink="">
      <xdr:nvSpPr>
        <xdr:cNvPr id="347" name="Rectangle: Rounded Corners 346">
          <a:extLst>
            <a:ext uri="{FF2B5EF4-FFF2-40B4-BE49-F238E27FC236}">
              <a16:creationId xmlns:a16="http://schemas.microsoft.com/office/drawing/2014/main" id="{29C21DDA-9601-D96F-95A3-1A6FB83E5163}"/>
            </a:ext>
          </a:extLst>
        </xdr:cNvPr>
        <xdr:cNvSpPr/>
      </xdr:nvSpPr>
      <xdr:spPr>
        <a:xfrm>
          <a:off x="17297401" y="31086136"/>
          <a:ext cx="969818" cy="703117"/>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FI</a:t>
          </a:r>
        </a:p>
      </xdr:txBody>
    </xdr:sp>
    <xdr:clientData/>
  </xdr:twoCellAnchor>
  <xdr:twoCellAnchor>
    <xdr:from>
      <xdr:col>29</xdr:col>
      <xdr:colOff>408709</xdr:colOff>
      <xdr:row>180</xdr:row>
      <xdr:rowOff>65808</xdr:rowOff>
    </xdr:from>
    <xdr:to>
      <xdr:col>34</xdr:col>
      <xdr:colOff>325824</xdr:colOff>
      <xdr:row>187</xdr:row>
      <xdr:rowOff>21587</xdr:rowOff>
    </xdr:to>
    <xdr:sp macro="" textlink="">
      <xdr:nvSpPr>
        <xdr:cNvPr id="5" name="Cloud 4">
          <a:extLst>
            <a:ext uri="{FF2B5EF4-FFF2-40B4-BE49-F238E27FC236}">
              <a16:creationId xmlns:a16="http://schemas.microsoft.com/office/drawing/2014/main" id="{55D1E753-D3FB-4BED-BA27-A59A1800C468}"/>
            </a:ext>
          </a:extLst>
        </xdr:cNvPr>
        <xdr:cNvSpPr/>
      </xdr:nvSpPr>
      <xdr:spPr>
        <a:xfrm>
          <a:off x="18367664" y="38737308"/>
          <a:ext cx="2947796" cy="1289279"/>
        </a:xfrm>
        <a:prstGeom prst="cloud">
          <a:avLst/>
        </a:prstGeom>
        <a:solidFill>
          <a:schemeClr val="bg1">
            <a:lumMod val="95000"/>
          </a:schemeClr>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US" sz="2000" b="1">
              <a:solidFill>
                <a:srgbClr val="FF0000"/>
              </a:solidFill>
              <a:latin typeface="Times New Roman" panose="02020603050405020304" pitchFamily="18" charset="0"/>
              <a:cs typeface="Times New Roman" panose="02020603050405020304" pitchFamily="18" charset="0"/>
            </a:rPr>
            <a:t>Không</a:t>
          </a:r>
          <a:r>
            <a:rPr lang="en-US" sz="2000" b="1" baseline="0">
              <a:solidFill>
                <a:srgbClr val="FF0000"/>
              </a:solidFill>
              <a:latin typeface="Times New Roman" panose="02020603050405020304" pitchFamily="18" charset="0"/>
              <a:cs typeface="Times New Roman" panose="02020603050405020304" pitchFamily="18" charset="0"/>
            </a:rPr>
            <a:t> có KH trong  tháng</a:t>
          </a:r>
          <a:endParaRPr lang="en-US" sz="2000" b="1">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263238</xdr:colOff>
      <xdr:row>188</xdr:row>
      <xdr:rowOff>155855</xdr:rowOff>
    </xdr:from>
    <xdr:to>
      <xdr:col>2</xdr:col>
      <xdr:colOff>73245</xdr:colOff>
      <xdr:row>194</xdr:row>
      <xdr:rowOff>117755</xdr:rowOff>
    </xdr:to>
    <xdr:pic>
      <xdr:nvPicPr>
        <xdr:cNvPr id="16" name="Picture 15" descr="Packing and Palletizing Application – RAIS Tech">
          <a:extLst>
            <a:ext uri="{FF2B5EF4-FFF2-40B4-BE49-F238E27FC236}">
              <a16:creationId xmlns:a16="http://schemas.microsoft.com/office/drawing/2014/main" id="{9AE880ED-5EAD-53C7-AA03-3A20D5D934DB}"/>
            </a:ext>
          </a:extLst>
        </xdr:cNvPr>
        <xdr:cNvPicPr>
          <a:picLocks noChangeAspect="1" noChangeArrowheads="1"/>
        </xdr:cNvPicPr>
      </xdr:nvPicPr>
      <xdr:blipFill>
        <a:blip xmlns:r="http://schemas.openxmlformats.org/officeDocument/2006/relationships" r:embed="rId24" cstate="print">
          <a:extLst>
            <a:ext uri="{28A0092B-C50C-407E-A947-70E740481C1C}">
              <a14:useLocalDpi xmlns:a14="http://schemas.microsoft.com/office/drawing/2010/main" val="0"/>
            </a:ext>
          </a:extLst>
        </a:blip>
        <a:srcRect/>
        <a:stretch>
          <a:fillRect/>
        </a:stretch>
      </xdr:blipFill>
      <xdr:spPr bwMode="auto">
        <a:xfrm>
          <a:off x="263238" y="40351355"/>
          <a:ext cx="1022280" cy="1104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322119</xdr:colOff>
      <xdr:row>201</xdr:row>
      <xdr:rowOff>90054</xdr:rowOff>
    </xdr:from>
    <xdr:to>
      <xdr:col>1</xdr:col>
      <xdr:colOff>520412</xdr:colOff>
      <xdr:row>206</xdr:row>
      <xdr:rowOff>189033</xdr:rowOff>
    </xdr:to>
    <xdr:pic>
      <xdr:nvPicPr>
        <xdr:cNvPr id="17" name="Picture 16" descr="Fixed Gas Detection - Precision Safety Solutions - Permanent Detectors">
          <a:extLst>
            <a:ext uri="{FF2B5EF4-FFF2-40B4-BE49-F238E27FC236}">
              <a16:creationId xmlns:a16="http://schemas.microsoft.com/office/drawing/2014/main" id="{6AE85593-8A03-1C1F-EE7C-B303F900B311}"/>
            </a:ext>
          </a:extLst>
        </xdr:cNvPr>
        <xdr:cNvPicPr>
          <a:picLocks noChangeAspect="1" noChangeArrowheads="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a:stretch>
          <a:fillRect/>
        </a:stretch>
      </xdr:blipFill>
      <xdr:spPr bwMode="auto">
        <a:xfrm>
          <a:off x="322119" y="42762054"/>
          <a:ext cx="804429" cy="10514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484908</xdr:colOff>
      <xdr:row>193</xdr:row>
      <xdr:rowOff>173181</xdr:rowOff>
    </xdr:from>
    <xdr:to>
      <xdr:col>25</xdr:col>
      <xdr:colOff>51955</xdr:colOff>
      <xdr:row>201</xdr:row>
      <xdr:rowOff>34635</xdr:rowOff>
    </xdr:to>
    <xdr:sp macro="" textlink="">
      <xdr:nvSpPr>
        <xdr:cNvPr id="22" name="Rectangle: Rounded Corners 21">
          <a:extLst>
            <a:ext uri="{FF2B5EF4-FFF2-40B4-BE49-F238E27FC236}">
              <a16:creationId xmlns:a16="http://schemas.microsoft.com/office/drawing/2014/main" id="{71E26619-7FCF-F744-2D0F-768B2FEB4E3A}"/>
            </a:ext>
          </a:extLst>
        </xdr:cNvPr>
        <xdr:cNvSpPr/>
      </xdr:nvSpPr>
      <xdr:spPr>
        <a:xfrm>
          <a:off x="1091044" y="41321181"/>
          <a:ext cx="14495320" cy="1385454"/>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sz="2000" b="0">
              <a:solidFill>
                <a:schemeClr val="tx1"/>
              </a:solidFill>
              <a:effectLst/>
              <a:latin typeface="Times New Roman" panose="02020603050405020304" pitchFamily="18" charset="0"/>
              <a:ea typeface="+mn-ea"/>
              <a:cs typeface="Times New Roman" panose="02020603050405020304" pitchFamily="18" charset="0"/>
            </a:rPr>
            <a:t>Phase</a:t>
          </a:r>
          <a:r>
            <a:rPr lang="en-US" sz="2000" b="0" baseline="0">
              <a:solidFill>
                <a:schemeClr val="tx1"/>
              </a:solidFill>
              <a:effectLst/>
              <a:latin typeface="Times New Roman" panose="02020603050405020304" pitchFamily="18" charset="0"/>
              <a:ea typeface="+mn-ea"/>
              <a:cs typeface="Times New Roman" panose="02020603050405020304" pitchFamily="18" charset="0"/>
            </a:rPr>
            <a:t> I: Xin chủ trương: </a:t>
          </a:r>
          <a:endParaRPr lang="en-US" sz="2000">
            <a:solidFill>
              <a:schemeClr val="tx1"/>
            </a:solidFill>
            <a:effectLst/>
            <a:latin typeface="Times New Roman" panose="02020603050405020304" pitchFamily="18" charset="0"/>
            <a:cs typeface="Times New Roman" panose="02020603050405020304" pitchFamily="18" charset="0"/>
          </a:endParaRPr>
        </a:p>
        <a:p>
          <a:r>
            <a:rPr lang="en-US" sz="2000" b="0" baseline="0">
              <a:solidFill>
                <a:schemeClr val="tx1"/>
              </a:solidFill>
              <a:effectLst/>
              <a:latin typeface="Times New Roman" panose="02020603050405020304" pitchFamily="18" charset="0"/>
              <a:ea typeface="+mn-ea"/>
              <a:cs typeface="Times New Roman" panose="02020603050405020304" pitchFamily="18" charset="0"/>
            </a:rPr>
            <a:t>- Phân tích báo giá 3 NCC Weldtec, TPT và Yaskawa, làm báo cáo tổng thể đề xuất (90%) (Đang review)</a:t>
          </a:r>
          <a:endParaRPr lang="en-US" sz="2000">
            <a:solidFill>
              <a:schemeClr val="tx1"/>
            </a:solidFill>
            <a:effectLst/>
            <a:latin typeface="Times New Roman" panose="02020603050405020304" pitchFamily="18" charset="0"/>
            <a:cs typeface="Times New Roman" panose="02020603050405020304" pitchFamily="18" charset="0"/>
          </a:endParaRPr>
        </a:p>
        <a:p>
          <a:r>
            <a:rPr lang="en-US" sz="2000" b="0" baseline="0">
              <a:solidFill>
                <a:schemeClr val="tx1"/>
              </a:solidFill>
              <a:effectLst/>
              <a:latin typeface="Times New Roman" panose="02020603050405020304" pitchFamily="18" charset="0"/>
              <a:ea typeface="+mn-ea"/>
              <a:cs typeface="Times New Roman" panose="02020603050405020304" pitchFamily="18" charset="0"/>
            </a:rPr>
            <a:t>- Làm việc với NCC Thịnh Tiến Đạt về giải pháp Layer Depalletizing system (Tiếp tục thực hiện trong Tuần 09)</a:t>
          </a:r>
          <a:endParaRPr lang="en-US" sz="2000">
            <a:solidFill>
              <a:schemeClr val="tx1"/>
            </a:solidFill>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512618</xdr:colOff>
      <xdr:row>205</xdr:row>
      <xdr:rowOff>86588</xdr:rowOff>
    </xdr:from>
    <xdr:to>
      <xdr:col>25</xdr:col>
      <xdr:colOff>69273</xdr:colOff>
      <xdr:row>213</xdr:row>
      <xdr:rowOff>103907</xdr:rowOff>
    </xdr:to>
    <xdr:sp macro="" textlink="">
      <xdr:nvSpPr>
        <xdr:cNvPr id="25" name="Rectangle: Rounded Corners 24">
          <a:extLst>
            <a:ext uri="{FF2B5EF4-FFF2-40B4-BE49-F238E27FC236}">
              <a16:creationId xmlns:a16="http://schemas.microsoft.com/office/drawing/2014/main" id="{B28A94B8-5E45-4B11-E401-1D75A80B6B76}"/>
            </a:ext>
          </a:extLst>
        </xdr:cNvPr>
        <xdr:cNvSpPr/>
      </xdr:nvSpPr>
      <xdr:spPr>
        <a:xfrm>
          <a:off x="1118754" y="43520588"/>
          <a:ext cx="14484928" cy="1541319"/>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2000" b="0">
              <a:solidFill>
                <a:schemeClr val="tx1"/>
              </a:solidFill>
              <a:effectLst/>
              <a:latin typeface="Times New Roman" panose="02020603050405020304" pitchFamily="18" charset="0"/>
              <a:ea typeface="+mn-ea"/>
              <a:cs typeface="Times New Roman" panose="02020603050405020304" pitchFamily="18" charset="0"/>
            </a:rPr>
            <a:t>Phase</a:t>
          </a:r>
          <a:r>
            <a:rPr lang="en-US" sz="2000" b="0" baseline="0">
              <a:solidFill>
                <a:schemeClr val="tx1"/>
              </a:solidFill>
              <a:effectLst/>
              <a:latin typeface="Times New Roman" panose="02020603050405020304" pitchFamily="18" charset="0"/>
              <a:ea typeface="+mn-ea"/>
              <a:cs typeface="Times New Roman" panose="02020603050405020304" pitchFamily="18" charset="0"/>
            </a:rPr>
            <a:t> I: Công tác chuẩn bị</a:t>
          </a:r>
          <a:endParaRPr lang="en-US" sz="2000" b="0">
            <a:solidFill>
              <a:schemeClr val="tx1"/>
            </a:solidFill>
            <a:effectLst/>
            <a:latin typeface="Times New Roman" panose="02020603050405020304" pitchFamily="18" charset="0"/>
            <a:ea typeface="+mn-ea"/>
            <a:cs typeface="Times New Roman" panose="02020603050405020304" pitchFamily="18" charset="0"/>
          </a:endParaRPr>
        </a:p>
        <a:p>
          <a:r>
            <a:rPr lang="vi-VN" sz="2000" b="0">
              <a:solidFill>
                <a:schemeClr val="tx1"/>
              </a:solidFill>
              <a:effectLst/>
              <a:latin typeface="Times New Roman" panose="02020603050405020304" pitchFamily="18" charset="0"/>
              <a:ea typeface="+mn-ea"/>
              <a:cs typeface="Times New Roman" panose="02020603050405020304" pitchFamily="18" charset="0"/>
            </a:rPr>
            <a:t>- Tình hình các ĐHMS/DV: Đã ban hành 1/3 YCMS, Sẽ trình lại 2 YCMS/DV khi chủ trương được phê duyệt</a:t>
          </a:r>
          <a:endParaRPr lang="en-US" sz="2000">
            <a:solidFill>
              <a:schemeClr val="tx1"/>
            </a:solidFill>
            <a:effectLst/>
            <a:latin typeface="Times New Roman" panose="02020603050405020304" pitchFamily="18" charset="0"/>
            <a:cs typeface="Times New Roman" panose="02020603050405020304" pitchFamily="18" charset="0"/>
          </a:endParaRPr>
        </a:p>
        <a:p>
          <a:r>
            <a:rPr lang="vi-VN" sz="2000" b="0">
              <a:solidFill>
                <a:schemeClr val="tx1"/>
              </a:solidFill>
              <a:effectLst/>
              <a:latin typeface="Times New Roman" panose="02020603050405020304" pitchFamily="18" charset="0"/>
              <a:ea typeface="+mn-ea"/>
              <a:cs typeface="Times New Roman" panose="02020603050405020304" pitchFamily="18" charset="0"/>
            </a:rPr>
            <a:t>- Phương án thực hiện: 36%</a:t>
          </a:r>
          <a:endParaRPr lang="en-US" sz="2000">
            <a:solidFill>
              <a:schemeClr val="tx1"/>
            </a:solidFill>
            <a:effectLst/>
            <a:latin typeface="Times New Roman" panose="02020603050405020304" pitchFamily="18" charset="0"/>
            <a:cs typeface="Times New Roman" panose="02020603050405020304" pitchFamily="18" charset="0"/>
          </a:endParaRPr>
        </a:p>
        <a:p>
          <a:r>
            <a:rPr lang="vi-VN" sz="2000" b="0">
              <a:solidFill>
                <a:schemeClr val="tx1"/>
              </a:solidFill>
              <a:effectLst/>
              <a:latin typeface="Times New Roman" panose="02020603050405020304" pitchFamily="18" charset="0"/>
              <a:ea typeface="+mn-ea"/>
              <a:cs typeface="Times New Roman" panose="02020603050405020304" pitchFamily="18" charset="0"/>
            </a:rPr>
            <a:t>Ghi chú: Đang trình báo cáo chủ trương đến TGĐ (Bước </a:t>
          </a:r>
          <a:r>
            <a:rPr lang="en-US" sz="2000" b="0">
              <a:solidFill>
                <a:schemeClr val="tx1"/>
              </a:solidFill>
              <a:effectLst/>
              <a:latin typeface="Times New Roman" panose="02020603050405020304" pitchFamily="18" charset="0"/>
              <a:ea typeface="+mn-ea"/>
              <a:cs typeface="Times New Roman" panose="02020603050405020304" pitchFamily="18" charset="0"/>
            </a:rPr>
            <a:t>3</a:t>
          </a:r>
          <a:r>
            <a:rPr lang="vi-VN" sz="2000" b="0">
              <a:solidFill>
                <a:schemeClr val="tx1"/>
              </a:solidFill>
              <a:effectLst/>
              <a:latin typeface="Times New Roman" panose="02020603050405020304" pitchFamily="18" charset="0"/>
              <a:ea typeface="+mn-ea"/>
              <a:cs typeface="Times New Roman" panose="02020603050405020304" pitchFamily="18" charset="0"/>
            </a:rPr>
            <a:t>/10 </a:t>
          </a:r>
          <a:r>
            <a:rPr lang="en-US" sz="2000" b="0">
              <a:solidFill>
                <a:schemeClr val="tx1"/>
              </a:solidFill>
              <a:effectLst/>
              <a:latin typeface="Times New Roman" panose="02020603050405020304" pitchFamily="18" charset="0"/>
              <a:ea typeface="+mn-ea"/>
              <a:cs typeface="Times New Roman" panose="02020603050405020304" pitchFamily="18" charset="0"/>
            </a:rPr>
            <a:t>TK B.</a:t>
          </a:r>
          <a:r>
            <a:rPr lang="vi-VN" sz="2000" b="0">
              <a:solidFill>
                <a:schemeClr val="tx1"/>
              </a:solidFill>
              <a:effectLst/>
              <a:latin typeface="Times New Roman" panose="02020603050405020304" pitchFamily="18" charset="0"/>
              <a:ea typeface="+mn-ea"/>
              <a:cs typeface="Times New Roman" panose="02020603050405020304" pitchFamily="18" charset="0"/>
            </a:rPr>
            <a:t>GĐNM) (Trình </a:t>
          </a:r>
          <a:r>
            <a:rPr lang="en-US" sz="2000" b="0">
              <a:solidFill>
                <a:schemeClr val="tx1"/>
              </a:solidFill>
              <a:effectLst/>
              <a:latin typeface="Times New Roman" panose="02020603050405020304" pitchFamily="18" charset="0"/>
              <a:ea typeface="+mn-ea"/>
              <a:cs typeface="Times New Roman" panose="02020603050405020304" pitchFamily="18" charset="0"/>
            </a:rPr>
            <a:t>3</a:t>
          </a:r>
          <a:r>
            <a:rPr lang="vi-VN" sz="2000" b="0">
              <a:solidFill>
                <a:schemeClr val="tx1"/>
              </a:solidFill>
              <a:effectLst/>
              <a:latin typeface="Times New Roman" panose="02020603050405020304" pitchFamily="18" charset="0"/>
              <a:ea typeface="+mn-ea"/>
              <a:cs typeface="Times New Roman" panose="02020603050405020304" pitchFamily="18" charset="0"/>
            </a:rPr>
            <a:t>nd)</a:t>
          </a:r>
          <a:endParaRPr lang="en-US" sz="2000">
            <a:solidFill>
              <a:schemeClr val="tx1"/>
            </a:solidFill>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436418</xdr:colOff>
      <xdr:row>218</xdr:row>
      <xdr:rowOff>135082</xdr:rowOff>
    </xdr:from>
    <xdr:to>
      <xdr:col>18</xdr:col>
      <xdr:colOff>477982</xdr:colOff>
      <xdr:row>224</xdr:row>
      <xdr:rowOff>51955</xdr:rowOff>
    </xdr:to>
    <xdr:sp macro="" textlink="">
      <xdr:nvSpPr>
        <xdr:cNvPr id="69" name="Rectangle: Rounded Corners 68">
          <a:extLst>
            <a:ext uri="{FF2B5EF4-FFF2-40B4-BE49-F238E27FC236}">
              <a16:creationId xmlns:a16="http://schemas.microsoft.com/office/drawing/2014/main" id="{FA25C604-131F-6678-66DE-EFD358280EAB}"/>
            </a:ext>
          </a:extLst>
        </xdr:cNvPr>
        <xdr:cNvSpPr/>
      </xdr:nvSpPr>
      <xdr:spPr>
        <a:xfrm>
          <a:off x="1042554" y="46045582"/>
          <a:ext cx="10726883" cy="1059873"/>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chemeClr val="tx1"/>
              </a:solidFill>
              <a:effectLst/>
              <a:latin typeface="Times New Roman" panose="02020603050405020304" pitchFamily="18" charset="0"/>
              <a:ea typeface="+mn-ea"/>
              <a:cs typeface="Times New Roman" panose="02020603050405020304" pitchFamily="18" charset="0"/>
            </a:rPr>
            <a:t>Đã hoàn thành họp thống nhất đối tượng thực hiện, làm rõ phạm vi công việ</a:t>
          </a:r>
          <a:r>
            <a:rPr lang="en-US" sz="2000" b="0">
              <a:solidFill>
                <a:schemeClr val="tx1"/>
              </a:solidFill>
              <a:effectLst/>
              <a:latin typeface="Times New Roman" panose="02020603050405020304" pitchFamily="18" charset="0"/>
              <a:ea typeface="+mn-ea"/>
              <a:cs typeface="Times New Roman" panose="02020603050405020304" pitchFamily="18" charset="0"/>
            </a:rPr>
            <a:t>c</a:t>
          </a:r>
        </a:p>
        <a:p>
          <a:pPr marL="0" marR="0" lvl="0" indent="0" algn="l" defTabSz="914400" eaLnBrk="1" fontAlgn="auto" latinLnBrk="0" hangingPunct="1">
            <a:lnSpc>
              <a:spcPct val="100000"/>
            </a:lnSpc>
            <a:spcBef>
              <a:spcPts val="0"/>
            </a:spcBef>
            <a:spcAft>
              <a:spcPts val="0"/>
            </a:spcAft>
            <a:buClrTx/>
            <a:buSzTx/>
            <a:buFontTx/>
            <a:buNone/>
            <a:tabLst/>
            <a:defRPr/>
          </a:pPr>
          <a:r>
            <a:rPr lang="en-US" sz="2000" b="0">
              <a:solidFill>
                <a:schemeClr val="tx1"/>
              </a:solidFill>
              <a:effectLst/>
              <a:latin typeface="Times New Roman" panose="02020603050405020304" pitchFamily="18" charset="0"/>
              <a:ea typeface="+mn-ea"/>
              <a:cs typeface="Times New Roman" panose="02020603050405020304" pitchFamily="18" charset="0"/>
            </a:rPr>
            <a:t>Ghi chú:</a:t>
          </a:r>
          <a:r>
            <a:rPr lang="en-US" sz="2000" b="0" baseline="0">
              <a:solidFill>
                <a:schemeClr val="tx1"/>
              </a:solidFill>
              <a:effectLst/>
              <a:latin typeface="Times New Roman" panose="02020603050405020304" pitchFamily="18" charset="0"/>
              <a:ea typeface="+mn-ea"/>
              <a:cs typeface="Times New Roman" panose="02020603050405020304" pitchFamily="18" charset="0"/>
            </a:rPr>
            <a:t> Không thay đổi trong tháng</a:t>
          </a:r>
          <a:endParaRPr lang="en-US" sz="2000" b="0">
            <a:solidFill>
              <a:schemeClr val="tx1"/>
            </a:solidFill>
            <a:effectLst/>
            <a:latin typeface="Times New Roman" panose="02020603050405020304" pitchFamily="18" charset="0"/>
            <a:ea typeface="+mn-ea"/>
            <a:cs typeface="Times New Roman" panose="02020603050405020304" pitchFamily="18" charset="0"/>
          </a:endParaRPr>
        </a:p>
      </xdr:txBody>
    </xdr:sp>
    <xdr:clientData/>
  </xdr:twoCellAnchor>
  <xdr:twoCellAnchor>
    <xdr:from>
      <xdr:col>1</xdr:col>
      <xdr:colOff>432953</xdr:colOff>
      <xdr:row>228</xdr:row>
      <xdr:rowOff>41563</xdr:rowOff>
    </xdr:from>
    <xdr:to>
      <xdr:col>25</xdr:col>
      <xdr:colOff>277091</xdr:colOff>
      <xdr:row>234</xdr:row>
      <xdr:rowOff>190499</xdr:rowOff>
    </xdr:to>
    <xdr:sp macro="" textlink="">
      <xdr:nvSpPr>
        <xdr:cNvPr id="71" name="Rectangle: Rounded Corners 70">
          <a:extLst>
            <a:ext uri="{FF2B5EF4-FFF2-40B4-BE49-F238E27FC236}">
              <a16:creationId xmlns:a16="http://schemas.microsoft.com/office/drawing/2014/main" id="{866CE5E7-BFF2-F62B-7FD7-69AABE4F72AA}"/>
            </a:ext>
          </a:extLst>
        </xdr:cNvPr>
        <xdr:cNvSpPr/>
      </xdr:nvSpPr>
      <xdr:spPr>
        <a:xfrm>
          <a:off x="1039089" y="47857063"/>
          <a:ext cx="14772411" cy="1291936"/>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chemeClr val="tx1"/>
              </a:solidFill>
              <a:effectLst/>
              <a:latin typeface="Times New Roman" panose="02020603050405020304" pitchFamily="18" charset="0"/>
              <a:ea typeface="+mn-ea"/>
              <a:cs typeface="Times New Roman" panose="02020603050405020304" pitchFamily="18" charset="0"/>
            </a:rPr>
            <a:t>Viết đầu bài kỹ thuật yêu cầu dịch dụ "Cung cấp vật tư, dịch vụ thi công gia cố máng cáp Điện - Điều khiển toàn Nhà máy</a:t>
          </a:r>
          <a:r>
            <a:rPr lang="en-US" sz="2000" b="0">
              <a:solidFill>
                <a:schemeClr val="tx1"/>
              </a:solidFill>
              <a:effectLst/>
              <a:latin typeface="Times New Roman" panose="02020603050405020304" pitchFamily="18" charset="0"/>
              <a:ea typeface="+mn-ea"/>
              <a:cs typeface="Times New Roman" panose="02020603050405020304" pitchFamily="18" charset="0"/>
            </a:rPr>
            <a:t>"</a:t>
          </a:r>
          <a:r>
            <a:rPr lang="en-US" sz="2000" b="0" baseline="0">
              <a:solidFill>
                <a:schemeClr val="tx1"/>
              </a:solidFill>
              <a:effectLst/>
              <a:latin typeface="Times New Roman" panose="02020603050405020304" pitchFamily="18" charset="0"/>
              <a:ea typeface="+mn-ea"/>
              <a:cs typeface="Times New Roman" panose="02020603050405020304" pitchFamily="18" charset="0"/>
            </a:rPr>
            <a:t> hoàn thành 60%</a:t>
          </a:r>
          <a:endParaRPr lang="en-US" sz="2000">
            <a:solidFill>
              <a:schemeClr val="tx1"/>
            </a:solidFill>
            <a:effectLst/>
            <a:latin typeface="Times New Roman" panose="02020603050405020304" pitchFamily="18" charset="0"/>
            <a:cs typeface="Times New Roman" panose="02020603050405020304" pitchFamily="18" charset="0"/>
          </a:endParaRPr>
        </a:p>
      </xdr:txBody>
    </xdr:sp>
    <xdr:clientData/>
  </xdr:twoCellAnchor>
  <xdr:twoCellAnchor>
    <xdr:from>
      <xdr:col>27</xdr:col>
      <xdr:colOff>304800</xdr:colOff>
      <xdr:row>130</xdr:row>
      <xdr:rowOff>24246</xdr:rowOff>
    </xdr:from>
    <xdr:to>
      <xdr:col>28</xdr:col>
      <xdr:colOff>586413</xdr:colOff>
      <xdr:row>134</xdr:row>
      <xdr:rowOff>58667</xdr:rowOff>
    </xdr:to>
    <xdr:pic>
      <xdr:nvPicPr>
        <xdr:cNvPr id="78" name="Picture 77" descr="Target - Free seo and web icons">
          <a:extLst>
            <a:ext uri="{FF2B5EF4-FFF2-40B4-BE49-F238E27FC236}">
              <a16:creationId xmlns:a16="http://schemas.microsoft.com/office/drawing/2014/main" id="{1CF6014C-EFED-42FC-9D21-1C09FD0CA80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7051482" y="29170746"/>
          <a:ext cx="887749" cy="7964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34</xdr:col>
      <xdr:colOff>256286</xdr:colOff>
      <xdr:row>58</xdr:row>
      <xdr:rowOff>117750</xdr:rowOff>
    </xdr:from>
    <xdr:to>
      <xdr:col>36</xdr:col>
      <xdr:colOff>473446</xdr:colOff>
      <xdr:row>62</xdr:row>
      <xdr:rowOff>13224</xdr:rowOff>
    </xdr:to>
    <xdr:sp macro="" textlink="data!N104">
      <xdr:nvSpPr>
        <xdr:cNvPr id="28" name="Rectangle: Rounded Corners 27">
          <a:extLst>
            <a:ext uri="{FF2B5EF4-FFF2-40B4-BE49-F238E27FC236}">
              <a16:creationId xmlns:a16="http://schemas.microsoft.com/office/drawing/2014/main" id="{19297A4C-698F-4956-89A9-4A0C53F76446}"/>
            </a:ext>
          </a:extLst>
        </xdr:cNvPr>
        <xdr:cNvSpPr/>
      </xdr:nvSpPr>
      <xdr:spPr>
        <a:xfrm>
          <a:off x="21841668" y="15468586"/>
          <a:ext cx="1464069" cy="615911"/>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422178F-72C5-41D2-BCEE-5A18ECFC69E4}" type="TxLink">
            <a:rPr lang="en-US" sz="2400" b="1" i="0" u="none" strike="noStrike">
              <a:solidFill>
                <a:sysClr val="windowText" lastClr="000000"/>
              </a:solidFill>
              <a:latin typeface="Abadi" panose="020B0604020104020204" pitchFamily="34" charset="0"/>
              <a:ea typeface="+mn-ea"/>
              <a:cs typeface="Times New Roman" panose="02020603050405020304" pitchFamily="18" charset="0"/>
            </a:rPr>
            <a:pPr marL="0" indent="0" algn="ctr"/>
            <a:t>71</a:t>
          </a:fld>
          <a:endParaRPr lang="en-US" sz="2400" b="1" i="0" u="none" strike="noStrike">
            <a:solidFill>
              <a:sysClr val="windowText" lastClr="000000"/>
            </a:solidFill>
            <a:latin typeface="Abadi" panose="020B0604020104020204" pitchFamily="34" charset="0"/>
            <a:ea typeface="+mn-ea"/>
            <a:cs typeface="Times New Roman" panose="02020603050405020304" pitchFamily="18" charset="0"/>
          </a:endParaRPr>
        </a:p>
      </xdr:txBody>
    </xdr:sp>
    <xdr:clientData/>
  </xdr:twoCellAnchor>
  <xdr:twoCellAnchor>
    <xdr:from>
      <xdr:col>38</xdr:col>
      <xdr:colOff>169838</xdr:colOff>
      <xdr:row>58</xdr:row>
      <xdr:rowOff>93931</xdr:rowOff>
    </xdr:from>
    <xdr:to>
      <xdr:col>40</xdr:col>
      <xdr:colOff>233300</xdr:colOff>
      <xdr:row>62</xdr:row>
      <xdr:rowOff>37042</xdr:rowOff>
    </xdr:to>
    <xdr:sp macro="" textlink="data!N103">
      <xdr:nvSpPr>
        <xdr:cNvPr id="29" name="Rectangle: Rounded Corners 28">
          <a:extLst>
            <a:ext uri="{FF2B5EF4-FFF2-40B4-BE49-F238E27FC236}">
              <a16:creationId xmlns:a16="http://schemas.microsoft.com/office/drawing/2014/main" id="{1DF22936-DE20-4CFB-AE09-21CB9826F51D}"/>
            </a:ext>
          </a:extLst>
        </xdr:cNvPr>
        <xdr:cNvSpPr/>
      </xdr:nvSpPr>
      <xdr:spPr>
        <a:xfrm>
          <a:off x="24249038" y="15444767"/>
          <a:ext cx="1310371" cy="663548"/>
        </a:xfrm>
        <a:prstGeom prst="round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E5C083B-E68F-4E0D-9217-CBDFE82EC093}" type="TxLink">
            <a:rPr lang="en-US" sz="2400" b="1" i="0" u="none" strike="noStrike">
              <a:solidFill>
                <a:schemeClr val="bg1"/>
              </a:solidFill>
              <a:latin typeface="Abadi" panose="020B0604020104020204" pitchFamily="34" charset="0"/>
              <a:ea typeface="+mn-ea"/>
              <a:cs typeface="Times New Roman" panose="02020603050405020304" pitchFamily="18" charset="0"/>
            </a:rPr>
            <a:pPr marL="0" indent="0" algn="ctr"/>
            <a:t>1126</a:t>
          </a:fld>
          <a:endParaRPr lang="en-US" sz="2400" b="1" i="0" u="none" strike="noStrike">
            <a:solidFill>
              <a:schemeClr val="bg1"/>
            </a:solidFill>
            <a:latin typeface="Abadi" panose="020B0604020104020204" pitchFamily="34" charset="0"/>
            <a:ea typeface="+mn-ea"/>
            <a:cs typeface="Times New Roman" panose="02020603050405020304" pitchFamily="18" charset="0"/>
          </a:endParaRPr>
        </a:p>
      </xdr:txBody>
    </xdr:sp>
    <xdr:clientData/>
  </xdr:twoCellAnchor>
  <xdr:twoCellAnchor>
    <xdr:from>
      <xdr:col>33</xdr:col>
      <xdr:colOff>96980</xdr:colOff>
      <xdr:row>57</xdr:row>
      <xdr:rowOff>170570</xdr:rowOff>
    </xdr:from>
    <xdr:to>
      <xdr:col>34</xdr:col>
      <xdr:colOff>321935</xdr:colOff>
      <xdr:row>62</xdr:row>
      <xdr:rowOff>140512</xdr:rowOff>
    </xdr:to>
    <xdr:sp macro="" textlink="">
      <xdr:nvSpPr>
        <xdr:cNvPr id="30" name="Rectangle: Rounded Corners 29">
          <a:extLst>
            <a:ext uri="{FF2B5EF4-FFF2-40B4-BE49-F238E27FC236}">
              <a16:creationId xmlns:a16="http://schemas.microsoft.com/office/drawing/2014/main" id="{A88BE595-0259-448C-BD46-49A103B7460C}"/>
            </a:ext>
          </a:extLst>
        </xdr:cNvPr>
        <xdr:cNvSpPr/>
      </xdr:nvSpPr>
      <xdr:spPr>
        <a:xfrm>
          <a:off x="21058907" y="15341297"/>
          <a:ext cx="848410" cy="87048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kern="1200">
              <a:solidFill>
                <a:srgbClr val="EE0000"/>
              </a:solidFill>
              <a:latin typeface="Times New Roman" panose="02020603050405020304" pitchFamily="18" charset="0"/>
              <a:cs typeface="Times New Roman" panose="02020603050405020304" pitchFamily="18" charset="0"/>
            </a:rPr>
            <a:t>Thực</a:t>
          </a:r>
          <a:r>
            <a:rPr lang="en-US" sz="1800" b="1" kern="1200" baseline="0">
              <a:solidFill>
                <a:srgbClr val="EE0000"/>
              </a:solidFill>
              <a:latin typeface="Times New Roman" panose="02020603050405020304" pitchFamily="18" charset="0"/>
              <a:cs typeface="Times New Roman" panose="02020603050405020304" pitchFamily="18" charset="0"/>
            </a:rPr>
            <a:t> hiện</a:t>
          </a:r>
          <a:endParaRPr lang="en-US" sz="1800" b="1" kern="1200">
            <a:solidFill>
              <a:srgbClr val="EE0000"/>
            </a:solidFill>
            <a:latin typeface="Times New Roman" panose="02020603050405020304" pitchFamily="18" charset="0"/>
            <a:cs typeface="Times New Roman" panose="02020603050405020304" pitchFamily="18" charset="0"/>
          </a:endParaRPr>
        </a:p>
      </xdr:txBody>
    </xdr:sp>
    <xdr:clientData/>
  </xdr:twoCellAnchor>
  <xdr:twoCellAnchor>
    <xdr:from>
      <xdr:col>36</xdr:col>
      <xdr:colOff>505595</xdr:colOff>
      <xdr:row>57</xdr:row>
      <xdr:rowOff>170570</xdr:rowOff>
    </xdr:from>
    <xdr:to>
      <xdr:col>38</xdr:col>
      <xdr:colOff>184829</xdr:colOff>
      <xdr:row>62</xdr:row>
      <xdr:rowOff>140512</xdr:rowOff>
    </xdr:to>
    <xdr:sp macro="" textlink="">
      <xdr:nvSpPr>
        <xdr:cNvPr id="33" name="Rectangle: Rounded Corners 32">
          <a:extLst>
            <a:ext uri="{FF2B5EF4-FFF2-40B4-BE49-F238E27FC236}">
              <a16:creationId xmlns:a16="http://schemas.microsoft.com/office/drawing/2014/main" id="{094EB67D-8886-4B7F-BE19-2331422230A3}"/>
            </a:ext>
          </a:extLst>
        </xdr:cNvPr>
        <xdr:cNvSpPr/>
      </xdr:nvSpPr>
      <xdr:spPr>
        <a:xfrm>
          <a:off x="23337886" y="15341297"/>
          <a:ext cx="926143" cy="87048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kern="1200">
              <a:solidFill>
                <a:srgbClr val="7030A0"/>
              </a:solidFill>
              <a:latin typeface="Times New Roman" panose="02020603050405020304" pitchFamily="18" charset="0"/>
              <a:cs typeface="Times New Roman" panose="02020603050405020304" pitchFamily="18" charset="0"/>
            </a:rPr>
            <a:t>Kế</a:t>
          </a:r>
          <a:r>
            <a:rPr lang="en-US" sz="1800" b="1" kern="1200" baseline="0">
              <a:solidFill>
                <a:srgbClr val="7030A0"/>
              </a:solidFill>
              <a:latin typeface="Times New Roman" panose="02020603050405020304" pitchFamily="18" charset="0"/>
              <a:cs typeface="Times New Roman" panose="02020603050405020304" pitchFamily="18" charset="0"/>
            </a:rPr>
            <a:t> </a:t>
          </a:r>
        </a:p>
        <a:p>
          <a:pPr algn="ctr"/>
          <a:r>
            <a:rPr lang="en-US" sz="1800" b="1" kern="1200" baseline="0">
              <a:solidFill>
                <a:srgbClr val="7030A0"/>
              </a:solidFill>
              <a:latin typeface="Times New Roman" panose="02020603050405020304" pitchFamily="18" charset="0"/>
              <a:cs typeface="Times New Roman" panose="02020603050405020304" pitchFamily="18" charset="0"/>
            </a:rPr>
            <a:t>hoạch</a:t>
          </a:r>
          <a:endParaRPr lang="en-US" sz="1800" b="1" kern="1200">
            <a:solidFill>
              <a:srgbClr val="7030A0"/>
            </a:solidFill>
            <a:latin typeface="Times New Roman" panose="02020603050405020304" pitchFamily="18" charset="0"/>
            <a:cs typeface="Times New Roman" panose="02020603050405020304" pitchFamily="18" charset="0"/>
          </a:endParaRPr>
        </a:p>
      </xdr:txBody>
    </xdr:sp>
    <xdr:clientData/>
  </xdr:twoCellAnchor>
  <xdr:twoCellAnchor editAs="oneCell">
    <xdr:from>
      <xdr:col>44</xdr:col>
      <xdr:colOff>318655</xdr:colOff>
      <xdr:row>57</xdr:row>
      <xdr:rowOff>66170</xdr:rowOff>
    </xdr:from>
    <xdr:to>
      <xdr:col>46</xdr:col>
      <xdr:colOff>83127</xdr:colOff>
      <xdr:row>62</xdr:row>
      <xdr:rowOff>163482</xdr:rowOff>
    </xdr:to>
    <xdr:pic>
      <xdr:nvPicPr>
        <xdr:cNvPr id="43" name="Picture 42" descr="Money bag - Free business icons">
          <a:extLst>
            <a:ext uri="{FF2B5EF4-FFF2-40B4-BE49-F238E27FC236}">
              <a16:creationId xmlns:a16="http://schemas.microsoft.com/office/drawing/2014/main" id="{F88DF203-6526-C930-550F-7F6D60B55D6C}"/>
            </a:ext>
          </a:extLst>
        </xdr:cNvPr>
        <xdr:cNvPicPr>
          <a:picLocks noChangeAspect="1" noChangeArrowheads="1"/>
        </xdr:cNvPicPr>
      </xdr:nvPicPr>
      <xdr:blipFill>
        <a:blip xmlns:r="http://schemas.openxmlformats.org/officeDocument/2006/relationships" r:embed="rId26" cstate="print">
          <a:extLst>
            <a:ext uri="{28A0092B-C50C-407E-A947-70E740481C1C}">
              <a14:useLocalDpi xmlns:a14="http://schemas.microsoft.com/office/drawing/2010/main" val="0"/>
            </a:ext>
          </a:extLst>
        </a:blip>
        <a:srcRect/>
        <a:stretch>
          <a:fillRect/>
        </a:stretch>
      </xdr:blipFill>
      <xdr:spPr bwMode="auto">
        <a:xfrm>
          <a:off x="28387964" y="15236897"/>
          <a:ext cx="1011381" cy="9978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599217</xdr:colOff>
      <xdr:row>167</xdr:row>
      <xdr:rowOff>84836</xdr:rowOff>
    </xdr:from>
    <xdr:to>
      <xdr:col>16</xdr:col>
      <xdr:colOff>200718</xdr:colOff>
      <xdr:row>172</xdr:row>
      <xdr:rowOff>54778</xdr:rowOff>
    </xdr:to>
    <xdr:sp macro="" textlink="">
      <xdr:nvSpPr>
        <xdr:cNvPr id="45" name="Rectangle: Rounded Corners 44">
          <a:extLst>
            <a:ext uri="{FF2B5EF4-FFF2-40B4-BE49-F238E27FC236}">
              <a16:creationId xmlns:a16="http://schemas.microsoft.com/office/drawing/2014/main" id="{05794965-358B-4AF5-8410-86F2C352BBCD}"/>
            </a:ext>
          </a:extLst>
        </xdr:cNvPr>
        <xdr:cNvSpPr/>
      </xdr:nvSpPr>
      <xdr:spPr>
        <a:xfrm>
          <a:off x="9715508" y="35067563"/>
          <a:ext cx="848410" cy="87048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kern="1200">
              <a:solidFill>
                <a:srgbClr val="EE0000"/>
              </a:solidFill>
              <a:latin typeface="Times New Roman" panose="02020603050405020304" pitchFamily="18" charset="0"/>
              <a:cs typeface="Times New Roman" panose="02020603050405020304" pitchFamily="18" charset="0"/>
            </a:rPr>
            <a:t>Thực</a:t>
          </a:r>
          <a:r>
            <a:rPr lang="en-US" sz="1800" b="1" kern="1200" baseline="0">
              <a:solidFill>
                <a:srgbClr val="EE0000"/>
              </a:solidFill>
              <a:latin typeface="Times New Roman" panose="02020603050405020304" pitchFamily="18" charset="0"/>
              <a:cs typeface="Times New Roman" panose="02020603050405020304" pitchFamily="18" charset="0"/>
            </a:rPr>
            <a:t> hiện</a:t>
          </a:r>
          <a:endParaRPr lang="en-US" sz="1800" b="1" kern="1200">
            <a:solidFill>
              <a:srgbClr val="EE0000"/>
            </a:solidFill>
            <a:latin typeface="Times New Roman" panose="02020603050405020304" pitchFamily="18" charset="0"/>
            <a:cs typeface="Times New Roman" panose="02020603050405020304" pitchFamily="18" charset="0"/>
          </a:endParaRPr>
        </a:p>
      </xdr:txBody>
    </xdr:sp>
    <xdr:clientData/>
  </xdr:twoCellAnchor>
  <xdr:twoCellAnchor>
    <xdr:from>
      <xdr:col>18</xdr:col>
      <xdr:colOff>231979</xdr:colOff>
      <xdr:row>167</xdr:row>
      <xdr:rowOff>145471</xdr:rowOff>
    </xdr:from>
    <xdr:to>
      <xdr:col>19</xdr:col>
      <xdr:colOff>534667</xdr:colOff>
      <xdr:row>172</xdr:row>
      <xdr:rowOff>115413</xdr:rowOff>
    </xdr:to>
    <xdr:sp macro="" textlink="">
      <xdr:nvSpPr>
        <xdr:cNvPr id="46" name="Rectangle: Rounded Corners 45">
          <a:extLst>
            <a:ext uri="{FF2B5EF4-FFF2-40B4-BE49-F238E27FC236}">
              <a16:creationId xmlns:a16="http://schemas.microsoft.com/office/drawing/2014/main" id="{838013A4-4710-40EA-B452-F36F9017098D}"/>
            </a:ext>
          </a:extLst>
        </xdr:cNvPr>
        <xdr:cNvSpPr/>
      </xdr:nvSpPr>
      <xdr:spPr>
        <a:xfrm>
          <a:off x="11842088" y="35128198"/>
          <a:ext cx="926143" cy="87048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kern="1200">
              <a:solidFill>
                <a:srgbClr val="7030A0"/>
              </a:solidFill>
              <a:latin typeface="Times New Roman" panose="02020603050405020304" pitchFamily="18" charset="0"/>
              <a:cs typeface="Times New Roman" panose="02020603050405020304" pitchFamily="18" charset="0"/>
            </a:rPr>
            <a:t>Kế</a:t>
          </a:r>
          <a:r>
            <a:rPr lang="en-US" sz="1800" b="1" kern="1200" baseline="0">
              <a:solidFill>
                <a:srgbClr val="7030A0"/>
              </a:solidFill>
              <a:latin typeface="Times New Roman" panose="02020603050405020304" pitchFamily="18" charset="0"/>
              <a:cs typeface="Times New Roman" panose="02020603050405020304" pitchFamily="18" charset="0"/>
            </a:rPr>
            <a:t> </a:t>
          </a:r>
        </a:p>
        <a:p>
          <a:pPr algn="ctr"/>
          <a:r>
            <a:rPr lang="en-US" sz="1800" b="1" kern="1200" baseline="0">
              <a:solidFill>
                <a:srgbClr val="7030A0"/>
              </a:solidFill>
              <a:latin typeface="Times New Roman" panose="02020603050405020304" pitchFamily="18" charset="0"/>
              <a:cs typeface="Times New Roman" panose="02020603050405020304" pitchFamily="18" charset="0"/>
            </a:rPr>
            <a:t>hoạch</a:t>
          </a:r>
          <a:endParaRPr lang="en-US" sz="1800" b="1" kern="1200">
            <a:solidFill>
              <a:srgbClr val="7030A0"/>
            </a:solidFill>
            <a:latin typeface="Times New Roman" panose="02020603050405020304" pitchFamily="18" charset="0"/>
            <a:cs typeface="Times New Roman" panose="02020603050405020304" pitchFamily="18" charset="0"/>
          </a:endParaRPr>
        </a:p>
      </xdr:txBody>
    </xdr:sp>
    <xdr:clientData/>
  </xdr:twoCellAnchor>
  <xdr:twoCellAnchor>
    <xdr:from>
      <xdr:col>41</xdr:col>
      <xdr:colOff>3465</xdr:colOff>
      <xdr:row>45</xdr:row>
      <xdr:rowOff>103910</xdr:rowOff>
    </xdr:from>
    <xdr:to>
      <xdr:col>43</xdr:col>
      <xdr:colOff>436418</xdr:colOff>
      <xdr:row>47</xdr:row>
      <xdr:rowOff>173183</xdr:rowOff>
    </xdr:to>
    <xdr:sp macro="" textlink="">
      <xdr:nvSpPr>
        <xdr:cNvPr id="47" name="Rectangle: Rounded Corners 46">
          <a:extLst>
            <a:ext uri="{FF2B5EF4-FFF2-40B4-BE49-F238E27FC236}">
              <a16:creationId xmlns:a16="http://schemas.microsoft.com/office/drawing/2014/main" id="{D0CD91E9-BABC-F029-1E06-126A92EB8499}"/>
            </a:ext>
          </a:extLst>
        </xdr:cNvPr>
        <xdr:cNvSpPr/>
      </xdr:nvSpPr>
      <xdr:spPr>
        <a:xfrm>
          <a:off x="25236056" y="13057910"/>
          <a:ext cx="1766453" cy="45027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1" kern="1200">
              <a:solidFill>
                <a:srgbClr val="FF0000"/>
              </a:solidFill>
              <a:latin typeface="Times New Roman" panose="02020603050405020304" pitchFamily="18" charset="0"/>
              <a:cs typeface="Times New Roman" panose="02020603050405020304" pitchFamily="18" charset="0"/>
            </a:rPr>
            <a:t>Trễ</a:t>
          </a:r>
          <a:r>
            <a:rPr lang="en-US" sz="2000" b="1" kern="1200" baseline="0">
              <a:solidFill>
                <a:srgbClr val="FF0000"/>
              </a:solidFill>
              <a:latin typeface="Times New Roman" panose="02020603050405020304" pitchFamily="18" charset="0"/>
              <a:cs typeface="Times New Roman" panose="02020603050405020304" pitchFamily="18" charset="0"/>
            </a:rPr>
            <a:t> kế hoạch</a:t>
          </a:r>
          <a:endParaRPr lang="en-US" sz="12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488372</xdr:colOff>
      <xdr:row>183</xdr:row>
      <xdr:rowOff>31175</xdr:rowOff>
    </xdr:from>
    <xdr:to>
      <xdr:col>25</xdr:col>
      <xdr:colOff>138546</xdr:colOff>
      <xdr:row>190</xdr:row>
      <xdr:rowOff>51955</xdr:rowOff>
    </xdr:to>
    <xdr:sp macro="" textlink="">
      <xdr:nvSpPr>
        <xdr:cNvPr id="48" name="Rectangle: Rounded Corners 47">
          <a:extLst>
            <a:ext uri="{FF2B5EF4-FFF2-40B4-BE49-F238E27FC236}">
              <a16:creationId xmlns:a16="http://schemas.microsoft.com/office/drawing/2014/main" id="{EA2DA392-1E30-2F78-0454-0DFD3D9052D2}"/>
            </a:ext>
          </a:extLst>
        </xdr:cNvPr>
        <xdr:cNvSpPr/>
      </xdr:nvSpPr>
      <xdr:spPr>
        <a:xfrm>
          <a:off x="1094508" y="39274175"/>
          <a:ext cx="14578447" cy="135428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chemeClr val="tx1"/>
              </a:solidFill>
              <a:effectLst/>
              <a:latin typeface="+mj-lt"/>
              <a:ea typeface="+mn-ea"/>
              <a:cs typeface="+mn-cs"/>
            </a:rPr>
            <a:t>- Cấu hình hệ thống để gấp bao 25kg đạt: 100 %</a:t>
          </a:r>
        </a:p>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chemeClr val="tx1"/>
              </a:solidFill>
              <a:effectLst/>
              <a:latin typeface="+mj-lt"/>
              <a:ea typeface="+mn-ea"/>
              <a:cs typeface="+mn-cs"/>
            </a:rPr>
            <a:t>- Thực hiện lắp đặt hệ thống ép bao và chỉnh sửa lại gripper: 0%</a:t>
          </a:r>
        </a:p>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chemeClr val="tx1"/>
              </a:solidFill>
              <a:effectLst/>
              <a:latin typeface="+mj-lt"/>
              <a:ea typeface="+mn-ea"/>
              <a:cs typeface="+mn-cs"/>
            </a:rPr>
            <a:t>Ghi chú: Chưa triển khai thực hiện các hạng mục cơ khí do Nhà thầu đang thực hiện làm vách ngăn</a:t>
          </a:r>
          <a:endParaRPr lang="en-US" sz="2000" b="0">
            <a:solidFill>
              <a:schemeClr val="tx1"/>
            </a:solidFill>
            <a:effectLst/>
            <a:latin typeface="+mj-lt"/>
            <a:ea typeface="+mn-ea"/>
            <a:cs typeface="+mn-cs"/>
          </a:endParaRPr>
        </a:p>
      </xdr:txBody>
    </xdr:sp>
    <xdr:clientData/>
  </xdr:twoCellAnchor>
  <xdr:twoCellAnchor>
    <xdr:from>
      <xdr:col>41</xdr:col>
      <xdr:colOff>3465</xdr:colOff>
      <xdr:row>52</xdr:row>
      <xdr:rowOff>51955</xdr:rowOff>
    </xdr:from>
    <xdr:to>
      <xdr:col>43</xdr:col>
      <xdr:colOff>436418</xdr:colOff>
      <xdr:row>54</xdr:row>
      <xdr:rowOff>121228</xdr:rowOff>
    </xdr:to>
    <xdr:sp macro="" textlink="">
      <xdr:nvSpPr>
        <xdr:cNvPr id="49" name="Rectangle: Rounded Corners 48">
          <a:extLst>
            <a:ext uri="{FF2B5EF4-FFF2-40B4-BE49-F238E27FC236}">
              <a16:creationId xmlns:a16="http://schemas.microsoft.com/office/drawing/2014/main" id="{BFF87508-D9EF-892B-7447-5CA93B298654}"/>
            </a:ext>
          </a:extLst>
        </xdr:cNvPr>
        <xdr:cNvSpPr/>
      </xdr:nvSpPr>
      <xdr:spPr>
        <a:xfrm>
          <a:off x="25236056" y="14339455"/>
          <a:ext cx="1766453" cy="45027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1" kern="1200">
              <a:solidFill>
                <a:srgbClr val="FF0000"/>
              </a:solidFill>
              <a:latin typeface="Times New Roman" panose="02020603050405020304" pitchFamily="18" charset="0"/>
              <a:cs typeface="Times New Roman" panose="02020603050405020304" pitchFamily="18" charset="0"/>
            </a:rPr>
            <a:t>Trễ</a:t>
          </a:r>
          <a:r>
            <a:rPr lang="en-US" sz="2000" b="1" kern="1200" baseline="0">
              <a:solidFill>
                <a:srgbClr val="FF0000"/>
              </a:solidFill>
              <a:latin typeface="Times New Roman" panose="02020603050405020304" pitchFamily="18" charset="0"/>
              <a:cs typeface="Times New Roman" panose="02020603050405020304" pitchFamily="18" charset="0"/>
            </a:rPr>
            <a:t> kế hoạch</a:t>
          </a:r>
          <a:endParaRPr lang="en-US" sz="12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14</xdr:col>
      <xdr:colOff>518160</xdr:colOff>
      <xdr:row>88</xdr:row>
      <xdr:rowOff>80010</xdr:rowOff>
    </xdr:from>
    <xdr:to>
      <xdr:col>26</xdr:col>
      <xdr:colOff>236220</xdr:colOff>
      <xdr:row>107</xdr:row>
      <xdr:rowOff>106680</xdr:rowOff>
    </xdr:to>
    <xdr:graphicFrame macro="">
      <xdr:nvGraphicFramePr>
        <xdr:cNvPr id="2" name="Chart 1">
          <a:extLst>
            <a:ext uri="{FF2B5EF4-FFF2-40B4-BE49-F238E27FC236}">
              <a16:creationId xmlns:a16="http://schemas.microsoft.com/office/drawing/2014/main" id="{57E0FE3A-F1F7-B099-A03A-DB5B71A65B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5BA5D-936A-4FA7-A081-9C7407F56C35}">
  <sheetPr codeName="Sheet1"/>
  <dimension ref="A1:AU813"/>
  <sheetViews>
    <sheetView topLeftCell="B1" zoomScale="70" zoomScaleNormal="70" zoomScaleSheetLayoutView="70" workbookViewId="0">
      <pane xSplit="6" ySplit="2" topLeftCell="H3" activePane="bottomRight" state="frozen"/>
      <selection activeCell="B1" sqref="B1"/>
      <selection pane="topRight" activeCell="H1" sqref="H1"/>
      <selection pane="bottomLeft" activeCell="B3" sqref="B3"/>
      <selection pane="bottomRight" activeCell="J32" sqref="J32"/>
    </sheetView>
  </sheetViews>
  <sheetFormatPr defaultColWidth="9" defaultRowHeight="15.75"/>
  <cols>
    <col min="1" max="1" width="6.7109375" style="4" hidden="1" customWidth="1"/>
    <col min="2" max="2" width="10.5703125" style="4" customWidth="1"/>
    <col min="3" max="3" width="9.7109375" style="4" customWidth="1"/>
    <col min="4" max="4" width="48.42578125" style="8" customWidth="1"/>
    <col min="5" max="5" width="26.140625" style="66" customWidth="1"/>
    <col min="6" max="6" width="15.28515625" style="66" customWidth="1"/>
    <col min="7" max="7" width="12.85546875" style="66" customWidth="1"/>
    <col min="8" max="8" width="9.7109375" style="9" bestFit="1" customWidth="1"/>
    <col min="9" max="9" width="21.42578125" style="9" customWidth="1"/>
    <col min="10" max="11" width="17.7109375" style="4" customWidth="1"/>
    <col min="12" max="13" width="20.28515625" style="4" customWidth="1"/>
    <col min="14" max="14" width="20.140625" style="4" customWidth="1"/>
    <col min="15" max="15" width="69" customWidth="1"/>
    <col min="16" max="16" width="29.5703125" customWidth="1"/>
    <col min="17" max="17" width="12.28515625" customWidth="1"/>
    <col min="18" max="18" width="69" customWidth="1"/>
    <col min="19" max="19" width="29.5703125" customWidth="1"/>
    <col min="20" max="20" width="12.28515625" customWidth="1"/>
    <col min="21" max="21" width="69" customWidth="1"/>
    <col min="22" max="22" width="29.5703125" customWidth="1"/>
    <col min="23" max="23" width="12.28515625" customWidth="1"/>
    <col min="24" max="24" width="69" customWidth="1"/>
    <col min="25" max="25" width="29.5703125" customWidth="1"/>
    <col min="26" max="26" width="12.28515625" customWidth="1"/>
    <col min="27" max="27" width="69" customWidth="1"/>
    <col min="28" max="28" width="29.5703125" customWidth="1"/>
    <col min="29" max="29" width="12.28515625" customWidth="1"/>
    <col min="30" max="30" width="69" customWidth="1"/>
    <col min="31" max="31" width="29.5703125" customWidth="1"/>
    <col min="32" max="32" width="12.28515625" customWidth="1"/>
    <col min="33" max="33" width="69" customWidth="1"/>
    <col min="34" max="34" width="29.5703125" customWidth="1"/>
    <col min="35" max="35" width="12.28515625" customWidth="1"/>
    <col min="36" max="36" width="69" customWidth="1"/>
    <col min="37" max="37" width="29.5703125" customWidth="1"/>
    <col min="38" max="38" width="12.28515625" customWidth="1"/>
    <col min="39" max="39" width="69" customWidth="1"/>
    <col min="40" max="40" width="29.5703125" customWidth="1"/>
    <col min="41" max="41" width="12.28515625" customWidth="1"/>
    <col min="42" max="42" width="69" customWidth="1"/>
    <col min="43" max="43" width="29.5703125" customWidth="1"/>
    <col min="44" max="44" width="12.28515625" customWidth="1"/>
    <col min="45" max="45" width="69" customWidth="1"/>
    <col min="46" max="46" width="29.5703125" customWidth="1"/>
    <col min="47" max="47" width="12.28515625" customWidth="1"/>
    <col min="48" max="16384" width="9" style="4"/>
  </cols>
  <sheetData>
    <row r="1" spans="1:47" ht="30.6" customHeight="1">
      <c r="A1" s="390" t="s">
        <v>63</v>
      </c>
      <c r="B1" s="391"/>
      <c r="C1" s="391"/>
      <c r="D1" s="391"/>
      <c r="E1" s="391"/>
      <c r="F1" s="391"/>
      <c r="G1" s="391"/>
      <c r="H1" s="391"/>
      <c r="I1" s="391"/>
      <c r="J1" s="391"/>
      <c r="K1" s="391"/>
      <c r="L1" s="391"/>
      <c r="M1" s="391"/>
      <c r="N1" s="392"/>
      <c r="O1" s="387" t="s">
        <v>64</v>
      </c>
      <c r="P1" s="388"/>
      <c r="Q1" s="389"/>
      <c r="R1" s="387" t="s">
        <v>65</v>
      </c>
      <c r="S1" s="388"/>
      <c r="T1" s="389"/>
      <c r="U1" s="387" t="s">
        <v>66</v>
      </c>
      <c r="V1" s="388"/>
      <c r="W1" s="389"/>
      <c r="X1" s="387" t="s">
        <v>67</v>
      </c>
      <c r="Y1" s="388"/>
      <c r="Z1" s="389"/>
      <c r="AA1" s="387" t="s">
        <v>68</v>
      </c>
      <c r="AB1" s="388"/>
      <c r="AC1" s="389"/>
      <c r="AD1" s="387" t="s">
        <v>69</v>
      </c>
      <c r="AE1" s="388"/>
      <c r="AF1" s="389"/>
      <c r="AG1" s="387" t="s">
        <v>70</v>
      </c>
      <c r="AH1" s="388"/>
      <c r="AI1" s="389"/>
      <c r="AJ1" s="387" t="s">
        <v>71</v>
      </c>
      <c r="AK1" s="388"/>
      <c r="AL1" s="389"/>
      <c r="AM1" s="387" t="s">
        <v>72</v>
      </c>
      <c r="AN1" s="388"/>
      <c r="AO1" s="389"/>
      <c r="AP1" s="387" t="s">
        <v>73</v>
      </c>
      <c r="AQ1" s="388"/>
      <c r="AR1" s="389"/>
      <c r="AS1" s="387" t="s">
        <v>74</v>
      </c>
      <c r="AT1" s="388"/>
      <c r="AU1" s="389"/>
    </row>
    <row r="2" spans="1:47" ht="171" customHeight="1">
      <c r="A2" s="1" t="s">
        <v>0</v>
      </c>
      <c r="B2" s="1" t="s">
        <v>4</v>
      </c>
      <c r="C2" s="1" t="s">
        <v>3</v>
      </c>
      <c r="D2" s="1" t="s">
        <v>5</v>
      </c>
      <c r="E2" s="1" t="s">
        <v>75</v>
      </c>
      <c r="F2" s="1" t="s">
        <v>76</v>
      </c>
      <c r="G2" s="1" t="s">
        <v>77</v>
      </c>
      <c r="H2" s="27" t="s">
        <v>6</v>
      </c>
      <c r="I2" s="27" t="s">
        <v>78</v>
      </c>
      <c r="J2" s="1" t="s">
        <v>1</v>
      </c>
      <c r="K2" s="1" t="s">
        <v>2</v>
      </c>
      <c r="L2" s="1" t="s">
        <v>79</v>
      </c>
      <c r="M2" s="1" t="s">
        <v>80</v>
      </c>
      <c r="N2" s="1" t="s">
        <v>81</v>
      </c>
      <c r="O2" s="37" t="s">
        <v>82</v>
      </c>
      <c r="P2" s="38" t="s">
        <v>83</v>
      </c>
      <c r="Q2" s="39" t="s">
        <v>31</v>
      </c>
      <c r="R2" s="37" t="s">
        <v>82</v>
      </c>
      <c r="S2" s="38" t="s">
        <v>83</v>
      </c>
      <c r="T2" s="39" t="s">
        <v>31</v>
      </c>
      <c r="U2" s="37" t="s">
        <v>82</v>
      </c>
      <c r="V2" s="38" t="s">
        <v>83</v>
      </c>
      <c r="W2" s="39" t="s">
        <v>31</v>
      </c>
      <c r="X2" s="37" t="s">
        <v>82</v>
      </c>
      <c r="Y2" s="38" t="s">
        <v>83</v>
      </c>
      <c r="Z2" s="39" t="s">
        <v>31</v>
      </c>
      <c r="AA2" s="37" t="s">
        <v>82</v>
      </c>
      <c r="AB2" s="38" t="s">
        <v>83</v>
      </c>
      <c r="AC2" s="39" t="s">
        <v>31</v>
      </c>
      <c r="AD2" s="37" t="s">
        <v>82</v>
      </c>
      <c r="AE2" s="38" t="s">
        <v>83</v>
      </c>
      <c r="AF2" s="39" t="s">
        <v>31</v>
      </c>
      <c r="AG2" s="37" t="s">
        <v>82</v>
      </c>
      <c r="AH2" s="38" t="s">
        <v>83</v>
      </c>
      <c r="AI2" s="39" t="s">
        <v>31</v>
      </c>
      <c r="AJ2" s="37" t="s">
        <v>82</v>
      </c>
      <c r="AK2" s="38" t="s">
        <v>83</v>
      </c>
      <c r="AL2" s="39" t="s">
        <v>31</v>
      </c>
      <c r="AM2" s="37" t="s">
        <v>82</v>
      </c>
      <c r="AN2" s="38" t="s">
        <v>83</v>
      </c>
      <c r="AO2" s="39" t="s">
        <v>31</v>
      </c>
      <c r="AP2" s="37" t="s">
        <v>82</v>
      </c>
      <c r="AQ2" s="38" t="s">
        <v>83</v>
      </c>
      <c r="AR2" s="39" t="s">
        <v>31</v>
      </c>
      <c r="AS2" s="37" t="s">
        <v>82</v>
      </c>
      <c r="AT2" s="38" t="s">
        <v>83</v>
      </c>
      <c r="AU2" s="39" t="s">
        <v>31</v>
      </c>
    </row>
    <row r="3" spans="1:47" s="5" customFormat="1" ht="47.25" customHeight="1">
      <c r="A3" s="10">
        <v>1</v>
      </c>
      <c r="B3" s="10" t="s">
        <v>11</v>
      </c>
      <c r="C3" s="10" t="s">
        <v>7</v>
      </c>
      <c r="D3" s="11" t="s">
        <v>84</v>
      </c>
      <c r="E3" s="40" t="s">
        <v>85</v>
      </c>
      <c r="F3" s="40" t="s">
        <v>86</v>
      </c>
      <c r="G3" s="40" t="s">
        <v>87</v>
      </c>
      <c r="H3" s="23">
        <v>0.5</v>
      </c>
      <c r="I3" s="23"/>
      <c r="J3" s="12"/>
      <c r="K3" s="12"/>
      <c r="L3" s="10"/>
      <c r="M3" s="10"/>
      <c r="N3" s="10"/>
      <c r="O3" s="41"/>
      <c r="P3" s="41"/>
      <c r="Q3" s="41"/>
      <c r="R3" s="41"/>
      <c r="S3" s="41"/>
      <c r="T3" s="41"/>
      <c r="U3" s="41"/>
      <c r="V3" s="41"/>
      <c r="W3" s="41"/>
      <c r="X3" s="41"/>
      <c r="Y3" s="41"/>
      <c r="Z3" s="41"/>
      <c r="AA3" s="41"/>
      <c r="AB3" s="41"/>
      <c r="AC3" s="41"/>
      <c r="AD3" s="41"/>
      <c r="AE3" s="41"/>
      <c r="AF3" s="41"/>
      <c r="AG3" s="41"/>
      <c r="AH3" s="41"/>
      <c r="AI3" s="41"/>
      <c r="AJ3" s="41"/>
      <c r="AK3" s="41"/>
      <c r="AL3" s="41"/>
      <c r="AM3" s="41"/>
      <c r="AN3" s="41"/>
      <c r="AO3" s="41"/>
      <c r="AP3" s="41"/>
      <c r="AQ3" s="41"/>
      <c r="AR3" s="41"/>
      <c r="AS3" s="41"/>
      <c r="AT3" s="41"/>
      <c r="AU3" s="41"/>
    </row>
    <row r="4" spans="1:47" s="6" customFormat="1" ht="53.25" customHeight="1">
      <c r="A4" s="2"/>
      <c r="B4" s="2"/>
      <c r="C4" s="3" t="s">
        <v>8</v>
      </c>
      <c r="D4" s="13" t="s">
        <v>88</v>
      </c>
      <c r="E4" s="42" t="s">
        <v>89</v>
      </c>
      <c r="F4" s="43" t="s">
        <v>90</v>
      </c>
      <c r="G4" s="42" t="s">
        <v>91</v>
      </c>
      <c r="H4" s="24">
        <v>0.2</v>
      </c>
      <c r="I4" s="44" t="s">
        <v>92</v>
      </c>
      <c r="J4" s="18">
        <v>45658</v>
      </c>
      <c r="K4" s="17">
        <v>46022</v>
      </c>
      <c r="L4" s="45" t="s">
        <v>93</v>
      </c>
      <c r="M4" s="45" t="s">
        <v>94</v>
      </c>
      <c r="N4" s="45" t="s">
        <v>95</v>
      </c>
      <c r="O4" s="28"/>
      <c r="P4" s="28"/>
      <c r="Q4" s="7"/>
      <c r="R4" s="28"/>
      <c r="S4" s="28"/>
      <c r="T4" s="7"/>
      <c r="U4" s="28"/>
      <c r="V4" s="28"/>
      <c r="W4" s="7"/>
      <c r="X4" s="28"/>
      <c r="Y4" s="28"/>
      <c r="Z4" s="7"/>
      <c r="AA4" s="28"/>
      <c r="AB4" s="28"/>
      <c r="AC4" s="7"/>
      <c r="AD4" s="28"/>
      <c r="AE4" s="28"/>
      <c r="AF4" s="7"/>
      <c r="AG4" s="28"/>
      <c r="AH4" s="28"/>
      <c r="AI4" s="7"/>
      <c r="AJ4" s="28"/>
      <c r="AK4" s="28"/>
      <c r="AL4" s="7"/>
      <c r="AM4" s="28"/>
      <c r="AN4" s="28"/>
      <c r="AO4" s="7"/>
      <c r="AP4" s="28"/>
      <c r="AQ4" s="28"/>
      <c r="AR4" s="7"/>
      <c r="AS4" s="28"/>
      <c r="AT4" s="28"/>
      <c r="AU4" s="7"/>
    </row>
    <row r="5" spans="1:47" ht="39.6" customHeight="1">
      <c r="A5" s="7"/>
      <c r="B5" s="7"/>
      <c r="C5" s="3" t="s">
        <v>9</v>
      </c>
      <c r="D5" s="13" t="s">
        <v>96</v>
      </c>
      <c r="E5" s="42" t="s">
        <v>97</v>
      </c>
      <c r="F5" s="43" t="s">
        <v>98</v>
      </c>
      <c r="G5" s="42" t="s">
        <v>91</v>
      </c>
      <c r="H5" s="25">
        <v>0.2</v>
      </c>
      <c r="I5" s="44" t="s">
        <v>92</v>
      </c>
      <c r="J5" s="18">
        <v>45658</v>
      </c>
      <c r="K5" s="17">
        <v>46022</v>
      </c>
      <c r="L5" s="45" t="s">
        <v>99</v>
      </c>
      <c r="M5" s="45" t="s">
        <v>94</v>
      </c>
      <c r="N5" s="45" t="s">
        <v>56</v>
      </c>
      <c r="O5" s="28"/>
      <c r="P5" s="28"/>
      <c r="Q5" s="7"/>
      <c r="R5" s="28"/>
      <c r="S5" s="28"/>
      <c r="T5" s="7"/>
      <c r="U5" s="28"/>
      <c r="V5" s="28"/>
      <c r="W5" s="7"/>
      <c r="X5" s="28"/>
      <c r="Y5" s="28"/>
      <c r="Z5" s="7"/>
      <c r="AA5" s="28"/>
      <c r="AB5" s="28"/>
      <c r="AC5" s="7"/>
      <c r="AD5" s="28"/>
      <c r="AE5" s="28"/>
      <c r="AF5" s="7"/>
      <c r="AG5" s="28"/>
      <c r="AH5" s="28"/>
      <c r="AI5" s="7"/>
      <c r="AJ5" s="28"/>
      <c r="AK5" s="28"/>
      <c r="AL5" s="7"/>
      <c r="AM5" s="28"/>
      <c r="AN5" s="28"/>
      <c r="AO5" s="7"/>
      <c r="AP5" s="28"/>
      <c r="AQ5" s="28"/>
      <c r="AR5" s="7"/>
      <c r="AS5" s="28"/>
      <c r="AT5" s="28"/>
      <c r="AU5" s="7"/>
    </row>
    <row r="6" spans="1:47" ht="30.75" customHeight="1">
      <c r="A6" s="393"/>
      <c r="B6" s="393"/>
      <c r="C6" s="395" t="s">
        <v>10</v>
      </c>
      <c r="D6" s="397" t="s">
        <v>100</v>
      </c>
      <c r="E6" s="42" t="s">
        <v>101</v>
      </c>
      <c r="F6" s="43" t="s">
        <v>98</v>
      </c>
      <c r="G6" s="399" t="s">
        <v>87</v>
      </c>
      <c r="H6" s="401">
        <v>0.3</v>
      </c>
      <c r="I6" s="403" t="s">
        <v>92</v>
      </c>
      <c r="J6" s="405">
        <v>45658</v>
      </c>
      <c r="K6" s="407">
        <v>46022</v>
      </c>
      <c r="L6" s="393" t="s">
        <v>93</v>
      </c>
      <c r="M6" s="409" t="s">
        <v>94</v>
      </c>
      <c r="N6" s="393" t="s">
        <v>102</v>
      </c>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row>
    <row r="7" spans="1:47" ht="30.75" customHeight="1">
      <c r="A7" s="394"/>
      <c r="B7" s="394"/>
      <c r="C7" s="396"/>
      <c r="D7" s="398"/>
      <c r="E7" s="42" t="s">
        <v>103</v>
      </c>
      <c r="F7" s="43" t="s">
        <v>104</v>
      </c>
      <c r="G7" s="400"/>
      <c r="H7" s="402"/>
      <c r="I7" s="404"/>
      <c r="J7" s="406"/>
      <c r="K7" s="408"/>
      <c r="L7" s="394"/>
      <c r="M7" s="410"/>
      <c r="N7" s="394"/>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row>
    <row r="8" spans="1:47" ht="54" customHeight="1">
      <c r="A8" s="7"/>
      <c r="B8" s="7"/>
      <c r="C8" s="3" t="s">
        <v>23</v>
      </c>
      <c r="D8" s="13" t="s">
        <v>105</v>
      </c>
      <c r="E8" s="42" t="s">
        <v>106</v>
      </c>
      <c r="F8" s="43">
        <v>1</v>
      </c>
      <c r="G8" s="42" t="s">
        <v>87</v>
      </c>
      <c r="H8" s="25">
        <v>0.1</v>
      </c>
      <c r="I8" s="44" t="s">
        <v>92</v>
      </c>
      <c r="J8" s="18">
        <v>45658</v>
      </c>
      <c r="K8" s="17">
        <v>46022</v>
      </c>
      <c r="L8" s="46" t="s">
        <v>93</v>
      </c>
      <c r="M8" s="45" t="s">
        <v>94</v>
      </c>
      <c r="N8" s="46" t="s">
        <v>102</v>
      </c>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row>
    <row r="9" spans="1:47" ht="46.5" customHeight="1">
      <c r="A9" s="7"/>
      <c r="B9" s="7"/>
      <c r="C9" s="3" t="s">
        <v>24</v>
      </c>
      <c r="D9" s="13" t="s">
        <v>107</v>
      </c>
      <c r="E9" s="42" t="s">
        <v>106</v>
      </c>
      <c r="F9" s="43">
        <v>1</v>
      </c>
      <c r="G9" s="42" t="s">
        <v>87</v>
      </c>
      <c r="H9" s="25">
        <v>0.1</v>
      </c>
      <c r="I9" s="44" t="s">
        <v>92</v>
      </c>
      <c r="J9" s="18">
        <v>45658</v>
      </c>
      <c r="K9" s="17">
        <v>46022</v>
      </c>
      <c r="L9" s="46" t="s">
        <v>93</v>
      </c>
      <c r="M9" s="45" t="s">
        <v>94</v>
      </c>
      <c r="N9" s="46" t="s">
        <v>102</v>
      </c>
      <c r="O9" s="47"/>
      <c r="P9" s="47"/>
      <c r="Q9" s="47"/>
      <c r="R9" s="47"/>
      <c r="S9" s="47"/>
      <c r="T9" s="47"/>
      <c r="U9" s="47"/>
      <c r="V9" s="47"/>
      <c r="W9" s="47"/>
      <c r="X9" s="47"/>
      <c r="Y9" s="47"/>
      <c r="Z9" s="47"/>
      <c r="AA9" s="47"/>
      <c r="AB9" s="47"/>
      <c r="AC9" s="47"/>
      <c r="AD9" s="47"/>
      <c r="AE9" s="47"/>
      <c r="AF9" s="47"/>
      <c r="AG9" s="47"/>
      <c r="AH9" s="47"/>
      <c r="AI9" s="47"/>
      <c r="AJ9" s="47"/>
      <c r="AK9" s="47"/>
      <c r="AL9" s="47"/>
      <c r="AM9" s="47"/>
      <c r="AN9" s="47"/>
      <c r="AO9" s="47"/>
      <c r="AP9" s="47"/>
      <c r="AQ9" s="47"/>
      <c r="AR9" s="47"/>
      <c r="AS9" s="47"/>
      <c r="AT9" s="47"/>
      <c r="AU9" s="47"/>
    </row>
    <row r="10" spans="1:47" ht="50.45" customHeight="1">
      <c r="A10" s="7"/>
      <c r="B10" s="7"/>
      <c r="C10" s="3" t="s">
        <v>108</v>
      </c>
      <c r="D10" s="13" t="s">
        <v>109</v>
      </c>
      <c r="E10" s="42" t="s">
        <v>106</v>
      </c>
      <c r="F10" s="43" t="s">
        <v>110</v>
      </c>
      <c r="G10" s="42" t="s">
        <v>87</v>
      </c>
      <c r="H10" s="25">
        <v>0.05</v>
      </c>
      <c r="I10" s="44" t="s">
        <v>92</v>
      </c>
      <c r="J10" s="18">
        <v>45658</v>
      </c>
      <c r="K10" s="17">
        <v>46022</v>
      </c>
      <c r="L10" s="46" t="s">
        <v>93</v>
      </c>
      <c r="M10" s="45" t="s">
        <v>94</v>
      </c>
      <c r="N10" s="45" t="s">
        <v>95</v>
      </c>
      <c r="O10" s="47"/>
      <c r="P10" s="47"/>
      <c r="Q10" s="47"/>
      <c r="R10" s="47"/>
      <c r="S10" s="47"/>
      <c r="T10" s="47"/>
      <c r="U10" s="47"/>
      <c r="V10" s="47"/>
      <c r="W10" s="47"/>
      <c r="X10" s="47"/>
      <c r="Y10" s="47"/>
      <c r="Z10" s="47"/>
      <c r="AA10" s="47"/>
      <c r="AB10" s="47"/>
      <c r="AC10" s="47"/>
      <c r="AD10" s="47"/>
      <c r="AE10" s="47"/>
      <c r="AF10" s="47"/>
      <c r="AG10" s="47"/>
      <c r="AH10" s="47"/>
      <c r="AI10" s="47"/>
      <c r="AJ10" s="47"/>
      <c r="AK10" s="47"/>
      <c r="AL10" s="47"/>
      <c r="AM10" s="47"/>
      <c r="AN10" s="47"/>
      <c r="AO10" s="47"/>
      <c r="AP10" s="47"/>
      <c r="AQ10" s="47"/>
      <c r="AR10" s="47"/>
      <c r="AS10" s="47"/>
      <c r="AT10" s="47"/>
      <c r="AU10" s="47"/>
    </row>
    <row r="11" spans="1:47" s="6" customFormat="1" ht="56.25" customHeight="1">
      <c r="A11" s="2"/>
      <c r="B11" s="2"/>
      <c r="C11" s="3" t="s">
        <v>111</v>
      </c>
      <c r="D11" s="13" t="s">
        <v>112</v>
      </c>
      <c r="E11" s="42" t="s">
        <v>113</v>
      </c>
      <c r="F11" s="43" t="s">
        <v>114</v>
      </c>
      <c r="G11" s="42" t="s">
        <v>87</v>
      </c>
      <c r="H11" s="25">
        <v>0.05</v>
      </c>
      <c r="I11" s="44" t="s">
        <v>92</v>
      </c>
      <c r="J11" s="18">
        <v>45658</v>
      </c>
      <c r="K11" s="17">
        <v>46022</v>
      </c>
      <c r="L11" s="45" t="s">
        <v>99</v>
      </c>
      <c r="M11" s="45" t="s">
        <v>94</v>
      </c>
      <c r="N11" s="45" t="s">
        <v>115</v>
      </c>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row>
    <row r="12" spans="1:47" s="5" customFormat="1" ht="38.1" customHeight="1">
      <c r="A12" s="10">
        <v>2</v>
      </c>
      <c r="B12" s="10" t="s">
        <v>116</v>
      </c>
      <c r="C12" s="10" t="s">
        <v>12</v>
      </c>
      <c r="D12" s="11" t="s">
        <v>16</v>
      </c>
      <c r="E12" s="40" t="s">
        <v>117</v>
      </c>
      <c r="F12" s="40">
        <v>0</v>
      </c>
      <c r="G12" s="40"/>
      <c r="H12" s="23">
        <v>0.05</v>
      </c>
      <c r="I12" s="23"/>
      <c r="J12" s="19"/>
      <c r="K12" s="19"/>
      <c r="L12" s="10"/>
      <c r="M12" s="10"/>
      <c r="N12" s="10"/>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row>
    <row r="13" spans="1:47" s="6" customFormat="1" ht="36" customHeight="1">
      <c r="A13" s="2"/>
      <c r="B13" s="2"/>
      <c r="C13" s="2" t="s">
        <v>13</v>
      </c>
      <c r="D13" s="13" t="s">
        <v>118</v>
      </c>
      <c r="E13" s="42" t="s">
        <v>119</v>
      </c>
      <c r="F13" s="42">
        <v>1</v>
      </c>
      <c r="G13" s="42" t="s">
        <v>91</v>
      </c>
      <c r="H13" s="24">
        <v>0.3</v>
      </c>
      <c r="I13" s="44" t="s">
        <v>92</v>
      </c>
      <c r="J13" s="18">
        <v>45658</v>
      </c>
      <c r="K13" s="17">
        <v>46022</v>
      </c>
      <c r="L13" s="45" t="s">
        <v>99</v>
      </c>
      <c r="M13" s="45" t="s">
        <v>120</v>
      </c>
      <c r="N13" s="45" t="s">
        <v>121</v>
      </c>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row>
    <row r="14" spans="1:47" s="6" customFormat="1" ht="42" customHeight="1">
      <c r="A14" s="2"/>
      <c r="B14" s="2"/>
      <c r="C14" s="2" t="s">
        <v>14</v>
      </c>
      <c r="D14" s="13" t="s">
        <v>122</v>
      </c>
      <c r="E14" s="42" t="s">
        <v>123</v>
      </c>
      <c r="F14" s="48">
        <v>22</v>
      </c>
      <c r="G14" s="48" t="s">
        <v>91</v>
      </c>
      <c r="H14" s="24">
        <v>0.5</v>
      </c>
      <c r="I14" s="44" t="s">
        <v>92</v>
      </c>
      <c r="J14" s="18">
        <v>45658</v>
      </c>
      <c r="K14" s="17">
        <v>46022</v>
      </c>
      <c r="L14" s="45" t="s">
        <v>99</v>
      </c>
      <c r="M14" s="45" t="s">
        <v>124</v>
      </c>
      <c r="N14" s="45" t="s">
        <v>121</v>
      </c>
      <c r="O14" s="49"/>
      <c r="P14" s="7"/>
      <c r="Q14" s="7"/>
      <c r="R14" s="49"/>
      <c r="S14" s="7"/>
      <c r="T14" s="7"/>
      <c r="U14" s="49"/>
      <c r="V14" s="7"/>
      <c r="W14" s="7"/>
      <c r="X14" s="49"/>
      <c r="Y14" s="7"/>
      <c r="Z14" s="7"/>
      <c r="AA14" s="49"/>
      <c r="AB14" s="7"/>
      <c r="AC14" s="7"/>
      <c r="AD14" s="49"/>
      <c r="AE14" s="7"/>
      <c r="AF14" s="7"/>
      <c r="AG14" s="49"/>
      <c r="AH14" s="7"/>
      <c r="AI14" s="7"/>
      <c r="AJ14" s="49"/>
      <c r="AK14" s="7"/>
      <c r="AL14" s="7"/>
      <c r="AM14" s="49"/>
      <c r="AN14" s="7"/>
      <c r="AO14" s="7"/>
      <c r="AP14" s="49"/>
      <c r="AQ14" s="7"/>
      <c r="AR14" s="7"/>
      <c r="AS14" s="49"/>
      <c r="AT14" s="7"/>
      <c r="AU14" s="7"/>
    </row>
    <row r="15" spans="1:47" s="6" customFormat="1" ht="42" customHeight="1">
      <c r="A15" s="2"/>
      <c r="B15" s="2"/>
      <c r="C15" s="2" t="s">
        <v>15</v>
      </c>
      <c r="D15" s="13" t="s">
        <v>125</v>
      </c>
      <c r="E15" s="42" t="s">
        <v>126</v>
      </c>
      <c r="F15" s="43">
        <v>1</v>
      </c>
      <c r="G15" s="42" t="s">
        <v>87</v>
      </c>
      <c r="H15" s="24">
        <v>0.2</v>
      </c>
      <c r="I15" s="44" t="s">
        <v>92</v>
      </c>
      <c r="J15" s="18">
        <v>45658</v>
      </c>
      <c r="K15" s="17">
        <v>46022</v>
      </c>
      <c r="L15" s="45" t="s">
        <v>99</v>
      </c>
      <c r="M15" s="45" t="s">
        <v>120</v>
      </c>
      <c r="N15" s="45" t="s">
        <v>121</v>
      </c>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row>
    <row r="16" spans="1:47" s="5" customFormat="1" ht="49.5" customHeight="1">
      <c r="A16" s="10">
        <v>3</v>
      </c>
      <c r="B16" s="10" t="s">
        <v>28</v>
      </c>
      <c r="C16" s="10" t="s">
        <v>17</v>
      </c>
      <c r="D16" s="11" t="s">
        <v>127</v>
      </c>
      <c r="E16" s="40" t="s">
        <v>128</v>
      </c>
      <c r="F16" s="40" t="s">
        <v>129</v>
      </c>
      <c r="G16" s="40"/>
      <c r="H16" s="23">
        <v>0.15</v>
      </c>
      <c r="I16" s="23"/>
      <c r="J16" s="12"/>
      <c r="K16" s="12"/>
      <c r="L16" s="10"/>
      <c r="M16" s="10"/>
      <c r="N16" s="10"/>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row>
    <row r="17" spans="1:47" s="5" customFormat="1" ht="61.5" customHeight="1">
      <c r="A17" s="14"/>
      <c r="B17" s="14"/>
      <c r="C17" s="2" t="s">
        <v>18</v>
      </c>
      <c r="D17" s="15" t="s">
        <v>27</v>
      </c>
      <c r="E17" s="26" t="s">
        <v>130</v>
      </c>
      <c r="F17" s="25">
        <v>1</v>
      </c>
      <c r="G17" s="17" t="s">
        <v>91</v>
      </c>
      <c r="H17" s="26">
        <v>0.1</v>
      </c>
      <c r="I17" s="44" t="s">
        <v>92</v>
      </c>
      <c r="J17" s="18">
        <v>45658</v>
      </c>
      <c r="K17" s="17">
        <v>46022</v>
      </c>
      <c r="L17" s="45" t="s">
        <v>93</v>
      </c>
      <c r="M17" s="45" t="s">
        <v>94</v>
      </c>
      <c r="N17" s="45" t="s">
        <v>95</v>
      </c>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row>
    <row r="18" spans="1:47" s="6" customFormat="1" ht="64.5" customHeight="1">
      <c r="A18" s="2"/>
      <c r="B18" s="2"/>
      <c r="C18" s="2" t="s">
        <v>131</v>
      </c>
      <c r="D18" s="13" t="s">
        <v>88</v>
      </c>
      <c r="E18" s="42" t="s">
        <v>89</v>
      </c>
      <c r="F18" s="43" t="s">
        <v>90</v>
      </c>
      <c r="G18" s="42" t="s">
        <v>91</v>
      </c>
      <c r="H18" s="24">
        <v>0.4</v>
      </c>
      <c r="I18" s="44" t="s">
        <v>92</v>
      </c>
      <c r="J18" s="18">
        <v>45658</v>
      </c>
      <c r="K18" s="17">
        <v>46022</v>
      </c>
      <c r="L18" s="45" t="s">
        <v>93</v>
      </c>
      <c r="M18" s="45" t="s">
        <v>94</v>
      </c>
      <c r="N18" s="45" t="s">
        <v>95</v>
      </c>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row>
    <row r="19" spans="1:47" s="6" customFormat="1" ht="61.5" customHeight="1">
      <c r="A19" s="2"/>
      <c r="B19" s="2"/>
      <c r="C19" s="2" t="s">
        <v>132</v>
      </c>
      <c r="D19" s="13" t="s">
        <v>133</v>
      </c>
      <c r="E19" s="42" t="s">
        <v>97</v>
      </c>
      <c r="F19" s="43" t="s">
        <v>98</v>
      </c>
      <c r="G19" s="42" t="s">
        <v>91</v>
      </c>
      <c r="H19" s="25">
        <v>0.3</v>
      </c>
      <c r="I19" s="44" t="s">
        <v>92</v>
      </c>
      <c r="J19" s="18">
        <v>45658</v>
      </c>
      <c r="K19" s="17">
        <v>46022</v>
      </c>
      <c r="L19" s="45" t="s">
        <v>99</v>
      </c>
      <c r="M19" s="45" t="s">
        <v>94</v>
      </c>
      <c r="N19" s="45" t="s">
        <v>56</v>
      </c>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row>
    <row r="20" spans="1:47" s="6" customFormat="1" ht="61.5" customHeight="1">
      <c r="A20" s="2"/>
      <c r="B20" s="2"/>
      <c r="C20" s="2" t="s">
        <v>134</v>
      </c>
      <c r="D20" s="13" t="s">
        <v>109</v>
      </c>
      <c r="E20" s="42" t="s">
        <v>106</v>
      </c>
      <c r="F20" s="43" t="s">
        <v>110</v>
      </c>
      <c r="G20" s="42" t="s">
        <v>87</v>
      </c>
      <c r="H20" s="25">
        <v>0.2</v>
      </c>
      <c r="I20" s="44" t="s">
        <v>92</v>
      </c>
      <c r="J20" s="18">
        <v>45658</v>
      </c>
      <c r="K20" s="17">
        <v>46022</v>
      </c>
      <c r="L20" s="45" t="s">
        <v>93</v>
      </c>
      <c r="M20" s="45" t="s">
        <v>94</v>
      </c>
      <c r="N20" s="45" t="s">
        <v>95</v>
      </c>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row>
    <row r="21" spans="1:47" s="5" customFormat="1" ht="38.1" customHeight="1">
      <c r="A21" s="10">
        <v>4</v>
      </c>
      <c r="B21" s="10" t="s">
        <v>29</v>
      </c>
      <c r="C21" s="10" t="s">
        <v>19</v>
      </c>
      <c r="D21" s="11" t="s">
        <v>135</v>
      </c>
      <c r="E21" s="40"/>
      <c r="F21" s="40"/>
      <c r="G21" s="40"/>
      <c r="H21" s="23">
        <v>0.05</v>
      </c>
      <c r="I21" s="23"/>
      <c r="J21" s="12"/>
      <c r="K21" s="12"/>
      <c r="L21" s="10"/>
      <c r="M21" s="10"/>
      <c r="N21" s="10"/>
      <c r="P21" s="7"/>
      <c r="Q21" s="7"/>
      <c r="S21" s="7"/>
      <c r="T21" s="7"/>
      <c r="V21" s="7"/>
      <c r="W21" s="7"/>
      <c r="Y21" s="7"/>
      <c r="Z21" s="7"/>
      <c r="AB21" s="7"/>
      <c r="AC21" s="7"/>
      <c r="AE21" s="7"/>
      <c r="AF21" s="7"/>
      <c r="AH21" s="7"/>
      <c r="AI21" s="7"/>
      <c r="AK21" s="7"/>
      <c r="AL21" s="7"/>
      <c r="AN21" s="7"/>
      <c r="AO21" s="7"/>
      <c r="AQ21" s="7"/>
      <c r="AR21" s="7"/>
      <c r="AT21" s="7"/>
      <c r="AU21" s="7"/>
    </row>
    <row r="22" spans="1:47" s="5" customFormat="1" ht="59.25" customHeight="1">
      <c r="A22" s="2"/>
      <c r="B22" s="2"/>
      <c r="C22" s="2" t="s">
        <v>136</v>
      </c>
      <c r="D22" s="13" t="s">
        <v>137</v>
      </c>
      <c r="E22" s="42" t="s">
        <v>138</v>
      </c>
      <c r="F22" s="43">
        <v>1</v>
      </c>
      <c r="G22" s="42" t="s">
        <v>87</v>
      </c>
      <c r="H22" s="24">
        <v>0.4</v>
      </c>
      <c r="I22" s="44" t="s">
        <v>92</v>
      </c>
      <c r="J22" s="18">
        <v>45658</v>
      </c>
      <c r="K22" s="17">
        <v>46022</v>
      </c>
      <c r="L22" s="45" t="s">
        <v>93</v>
      </c>
      <c r="M22" s="45" t="s">
        <v>94</v>
      </c>
      <c r="N22" s="45" t="s">
        <v>95</v>
      </c>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row>
    <row r="23" spans="1:47" s="5" customFormat="1" ht="59.25" customHeight="1">
      <c r="A23" s="2"/>
      <c r="B23" s="2"/>
      <c r="C23" s="2" t="s">
        <v>139</v>
      </c>
      <c r="D23" s="13" t="s">
        <v>140</v>
      </c>
      <c r="E23" s="42" t="s">
        <v>141</v>
      </c>
      <c r="F23" s="43">
        <v>1</v>
      </c>
      <c r="G23" s="42" t="s">
        <v>87</v>
      </c>
      <c r="H23" s="24">
        <v>0.2</v>
      </c>
      <c r="I23" s="44" t="s">
        <v>92</v>
      </c>
      <c r="J23" s="18">
        <v>45658</v>
      </c>
      <c r="K23" s="17">
        <v>46022</v>
      </c>
      <c r="L23" s="45" t="s">
        <v>93</v>
      </c>
      <c r="M23" s="45" t="s">
        <v>94</v>
      </c>
      <c r="N23" s="45" t="s">
        <v>115</v>
      </c>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row>
    <row r="24" spans="1:47" s="5" customFormat="1" ht="59.25" customHeight="1">
      <c r="A24" s="2"/>
      <c r="B24" s="2"/>
      <c r="C24" s="2" t="s">
        <v>142</v>
      </c>
      <c r="D24" s="13" t="s">
        <v>143</v>
      </c>
      <c r="E24" s="42" t="s">
        <v>141</v>
      </c>
      <c r="F24" s="43">
        <v>1</v>
      </c>
      <c r="G24" s="42" t="s">
        <v>87</v>
      </c>
      <c r="H24" s="24">
        <v>0.2</v>
      </c>
      <c r="I24" s="44" t="s">
        <v>92</v>
      </c>
      <c r="J24" s="18">
        <v>45658</v>
      </c>
      <c r="K24" s="17">
        <v>46022</v>
      </c>
      <c r="L24" s="45" t="s">
        <v>93</v>
      </c>
      <c r="M24" s="45" t="s">
        <v>94</v>
      </c>
      <c r="N24" s="45" t="s">
        <v>115</v>
      </c>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row>
    <row r="25" spans="1:47" s="5" customFormat="1" ht="59.25" customHeight="1">
      <c r="A25" s="2"/>
      <c r="B25" s="2"/>
      <c r="C25" s="2" t="s">
        <v>144</v>
      </c>
      <c r="D25" s="13" t="s">
        <v>145</v>
      </c>
      <c r="E25" s="42" t="s">
        <v>141</v>
      </c>
      <c r="F25" s="43">
        <v>1</v>
      </c>
      <c r="G25" s="42" t="s">
        <v>87</v>
      </c>
      <c r="H25" s="24">
        <v>0.2</v>
      </c>
      <c r="I25" s="44" t="s">
        <v>92</v>
      </c>
      <c r="J25" s="18">
        <v>45658</v>
      </c>
      <c r="K25" s="17">
        <v>46022</v>
      </c>
      <c r="L25" s="45" t="s">
        <v>93</v>
      </c>
      <c r="M25" s="45" t="s">
        <v>94</v>
      </c>
      <c r="N25" s="45" t="s">
        <v>115</v>
      </c>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row>
    <row r="26" spans="1:47" s="5" customFormat="1" ht="38.1" customHeight="1">
      <c r="A26" s="10">
        <v>5</v>
      </c>
      <c r="B26" s="10" t="s">
        <v>146</v>
      </c>
      <c r="C26" s="10" t="s">
        <v>20</v>
      </c>
      <c r="D26" s="11" t="s">
        <v>147</v>
      </c>
      <c r="E26" s="40"/>
      <c r="F26" s="40"/>
      <c r="G26" s="40"/>
      <c r="H26" s="23">
        <v>0.1</v>
      </c>
      <c r="I26" s="23"/>
      <c r="J26" s="12"/>
      <c r="K26" s="12"/>
      <c r="L26" s="10"/>
      <c r="M26" s="10"/>
      <c r="N26" s="10"/>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row>
    <row r="27" spans="1:47" s="5" customFormat="1" ht="61.5" customHeight="1">
      <c r="A27" s="2"/>
      <c r="B27" s="2"/>
      <c r="C27" s="2" t="s">
        <v>148</v>
      </c>
      <c r="D27" s="13" t="s">
        <v>149</v>
      </c>
      <c r="E27" s="42" t="s">
        <v>150</v>
      </c>
      <c r="F27" s="42">
        <v>15</v>
      </c>
      <c r="G27" s="42" t="s">
        <v>87</v>
      </c>
      <c r="H27" s="24">
        <v>0.3</v>
      </c>
      <c r="I27" s="44" t="s">
        <v>92</v>
      </c>
      <c r="J27" s="18">
        <v>45658</v>
      </c>
      <c r="K27" s="17">
        <v>46022</v>
      </c>
      <c r="L27" s="45" t="s">
        <v>99</v>
      </c>
      <c r="M27" s="45" t="s">
        <v>151</v>
      </c>
      <c r="N27" s="45" t="s">
        <v>152</v>
      </c>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row>
    <row r="28" spans="1:47" s="5" customFormat="1" ht="38.1" customHeight="1">
      <c r="A28" s="2"/>
      <c r="B28" s="2"/>
      <c r="C28" s="2" t="s">
        <v>153</v>
      </c>
      <c r="D28" s="13" t="s">
        <v>154</v>
      </c>
      <c r="E28" s="42" t="s">
        <v>155</v>
      </c>
      <c r="F28" s="42">
        <v>32</v>
      </c>
      <c r="G28" s="42" t="s">
        <v>87</v>
      </c>
      <c r="H28" s="24">
        <v>0.5</v>
      </c>
      <c r="I28" s="44" t="s">
        <v>92</v>
      </c>
      <c r="J28" s="18">
        <v>45658</v>
      </c>
      <c r="K28" s="17">
        <v>46022</v>
      </c>
      <c r="L28" s="45" t="s">
        <v>99</v>
      </c>
      <c r="M28" s="45" t="s">
        <v>94</v>
      </c>
      <c r="N28" s="45" t="s">
        <v>121</v>
      </c>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row>
    <row r="29" spans="1:47" s="5" customFormat="1" ht="38.1" customHeight="1">
      <c r="A29" s="2"/>
      <c r="B29" s="2"/>
      <c r="C29" s="2" t="s">
        <v>156</v>
      </c>
      <c r="D29" s="13" t="s">
        <v>157</v>
      </c>
      <c r="E29" s="42" t="s">
        <v>126</v>
      </c>
      <c r="F29" s="43" t="s">
        <v>158</v>
      </c>
      <c r="G29" s="42" t="s">
        <v>87</v>
      </c>
      <c r="H29" s="24">
        <v>0.05</v>
      </c>
      <c r="I29" s="44" t="s">
        <v>92</v>
      </c>
      <c r="J29" s="18">
        <v>45658</v>
      </c>
      <c r="K29" s="17">
        <v>46022</v>
      </c>
      <c r="L29" s="45" t="s">
        <v>99</v>
      </c>
      <c r="M29" s="45" t="s">
        <v>94</v>
      </c>
      <c r="N29" s="45" t="s">
        <v>121</v>
      </c>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row>
    <row r="30" spans="1:47" s="5" customFormat="1" ht="62.25" customHeight="1">
      <c r="A30" s="2"/>
      <c r="B30" s="2"/>
      <c r="C30" s="2" t="s">
        <v>159</v>
      </c>
      <c r="D30" s="13" t="s">
        <v>160</v>
      </c>
      <c r="E30" s="42" t="s">
        <v>161</v>
      </c>
      <c r="F30" s="42">
        <v>2</v>
      </c>
      <c r="G30" s="42" t="s">
        <v>87</v>
      </c>
      <c r="H30" s="25">
        <v>0.05</v>
      </c>
      <c r="I30" s="44" t="s">
        <v>92</v>
      </c>
      <c r="J30" s="18">
        <v>45658</v>
      </c>
      <c r="K30" s="17">
        <v>46022</v>
      </c>
      <c r="L30" s="45" t="s">
        <v>162</v>
      </c>
      <c r="M30" s="45" t="s">
        <v>94</v>
      </c>
      <c r="N30" s="45" t="s">
        <v>94</v>
      </c>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row>
    <row r="31" spans="1:47" s="5" customFormat="1" ht="50.25" customHeight="1">
      <c r="A31" s="2"/>
      <c r="B31" s="2"/>
      <c r="C31" s="2" t="s">
        <v>163</v>
      </c>
      <c r="D31" s="13" t="s">
        <v>164</v>
      </c>
      <c r="E31" s="42" t="s">
        <v>165</v>
      </c>
      <c r="F31" s="43">
        <v>1</v>
      </c>
      <c r="G31" s="42" t="s">
        <v>87</v>
      </c>
      <c r="H31" s="24">
        <v>0.05</v>
      </c>
      <c r="I31" s="44" t="s">
        <v>92</v>
      </c>
      <c r="J31" s="18">
        <v>45658</v>
      </c>
      <c r="K31" s="17">
        <v>46022</v>
      </c>
      <c r="L31" s="45" t="s">
        <v>99</v>
      </c>
      <c r="M31" s="45" t="s">
        <v>94</v>
      </c>
      <c r="N31" s="45" t="s">
        <v>95</v>
      </c>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row>
    <row r="32" spans="1:47" s="5" customFormat="1" ht="119.25" customHeight="1">
      <c r="A32" s="2"/>
      <c r="B32" s="2"/>
      <c r="C32" s="2" t="s">
        <v>166</v>
      </c>
      <c r="D32" s="13" t="s">
        <v>167</v>
      </c>
      <c r="E32" s="42" t="s">
        <v>168</v>
      </c>
      <c r="F32" s="50" t="s">
        <v>169</v>
      </c>
      <c r="G32" s="42" t="s">
        <v>87</v>
      </c>
      <c r="H32" s="24">
        <v>0.05</v>
      </c>
      <c r="I32" s="44" t="s">
        <v>92</v>
      </c>
      <c r="J32" s="18">
        <v>45658</v>
      </c>
      <c r="K32" s="17">
        <v>46022</v>
      </c>
      <c r="L32" s="45" t="s">
        <v>99</v>
      </c>
      <c r="M32" s="45" t="s">
        <v>94</v>
      </c>
      <c r="N32" s="45" t="s">
        <v>95</v>
      </c>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row>
    <row r="33" spans="1:47" s="5" customFormat="1" ht="38.1" customHeight="1">
      <c r="A33" s="10">
        <v>6</v>
      </c>
      <c r="B33" s="10" t="s">
        <v>170</v>
      </c>
      <c r="C33" s="10" t="s">
        <v>21</v>
      </c>
      <c r="D33" s="11" t="s">
        <v>171</v>
      </c>
      <c r="E33" s="40"/>
      <c r="F33" s="40"/>
      <c r="G33" s="40"/>
      <c r="H33" s="23">
        <v>0.1</v>
      </c>
      <c r="I33" s="23"/>
      <c r="J33" s="19"/>
      <c r="K33" s="19"/>
      <c r="L33" s="10"/>
      <c r="M33" s="10"/>
      <c r="N33" s="10"/>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row>
    <row r="34" spans="1:47" s="5" customFormat="1" ht="55.5" customHeight="1">
      <c r="A34" s="2"/>
      <c r="B34" s="2"/>
      <c r="C34" s="2" t="s">
        <v>22</v>
      </c>
      <c r="D34" s="13" t="s">
        <v>172</v>
      </c>
      <c r="E34" s="42" t="s">
        <v>173</v>
      </c>
      <c r="F34" s="43">
        <v>1</v>
      </c>
      <c r="G34" s="42" t="s">
        <v>87</v>
      </c>
      <c r="H34" s="24">
        <v>0.1</v>
      </c>
      <c r="I34" s="44" t="s">
        <v>92</v>
      </c>
      <c r="J34" s="18">
        <v>45658</v>
      </c>
      <c r="K34" s="17">
        <v>46022</v>
      </c>
      <c r="L34" s="45" t="s">
        <v>99</v>
      </c>
      <c r="M34" s="45" t="s">
        <v>94</v>
      </c>
      <c r="N34" s="45" t="s">
        <v>121</v>
      </c>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row>
    <row r="35" spans="1:47" s="58" customFormat="1" ht="55.9" customHeight="1">
      <c r="A35" s="51"/>
      <c r="B35" s="51"/>
      <c r="C35" s="51" t="s">
        <v>174</v>
      </c>
      <c r="D35" s="52" t="s">
        <v>175</v>
      </c>
      <c r="E35" s="48" t="s">
        <v>176</v>
      </c>
      <c r="F35" s="48">
        <v>8</v>
      </c>
      <c r="G35" s="48" t="s">
        <v>87</v>
      </c>
      <c r="H35" s="53">
        <v>0.3</v>
      </c>
      <c r="I35" s="54" t="s">
        <v>92</v>
      </c>
      <c r="J35" s="55">
        <v>45658</v>
      </c>
      <c r="K35" s="56">
        <v>46022</v>
      </c>
      <c r="L35" s="57" t="s">
        <v>177</v>
      </c>
      <c r="M35" s="57" t="s">
        <v>94</v>
      </c>
      <c r="N35" s="57" t="s">
        <v>121</v>
      </c>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row>
    <row r="36" spans="1:47" s="6" customFormat="1" ht="55.9" customHeight="1">
      <c r="A36" s="2"/>
      <c r="B36" s="2"/>
      <c r="C36" s="2" t="s">
        <v>178</v>
      </c>
      <c r="D36" s="13" t="s">
        <v>179</v>
      </c>
      <c r="E36" s="42" t="s">
        <v>180</v>
      </c>
      <c r="F36" s="42">
        <v>1</v>
      </c>
      <c r="G36" s="42" t="s">
        <v>91</v>
      </c>
      <c r="H36" s="24">
        <v>0.2</v>
      </c>
      <c r="I36" s="44" t="s">
        <v>92</v>
      </c>
      <c r="J36" s="18">
        <v>45658</v>
      </c>
      <c r="K36" s="17">
        <v>46022</v>
      </c>
      <c r="L36" s="45" t="s">
        <v>177</v>
      </c>
      <c r="M36" s="45" t="s">
        <v>94</v>
      </c>
      <c r="N36" s="45" t="s">
        <v>121</v>
      </c>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row>
    <row r="37" spans="1:47" s="6" customFormat="1" ht="55.9" customHeight="1">
      <c r="A37" s="2"/>
      <c r="B37" s="2"/>
      <c r="C37" s="2" t="s">
        <v>181</v>
      </c>
      <c r="D37" s="13" t="s">
        <v>182</v>
      </c>
      <c r="E37" s="42" t="s">
        <v>183</v>
      </c>
      <c r="F37" s="43">
        <v>1</v>
      </c>
      <c r="G37" s="42" t="s">
        <v>91</v>
      </c>
      <c r="H37" s="24">
        <v>0.2</v>
      </c>
      <c r="I37" s="44" t="s">
        <v>92</v>
      </c>
      <c r="J37" s="18">
        <v>45658</v>
      </c>
      <c r="K37" s="17">
        <v>46022</v>
      </c>
      <c r="L37" s="45" t="s">
        <v>99</v>
      </c>
      <c r="M37" s="45" t="s">
        <v>184</v>
      </c>
      <c r="N37" s="45" t="s">
        <v>121</v>
      </c>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row>
    <row r="38" spans="1:47" s="58" customFormat="1" ht="55.9" customHeight="1">
      <c r="A38" s="51"/>
      <c r="B38" s="51"/>
      <c r="C38" s="51" t="s">
        <v>185</v>
      </c>
      <c r="D38" s="52" t="s">
        <v>186</v>
      </c>
      <c r="E38" s="48" t="s">
        <v>187</v>
      </c>
      <c r="F38" s="59">
        <v>1</v>
      </c>
      <c r="G38" s="48" t="s">
        <v>87</v>
      </c>
      <c r="H38" s="53">
        <v>0.05</v>
      </c>
      <c r="I38" s="54" t="s">
        <v>92</v>
      </c>
      <c r="J38" s="55">
        <v>45658</v>
      </c>
      <c r="K38" s="56">
        <v>46022</v>
      </c>
      <c r="L38" s="57" t="s">
        <v>99</v>
      </c>
      <c r="M38" s="57" t="s">
        <v>94</v>
      </c>
      <c r="N38" s="57" t="s">
        <v>121</v>
      </c>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row>
    <row r="39" spans="1:47" s="58" customFormat="1" ht="55.9" customHeight="1">
      <c r="A39" s="51"/>
      <c r="B39" s="51"/>
      <c r="C39" s="51" t="s">
        <v>188</v>
      </c>
      <c r="D39" s="52" t="s">
        <v>189</v>
      </c>
      <c r="E39" s="57" t="s">
        <v>190</v>
      </c>
      <c r="F39" s="59">
        <v>1</v>
      </c>
      <c r="G39" s="57" t="s">
        <v>87</v>
      </c>
      <c r="H39" s="53">
        <v>0.05</v>
      </c>
      <c r="I39" s="54" t="s">
        <v>92</v>
      </c>
      <c r="J39" s="55">
        <v>45658</v>
      </c>
      <c r="K39" s="56">
        <v>46022</v>
      </c>
      <c r="L39" s="57" t="s">
        <v>99</v>
      </c>
      <c r="M39" s="57" t="s">
        <v>94</v>
      </c>
      <c r="N39" s="57" t="s">
        <v>121</v>
      </c>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row>
    <row r="40" spans="1:47" s="58" customFormat="1" ht="55.9" customHeight="1">
      <c r="A40" s="51"/>
      <c r="B40" s="51"/>
      <c r="C40" s="51" t="s">
        <v>191</v>
      </c>
      <c r="D40" s="52" t="s">
        <v>192</v>
      </c>
      <c r="E40" s="48" t="s">
        <v>193</v>
      </c>
      <c r="F40" s="48">
        <v>16</v>
      </c>
      <c r="G40" s="48" t="s">
        <v>87</v>
      </c>
      <c r="H40" s="53">
        <v>0.05</v>
      </c>
      <c r="I40" s="54" t="s">
        <v>92</v>
      </c>
      <c r="J40" s="55">
        <v>45658</v>
      </c>
      <c r="K40" s="56">
        <v>46022</v>
      </c>
      <c r="L40" s="57" t="s">
        <v>99</v>
      </c>
      <c r="M40" s="57" t="s">
        <v>94</v>
      </c>
      <c r="N40" s="57" t="s">
        <v>95</v>
      </c>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row>
    <row r="41" spans="1:47" s="6" customFormat="1" ht="44.45" customHeight="1">
      <c r="A41" s="2"/>
      <c r="B41" s="2"/>
      <c r="C41" s="2" t="s">
        <v>194</v>
      </c>
      <c r="D41" s="13" t="s">
        <v>195</v>
      </c>
      <c r="E41" s="42" t="s">
        <v>138</v>
      </c>
      <c r="F41" s="43">
        <v>1</v>
      </c>
      <c r="G41" s="42" t="s">
        <v>87</v>
      </c>
      <c r="H41" s="24">
        <v>0.05</v>
      </c>
      <c r="I41" s="44" t="s">
        <v>92</v>
      </c>
      <c r="J41" s="18">
        <v>45658</v>
      </c>
      <c r="K41" s="17">
        <v>46022</v>
      </c>
      <c r="L41" s="45" t="s">
        <v>99</v>
      </c>
      <c r="M41" s="45" t="s">
        <v>94</v>
      </c>
      <c r="N41" s="45" t="s">
        <v>95</v>
      </c>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row>
    <row r="42" spans="1:47" s="5" customFormat="1" ht="38.1" customHeight="1">
      <c r="A42" s="10">
        <v>7</v>
      </c>
      <c r="B42" s="10" t="s">
        <v>94</v>
      </c>
      <c r="C42" s="10" t="s">
        <v>25</v>
      </c>
      <c r="D42" s="11" t="s">
        <v>30</v>
      </c>
      <c r="E42" s="60"/>
      <c r="F42" s="60"/>
      <c r="G42" s="60"/>
      <c r="H42" s="23">
        <v>0.05</v>
      </c>
      <c r="I42" s="61"/>
      <c r="J42" s="19"/>
      <c r="K42" s="19"/>
      <c r="L42" s="10"/>
      <c r="M42" s="10"/>
      <c r="N42" s="10"/>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row>
    <row r="43" spans="1:47" s="5" customFormat="1" ht="55.5" customHeight="1">
      <c r="A43" s="2"/>
      <c r="B43" s="2"/>
      <c r="C43" s="2" t="s">
        <v>26</v>
      </c>
      <c r="D43" s="13" t="s">
        <v>196</v>
      </c>
      <c r="E43" s="62" t="s">
        <v>119</v>
      </c>
      <c r="F43" s="62">
        <v>1</v>
      </c>
      <c r="G43" s="62" t="s">
        <v>197</v>
      </c>
      <c r="H43" s="24">
        <v>0.6</v>
      </c>
      <c r="I43" s="44" t="s">
        <v>92</v>
      </c>
      <c r="J43" s="18">
        <v>45658</v>
      </c>
      <c r="K43" s="17">
        <v>46022</v>
      </c>
      <c r="L43" s="45" t="s">
        <v>99</v>
      </c>
      <c r="M43" s="45" t="s">
        <v>198</v>
      </c>
      <c r="N43" s="45" t="s">
        <v>121</v>
      </c>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row>
    <row r="44" spans="1:47" s="6" customFormat="1" ht="55.9" customHeight="1">
      <c r="A44" s="2"/>
      <c r="B44" s="2"/>
      <c r="C44" s="2" t="s">
        <v>199</v>
      </c>
      <c r="D44" s="13" t="s">
        <v>200</v>
      </c>
      <c r="E44" s="62" t="s">
        <v>119</v>
      </c>
      <c r="F44" s="63">
        <v>1</v>
      </c>
      <c r="G44" s="63" t="s">
        <v>201</v>
      </c>
      <c r="H44" s="24">
        <v>0.2</v>
      </c>
      <c r="I44" s="44" t="s">
        <v>92</v>
      </c>
      <c r="J44" s="18">
        <v>45658</v>
      </c>
      <c r="K44" s="17">
        <v>46022</v>
      </c>
      <c r="L44" s="45" t="s">
        <v>99</v>
      </c>
      <c r="M44" s="45" t="s">
        <v>198</v>
      </c>
      <c r="N44" s="45" t="s">
        <v>121</v>
      </c>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row>
    <row r="45" spans="1:47" s="6" customFormat="1" ht="55.9" customHeight="1">
      <c r="A45" s="2"/>
      <c r="B45" s="2"/>
      <c r="C45" s="2" t="s">
        <v>202</v>
      </c>
      <c r="D45" s="13" t="s">
        <v>203</v>
      </c>
      <c r="E45" s="62" t="s">
        <v>119</v>
      </c>
      <c r="F45" s="63">
        <v>5</v>
      </c>
      <c r="G45" s="63" t="s">
        <v>87</v>
      </c>
      <c r="H45" s="24">
        <v>0.2</v>
      </c>
      <c r="I45" s="44" t="s">
        <v>92</v>
      </c>
      <c r="J45" s="18">
        <v>45658</v>
      </c>
      <c r="K45" s="17">
        <v>46022</v>
      </c>
      <c r="L45" s="45" t="s">
        <v>93</v>
      </c>
      <c r="M45" s="45" t="s">
        <v>198</v>
      </c>
      <c r="N45" s="45" t="s">
        <v>121</v>
      </c>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row>
    <row r="46" spans="1:47" s="6" customFormat="1" ht="55.9" customHeight="1">
      <c r="A46" s="64"/>
      <c r="B46" s="64"/>
      <c r="C46" s="64"/>
      <c r="D46" s="65"/>
      <c r="E46" s="66"/>
      <c r="F46" s="66"/>
      <c r="G46" s="66"/>
      <c r="H46" s="67">
        <f>H3+H12+H16+H21+H26+H33+H42</f>
        <v>1</v>
      </c>
      <c r="I46" s="9"/>
      <c r="J46" s="68"/>
      <c r="K46" s="69"/>
      <c r="L46" s="70"/>
      <c r="M46" s="70"/>
      <c r="N46" s="70"/>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row>
    <row r="47" spans="1:47">
      <c r="B47" s="20"/>
      <c r="C47" s="20"/>
      <c r="D47" s="21"/>
      <c r="E47" s="71"/>
      <c r="F47" s="71"/>
      <c r="G47" s="71"/>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row>
    <row r="48" spans="1:47">
      <c r="C48" s="20"/>
      <c r="D48" s="21"/>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row>
    <row r="49" spans="4:47">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row>
    <row r="50" spans="4:47">
      <c r="D50" s="22"/>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row>
    <row r="51" spans="4:47">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row>
    <row r="52" spans="4:47">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row>
    <row r="53" spans="4:47">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row>
    <row r="54" spans="4:47">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row>
    <row r="55" spans="4:47">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row>
    <row r="56" spans="4:47">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row>
    <row r="57" spans="4:47">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row>
    <row r="58" spans="4:47">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row>
    <row r="59" spans="4:47">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row>
    <row r="60" spans="4:47">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row>
    <row r="61" spans="4:47">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row>
    <row r="62" spans="4:47">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row>
    <row r="63" spans="4:47">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row>
    <row r="64" spans="4:47">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row>
    <row r="65" spans="15:47">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row>
    <row r="66" spans="15:47">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row>
    <row r="67" spans="15:47">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row>
    <row r="68" spans="15:47">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row>
    <row r="69" spans="15:47">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row>
    <row r="70" spans="15:47">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row>
    <row r="71" spans="15:47">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row>
    <row r="72" spans="15:47">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row>
    <row r="73" spans="15:47">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row>
    <row r="74" spans="15:47">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row>
    <row r="75" spans="15:47">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row>
    <row r="76" spans="15:47">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row>
    <row r="77" spans="15:47">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row>
    <row r="78" spans="15:47">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row>
    <row r="79" spans="15:47">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row>
    <row r="80" spans="15:47">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row>
    <row r="81" spans="15:47">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row>
    <row r="82" spans="15:47">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row>
    <row r="83" spans="15:47">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row>
    <row r="84" spans="15:47">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row>
    <row r="85" spans="15:47">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row>
    <row r="86" spans="15:47">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row>
    <row r="87" spans="15:47">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row>
    <row r="88" spans="15:47">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row>
    <row r="89" spans="15:47">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row>
    <row r="90" spans="15:47">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row>
    <row r="91" spans="15:47">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row>
    <row r="92" spans="15:47">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row>
    <row r="93" spans="15:47">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row>
    <row r="94" spans="15:47">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row>
    <row r="95" spans="15:47">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row>
    <row r="96" spans="15:47">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row>
    <row r="97" spans="15:47">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row>
    <row r="98" spans="15:47">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row>
    <row r="99" spans="15:47">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row>
    <row r="100" spans="15:47">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row>
    <row r="101" spans="15:47">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row>
    <row r="102" spans="15:47">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row>
    <row r="103" spans="15:47">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row>
    <row r="104" spans="15:47">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row>
    <row r="105" spans="15:47">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row>
    <row r="106" spans="15:47">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row>
    <row r="107" spans="15:47">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row>
    <row r="108" spans="15:47">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row>
    <row r="109" spans="15:47">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row>
    <row r="110" spans="15:47">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row>
    <row r="111" spans="15:47">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row>
    <row r="112" spans="15:47">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row>
    <row r="113" spans="15:47">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row>
    <row r="114" spans="15:47">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row>
    <row r="115" spans="15:47">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row>
    <row r="116" spans="15:47">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row>
    <row r="117" spans="15:47">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row>
    <row r="118" spans="15:47">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row>
    <row r="119" spans="15:47">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row>
    <row r="120" spans="15:47">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row>
    <row r="121" spans="15:47">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row>
    <row r="122" spans="15:47">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row>
    <row r="123" spans="15:47">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row>
    <row r="124" spans="15:47">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row>
    <row r="125" spans="15:47">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row>
    <row r="126" spans="15:47">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row>
    <row r="127" spans="15:47">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row>
    <row r="128" spans="15:47">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row>
    <row r="129" spans="15:47">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row>
    <row r="130" spans="15:47">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row>
    <row r="131" spans="15:47">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row>
    <row r="132" spans="15:47">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row>
    <row r="133" spans="15:47">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row>
    <row r="134" spans="15:47">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row>
    <row r="135" spans="15:47">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row>
    <row r="136" spans="15:47">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row>
    <row r="137" spans="15:47">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row>
    <row r="138" spans="15:47">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row>
    <row r="139" spans="15:47">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row>
    <row r="140" spans="15:47">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row>
    <row r="141" spans="15:47">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row>
    <row r="142" spans="15:47">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row>
    <row r="143" spans="15:47">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row>
    <row r="144" spans="15:47">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row>
    <row r="145" spans="15:47">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row>
    <row r="146" spans="15:47">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row>
    <row r="147" spans="15:47">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row>
    <row r="148" spans="15:47">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row>
    <row r="149" spans="15:47">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row>
    <row r="150" spans="15:47">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row>
    <row r="151" spans="15:47">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row>
    <row r="152" spans="15:47">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row>
    <row r="153" spans="15:47">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row>
    <row r="154" spans="15:47">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row>
    <row r="155" spans="15:47">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row>
    <row r="156" spans="15:47">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row>
    <row r="157" spans="15:47">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row>
    <row r="158" spans="15:47">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row>
    <row r="159" spans="15:47">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row>
    <row r="160" spans="15:47">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row>
    <row r="161" spans="15:47">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row>
    <row r="162" spans="15:47">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row>
    <row r="163" spans="15:47">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row>
    <row r="164" spans="15:47">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row>
    <row r="165" spans="15:47">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row>
    <row r="166" spans="15:47">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row>
    <row r="167" spans="15:47">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row>
    <row r="168" spans="15:47">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row>
    <row r="169" spans="15:47">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row>
    <row r="170" spans="15:47">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row>
    <row r="171" spans="15:47">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row>
    <row r="172" spans="15:47">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row>
    <row r="173" spans="15:47">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row>
    <row r="174" spans="15:47">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row>
    <row r="175" spans="15:47">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row>
    <row r="176" spans="15:47">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row>
    <row r="177" spans="15:47">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row>
    <row r="178" spans="15:47">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row>
    <row r="179" spans="15:47">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row>
    <row r="180" spans="15:47">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row>
    <row r="181" spans="15:47">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row>
    <row r="182" spans="15:47">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row>
    <row r="183" spans="15:47">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row>
    <row r="184" spans="15:47">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row>
    <row r="185" spans="15:47">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row>
    <row r="186" spans="15:47">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row>
    <row r="187" spans="15:47">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row>
    <row r="188" spans="15:47">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row>
    <row r="189" spans="15:47">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row>
    <row r="190" spans="15:47">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row>
    <row r="191" spans="15:47">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row>
    <row r="192" spans="15:47">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row>
    <row r="193" spans="15:47">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row>
    <row r="194" spans="15:47">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row>
    <row r="195" spans="15:47">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row>
    <row r="196" spans="15:47">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row>
    <row r="197" spans="15:47">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row>
    <row r="198" spans="15:47">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row>
    <row r="199" spans="15:47">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row>
    <row r="200" spans="15:47">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row>
    <row r="201" spans="15:47">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row>
    <row r="202" spans="15:47">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row>
    <row r="203" spans="15:47">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row>
    <row r="204" spans="15:47">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row>
    <row r="205" spans="15:47">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row>
    <row r="206" spans="15:47">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row>
    <row r="207" spans="15:47">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row>
    <row r="208" spans="15:47">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row>
    <row r="209" spans="15:47">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row>
    <row r="210" spans="15:47">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row>
    <row r="211" spans="15:47">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row>
    <row r="212" spans="15:47">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row>
    <row r="213" spans="15:47">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row>
    <row r="214" spans="15:47">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row>
    <row r="215" spans="15:47">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row>
    <row r="216" spans="15:47">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row>
    <row r="217" spans="15:47">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row>
    <row r="218" spans="15:47">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row>
    <row r="219" spans="15:47">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row>
    <row r="220" spans="15:47">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row>
    <row r="221" spans="15:47">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row>
    <row r="222" spans="15:47">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row>
    <row r="223" spans="15:47">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row>
    <row r="224" spans="15:47">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row>
    <row r="225" spans="15:47">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row>
    <row r="226" spans="15:47">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row>
    <row r="227" spans="15:47">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row>
    <row r="228" spans="15:47">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row>
    <row r="229" spans="15:47">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row>
    <row r="230" spans="15:47">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row>
    <row r="231" spans="15:47">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row>
    <row r="232" spans="15:47">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row>
    <row r="233" spans="15:47">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row>
    <row r="234" spans="15:47">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row>
    <row r="235" spans="15:47">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row>
    <row r="236" spans="15:47">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row>
    <row r="237" spans="15:47">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row>
    <row r="238" spans="15:47">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row>
    <row r="239" spans="15:47">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row>
    <row r="240" spans="15:47">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row>
    <row r="241" spans="15:47">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row>
    <row r="242" spans="15:47">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row>
    <row r="243" spans="15:47">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row>
    <row r="244" spans="15:47">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row>
    <row r="245" spans="15:47">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row>
    <row r="246" spans="15:47">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row>
    <row r="247" spans="15:47">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row>
    <row r="248" spans="15:47">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row>
    <row r="249" spans="15:47">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row>
    <row r="250" spans="15:47">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row>
    <row r="251" spans="15:47">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row>
    <row r="252" spans="15:47">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row>
    <row r="253" spans="15:47">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row>
    <row r="254" spans="15:47">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row>
    <row r="255" spans="15:47">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row>
    <row r="256" spans="15:47">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row>
    <row r="257" spans="15:47">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row>
    <row r="258" spans="15:47">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row>
    <row r="259" spans="15:47">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row>
    <row r="260" spans="15:47">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row>
    <row r="261" spans="15:47">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row>
    <row r="262" spans="15:47">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row>
    <row r="263" spans="15:47">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row>
    <row r="264" spans="15:47">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row>
    <row r="265" spans="15:47">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row>
    <row r="266" spans="15:47">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row>
    <row r="267" spans="15:47">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row>
    <row r="268" spans="15:47">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row>
    <row r="269" spans="15:47">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row>
    <row r="270" spans="15:47">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row>
    <row r="271" spans="15:47">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row>
    <row r="272" spans="15:47">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row>
    <row r="273" spans="15:47">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row>
    <row r="274" spans="15:47">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row>
    <row r="275" spans="15:47">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row>
    <row r="276" spans="15:47">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row>
    <row r="277" spans="15:47">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row>
    <row r="278" spans="15:47">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row>
    <row r="279" spans="15:47">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row>
    <row r="280" spans="15:47">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row>
    <row r="281" spans="15:47">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row>
    <row r="282" spans="15:47">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row>
    <row r="283" spans="15:47">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row>
    <row r="284" spans="15:47">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row>
    <row r="285" spans="15:47">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row>
    <row r="286" spans="15:47">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row>
    <row r="287" spans="15:47">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row>
    <row r="288" spans="15:47">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row>
    <row r="289" spans="15:47">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row>
    <row r="290" spans="15:47">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row>
    <row r="291" spans="15:47">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row>
    <row r="292" spans="15:47">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row>
    <row r="293" spans="15:47">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row>
    <row r="294" spans="15:47">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row>
    <row r="295" spans="15:47">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row>
    <row r="296" spans="15:47">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row>
    <row r="297" spans="15:47">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row>
    <row r="298" spans="15:47">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row>
    <row r="299" spans="15:47">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row>
    <row r="300" spans="15:47">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row>
    <row r="301" spans="15:47">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row>
    <row r="302" spans="15:47">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row>
    <row r="303" spans="15:47">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row>
    <row r="304" spans="15:47">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row>
    <row r="305" spans="15:47">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row>
    <row r="306" spans="15:47">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row>
    <row r="307" spans="15:47">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row>
    <row r="308" spans="15:47">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row>
    <row r="309" spans="15:47">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row>
    <row r="310" spans="15:47">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row>
    <row r="311" spans="15:47">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row>
    <row r="312" spans="15:47">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row>
    <row r="313" spans="15:47">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row>
    <row r="314" spans="15:47">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row>
    <row r="315" spans="15:47">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row>
    <row r="316" spans="15:47">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row>
    <row r="317" spans="15:47">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row>
    <row r="318" spans="15:47">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row>
    <row r="319" spans="15:47">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row>
    <row r="320" spans="15:47">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row>
    <row r="321" spans="15:47">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row>
    <row r="322" spans="15:47">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row>
    <row r="323" spans="15:47">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row>
    <row r="324" spans="15:47">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row>
    <row r="325" spans="15:47">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row>
    <row r="326" spans="15:47">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row>
    <row r="327" spans="15:47">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row>
    <row r="328" spans="15:47">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row>
    <row r="329" spans="15:47">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row>
    <row r="330" spans="15:47">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row>
    <row r="331" spans="15:47">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row>
    <row r="332" spans="15:47">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row>
    <row r="333" spans="15:47">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row>
    <row r="334" spans="15:47">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row>
    <row r="335" spans="15:47">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row>
    <row r="336" spans="15:47">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row>
    <row r="337" spans="15:47">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row>
    <row r="338" spans="15:47">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row>
    <row r="339" spans="15:47">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row>
    <row r="340" spans="15:47">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row>
    <row r="341" spans="15:47">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row>
    <row r="342" spans="15:47">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row>
    <row r="343" spans="15:47">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row>
    <row r="344" spans="15:47">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row>
    <row r="345" spans="15:47">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row>
    <row r="346" spans="15:47">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row>
    <row r="347" spans="15:47">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row>
    <row r="348" spans="15:47">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row>
    <row r="349" spans="15:47">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row>
    <row r="350" spans="15:47">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row>
    <row r="351" spans="15:47">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row>
    <row r="352" spans="15:47">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row>
    <row r="353" spans="15:47">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row>
    <row r="354" spans="15:47">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row>
    <row r="355" spans="15:47">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row>
    <row r="356" spans="15:47">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row>
    <row r="357" spans="15:47">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row>
    <row r="358" spans="15:47">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row>
    <row r="359" spans="15:47">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row>
    <row r="360" spans="15:47">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row>
    <row r="361" spans="15:47">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row>
    <row r="362" spans="15:47">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row>
    <row r="363" spans="15:47">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row>
    <row r="364" spans="15:47">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row>
    <row r="365" spans="15:47">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row>
    <row r="366" spans="15:47">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row>
    <row r="367" spans="15:47">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row>
    <row r="368" spans="15:47">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row>
    <row r="369" spans="15:47">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row>
    <row r="370" spans="15:47">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row>
    <row r="371" spans="15:47">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row>
    <row r="372" spans="15:47">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row>
    <row r="373" spans="15:47">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row>
    <row r="374" spans="15:47">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row>
    <row r="375" spans="15:47">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row>
    <row r="376" spans="15:47">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row>
    <row r="377" spans="15:47">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row>
    <row r="378" spans="15:47">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row>
    <row r="379" spans="15:47">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row>
    <row r="380" spans="15:47">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row>
    <row r="381" spans="15:47">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row>
    <row r="382" spans="15:47">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row>
    <row r="383" spans="15:47">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row>
    <row r="384" spans="15:47">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row>
    <row r="385" spans="15:47">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row>
    <row r="386" spans="15:47">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row>
    <row r="387" spans="15:47">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row>
    <row r="388" spans="15:47">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row>
    <row r="389" spans="15:47">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row>
    <row r="390" spans="15:47">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row>
    <row r="391" spans="15:47">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row>
    <row r="392" spans="15:47">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row>
    <row r="393" spans="15:47">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row>
    <row r="394" spans="15:47">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row>
    <row r="395" spans="15:47">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row>
    <row r="396" spans="15:47">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row>
    <row r="397" spans="15:47">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row>
    <row r="398" spans="15:47">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row>
    <row r="399" spans="15:47">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row>
    <row r="400" spans="15:47">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row>
    <row r="401" spans="15:47">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row>
    <row r="402" spans="15:47">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row>
    <row r="403" spans="15:47">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row>
    <row r="404" spans="15:47">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row>
    <row r="405" spans="15:47">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row>
    <row r="406" spans="15:47">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row>
    <row r="407" spans="15:47">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row>
    <row r="408" spans="15:47">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row>
    <row r="409" spans="15:47">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row>
    <row r="410" spans="15:47">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row>
    <row r="411" spans="15:47">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row>
    <row r="412" spans="15:47">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row>
    <row r="413" spans="15:47">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row>
    <row r="414" spans="15:47">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row>
    <row r="415" spans="15:47">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row>
    <row r="416" spans="15:47">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row>
    <row r="417" spans="15:47">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row>
    <row r="418" spans="15:47">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row>
    <row r="419" spans="15:47">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row>
    <row r="420" spans="15:47">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row>
    <row r="421" spans="15:47">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row>
    <row r="422" spans="15:47">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row>
    <row r="423" spans="15:47">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row>
    <row r="424" spans="15:47">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row>
    <row r="425" spans="15:47">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row>
    <row r="426" spans="15:47">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row>
    <row r="427" spans="15:47">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row>
    <row r="428" spans="15:47">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row>
    <row r="429" spans="15:47">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row>
    <row r="430" spans="15:47">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row>
    <row r="431" spans="15:47">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row>
    <row r="432" spans="15:47">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row>
    <row r="433" spans="15:47">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row>
    <row r="434" spans="15:47">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row>
    <row r="435" spans="15:47">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row>
    <row r="436" spans="15:47">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row>
    <row r="437" spans="15:47">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row>
    <row r="438" spans="15:47">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row>
    <row r="439" spans="15:47">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row>
    <row r="440" spans="15:47">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row>
    <row r="441" spans="15:47">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row>
    <row r="442" spans="15:47">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row>
    <row r="443" spans="15:47">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row>
    <row r="444" spans="15:47">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row>
    <row r="445" spans="15:47">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row>
    <row r="446" spans="15:47">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row>
    <row r="447" spans="15:47">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row>
    <row r="448" spans="15:47">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row>
    <row r="449" spans="15:47">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row>
    <row r="450" spans="15:47">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row>
    <row r="451" spans="15:47">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row>
    <row r="452" spans="15:47">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row>
    <row r="453" spans="15:47">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row>
    <row r="454" spans="15:47">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row>
    <row r="455" spans="15:47">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row>
    <row r="456" spans="15:47">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row>
    <row r="457" spans="15:47">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row>
    <row r="458" spans="15:47">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row>
    <row r="459" spans="15:47">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row>
    <row r="460" spans="15:47">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row>
    <row r="461" spans="15:47">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row>
    <row r="462" spans="15:47">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row>
    <row r="463" spans="15:47">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row>
    <row r="464" spans="15:47">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row>
    <row r="465" spans="15:47">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row>
    <row r="466" spans="15:47">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row>
    <row r="467" spans="15:47">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row>
    <row r="468" spans="15:47">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row>
    <row r="469" spans="15:47">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row>
    <row r="470" spans="15:47">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row>
    <row r="471" spans="15:47">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row>
    <row r="472" spans="15:47">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row>
    <row r="473" spans="15:47">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row>
    <row r="474" spans="15:47">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row>
    <row r="475" spans="15:47">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row>
    <row r="476" spans="15:47">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row>
    <row r="477" spans="15:47">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row>
    <row r="478" spans="15:47">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row>
    <row r="479" spans="15:47">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row>
    <row r="480" spans="15:47">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row>
    <row r="481" spans="15:47">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row>
    <row r="482" spans="15:47">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row>
    <row r="483" spans="15:47">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row>
    <row r="484" spans="15:47">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row>
    <row r="485" spans="15:47">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row>
    <row r="486" spans="15:47">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row>
    <row r="487" spans="15:47">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row>
    <row r="488" spans="15:47">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row>
    <row r="489" spans="15:47">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row>
    <row r="490" spans="15:47">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row>
    <row r="491" spans="15:47">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row>
    <row r="492" spans="15:47">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row>
    <row r="493" spans="15:47">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row>
    <row r="494" spans="15:47">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row>
    <row r="495" spans="15:47">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row>
    <row r="496" spans="15:47">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row>
    <row r="497" spans="15:47">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row>
    <row r="498" spans="15:47">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row>
    <row r="499" spans="15:47">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row>
    <row r="500" spans="15:47">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row>
    <row r="501" spans="15:47">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row>
    <row r="502" spans="15:47">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row>
    <row r="503" spans="15:47">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row>
    <row r="504" spans="15:47">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row>
    <row r="505" spans="15:47">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row>
    <row r="506" spans="15:47">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row>
    <row r="507" spans="15:47">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row>
    <row r="508" spans="15:47">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row>
    <row r="509" spans="15:47">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row>
    <row r="510" spans="15:47">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row>
    <row r="511" spans="15:47">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row>
    <row r="512" spans="15:47">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row>
    <row r="513" spans="15:47">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row>
    <row r="514" spans="15:47">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row>
    <row r="515" spans="15:47">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row>
    <row r="516" spans="15:47">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row>
    <row r="517" spans="15:47">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row>
    <row r="518" spans="15:47">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row>
    <row r="519" spans="15:47">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row>
    <row r="520" spans="15:47">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row>
    <row r="521" spans="15:47">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row>
    <row r="522" spans="15:47">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row>
    <row r="523" spans="15:47">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row>
    <row r="524" spans="15:47">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row>
    <row r="525" spans="15:47">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row>
    <row r="526" spans="15:47">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row>
    <row r="527" spans="15:47">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row>
    <row r="528" spans="15:47">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row>
    <row r="529" spans="15:47">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row>
    <row r="530" spans="15:47">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row>
    <row r="531" spans="15:47">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row>
    <row r="532" spans="15:47">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row>
    <row r="533" spans="15:47">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row>
    <row r="534" spans="15:47">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row>
    <row r="535" spans="15:47">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row>
    <row r="536" spans="15:47">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row>
    <row r="537" spans="15:47">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row>
    <row r="538" spans="15:47">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row>
    <row r="539" spans="15:47">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row>
    <row r="540" spans="15:47">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row>
    <row r="541" spans="15:47">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row>
    <row r="542" spans="15:47">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row>
    <row r="543" spans="15:47">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row>
    <row r="544" spans="15:47">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row>
    <row r="545" spans="15:47">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row>
    <row r="546" spans="15:47">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row>
    <row r="547" spans="15:47">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row>
    <row r="548" spans="15:47">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row>
    <row r="549" spans="15:47">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row>
    <row r="550" spans="15:47">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row>
    <row r="551" spans="15:47">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row>
    <row r="552" spans="15:47">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row>
    <row r="553" spans="15:47">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row>
    <row r="554" spans="15:47">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row>
    <row r="555" spans="15:47">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row>
    <row r="556" spans="15:47">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row>
    <row r="557" spans="15:47">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row>
    <row r="558" spans="15:47">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row>
    <row r="559" spans="15:47">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row>
    <row r="560" spans="15:47">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row>
    <row r="561" spans="15:47">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row>
    <row r="562" spans="15:47">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row>
    <row r="563" spans="15:47">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row>
    <row r="564" spans="15:47">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row>
    <row r="565" spans="15:47">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row>
    <row r="566" spans="15:47">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row>
    <row r="567" spans="15:47">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row>
    <row r="568" spans="15:47">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row>
    <row r="569" spans="15:47">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row>
    <row r="570" spans="15:47">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row>
    <row r="571" spans="15:47">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row>
    <row r="572" spans="15:47">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row>
    <row r="573" spans="15:47">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row>
    <row r="574" spans="15:47">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row>
    <row r="575" spans="15:47">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row>
    <row r="576" spans="15:47">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row>
    <row r="577" spans="15:47">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row>
    <row r="578" spans="15:47">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row>
    <row r="579" spans="15:47">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row>
    <row r="580" spans="15:47">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row>
    <row r="581" spans="15:47">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row>
    <row r="582" spans="15:47">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row>
    <row r="583" spans="15:47">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row>
    <row r="584" spans="15:47">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row>
    <row r="585" spans="15:47">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row>
    <row r="586" spans="15:47">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row>
    <row r="587" spans="15:47">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row>
    <row r="588" spans="15:47">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row>
    <row r="589" spans="15:47">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row>
    <row r="590" spans="15:47">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row>
    <row r="591" spans="15:47">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row>
    <row r="592" spans="15:47">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row>
    <row r="593" spans="15:47">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row>
    <row r="594" spans="15:47">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row>
    <row r="595" spans="15:47">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row>
    <row r="596" spans="15:47">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row>
    <row r="597" spans="15:47">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row>
    <row r="598" spans="15:47">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row>
    <row r="599" spans="15:47">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row>
    <row r="600" spans="15:47">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row>
    <row r="601" spans="15:47">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row>
    <row r="602" spans="15:47">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row>
    <row r="603" spans="15:47">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row>
    <row r="604" spans="15:47">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row>
    <row r="605" spans="15:47">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row>
    <row r="606" spans="15:47">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row>
    <row r="607" spans="15:47">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row>
    <row r="608" spans="15:47">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row>
    <row r="609" spans="15:47">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row>
    <row r="610" spans="15:47">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row>
    <row r="611" spans="15:47">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row>
    <row r="612" spans="15:47">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row>
    <row r="613" spans="15:47">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row>
    <row r="614" spans="15:47">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row>
    <row r="615" spans="15:47">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row>
    <row r="616" spans="15:47">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row>
    <row r="617" spans="15:47">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row>
    <row r="618" spans="15:47">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row>
    <row r="619" spans="15:47">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row>
    <row r="620" spans="15:47">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row>
    <row r="621" spans="15:47">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row>
    <row r="622" spans="15:47">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row>
    <row r="623" spans="15:47">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row>
    <row r="624" spans="15:47">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row>
    <row r="625" spans="15:47">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row>
    <row r="626" spans="15:47">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row>
    <row r="627" spans="15:47">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row>
    <row r="628" spans="15:47">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row>
    <row r="629" spans="15:47">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row>
    <row r="630" spans="15:47">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row>
    <row r="631" spans="15:47">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row>
    <row r="632" spans="15:47">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row>
    <row r="633" spans="15:47">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row>
    <row r="634" spans="15:47">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row>
    <row r="635" spans="15:47">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row>
    <row r="636" spans="15:47">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row>
    <row r="637" spans="15:47">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row>
    <row r="638" spans="15:47">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row>
    <row r="639" spans="15:47">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row>
    <row r="640" spans="15:47">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row>
    <row r="641" spans="15:47">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row>
    <row r="642" spans="15:47">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row>
    <row r="643" spans="15:47">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row>
    <row r="644" spans="15:47">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row>
    <row r="645" spans="15:47">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row>
    <row r="646" spans="15:47">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row>
    <row r="647" spans="15:47">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row>
    <row r="648" spans="15:47">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row>
    <row r="649" spans="15:47">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row>
    <row r="650" spans="15:47">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row>
    <row r="651" spans="15:47">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row>
    <row r="652" spans="15:47">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row>
    <row r="653" spans="15:47">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row>
    <row r="654" spans="15:47">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row>
    <row r="655" spans="15:47">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row>
    <row r="656" spans="15:47">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row>
    <row r="657" spans="15:47">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row>
    <row r="658" spans="15:47">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row>
    <row r="659" spans="15:47">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row>
    <row r="660" spans="15:47">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row>
    <row r="661" spans="15:47">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row>
    <row r="662" spans="15:47">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row>
    <row r="663" spans="15:47">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row>
    <row r="664" spans="15:47">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row>
    <row r="665" spans="15:47">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row>
    <row r="666" spans="15:47">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row>
    <row r="667" spans="15:47">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row>
    <row r="668" spans="15:47">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row>
    <row r="669" spans="15:47">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row>
    <row r="670" spans="15:47">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row>
    <row r="671" spans="15:47">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row>
    <row r="672" spans="15:47">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row>
    <row r="673" spans="15:47">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row>
    <row r="674" spans="15:47">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row>
    <row r="675" spans="15:47">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row>
    <row r="676" spans="15:47">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row>
    <row r="677" spans="15:47">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row>
    <row r="678" spans="15:47">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row>
    <row r="679" spans="15:47">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row>
    <row r="680" spans="15:47">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row>
    <row r="681" spans="15:47">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row>
    <row r="682" spans="15:47">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row>
    <row r="683" spans="15:47">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row>
    <row r="684" spans="15:47">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row>
    <row r="685" spans="15:47">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row>
    <row r="686" spans="15:47">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row>
    <row r="687" spans="15:47">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row>
    <row r="688" spans="15:47">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row>
    <row r="689" spans="15:47">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row>
    <row r="690" spans="15:47">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row>
    <row r="691" spans="15:47">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row>
    <row r="692" spans="15:47">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row>
    <row r="693" spans="15:47">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row>
    <row r="694" spans="15:47">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row>
    <row r="695" spans="15:47">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row>
    <row r="696" spans="15:47">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row>
    <row r="697" spans="15:47">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row>
    <row r="698" spans="15:47">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row>
    <row r="699" spans="15:47">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row>
    <row r="700" spans="15:47">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row>
    <row r="701" spans="15:47">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row>
    <row r="702" spans="15:47">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row>
    <row r="703" spans="15:47">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row>
    <row r="704" spans="15:47">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row>
    <row r="705" spans="15:47">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row>
    <row r="706" spans="15:47">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row>
    <row r="707" spans="15:47">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row>
    <row r="708" spans="15:47">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row>
    <row r="709" spans="15:47">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row>
    <row r="710" spans="15:47">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row>
    <row r="711" spans="15:47">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row>
    <row r="712" spans="15:47">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row>
    <row r="713" spans="15:47">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row>
    <row r="714" spans="15:47">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row>
    <row r="715" spans="15:47">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row>
    <row r="716" spans="15:47">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row>
    <row r="717" spans="15:47">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row>
    <row r="718" spans="15:47">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row>
    <row r="719" spans="15:47">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row>
    <row r="720" spans="15:47">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row>
    <row r="721" spans="15:47">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row>
    <row r="722" spans="15:47">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row>
    <row r="723" spans="15:47">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row>
    <row r="724" spans="15:47">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row>
    <row r="725" spans="15:47">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row>
    <row r="726" spans="15:47">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row>
    <row r="727" spans="15:47">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row>
    <row r="728" spans="15:47">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row>
    <row r="729" spans="15:47">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row>
    <row r="730" spans="15:47">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row>
    <row r="731" spans="15:47">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row>
    <row r="732" spans="15:47">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row>
    <row r="733" spans="15:47">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row>
    <row r="734" spans="15:47">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row>
    <row r="735" spans="15:47">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row>
    <row r="736" spans="15:47">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row>
    <row r="737" spans="15:47">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row>
    <row r="738" spans="15:47">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row>
    <row r="739" spans="15:47">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row>
    <row r="740" spans="15:47">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row>
    <row r="741" spans="15:47">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row>
    <row r="742" spans="15:47">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row>
    <row r="743" spans="15:47">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row>
    <row r="744" spans="15:47">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row>
    <row r="745" spans="15:47">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row>
    <row r="746" spans="15:47">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row>
    <row r="747" spans="15:47">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row>
    <row r="748" spans="15:47">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row>
    <row r="749" spans="15:47">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row>
    <row r="750" spans="15:47">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row>
    <row r="751" spans="15:47">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row>
    <row r="752" spans="15:47">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row>
    <row r="753" spans="15:47">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row>
    <row r="754" spans="15:47">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row>
    <row r="755" spans="15:47">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row>
    <row r="756" spans="15:47">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row>
    <row r="757" spans="15:47">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row>
    <row r="758" spans="15:47">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row>
    <row r="759" spans="15:47">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row>
    <row r="760" spans="15:47">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row>
    <row r="761" spans="15:47">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row>
    <row r="762" spans="15:47">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row>
    <row r="763" spans="15:47">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row>
    <row r="764" spans="15:47">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row>
    <row r="765" spans="15:47">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row>
    <row r="766" spans="15:47">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row>
    <row r="767" spans="15:47">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row>
    <row r="768" spans="15:47">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row>
    <row r="769" spans="15:47">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row>
    <row r="770" spans="15:47">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row>
    <row r="771" spans="15:47">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row>
    <row r="772" spans="15:47">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row>
    <row r="773" spans="15:47">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row>
    <row r="774" spans="15:47">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row>
    <row r="775" spans="15:47">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row>
    <row r="776" spans="15:47">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row>
    <row r="777" spans="15:47">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row>
    <row r="778" spans="15:47">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row>
    <row r="779" spans="15:47">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row>
    <row r="780" spans="15:47">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row>
    <row r="781" spans="15:47">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row>
    <row r="782" spans="15:47">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row>
    <row r="783" spans="15:47">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row>
    <row r="784" spans="15:47">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row>
    <row r="785" spans="15:47">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row>
    <row r="786" spans="15:47">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row>
    <row r="787" spans="15:47">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row>
    <row r="788" spans="15:47">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row>
    <row r="789" spans="15:47">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row>
    <row r="790" spans="15:47">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row>
    <row r="791" spans="15:47">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row>
    <row r="792" spans="15:47">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row>
    <row r="793" spans="15:47">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row>
    <row r="794" spans="15:47">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row>
    <row r="795" spans="15:47">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row>
    <row r="796" spans="15:47">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row>
    <row r="797" spans="15:47">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row>
    <row r="798" spans="15:47">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row>
    <row r="799" spans="15:47">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row>
    <row r="800" spans="15:47">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row>
    <row r="801" spans="15:47">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row>
    <row r="802" spans="15:47">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row>
    <row r="803" spans="15:47">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row>
    <row r="804" spans="15:47">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row>
    <row r="805" spans="15:47">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row>
    <row r="806" spans="15:47">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row>
    <row r="807" spans="15:47">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row>
    <row r="808" spans="15:47">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row>
    <row r="809" spans="15:47">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row>
    <row r="810" spans="15:47">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row>
    <row r="811" spans="15:47">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row>
    <row r="812" spans="15:47">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row>
    <row r="813" spans="15:47">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row>
  </sheetData>
  <mergeCells count="24">
    <mergeCell ref="N6:N7"/>
    <mergeCell ref="A6:A7"/>
    <mergeCell ref="B6:B7"/>
    <mergeCell ref="C6:C7"/>
    <mergeCell ref="D6:D7"/>
    <mergeCell ref="G6:G7"/>
    <mergeCell ref="H6:H7"/>
    <mergeCell ref="I6:I7"/>
    <mergeCell ref="J6:J7"/>
    <mergeCell ref="K6:K7"/>
    <mergeCell ref="L6:L7"/>
    <mergeCell ref="M6:M7"/>
    <mergeCell ref="AS1:AU1"/>
    <mergeCell ref="A1:N1"/>
    <mergeCell ref="O1:Q1"/>
    <mergeCell ref="R1:T1"/>
    <mergeCell ref="U1:W1"/>
    <mergeCell ref="X1:Z1"/>
    <mergeCell ref="AA1:AC1"/>
    <mergeCell ref="AD1:AF1"/>
    <mergeCell ref="AG1:AI1"/>
    <mergeCell ref="AJ1:AL1"/>
    <mergeCell ref="AM1:AO1"/>
    <mergeCell ref="AP1:AR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762E8-1C65-4B0C-AE71-72E9027315C6}">
  <sheetPr>
    <tabColor rgb="FFFF0000"/>
  </sheetPr>
  <dimension ref="A1:W818"/>
  <sheetViews>
    <sheetView zoomScale="55" zoomScaleNormal="55" zoomScaleSheetLayoutView="70" workbookViewId="0">
      <pane xSplit="2" ySplit="2" topLeftCell="C22" activePane="bottomRight" state="frozen"/>
      <selection activeCell="B1" sqref="B1"/>
      <selection pane="topRight" activeCell="C1" sqref="C1"/>
      <selection pane="bottomLeft" activeCell="B3" sqref="B3"/>
      <selection pane="bottomRight" activeCell="F25" sqref="F25"/>
    </sheetView>
  </sheetViews>
  <sheetFormatPr defaultColWidth="9" defaultRowHeight="18.75"/>
  <cols>
    <col min="1" max="1" width="7.85546875" style="125" customWidth="1"/>
    <col min="2" max="2" width="21" style="125" customWidth="1"/>
    <col min="3" max="3" width="50.5703125" style="125" customWidth="1"/>
    <col min="4" max="4" width="20.140625" style="125" customWidth="1"/>
    <col min="5" max="5" width="34" style="125" customWidth="1"/>
    <col min="6" max="6" width="53.7109375" style="202" customWidth="1"/>
    <col min="7" max="7" width="29.28515625" style="201" customWidth="1"/>
    <col min="8" max="8" width="13" style="201" customWidth="1"/>
    <col min="9" max="9" width="15.5703125" style="201" customWidth="1"/>
    <col min="10" max="10" width="9.7109375" style="200" bestFit="1" customWidth="1"/>
    <col min="11" max="11" width="79.28515625" style="200" customWidth="1"/>
    <col min="12" max="13" width="16.42578125" style="125" customWidth="1"/>
    <col min="14" max="14" width="20.28515625" style="125" hidden="1" customWidth="1"/>
    <col min="15" max="16" width="20.140625" style="125" customWidth="1"/>
    <col min="17" max="17" width="33.140625" style="204" customWidth="1"/>
    <col min="18" max="18" width="15.7109375" style="204" customWidth="1"/>
    <col min="19" max="19" width="16.140625" style="204" customWidth="1"/>
    <col min="20" max="20" width="15" style="204" customWidth="1"/>
    <col min="21" max="21" width="13.7109375" style="204" customWidth="1"/>
    <col min="22" max="22" width="26" style="204" customWidth="1"/>
    <col min="23" max="23" width="12.28515625" style="204" customWidth="1"/>
    <col min="24" max="28" width="9" style="125" customWidth="1"/>
    <col min="29" max="29" width="9.42578125" style="125" customWidth="1"/>
    <col min="30" max="30" width="9" style="125" customWidth="1"/>
    <col min="31" max="16384" width="9" style="125"/>
  </cols>
  <sheetData>
    <row r="1" spans="1:23" ht="47.25" customHeight="1">
      <c r="A1" s="411" t="s">
        <v>431</v>
      </c>
      <c r="B1" s="412"/>
      <c r="C1" s="412"/>
      <c r="D1" s="412"/>
      <c r="E1" s="412"/>
      <c r="F1" s="412"/>
      <c r="G1" s="412"/>
      <c r="H1" s="412"/>
      <c r="I1" s="412"/>
      <c r="J1" s="412"/>
      <c r="K1" s="412"/>
      <c r="L1" s="412"/>
      <c r="M1" s="412"/>
      <c r="N1" s="412"/>
      <c r="O1" s="412"/>
      <c r="P1" s="413"/>
      <c r="Q1" s="414" t="s">
        <v>240</v>
      </c>
      <c r="R1" s="415"/>
      <c r="S1" s="415"/>
      <c r="T1" s="415"/>
      <c r="U1" s="415"/>
      <c r="V1" s="415"/>
      <c r="W1" s="416"/>
    </row>
    <row r="2" spans="1:23" ht="120" customHeight="1">
      <c r="A2" s="126" t="s">
        <v>0</v>
      </c>
      <c r="B2" s="126" t="s">
        <v>432</v>
      </c>
      <c r="C2" s="126" t="s">
        <v>433</v>
      </c>
      <c r="D2" s="126" t="s">
        <v>434</v>
      </c>
      <c r="E2" s="126" t="s">
        <v>241</v>
      </c>
      <c r="F2" s="126" t="s">
        <v>242</v>
      </c>
      <c r="G2" s="126" t="s">
        <v>75</v>
      </c>
      <c r="H2" s="126" t="s">
        <v>244</v>
      </c>
      <c r="I2" s="126" t="s">
        <v>77</v>
      </c>
      <c r="J2" s="127" t="s">
        <v>435</v>
      </c>
      <c r="K2" s="127" t="s">
        <v>78</v>
      </c>
      <c r="L2" s="126" t="s">
        <v>1</v>
      </c>
      <c r="M2" s="126" t="s">
        <v>2</v>
      </c>
      <c r="N2" s="126" t="s">
        <v>247</v>
      </c>
      <c r="O2" s="126" t="s">
        <v>436</v>
      </c>
      <c r="P2" s="126" t="s">
        <v>437</v>
      </c>
      <c r="Q2" s="128" t="s">
        <v>250</v>
      </c>
      <c r="R2" s="129" t="s">
        <v>251</v>
      </c>
      <c r="S2" s="129" t="s">
        <v>252</v>
      </c>
      <c r="T2" s="129" t="s">
        <v>253</v>
      </c>
      <c r="U2" s="129" t="s">
        <v>254</v>
      </c>
      <c r="V2" s="129" t="s">
        <v>255</v>
      </c>
      <c r="W2" s="129" t="s">
        <v>31</v>
      </c>
    </row>
    <row r="3" spans="1:23" s="135" customFormat="1" ht="73.5" customHeight="1">
      <c r="A3" s="130">
        <v>1</v>
      </c>
      <c r="B3" s="130" t="s">
        <v>438</v>
      </c>
      <c r="C3" s="131" t="s">
        <v>439</v>
      </c>
      <c r="D3" s="132">
        <v>0.5</v>
      </c>
      <c r="E3" s="417"/>
      <c r="F3" s="418"/>
      <c r="G3" s="418"/>
      <c r="H3" s="418"/>
      <c r="I3" s="418"/>
      <c r="J3" s="418"/>
      <c r="K3" s="418"/>
      <c r="L3" s="418"/>
      <c r="M3" s="418"/>
      <c r="N3" s="418"/>
      <c r="O3" s="418"/>
      <c r="P3" s="419"/>
      <c r="Q3" s="133"/>
      <c r="R3" s="134"/>
      <c r="S3" s="133"/>
      <c r="T3" s="133"/>
      <c r="U3" s="133"/>
      <c r="V3" s="133"/>
      <c r="W3" s="133"/>
    </row>
    <row r="4" spans="1:23" s="135" customFormat="1" ht="73.5" customHeight="1">
      <c r="A4" s="136">
        <v>2</v>
      </c>
      <c r="B4" s="136" t="s">
        <v>440</v>
      </c>
      <c r="C4" s="137" t="s">
        <v>441</v>
      </c>
      <c r="D4" s="138">
        <v>0.15</v>
      </c>
      <c r="E4" s="136" t="s">
        <v>442</v>
      </c>
      <c r="F4" s="137" t="s">
        <v>441</v>
      </c>
      <c r="G4" s="139" t="s">
        <v>443</v>
      </c>
      <c r="H4" s="139">
        <v>0</v>
      </c>
      <c r="I4" s="139" t="s">
        <v>201</v>
      </c>
      <c r="J4" s="140">
        <v>0.15</v>
      </c>
      <c r="K4" s="141"/>
      <c r="L4" s="142"/>
      <c r="M4" s="142"/>
      <c r="N4" s="136"/>
      <c r="O4" s="136"/>
      <c r="P4" s="136"/>
      <c r="Q4" s="143"/>
      <c r="R4" s="143"/>
      <c r="S4" s="143"/>
      <c r="T4" s="144"/>
      <c r="U4" s="144"/>
      <c r="V4" s="143"/>
      <c r="W4" s="143"/>
    </row>
    <row r="5" spans="1:23" ht="183.75" customHeight="1">
      <c r="A5" s="145">
        <v>3</v>
      </c>
      <c r="B5" s="146"/>
      <c r="C5" s="146"/>
      <c r="D5" s="147"/>
      <c r="E5" s="148" t="s">
        <v>444</v>
      </c>
      <c r="F5" s="149" t="s">
        <v>445</v>
      </c>
      <c r="G5" s="150" t="s">
        <v>446</v>
      </c>
      <c r="H5" s="151">
        <v>1</v>
      </c>
      <c r="I5" s="150" t="s">
        <v>91</v>
      </c>
      <c r="J5" s="151">
        <v>0.05</v>
      </c>
      <c r="K5" s="152" t="s">
        <v>447</v>
      </c>
      <c r="L5" s="153">
        <v>46023</v>
      </c>
      <c r="M5" s="154">
        <v>46387</v>
      </c>
      <c r="N5" s="155"/>
      <c r="O5" s="155" t="s">
        <v>367</v>
      </c>
      <c r="P5" s="155" t="s">
        <v>258</v>
      </c>
      <c r="Q5" s="156"/>
      <c r="R5" s="156"/>
      <c r="S5" s="157"/>
      <c r="T5" s="156"/>
      <c r="U5" s="144"/>
      <c r="V5" s="157"/>
      <c r="W5" s="157"/>
    </row>
    <row r="6" spans="1:23" ht="194.25" customHeight="1">
      <c r="A6" s="158">
        <v>4</v>
      </c>
      <c r="B6" s="146"/>
      <c r="C6" s="146"/>
      <c r="D6" s="147"/>
      <c r="E6" s="148" t="s">
        <v>448</v>
      </c>
      <c r="F6" s="149" t="s">
        <v>449</v>
      </c>
      <c r="G6" s="150" t="s">
        <v>450</v>
      </c>
      <c r="H6" s="151">
        <v>1</v>
      </c>
      <c r="I6" s="150" t="s">
        <v>91</v>
      </c>
      <c r="J6" s="151">
        <v>0.05</v>
      </c>
      <c r="K6" s="159" t="s">
        <v>451</v>
      </c>
      <c r="L6" s="153">
        <v>46023</v>
      </c>
      <c r="M6" s="154">
        <v>46387</v>
      </c>
      <c r="N6" s="155"/>
      <c r="O6" s="155" t="s">
        <v>452</v>
      </c>
      <c r="P6" s="160" t="s">
        <v>269</v>
      </c>
      <c r="Q6" s="156"/>
      <c r="R6" s="156"/>
      <c r="S6" s="157"/>
      <c r="T6" s="156"/>
      <c r="U6" s="144"/>
      <c r="V6" s="157"/>
      <c r="W6" s="157"/>
    </row>
    <row r="7" spans="1:23" ht="147" customHeight="1">
      <c r="A7" s="145">
        <v>5</v>
      </c>
      <c r="B7" s="146"/>
      <c r="C7" s="146"/>
      <c r="D7" s="147"/>
      <c r="E7" s="148" t="s">
        <v>453</v>
      </c>
      <c r="F7" s="149" t="s">
        <v>454</v>
      </c>
      <c r="G7" s="150" t="s">
        <v>450</v>
      </c>
      <c r="H7" s="151">
        <v>1</v>
      </c>
      <c r="I7" s="150" t="s">
        <v>91</v>
      </c>
      <c r="J7" s="151">
        <v>0.02</v>
      </c>
      <c r="K7" s="159" t="s">
        <v>455</v>
      </c>
      <c r="L7" s="153">
        <v>46023</v>
      </c>
      <c r="M7" s="154">
        <v>46387</v>
      </c>
      <c r="N7" s="155"/>
      <c r="O7" s="155" t="s">
        <v>452</v>
      </c>
      <c r="P7" s="155" t="s">
        <v>258</v>
      </c>
      <c r="Q7" s="156"/>
      <c r="R7" s="156"/>
      <c r="S7" s="157"/>
      <c r="T7" s="156"/>
      <c r="U7" s="144"/>
      <c r="V7" s="157"/>
      <c r="W7" s="157"/>
    </row>
    <row r="8" spans="1:23" s="135" customFormat="1" ht="90" customHeight="1">
      <c r="A8" s="136">
        <v>6</v>
      </c>
      <c r="B8" s="136" t="s">
        <v>456</v>
      </c>
      <c r="C8" s="161" t="s">
        <v>84</v>
      </c>
      <c r="D8" s="138">
        <v>0.2</v>
      </c>
      <c r="E8" s="136" t="s">
        <v>457</v>
      </c>
      <c r="F8" s="161" t="s">
        <v>84</v>
      </c>
      <c r="G8" s="139" t="s">
        <v>458</v>
      </c>
      <c r="H8" s="139" t="s">
        <v>459</v>
      </c>
      <c r="I8" s="139" t="s">
        <v>87</v>
      </c>
      <c r="J8" s="140">
        <v>0.2</v>
      </c>
      <c r="K8" s="140"/>
      <c r="L8" s="142"/>
      <c r="M8" s="142"/>
      <c r="N8" s="136"/>
      <c r="O8" s="136"/>
      <c r="P8" s="136"/>
      <c r="Q8" s="143"/>
      <c r="R8" s="143"/>
      <c r="S8" s="143"/>
      <c r="T8" s="144"/>
      <c r="U8" s="144"/>
      <c r="V8" s="143"/>
      <c r="W8" s="143"/>
    </row>
    <row r="9" spans="1:23" ht="131.25" customHeight="1">
      <c r="A9" s="158">
        <v>7</v>
      </c>
      <c r="B9" s="157"/>
      <c r="C9" s="157"/>
      <c r="D9" s="156"/>
      <c r="E9" s="148" t="s">
        <v>460</v>
      </c>
      <c r="F9" s="149" t="s">
        <v>461</v>
      </c>
      <c r="G9" s="150" t="s">
        <v>119</v>
      </c>
      <c r="H9" s="150">
        <v>1</v>
      </c>
      <c r="I9" s="150" t="s">
        <v>201</v>
      </c>
      <c r="J9" s="162">
        <v>0.03</v>
      </c>
      <c r="K9" s="152" t="s">
        <v>462</v>
      </c>
      <c r="L9" s="153">
        <v>46023</v>
      </c>
      <c r="M9" s="154">
        <v>46387</v>
      </c>
      <c r="N9" s="163"/>
      <c r="O9" s="155" t="s">
        <v>463</v>
      </c>
      <c r="P9" s="155" t="s">
        <v>464</v>
      </c>
      <c r="Q9" s="157"/>
      <c r="R9" s="157"/>
      <c r="S9" s="157"/>
      <c r="T9" s="156"/>
      <c r="U9" s="144"/>
      <c r="V9" s="157"/>
      <c r="W9" s="157"/>
    </row>
    <row r="10" spans="1:23" s="168" customFormat="1" ht="252" customHeight="1">
      <c r="A10" s="145">
        <v>8</v>
      </c>
      <c r="B10" s="146"/>
      <c r="C10" s="146"/>
      <c r="D10" s="147"/>
      <c r="E10" s="148" t="s">
        <v>465</v>
      </c>
      <c r="F10" s="149" t="s">
        <v>466</v>
      </c>
      <c r="G10" s="150" t="s">
        <v>89</v>
      </c>
      <c r="H10" s="151" t="s">
        <v>90</v>
      </c>
      <c r="I10" s="150" t="s">
        <v>91</v>
      </c>
      <c r="J10" s="164">
        <v>7.0000000000000007E-2</v>
      </c>
      <c r="K10" s="165" t="s">
        <v>467</v>
      </c>
      <c r="L10" s="166">
        <v>46023</v>
      </c>
      <c r="M10" s="154">
        <v>46387</v>
      </c>
      <c r="N10" s="167"/>
      <c r="O10" s="167" t="s">
        <v>257</v>
      </c>
      <c r="P10" s="155" t="s">
        <v>258</v>
      </c>
      <c r="Q10" s="156"/>
      <c r="R10" s="156"/>
      <c r="S10" s="157"/>
      <c r="T10" s="156"/>
      <c r="U10" s="144"/>
      <c r="V10" s="157"/>
      <c r="W10" s="157"/>
    </row>
    <row r="11" spans="1:23" ht="246.75" customHeight="1">
      <c r="A11" s="158">
        <v>9</v>
      </c>
      <c r="B11" s="157"/>
      <c r="C11" s="157"/>
      <c r="D11" s="156"/>
      <c r="E11" s="148" t="s">
        <v>468</v>
      </c>
      <c r="F11" s="149" t="s">
        <v>469</v>
      </c>
      <c r="G11" s="150" t="s">
        <v>97</v>
      </c>
      <c r="H11" s="151" t="s">
        <v>98</v>
      </c>
      <c r="I11" s="150" t="s">
        <v>91</v>
      </c>
      <c r="J11" s="169">
        <v>0.06</v>
      </c>
      <c r="K11" s="165" t="s">
        <v>470</v>
      </c>
      <c r="L11" s="166">
        <v>46023</v>
      </c>
      <c r="M11" s="154">
        <v>46387</v>
      </c>
      <c r="N11" s="167"/>
      <c r="O11" s="167" t="s">
        <v>268</v>
      </c>
      <c r="P11" s="155" t="s">
        <v>258</v>
      </c>
      <c r="Q11" s="156"/>
      <c r="R11" s="156"/>
      <c r="S11" s="157"/>
      <c r="T11" s="156"/>
      <c r="U11" s="144"/>
      <c r="V11" s="157"/>
      <c r="W11" s="157"/>
    </row>
    <row r="12" spans="1:23" ht="264" customHeight="1">
      <c r="A12" s="145">
        <v>10</v>
      </c>
      <c r="B12" s="170"/>
      <c r="C12" s="170"/>
      <c r="D12" s="171"/>
      <c r="E12" s="148" t="s">
        <v>471</v>
      </c>
      <c r="F12" s="172" t="s">
        <v>472</v>
      </c>
      <c r="G12" s="150" t="s">
        <v>473</v>
      </c>
      <c r="H12" s="151" t="s">
        <v>474</v>
      </c>
      <c r="I12" s="173" t="s">
        <v>87</v>
      </c>
      <c r="J12" s="174">
        <v>0.05</v>
      </c>
      <c r="K12" s="175" t="s">
        <v>475</v>
      </c>
      <c r="L12" s="166">
        <v>46023</v>
      </c>
      <c r="M12" s="154">
        <v>46387</v>
      </c>
      <c r="N12" s="170"/>
      <c r="O12" s="170" t="s">
        <v>102</v>
      </c>
      <c r="P12" s="155" t="s">
        <v>258</v>
      </c>
      <c r="Q12" s="157"/>
      <c r="R12" s="157"/>
      <c r="S12" s="157"/>
      <c r="T12" s="156"/>
      <c r="U12" s="144"/>
      <c r="V12" s="157"/>
      <c r="W12" s="157"/>
    </row>
    <row r="13" spans="1:23" ht="164.25" customHeight="1">
      <c r="A13" s="158">
        <v>11</v>
      </c>
      <c r="B13" s="176"/>
      <c r="C13" s="176"/>
      <c r="D13" s="177"/>
      <c r="E13" s="148" t="s">
        <v>476</v>
      </c>
      <c r="F13" s="149" t="s">
        <v>477</v>
      </c>
      <c r="G13" s="150" t="s">
        <v>478</v>
      </c>
      <c r="H13" s="151">
        <v>1</v>
      </c>
      <c r="I13" s="150" t="s">
        <v>87</v>
      </c>
      <c r="J13" s="162">
        <v>0.01</v>
      </c>
      <c r="K13" s="152" t="s">
        <v>479</v>
      </c>
      <c r="L13" s="153">
        <v>46023</v>
      </c>
      <c r="M13" s="154">
        <v>46387</v>
      </c>
      <c r="N13" s="163"/>
      <c r="O13" s="155" t="s">
        <v>257</v>
      </c>
      <c r="P13" s="155" t="s">
        <v>258</v>
      </c>
      <c r="Q13" s="157"/>
      <c r="R13" s="157"/>
      <c r="S13" s="157"/>
      <c r="T13" s="156"/>
      <c r="U13" s="144"/>
      <c r="V13" s="157"/>
      <c r="W13" s="157"/>
    </row>
    <row r="14" spans="1:23" s="168" customFormat="1" ht="88.5" customHeight="1">
      <c r="A14" s="145">
        <v>12</v>
      </c>
      <c r="B14" s="146"/>
      <c r="C14" s="146"/>
      <c r="D14" s="147"/>
      <c r="E14" s="148" t="s">
        <v>480</v>
      </c>
      <c r="F14" s="149" t="s">
        <v>112</v>
      </c>
      <c r="G14" s="150" t="s">
        <v>113</v>
      </c>
      <c r="H14" s="151" t="s">
        <v>114</v>
      </c>
      <c r="I14" s="150" t="s">
        <v>87</v>
      </c>
      <c r="J14" s="162">
        <v>0.01</v>
      </c>
      <c r="K14" s="152" t="s">
        <v>481</v>
      </c>
      <c r="L14" s="153">
        <v>46023</v>
      </c>
      <c r="M14" s="154">
        <v>46387</v>
      </c>
      <c r="N14" s="155"/>
      <c r="O14" s="155" t="s">
        <v>482</v>
      </c>
      <c r="P14" s="155" t="s">
        <v>258</v>
      </c>
      <c r="Q14" s="178"/>
      <c r="R14" s="178"/>
      <c r="S14" s="178"/>
      <c r="T14" s="178"/>
      <c r="U14" s="178"/>
      <c r="V14" s="178"/>
      <c r="W14" s="178"/>
    </row>
    <row r="15" spans="1:23" s="135" customFormat="1" ht="70.5" customHeight="1">
      <c r="A15" s="136">
        <v>13</v>
      </c>
      <c r="B15" s="136" t="s">
        <v>483</v>
      </c>
      <c r="C15" s="179" t="s">
        <v>16</v>
      </c>
      <c r="D15" s="138">
        <v>0.15</v>
      </c>
      <c r="E15" s="136" t="s">
        <v>484</v>
      </c>
      <c r="F15" s="179" t="s">
        <v>16</v>
      </c>
      <c r="G15" s="139" t="s">
        <v>117</v>
      </c>
      <c r="H15" s="139">
        <v>0</v>
      </c>
      <c r="I15" s="139"/>
      <c r="J15" s="140">
        <v>0.15</v>
      </c>
      <c r="K15" s="140"/>
      <c r="L15" s="180"/>
      <c r="M15" s="180"/>
      <c r="N15" s="136"/>
      <c r="O15" s="136"/>
      <c r="P15" s="136"/>
      <c r="Q15" s="157"/>
      <c r="R15" s="157"/>
      <c r="S15" s="157"/>
      <c r="T15" s="156"/>
      <c r="U15" s="144"/>
      <c r="V15" s="157"/>
      <c r="W15" s="157"/>
    </row>
    <row r="16" spans="1:23" s="168" customFormat="1" ht="113.25" customHeight="1">
      <c r="A16" s="145">
        <v>14</v>
      </c>
      <c r="B16" s="146"/>
      <c r="C16" s="146"/>
      <c r="D16" s="147"/>
      <c r="E16" s="148" t="s">
        <v>485</v>
      </c>
      <c r="F16" s="149" t="s">
        <v>118</v>
      </c>
      <c r="G16" s="150" t="s">
        <v>119</v>
      </c>
      <c r="H16" s="150">
        <v>1</v>
      </c>
      <c r="I16" s="150" t="s">
        <v>91</v>
      </c>
      <c r="J16" s="164">
        <v>0.05</v>
      </c>
      <c r="K16" s="165" t="s">
        <v>486</v>
      </c>
      <c r="L16" s="166">
        <v>46023</v>
      </c>
      <c r="M16" s="154">
        <v>46387</v>
      </c>
      <c r="N16" s="167"/>
      <c r="O16" s="167" t="s">
        <v>310</v>
      </c>
      <c r="P16" s="155" t="s">
        <v>258</v>
      </c>
      <c r="Q16" s="157"/>
      <c r="R16" s="157"/>
      <c r="S16" s="157"/>
      <c r="T16" s="157"/>
      <c r="U16" s="157"/>
      <c r="V16" s="157"/>
      <c r="W16" s="157"/>
    </row>
    <row r="17" spans="1:23" s="168" customFormat="1" ht="78" customHeight="1">
      <c r="A17" s="158">
        <v>15</v>
      </c>
      <c r="B17" s="146"/>
      <c r="C17" s="146"/>
      <c r="D17" s="147"/>
      <c r="E17" s="148" t="s">
        <v>487</v>
      </c>
      <c r="F17" s="149" t="s">
        <v>122</v>
      </c>
      <c r="G17" s="150" t="s">
        <v>123</v>
      </c>
      <c r="H17" s="150" t="s">
        <v>488</v>
      </c>
      <c r="I17" s="150" t="s">
        <v>87</v>
      </c>
      <c r="J17" s="164">
        <v>0.08</v>
      </c>
      <c r="K17" s="165" t="s">
        <v>489</v>
      </c>
      <c r="L17" s="166">
        <v>46023</v>
      </c>
      <c r="M17" s="154">
        <v>46387</v>
      </c>
      <c r="N17" s="167"/>
      <c r="O17" s="167" t="s">
        <v>310</v>
      </c>
      <c r="P17" s="155" t="s">
        <v>258</v>
      </c>
      <c r="Q17" s="181"/>
      <c r="R17" s="157"/>
      <c r="S17" s="157"/>
      <c r="T17" s="157"/>
      <c r="U17" s="157"/>
      <c r="V17" s="157"/>
      <c r="W17" s="157"/>
    </row>
    <row r="18" spans="1:23" s="168" customFormat="1" ht="82.5" customHeight="1">
      <c r="A18" s="145">
        <v>16</v>
      </c>
      <c r="B18" s="146"/>
      <c r="C18" s="146"/>
      <c r="D18" s="147"/>
      <c r="E18" s="148" t="s">
        <v>490</v>
      </c>
      <c r="F18" s="149" t="s">
        <v>125</v>
      </c>
      <c r="G18" s="150" t="s">
        <v>126</v>
      </c>
      <c r="H18" s="151">
        <v>1</v>
      </c>
      <c r="I18" s="150" t="s">
        <v>87</v>
      </c>
      <c r="J18" s="164">
        <v>0.02</v>
      </c>
      <c r="K18" s="165" t="s">
        <v>491</v>
      </c>
      <c r="L18" s="166">
        <v>46023</v>
      </c>
      <c r="M18" s="154">
        <v>46387</v>
      </c>
      <c r="N18" s="167"/>
      <c r="O18" s="167" t="s">
        <v>310</v>
      </c>
      <c r="P18" s="155" t="s">
        <v>258</v>
      </c>
      <c r="Q18" s="157"/>
      <c r="R18" s="157"/>
      <c r="S18" s="157"/>
      <c r="T18" s="157"/>
      <c r="U18" s="157"/>
      <c r="V18" s="157"/>
      <c r="W18" s="157"/>
    </row>
    <row r="19" spans="1:23" s="135" customFormat="1" ht="114.75" customHeight="1">
      <c r="A19" s="182">
        <v>17</v>
      </c>
      <c r="B19" s="182" t="s">
        <v>492</v>
      </c>
      <c r="C19" s="183" t="s">
        <v>493</v>
      </c>
      <c r="D19" s="184">
        <v>0.1</v>
      </c>
      <c r="E19" s="420"/>
      <c r="F19" s="421"/>
      <c r="G19" s="421"/>
      <c r="H19" s="421"/>
      <c r="I19" s="421"/>
      <c r="J19" s="421"/>
      <c r="K19" s="421"/>
      <c r="L19" s="421"/>
      <c r="M19" s="421"/>
      <c r="N19" s="421"/>
      <c r="O19" s="421"/>
      <c r="P19" s="422"/>
      <c r="Q19" s="133"/>
      <c r="R19" s="134"/>
      <c r="S19" s="133"/>
      <c r="T19" s="133"/>
      <c r="U19" s="133"/>
      <c r="V19" s="133"/>
      <c r="W19" s="133"/>
    </row>
    <row r="20" spans="1:23" s="135" customFormat="1" ht="55.5" customHeight="1">
      <c r="A20" s="136">
        <v>18</v>
      </c>
      <c r="B20" s="136" t="s">
        <v>494</v>
      </c>
      <c r="C20" s="137" t="s">
        <v>495</v>
      </c>
      <c r="D20" s="138">
        <v>0.08</v>
      </c>
      <c r="E20" s="136" t="s">
        <v>496</v>
      </c>
      <c r="F20" s="179" t="s">
        <v>135</v>
      </c>
      <c r="G20" s="139"/>
      <c r="H20" s="139"/>
      <c r="I20" s="139"/>
      <c r="J20" s="140">
        <v>0.2</v>
      </c>
      <c r="K20" s="140"/>
      <c r="L20" s="142"/>
      <c r="M20" s="142"/>
      <c r="N20" s="136"/>
      <c r="O20" s="136"/>
      <c r="P20" s="136"/>
      <c r="Q20" s="157"/>
      <c r="R20" s="157"/>
      <c r="S20" s="157"/>
      <c r="T20" s="157"/>
      <c r="U20" s="157"/>
      <c r="V20" s="157"/>
      <c r="W20" s="157"/>
    </row>
    <row r="21" spans="1:23" s="135" customFormat="1" ht="138.75" customHeight="1">
      <c r="A21" s="158">
        <v>19</v>
      </c>
      <c r="B21" s="146"/>
      <c r="C21" s="148"/>
      <c r="D21" s="147"/>
      <c r="E21" s="146" t="s">
        <v>497</v>
      </c>
      <c r="F21" s="149" t="s">
        <v>498</v>
      </c>
      <c r="G21" s="150" t="s">
        <v>138</v>
      </c>
      <c r="H21" s="151">
        <v>1</v>
      </c>
      <c r="I21" s="150" t="s">
        <v>87</v>
      </c>
      <c r="J21" s="151">
        <v>0.02</v>
      </c>
      <c r="K21" s="152" t="s">
        <v>499</v>
      </c>
      <c r="L21" s="153">
        <v>46023</v>
      </c>
      <c r="M21" s="154">
        <v>46387</v>
      </c>
      <c r="N21" s="155"/>
      <c r="O21" s="155" t="s">
        <v>257</v>
      </c>
      <c r="P21" s="155" t="s">
        <v>258</v>
      </c>
      <c r="Q21" s="157"/>
      <c r="R21" s="157"/>
      <c r="S21" s="157"/>
      <c r="T21" s="157"/>
      <c r="U21" s="157"/>
      <c r="V21" s="157"/>
      <c r="W21" s="157"/>
    </row>
    <row r="22" spans="1:23" s="135" customFormat="1" ht="122.25" customHeight="1">
      <c r="A22" s="145">
        <v>20</v>
      </c>
      <c r="B22" s="146"/>
      <c r="C22" s="146"/>
      <c r="D22" s="147"/>
      <c r="E22" s="146" t="s">
        <v>500</v>
      </c>
      <c r="F22" s="149" t="s">
        <v>501</v>
      </c>
      <c r="G22" s="150" t="s">
        <v>141</v>
      </c>
      <c r="H22" s="151">
        <v>1</v>
      </c>
      <c r="I22" s="150" t="s">
        <v>87</v>
      </c>
      <c r="J22" s="151">
        <v>0.02</v>
      </c>
      <c r="K22" s="152" t="s">
        <v>502</v>
      </c>
      <c r="L22" s="153">
        <v>46023</v>
      </c>
      <c r="M22" s="154">
        <v>46387</v>
      </c>
      <c r="N22" s="155"/>
      <c r="O22" s="155" t="s">
        <v>503</v>
      </c>
      <c r="P22" s="155" t="s">
        <v>258</v>
      </c>
      <c r="Q22" s="157"/>
      <c r="R22" s="157"/>
      <c r="S22" s="157"/>
      <c r="T22" s="157"/>
      <c r="U22" s="157"/>
      <c r="V22" s="157"/>
      <c r="W22" s="157"/>
    </row>
    <row r="23" spans="1:23" s="135" customFormat="1" ht="177.75" customHeight="1">
      <c r="A23" s="158">
        <v>21</v>
      </c>
      <c r="B23" s="146"/>
      <c r="C23" s="146"/>
      <c r="D23" s="147"/>
      <c r="E23" s="146" t="s">
        <v>504</v>
      </c>
      <c r="F23" s="149" t="s">
        <v>505</v>
      </c>
      <c r="G23" s="150" t="s">
        <v>141</v>
      </c>
      <c r="H23" s="151">
        <v>1</v>
      </c>
      <c r="I23" s="150" t="s">
        <v>87</v>
      </c>
      <c r="J23" s="151">
        <v>0.04</v>
      </c>
      <c r="K23" s="152" t="s">
        <v>506</v>
      </c>
      <c r="L23" s="153">
        <v>46023</v>
      </c>
      <c r="M23" s="154">
        <v>46387</v>
      </c>
      <c r="N23" s="155"/>
      <c r="O23" s="160" t="s">
        <v>463</v>
      </c>
      <c r="P23" s="155" t="s">
        <v>258</v>
      </c>
      <c r="Q23" s="157"/>
      <c r="R23" s="157"/>
      <c r="S23" s="157"/>
      <c r="T23" s="157"/>
      <c r="U23" s="157"/>
      <c r="V23" s="157"/>
      <c r="W23" s="157"/>
    </row>
    <row r="24" spans="1:23" s="135" customFormat="1" ht="180.75" customHeight="1">
      <c r="A24" s="145">
        <v>22</v>
      </c>
      <c r="B24" s="146"/>
      <c r="C24" s="146"/>
      <c r="D24" s="147"/>
      <c r="E24" s="146" t="s">
        <v>507</v>
      </c>
      <c r="F24" s="149" t="s">
        <v>508</v>
      </c>
      <c r="G24" s="150" t="s">
        <v>141</v>
      </c>
      <c r="H24" s="151">
        <v>1</v>
      </c>
      <c r="I24" s="150" t="s">
        <v>87</v>
      </c>
      <c r="J24" s="151">
        <v>0.04</v>
      </c>
      <c r="K24" s="152" t="s">
        <v>509</v>
      </c>
      <c r="L24" s="153">
        <v>46023</v>
      </c>
      <c r="M24" s="154">
        <v>46387</v>
      </c>
      <c r="N24" s="155"/>
      <c r="O24" s="155" t="s">
        <v>463</v>
      </c>
      <c r="P24" s="155" t="s">
        <v>258</v>
      </c>
      <c r="Q24" s="157"/>
      <c r="R24" s="157"/>
      <c r="S24" s="157"/>
      <c r="T24" s="157"/>
      <c r="U24" s="157"/>
      <c r="V24" s="157"/>
      <c r="W24" s="157"/>
    </row>
    <row r="25" spans="1:23" s="135" customFormat="1" ht="132.75" customHeight="1">
      <c r="A25" s="158">
        <v>23</v>
      </c>
      <c r="B25" s="146"/>
      <c r="C25" s="146"/>
      <c r="D25" s="147"/>
      <c r="E25" s="146" t="s">
        <v>510</v>
      </c>
      <c r="F25" s="149" t="s">
        <v>511</v>
      </c>
      <c r="G25" s="150" t="s">
        <v>141</v>
      </c>
      <c r="H25" s="151">
        <v>1</v>
      </c>
      <c r="I25" s="150" t="s">
        <v>87</v>
      </c>
      <c r="J25" s="151">
        <v>0.02</v>
      </c>
      <c r="K25" s="152" t="s">
        <v>512</v>
      </c>
      <c r="L25" s="153">
        <v>46023</v>
      </c>
      <c r="M25" s="154">
        <v>46387</v>
      </c>
      <c r="N25" s="155"/>
      <c r="O25" s="160" t="s">
        <v>513</v>
      </c>
      <c r="P25" s="155" t="s">
        <v>258</v>
      </c>
      <c r="Q25" s="157"/>
      <c r="R25" s="157"/>
      <c r="S25" s="157"/>
      <c r="T25" s="157"/>
      <c r="U25" s="157"/>
      <c r="V25" s="157"/>
      <c r="W25" s="157"/>
    </row>
    <row r="26" spans="1:23" s="135" customFormat="1" ht="195" customHeight="1">
      <c r="A26" s="145">
        <v>24</v>
      </c>
      <c r="B26" s="146"/>
      <c r="C26" s="146"/>
      <c r="D26" s="147"/>
      <c r="E26" s="146" t="s">
        <v>514</v>
      </c>
      <c r="F26" s="149" t="s">
        <v>515</v>
      </c>
      <c r="G26" s="150" t="s">
        <v>516</v>
      </c>
      <c r="H26" s="151">
        <v>1</v>
      </c>
      <c r="I26" s="150" t="s">
        <v>87</v>
      </c>
      <c r="J26" s="151">
        <v>0.06</v>
      </c>
      <c r="K26" s="152" t="s">
        <v>506</v>
      </c>
      <c r="L26" s="153">
        <v>46023</v>
      </c>
      <c r="M26" s="154">
        <v>46387</v>
      </c>
      <c r="N26" s="155"/>
      <c r="O26" s="155" t="s">
        <v>517</v>
      </c>
      <c r="P26" s="155" t="s">
        <v>258</v>
      </c>
      <c r="Q26" s="157"/>
      <c r="R26" s="157"/>
      <c r="S26" s="157"/>
      <c r="T26" s="157"/>
      <c r="U26" s="157"/>
      <c r="V26" s="157"/>
      <c r="W26" s="157"/>
    </row>
    <row r="27" spans="1:23" s="191" customFormat="1" ht="85.5" customHeight="1">
      <c r="A27" s="185">
        <v>25</v>
      </c>
      <c r="B27" s="185" t="s">
        <v>518</v>
      </c>
      <c r="C27" s="186" t="s">
        <v>519</v>
      </c>
      <c r="D27" s="187">
        <v>0.1</v>
      </c>
      <c r="E27" s="136" t="s">
        <v>520</v>
      </c>
      <c r="F27" s="179" t="s">
        <v>521</v>
      </c>
      <c r="G27" s="139"/>
      <c r="H27" s="139"/>
      <c r="I27" s="139"/>
      <c r="J27" s="140">
        <v>0.25</v>
      </c>
      <c r="K27" s="188"/>
      <c r="L27" s="189"/>
      <c r="M27" s="189"/>
      <c r="N27" s="189"/>
      <c r="O27" s="189"/>
      <c r="P27" s="190"/>
      <c r="Q27" s="133"/>
      <c r="R27" s="133"/>
      <c r="S27" s="134"/>
      <c r="T27" s="133"/>
      <c r="U27" s="133"/>
      <c r="V27" s="133"/>
      <c r="W27" s="133"/>
    </row>
    <row r="28" spans="1:23" s="135" customFormat="1" ht="261" customHeight="1">
      <c r="A28" s="158">
        <v>26</v>
      </c>
      <c r="B28" s="146"/>
      <c r="C28" s="146"/>
      <c r="D28" s="147"/>
      <c r="E28" s="148" t="s">
        <v>522</v>
      </c>
      <c r="F28" s="149" t="s">
        <v>149</v>
      </c>
      <c r="G28" s="150" t="s">
        <v>150</v>
      </c>
      <c r="H28" s="150">
        <v>8</v>
      </c>
      <c r="I28" s="150" t="s">
        <v>87</v>
      </c>
      <c r="J28" s="164">
        <v>0.04</v>
      </c>
      <c r="K28" s="165" t="s">
        <v>523</v>
      </c>
      <c r="L28" s="166">
        <v>46023</v>
      </c>
      <c r="M28" s="154">
        <v>46387</v>
      </c>
      <c r="N28" s="167"/>
      <c r="O28" s="155" t="s">
        <v>463</v>
      </c>
      <c r="P28" s="155" t="s">
        <v>258</v>
      </c>
      <c r="Q28" s="157"/>
      <c r="R28" s="157"/>
      <c r="S28" s="157"/>
      <c r="T28" s="157"/>
      <c r="U28" s="157"/>
      <c r="V28" s="157"/>
      <c r="W28" s="157"/>
    </row>
    <row r="29" spans="1:23" s="135" customFormat="1" ht="202.5" customHeight="1">
      <c r="A29" s="145">
        <v>27</v>
      </c>
      <c r="B29" s="146"/>
      <c r="C29" s="146"/>
      <c r="D29" s="147"/>
      <c r="E29" s="148" t="s">
        <v>524</v>
      </c>
      <c r="F29" s="149" t="s">
        <v>154</v>
      </c>
      <c r="G29" s="150" t="s">
        <v>525</v>
      </c>
      <c r="H29" s="150">
        <v>33</v>
      </c>
      <c r="I29" s="150" t="s">
        <v>87</v>
      </c>
      <c r="J29" s="164">
        <v>0.04</v>
      </c>
      <c r="K29" s="165" t="s">
        <v>526</v>
      </c>
      <c r="L29" s="166">
        <v>46023</v>
      </c>
      <c r="M29" s="154">
        <v>46387</v>
      </c>
      <c r="N29" s="167"/>
      <c r="O29" s="155" t="s">
        <v>463</v>
      </c>
      <c r="P29" s="155" t="s">
        <v>258</v>
      </c>
      <c r="Q29" s="157"/>
      <c r="R29" s="157"/>
      <c r="S29" s="157"/>
      <c r="T29" s="157"/>
      <c r="U29" s="157"/>
      <c r="V29" s="157"/>
      <c r="W29" s="157"/>
    </row>
    <row r="30" spans="1:23" s="135" customFormat="1" ht="99.75" customHeight="1">
      <c r="A30" s="158">
        <v>28</v>
      </c>
      <c r="B30" s="146"/>
      <c r="C30" s="146"/>
      <c r="D30" s="147"/>
      <c r="E30" s="148" t="s">
        <v>527</v>
      </c>
      <c r="F30" s="149" t="s">
        <v>528</v>
      </c>
      <c r="G30" s="150" t="s">
        <v>529</v>
      </c>
      <c r="H30" s="151">
        <v>1</v>
      </c>
      <c r="I30" s="150" t="s">
        <v>87</v>
      </c>
      <c r="J30" s="164">
        <v>0.01</v>
      </c>
      <c r="K30" s="165" t="s">
        <v>530</v>
      </c>
      <c r="L30" s="166">
        <v>46023</v>
      </c>
      <c r="M30" s="154">
        <v>46387</v>
      </c>
      <c r="N30" s="167"/>
      <c r="O30" s="155" t="s">
        <v>531</v>
      </c>
      <c r="P30" s="155" t="s">
        <v>258</v>
      </c>
      <c r="Q30" s="157"/>
      <c r="R30" s="157"/>
      <c r="S30" s="157"/>
      <c r="T30" s="157"/>
      <c r="U30" s="157"/>
      <c r="V30" s="157"/>
      <c r="W30" s="157"/>
    </row>
    <row r="31" spans="1:23" s="135" customFormat="1" ht="131.25" customHeight="1">
      <c r="A31" s="145">
        <v>29</v>
      </c>
      <c r="B31" s="146"/>
      <c r="C31" s="146"/>
      <c r="D31" s="147"/>
      <c r="E31" s="148" t="s">
        <v>532</v>
      </c>
      <c r="F31" s="149" t="s">
        <v>533</v>
      </c>
      <c r="G31" s="150" t="s">
        <v>119</v>
      </c>
      <c r="H31" s="150">
        <v>15</v>
      </c>
      <c r="I31" s="150" t="s">
        <v>87</v>
      </c>
      <c r="J31" s="164">
        <v>0.01</v>
      </c>
      <c r="K31" s="165" t="s">
        <v>534</v>
      </c>
      <c r="L31" s="166">
        <v>46023</v>
      </c>
      <c r="M31" s="154">
        <v>46387</v>
      </c>
      <c r="N31" s="167"/>
      <c r="O31" s="155" t="s">
        <v>310</v>
      </c>
      <c r="P31" s="155" t="s">
        <v>258</v>
      </c>
      <c r="Q31" s="157"/>
      <c r="R31" s="157"/>
      <c r="S31" s="157"/>
      <c r="T31" s="157"/>
      <c r="U31" s="157"/>
      <c r="V31" s="157"/>
      <c r="W31" s="157"/>
    </row>
    <row r="32" spans="1:23" s="135" customFormat="1" ht="99" customHeight="1">
      <c r="A32" s="158">
        <v>30</v>
      </c>
      <c r="B32" s="146"/>
      <c r="C32" s="146"/>
      <c r="D32" s="147"/>
      <c r="E32" s="148" t="s">
        <v>535</v>
      </c>
      <c r="F32" s="149" t="s">
        <v>536</v>
      </c>
      <c r="G32" s="150" t="s">
        <v>478</v>
      </c>
      <c r="H32" s="151">
        <v>1</v>
      </c>
      <c r="I32" s="150" t="s">
        <v>87</v>
      </c>
      <c r="J32" s="164">
        <v>0.01</v>
      </c>
      <c r="K32" s="165" t="s">
        <v>537</v>
      </c>
      <c r="L32" s="166">
        <v>46023</v>
      </c>
      <c r="M32" s="154">
        <v>46387</v>
      </c>
      <c r="N32" s="167"/>
      <c r="O32" s="155" t="s">
        <v>531</v>
      </c>
      <c r="P32" s="155" t="s">
        <v>258</v>
      </c>
      <c r="Q32" s="157"/>
      <c r="R32" s="157"/>
      <c r="S32" s="157"/>
      <c r="T32" s="157"/>
      <c r="U32" s="157"/>
      <c r="V32" s="157"/>
      <c r="W32" s="157"/>
    </row>
    <row r="33" spans="1:23" s="135" customFormat="1" ht="99" customHeight="1">
      <c r="A33" s="145">
        <v>31</v>
      </c>
      <c r="B33" s="146"/>
      <c r="C33" s="146"/>
      <c r="D33" s="147"/>
      <c r="E33" s="148" t="s">
        <v>538</v>
      </c>
      <c r="F33" s="149" t="s">
        <v>539</v>
      </c>
      <c r="G33" s="150" t="s">
        <v>478</v>
      </c>
      <c r="H33" s="151">
        <v>1</v>
      </c>
      <c r="I33" s="150" t="s">
        <v>87</v>
      </c>
      <c r="J33" s="164">
        <v>0.01</v>
      </c>
      <c r="K33" s="165" t="s">
        <v>540</v>
      </c>
      <c r="L33" s="166">
        <v>46023</v>
      </c>
      <c r="M33" s="154">
        <v>46387</v>
      </c>
      <c r="N33" s="167"/>
      <c r="O33" s="155" t="s">
        <v>531</v>
      </c>
      <c r="P33" s="155" t="s">
        <v>258</v>
      </c>
      <c r="Q33" s="157"/>
      <c r="R33" s="157"/>
      <c r="S33" s="157"/>
      <c r="T33" s="157"/>
      <c r="U33" s="157"/>
      <c r="V33" s="157"/>
      <c r="W33" s="157"/>
    </row>
    <row r="34" spans="1:23" s="135" customFormat="1" ht="147" customHeight="1">
      <c r="A34" s="158">
        <v>32</v>
      </c>
      <c r="B34" s="146"/>
      <c r="C34" s="146"/>
      <c r="D34" s="147"/>
      <c r="E34" s="148" t="s">
        <v>541</v>
      </c>
      <c r="F34" s="149" t="s">
        <v>542</v>
      </c>
      <c r="G34" s="150" t="s">
        <v>478</v>
      </c>
      <c r="H34" s="151">
        <v>1</v>
      </c>
      <c r="I34" s="150" t="s">
        <v>87</v>
      </c>
      <c r="J34" s="151">
        <v>0.03</v>
      </c>
      <c r="K34" s="152" t="s">
        <v>543</v>
      </c>
      <c r="L34" s="153">
        <v>46023</v>
      </c>
      <c r="M34" s="154">
        <v>46387</v>
      </c>
      <c r="N34" s="155"/>
      <c r="O34" s="155" t="s">
        <v>544</v>
      </c>
      <c r="P34" s="155" t="s">
        <v>258</v>
      </c>
      <c r="Q34" s="157"/>
      <c r="R34" s="157"/>
      <c r="S34" s="157"/>
      <c r="T34" s="157"/>
      <c r="U34" s="157"/>
      <c r="V34" s="157"/>
      <c r="W34" s="157"/>
    </row>
    <row r="35" spans="1:23" s="135" customFormat="1" ht="112.5" customHeight="1">
      <c r="A35" s="145">
        <v>33</v>
      </c>
      <c r="B35" s="146"/>
      <c r="C35" s="146"/>
      <c r="D35" s="147"/>
      <c r="E35" s="148" t="s">
        <v>545</v>
      </c>
      <c r="F35" s="149" t="s">
        <v>546</v>
      </c>
      <c r="G35" s="150" t="s">
        <v>478</v>
      </c>
      <c r="H35" s="151">
        <v>1</v>
      </c>
      <c r="I35" s="150" t="s">
        <v>87</v>
      </c>
      <c r="J35" s="151">
        <v>0.02</v>
      </c>
      <c r="K35" s="152" t="s">
        <v>547</v>
      </c>
      <c r="L35" s="153">
        <v>46023</v>
      </c>
      <c r="M35" s="154">
        <v>46387</v>
      </c>
      <c r="N35" s="155"/>
      <c r="O35" s="155" t="s">
        <v>548</v>
      </c>
      <c r="P35" s="155" t="s">
        <v>258</v>
      </c>
      <c r="Q35" s="157"/>
      <c r="R35" s="157"/>
      <c r="S35" s="157"/>
      <c r="T35" s="157"/>
      <c r="U35" s="157"/>
      <c r="V35" s="157"/>
      <c r="W35" s="157"/>
    </row>
    <row r="36" spans="1:23" s="135" customFormat="1" ht="111.75" customHeight="1">
      <c r="A36" s="158">
        <v>34</v>
      </c>
      <c r="B36" s="146"/>
      <c r="C36" s="146"/>
      <c r="D36" s="147"/>
      <c r="E36" s="148" t="s">
        <v>549</v>
      </c>
      <c r="F36" s="149" t="s">
        <v>550</v>
      </c>
      <c r="G36" s="150" t="s">
        <v>478</v>
      </c>
      <c r="H36" s="151">
        <v>1</v>
      </c>
      <c r="I36" s="150" t="s">
        <v>87</v>
      </c>
      <c r="J36" s="151">
        <v>0.01</v>
      </c>
      <c r="K36" s="152" t="s">
        <v>551</v>
      </c>
      <c r="L36" s="153">
        <v>46023</v>
      </c>
      <c r="M36" s="154">
        <v>46387</v>
      </c>
      <c r="N36" s="155"/>
      <c r="O36" s="155" t="s">
        <v>552</v>
      </c>
      <c r="P36" s="155" t="s">
        <v>258</v>
      </c>
      <c r="Q36" s="157"/>
      <c r="R36" s="157"/>
      <c r="S36" s="157"/>
      <c r="T36" s="157"/>
      <c r="U36" s="157"/>
      <c r="V36" s="157"/>
      <c r="W36" s="157"/>
    </row>
    <row r="37" spans="1:23" s="135" customFormat="1" ht="120.75" customHeight="1">
      <c r="A37" s="145">
        <v>35</v>
      </c>
      <c r="B37" s="146"/>
      <c r="C37" s="146"/>
      <c r="D37" s="147"/>
      <c r="E37" s="148" t="s">
        <v>553</v>
      </c>
      <c r="F37" s="149" t="s">
        <v>554</v>
      </c>
      <c r="G37" s="150" t="s">
        <v>478</v>
      </c>
      <c r="H37" s="151">
        <v>1</v>
      </c>
      <c r="I37" s="150" t="s">
        <v>87</v>
      </c>
      <c r="J37" s="151">
        <v>0.02</v>
      </c>
      <c r="K37" s="152" t="s">
        <v>555</v>
      </c>
      <c r="L37" s="153">
        <v>46023</v>
      </c>
      <c r="M37" s="154">
        <v>46387</v>
      </c>
      <c r="N37" s="155"/>
      <c r="O37" s="155" t="s">
        <v>556</v>
      </c>
      <c r="P37" s="155" t="s">
        <v>258</v>
      </c>
      <c r="Q37" s="157"/>
      <c r="R37" s="157"/>
      <c r="S37" s="157"/>
      <c r="T37" s="157"/>
      <c r="U37" s="157"/>
      <c r="V37" s="157"/>
      <c r="W37" s="157"/>
    </row>
    <row r="38" spans="1:23" s="135" customFormat="1" ht="187.5">
      <c r="A38" s="158">
        <v>36</v>
      </c>
      <c r="B38" s="146"/>
      <c r="C38" s="146"/>
      <c r="D38" s="147"/>
      <c r="E38" s="148" t="s">
        <v>557</v>
      </c>
      <c r="F38" s="149" t="s">
        <v>558</v>
      </c>
      <c r="G38" s="150" t="s">
        <v>478</v>
      </c>
      <c r="H38" s="151">
        <v>1</v>
      </c>
      <c r="I38" s="150" t="s">
        <v>87</v>
      </c>
      <c r="J38" s="151">
        <v>0.01</v>
      </c>
      <c r="K38" s="152" t="s">
        <v>559</v>
      </c>
      <c r="L38" s="153">
        <v>46023</v>
      </c>
      <c r="M38" s="154">
        <v>46387</v>
      </c>
      <c r="N38" s="155"/>
      <c r="O38" s="155" t="s">
        <v>367</v>
      </c>
      <c r="P38" s="155" t="s">
        <v>258</v>
      </c>
      <c r="Q38" s="157"/>
      <c r="R38" s="157"/>
      <c r="S38" s="157"/>
      <c r="T38" s="157"/>
      <c r="U38" s="157"/>
      <c r="V38" s="157"/>
      <c r="W38" s="157"/>
    </row>
    <row r="39" spans="1:23" s="135" customFormat="1" ht="110.25" customHeight="1">
      <c r="A39" s="145">
        <v>37</v>
      </c>
      <c r="B39" s="192"/>
      <c r="C39" s="192"/>
      <c r="D39" s="193"/>
      <c r="E39" s="148" t="s">
        <v>560</v>
      </c>
      <c r="F39" s="149" t="s">
        <v>561</v>
      </c>
      <c r="G39" s="150" t="s">
        <v>562</v>
      </c>
      <c r="H39" s="150">
        <v>8</v>
      </c>
      <c r="I39" s="150" t="s">
        <v>87</v>
      </c>
      <c r="J39" s="151">
        <v>0.01</v>
      </c>
      <c r="K39" s="152" t="s">
        <v>563</v>
      </c>
      <c r="L39" s="153">
        <v>46023</v>
      </c>
      <c r="M39" s="154">
        <v>46387</v>
      </c>
      <c r="N39" s="155"/>
      <c r="O39" s="155" t="s">
        <v>463</v>
      </c>
      <c r="P39" s="155" t="s">
        <v>258</v>
      </c>
      <c r="Q39" s="157"/>
      <c r="R39" s="157"/>
      <c r="S39" s="157"/>
      <c r="T39" s="157"/>
      <c r="U39" s="157"/>
      <c r="V39" s="157"/>
      <c r="W39" s="157"/>
    </row>
    <row r="40" spans="1:23" s="135" customFormat="1" ht="110.25" customHeight="1">
      <c r="A40" s="158">
        <v>38</v>
      </c>
      <c r="B40" s="192"/>
      <c r="C40" s="192"/>
      <c r="D40" s="193"/>
      <c r="E40" s="148" t="s">
        <v>564</v>
      </c>
      <c r="F40" s="149" t="s">
        <v>565</v>
      </c>
      <c r="G40" s="150" t="s">
        <v>180</v>
      </c>
      <c r="H40" s="150">
        <v>1</v>
      </c>
      <c r="I40" s="150" t="s">
        <v>91</v>
      </c>
      <c r="J40" s="151">
        <v>0.01</v>
      </c>
      <c r="K40" s="152" t="s">
        <v>566</v>
      </c>
      <c r="L40" s="153">
        <v>46023</v>
      </c>
      <c r="M40" s="154">
        <v>46387</v>
      </c>
      <c r="N40" s="155"/>
      <c r="O40" s="155" t="s">
        <v>463</v>
      </c>
      <c r="P40" s="155" t="s">
        <v>258</v>
      </c>
      <c r="Q40" s="157"/>
      <c r="R40" s="157"/>
      <c r="S40" s="157"/>
      <c r="T40" s="157"/>
      <c r="U40" s="157"/>
      <c r="V40" s="157"/>
      <c r="W40" s="157"/>
    </row>
    <row r="41" spans="1:23" s="135" customFormat="1" ht="77.25" customHeight="1">
      <c r="A41" s="145">
        <v>39</v>
      </c>
      <c r="B41" s="146"/>
      <c r="C41" s="146"/>
      <c r="D41" s="147"/>
      <c r="E41" s="148" t="s">
        <v>567</v>
      </c>
      <c r="F41" s="149" t="s">
        <v>568</v>
      </c>
      <c r="G41" s="150" t="s">
        <v>569</v>
      </c>
      <c r="H41" s="151">
        <v>1</v>
      </c>
      <c r="I41" s="150" t="s">
        <v>87</v>
      </c>
      <c r="J41" s="151">
        <v>0.01</v>
      </c>
      <c r="K41" s="152" t="s">
        <v>570</v>
      </c>
      <c r="L41" s="153">
        <v>46023</v>
      </c>
      <c r="M41" s="154">
        <v>46387</v>
      </c>
      <c r="N41" s="155"/>
      <c r="O41" s="155" t="s">
        <v>571</v>
      </c>
      <c r="P41" s="155" t="s">
        <v>258</v>
      </c>
      <c r="Q41" s="157"/>
      <c r="R41" s="157"/>
      <c r="S41" s="157"/>
      <c r="T41" s="157"/>
      <c r="U41" s="157"/>
      <c r="V41" s="157"/>
      <c r="W41" s="157"/>
    </row>
    <row r="42" spans="1:23" s="135" customFormat="1" ht="100.5" customHeight="1">
      <c r="A42" s="158">
        <v>40</v>
      </c>
      <c r="B42" s="146"/>
      <c r="C42" s="146"/>
      <c r="D42" s="147"/>
      <c r="E42" s="148" t="s">
        <v>572</v>
      </c>
      <c r="F42" s="149" t="s">
        <v>573</v>
      </c>
      <c r="G42" s="150" t="s">
        <v>569</v>
      </c>
      <c r="H42" s="151">
        <v>1</v>
      </c>
      <c r="I42" s="150" t="s">
        <v>87</v>
      </c>
      <c r="J42" s="151">
        <v>0.01</v>
      </c>
      <c r="K42" s="152" t="s">
        <v>574</v>
      </c>
      <c r="L42" s="153">
        <v>46023</v>
      </c>
      <c r="M42" s="154">
        <v>46387</v>
      </c>
      <c r="N42" s="155"/>
      <c r="O42" s="155" t="s">
        <v>517</v>
      </c>
      <c r="P42" s="155" t="s">
        <v>258</v>
      </c>
      <c r="Q42" s="157"/>
      <c r="R42" s="157"/>
      <c r="S42" s="157"/>
      <c r="T42" s="157"/>
      <c r="U42" s="157"/>
      <c r="V42" s="157"/>
      <c r="W42" s="157"/>
    </row>
    <row r="43" spans="1:23" s="135" customFormat="1" ht="54.75" customHeight="1">
      <c r="A43" s="136">
        <v>41</v>
      </c>
      <c r="B43" s="136" t="s">
        <v>94</v>
      </c>
      <c r="C43" s="136" t="s">
        <v>94</v>
      </c>
      <c r="D43" s="136" t="s">
        <v>94</v>
      </c>
      <c r="E43" s="136" t="s">
        <v>575</v>
      </c>
      <c r="F43" s="137" t="s">
        <v>30</v>
      </c>
      <c r="G43" s="194"/>
      <c r="H43" s="194"/>
      <c r="I43" s="194"/>
      <c r="J43" s="195">
        <v>0.05</v>
      </c>
      <c r="K43" s="196"/>
      <c r="L43" s="180"/>
      <c r="M43" s="180"/>
      <c r="N43" s="136"/>
      <c r="O43" s="136"/>
      <c r="P43" s="136"/>
      <c r="Q43" s="157"/>
      <c r="R43" s="157"/>
      <c r="S43" s="157"/>
      <c r="T43" s="157"/>
      <c r="U43" s="157"/>
      <c r="V43" s="157"/>
      <c r="W43" s="157"/>
    </row>
    <row r="44" spans="1:23" s="135" customFormat="1" ht="143.25" customHeight="1">
      <c r="A44" s="158">
        <v>42</v>
      </c>
      <c r="B44" s="192"/>
      <c r="C44" s="192"/>
      <c r="D44" s="193"/>
      <c r="E44" s="148" t="s">
        <v>576</v>
      </c>
      <c r="F44" s="149" t="s">
        <v>196</v>
      </c>
      <c r="G44" s="150" t="s">
        <v>119</v>
      </c>
      <c r="H44" s="150">
        <v>2</v>
      </c>
      <c r="I44" s="150" t="s">
        <v>577</v>
      </c>
      <c r="J44" s="151">
        <v>0.01</v>
      </c>
      <c r="K44" s="152" t="s">
        <v>578</v>
      </c>
      <c r="L44" s="153">
        <v>46023</v>
      </c>
      <c r="M44" s="154">
        <v>46387</v>
      </c>
      <c r="N44" s="155"/>
      <c r="O44" s="155" t="s">
        <v>198</v>
      </c>
      <c r="P44" s="155" t="s">
        <v>269</v>
      </c>
      <c r="Q44" s="157"/>
      <c r="R44" s="157"/>
      <c r="S44" s="157"/>
      <c r="T44" s="157"/>
      <c r="U44" s="157"/>
      <c r="V44" s="157"/>
      <c r="W44" s="157"/>
    </row>
    <row r="45" spans="1:23" s="168" customFormat="1" ht="123" customHeight="1">
      <c r="A45" s="158">
        <v>43</v>
      </c>
      <c r="B45" s="192"/>
      <c r="C45" s="192"/>
      <c r="D45" s="193"/>
      <c r="E45" s="148" t="s">
        <v>579</v>
      </c>
      <c r="F45" s="149" t="s">
        <v>200</v>
      </c>
      <c r="G45" s="150" t="s">
        <v>119</v>
      </c>
      <c r="H45" s="163">
        <v>1</v>
      </c>
      <c r="I45" s="163" t="s">
        <v>201</v>
      </c>
      <c r="J45" s="151">
        <v>0.01</v>
      </c>
      <c r="K45" s="152" t="s">
        <v>578</v>
      </c>
      <c r="L45" s="153">
        <v>46023</v>
      </c>
      <c r="M45" s="154">
        <v>46387</v>
      </c>
      <c r="N45" s="155"/>
      <c r="O45" s="155" t="s">
        <v>198</v>
      </c>
      <c r="P45" s="155" t="s">
        <v>269</v>
      </c>
      <c r="Q45" s="157"/>
      <c r="R45" s="157"/>
      <c r="S45" s="157"/>
      <c r="T45" s="157"/>
      <c r="U45" s="157"/>
      <c r="V45" s="157"/>
      <c r="W45" s="157"/>
    </row>
    <row r="46" spans="1:23" s="168" customFormat="1" ht="167.25" customHeight="1">
      <c r="A46" s="158">
        <v>44</v>
      </c>
      <c r="B46" s="192"/>
      <c r="C46" s="192"/>
      <c r="D46" s="193"/>
      <c r="E46" s="148" t="s">
        <v>580</v>
      </c>
      <c r="F46" s="149" t="s">
        <v>581</v>
      </c>
      <c r="G46" s="150" t="s">
        <v>119</v>
      </c>
      <c r="H46" s="163">
        <v>11</v>
      </c>
      <c r="I46" s="163" t="s">
        <v>87</v>
      </c>
      <c r="J46" s="151">
        <v>0.02</v>
      </c>
      <c r="K46" s="152" t="s">
        <v>582</v>
      </c>
      <c r="L46" s="153">
        <v>46023</v>
      </c>
      <c r="M46" s="154">
        <v>46387</v>
      </c>
      <c r="N46" s="155"/>
      <c r="O46" s="155" t="s">
        <v>198</v>
      </c>
      <c r="P46" s="155" t="s">
        <v>269</v>
      </c>
      <c r="Q46" s="157"/>
      <c r="R46" s="157"/>
      <c r="S46" s="157"/>
      <c r="T46" s="157"/>
      <c r="U46" s="157"/>
      <c r="V46" s="157"/>
      <c r="W46" s="157"/>
    </row>
    <row r="47" spans="1:23" s="168" customFormat="1" ht="117" customHeight="1">
      <c r="A47" s="158">
        <v>45</v>
      </c>
      <c r="B47" s="192"/>
      <c r="C47" s="192"/>
      <c r="D47" s="193"/>
      <c r="E47" s="148" t="s">
        <v>583</v>
      </c>
      <c r="F47" s="149" t="s">
        <v>584</v>
      </c>
      <c r="G47" s="150" t="s">
        <v>585</v>
      </c>
      <c r="H47" s="163">
        <v>1</v>
      </c>
      <c r="I47" s="163" t="s">
        <v>201</v>
      </c>
      <c r="J47" s="151">
        <v>0.01</v>
      </c>
      <c r="K47" s="152" t="s">
        <v>586</v>
      </c>
      <c r="L47" s="153">
        <v>46023</v>
      </c>
      <c r="M47" s="154">
        <v>46387</v>
      </c>
      <c r="N47" s="155"/>
      <c r="O47" s="155" t="s">
        <v>198</v>
      </c>
      <c r="P47" s="155" t="s">
        <v>269</v>
      </c>
      <c r="Q47" s="157"/>
      <c r="R47" s="157"/>
      <c r="S47" s="157"/>
      <c r="T47" s="157"/>
      <c r="U47" s="157"/>
      <c r="V47" s="157"/>
      <c r="W47" s="157"/>
    </row>
    <row r="48" spans="1:23" ht="49.5" customHeight="1">
      <c r="B48" s="197"/>
      <c r="C48" s="197"/>
      <c r="D48" s="197"/>
      <c r="E48" s="197"/>
      <c r="F48" s="198"/>
      <c r="G48" s="199"/>
      <c r="H48" s="199"/>
      <c r="I48" s="199"/>
      <c r="Q48" s="125"/>
      <c r="R48" s="125"/>
      <c r="S48" s="125"/>
      <c r="T48" s="125"/>
      <c r="U48" s="125"/>
      <c r="V48" s="125"/>
      <c r="W48" s="125"/>
    </row>
    <row r="49" spans="1:23">
      <c r="E49" s="197"/>
      <c r="F49" s="198"/>
      <c r="Q49" s="125"/>
      <c r="R49" s="125"/>
      <c r="S49" s="125"/>
      <c r="T49" s="125"/>
      <c r="U49" s="125"/>
      <c r="V49" s="125"/>
      <c r="W49" s="125"/>
    </row>
    <row r="50" spans="1:23">
      <c r="Q50" s="125"/>
      <c r="R50" s="125"/>
      <c r="S50" s="125"/>
      <c r="T50" s="125"/>
      <c r="U50" s="125"/>
      <c r="V50" s="125"/>
      <c r="W50" s="125"/>
    </row>
    <row r="51" spans="1:23" s="201" customFormat="1">
      <c r="A51" s="125"/>
      <c r="B51" s="125"/>
      <c r="C51" s="125"/>
      <c r="D51" s="125"/>
      <c r="E51" s="125"/>
      <c r="F51" s="203"/>
      <c r="J51" s="200"/>
      <c r="K51" s="200"/>
      <c r="L51" s="125"/>
      <c r="M51" s="125"/>
      <c r="N51" s="125"/>
      <c r="O51" s="125"/>
      <c r="P51" s="125"/>
      <c r="Q51" s="125"/>
      <c r="R51" s="125"/>
      <c r="S51" s="125"/>
      <c r="T51" s="125"/>
      <c r="U51" s="125"/>
      <c r="V51" s="125"/>
      <c r="W51" s="125"/>
    </row>
    <row r="52" spans="1:23">
      <c r="Q52" s="125"/>
      <c r="R52" s="125"/>
      <c r="S52" s="125"/>
      <c r="T52" s="125"/>
      <c r="U52" s="125"/>
      <c r="V52" s="125"/>
      <c r="W52" s="125"/>
    </row>
    <row r="53" spans="1:23">
      <c r="Q53" s="125"/>
      <c r="R53" s="125"/>
      <c r="S53" s="125"/>
      <c r="T53" s="125"/>
      <c r="U53" s="125"/>
      <c r="V53" s="125"/>
      <c r="W53" s="125"/>
    </row>
    <row r="54" spans="1:23">
      <c r="Q54" s="125"/>
      <c r="R54" s="125"/>
      <c r="S54" s="125"/>
      <c r="T54" s="125"/>
      <c r="U54" s="125"/>
      <c r="V54" s="125"/>
      <c r="W54" s="125"/>
    </row>
    <row r="55" spans="1:23">
      <c r="Q55" s="125"/>
      <c r="R55" s="125"/>
      <c r="S55" s="125"/>
      <c r="T55" s="125"/>
      <c r="U55" s="125"/>
      <c r="V55" s="125"/>
      <c r="W55" s="125"/>
    </row>
    <row r="56" spans="1:23">
      <c r="Q56" s="125"/>
      <c r="R56" s="125"/>
      <c r="S56" s="125"/>
      <c r="T56" s="125"/>
      <c r="U56" s="125"/>
      <c r="V56" s="125"/>
      <c r="W56" s="125"/>
    </row>
    <row r="57" spans="1:23">
      <c r="Q57" s="125"/>
      <c r="R57" s="125"/>
      <c r="S57" s="125"/>
      <c r="T57" s="125"/>
      <c r="U57" s="125"/>
      <c r="V57" s="125"/>
      <c r="W57" s="125"/>
    </row>
    <row r="58" spans="1:23">
      <c r="Q58" s="125"/>
      <c r="R58" s="125"/>
      <c r="S58" s="125"/>
      <c r="T58" s="125"/>
      <c r="U58" s="125"/>
      <c r="V58" s="125"/>
      <c r="W58" s="125"/>
    </row>
    <row r="59" spans="1:23">
      <c r="Q59" s="125"/>
      <c r="R59" s="125"/>
      <c r="S59" s="125"/>
      <c r="T59" s="125"/>
      <c r="U59" s="125"/>
      <c r="V59" s="125"/>
      <c r="W59" s="125"/>
    </row>
    <row r="60" spans="1:23">
      <c r="Q60" s="125"/>
      <c r="R60" s="125"/>
      <c r="S60" s="125"/>
      <c r="T60" s="125"/>
      <c r="U60" s="125"/>
      <c r="V60" s="125"/>
      <c r="W60" s="125"/>
    </row>
    <row r="61" spans="1:23">
      <c r="Q61" s="125"/>
      <c r="R61" s="125"/>
      <c r="S61" s="125"/>
      <c r="T61" s="125"/>
      <c r="U61" s="125"/>
      <c r="V61" s="125"/>
      <c r="W61" s="125"/>
    </row>
    <row r="62" spans="1:23">
      <c r="Q62" s="125"/>
      <c r="R62" s="125"/>
      <c r="S62" s="125"/>
      <c r="T62" s="125"/>
      <c r="U62" s="125"/>
      <c r="V62" s="125"/>
      <c r="W62" s="125"/>
    </row>
    <row r="63" spans="1:23">
      <c r="Q63" s="125"/>
      <c r="R63" s="125"/>
      <c r="S63" s="125"/>
      <c r="T63" s="125"/>
      <c r="U63" s="125"/>
      <c r="V63" s="125"/>
      <c r="W63" s="125"/>
    </row>
    <row r="64" spans="1:23">
      <c r="Q64" s="125"/>
      <c r="R64" s="125"/>
      <c r="S64" s="125"/>
      <c r="T64" s="125"/>
      <c r="U64" s="125"/>
      <c r="V64" s="125"/>
      <c r="W64" s="125"/>
    </row>
    <row r="65" spans="17:23">
      <c r="Q65" s="125"/>
      <c r="R65" s="125"/>
      <c r="S65" s="125"/>
      <c r="T65" s="125"/>
      <c r="U65" s="125"/>
      <c r="V65" s="125"/>
      <c r="W65" s="125"/>
    </row>
    <row r="66" spans="17:23">
      <c r="Q66" s="125"/>
      <c r="R66" s="125"/>
      <c r="S66" s="125"/>
      <c r="T66" s="125"/>
      <c r="U66" s="125"/>
      <c r="V66" s="125"/>
      <c r="W66" s="125"/>
    </row>
    <row r="67" spans="17:23">
      <c r="Q67" s="125"/>
      <c r="R67" s="125"/>
      <c r="S67" s="125"/>
      <c r="T67" s="125"/>
      <c r="U67" s="125"/>
      <c r="V67" s="125"/>
      <c r="W67" s="125"/>
    </row>
    <row r="68" spans="17:23">
      <c r="Q68" s="125"/>
      <c r="R68" s="125"/>
      <c r="S68" s="125"/>
      <c r="T68" s="125"/>
      <c r="U68" s="125"/>
      <c r="V68" s="125"/>
      <c r="W68" s="125"/>
    </row>
    <row r="69" spans="17:23">
      <c r="Q69" s="125"/>
      <c r="R69" s="125"/>
      <c r="S69" s="125"/>
      <c r="T69" s="125"/>
      <c r="U69" s="125"/>
      <c r="V69" s="125"/>
      <c r="W69" s="125"/>
    </row>
    <row r="70" spans="17:23">
      <c r="Q70" s="125"/>
      <c r="R70" s="125"/>
      <c r="S70" s="125"/>
      <c r="T70" s="125"/>
      <c r="U70" s="125"/>
      <c r="V70" s="125"/>
      <c r="W70" s="125"/>
    </row>
    <row r="71" spans="17:23">
      <c r="Q71" s="125"/>
      <c r="R71" s="125"/>
      <c r="S71" s="125"/>
      <c r="T71" s="125"/>
      <c r="U71" s="125"/>
      <c r="V71" s="125"/>
      <c r="W71" s="125"/>
    </row>
    <row r="72" spans="17:23">
      <c r="Q72" s="125"/>
      <c r="R72" s="125"/>
      <c r="S72" s="125"/>
      <c r="T72" s="125"/>
      <c r="U72" s="125"/>
      <c r="V72" s="125"/>
      <c r="W72" s="125"/>
    </row>
    <row r="73" spans="17:23">
      <c r="Q73" s="125"/>
      <c r="R73" s="125"/>
      <c r="S73" s="125"/>
      <c r="T73" s="125"/>
      <c r="U73" s="125"/>
      <c r="V73" s="125"/>
      <c r="W73" s="125"/>
    </row>
    <row r="74" spans="17:23">
      <c r="Q74" s="125"/>
      <c r="R74" s="125"/>
      <c r="S74" s="125"/>
      <c r="T74" s="125"/>
      <c r="U74" s="125"/>
      <c r="V74" s="125"/>
      <c r="W74" s="125"/>
    </row>
    <row r="75" spans="17:23">
      <c r="Q75" s="125"/>
      <c r="R75" s="125"/>
      <c r="S75" s="125"/>
      <c r="T75" s="125"/>
      <c r="U75" s="125"/>
      <c r="V75" s="125"/>
      <c r="W75" s="125"/>
    </row>
    <row r="76" spans="17:23">
      <c r="Q76" s="125"/>
      <c r="R76" s="125"/>
      <c r="S76" s="125"/>
      <c r="T76" s="125"/>
      <c r="U76" s="125"/>
      <c r="V76" s="125"/>
      <c r="W76" s="125"/>
    </row>
    <row r="77" spans="17:23">
      <c r="Q77" s="125"/>
      <c r="R77" s="125"/>
      <c r="S77" s="125"/>
      <c r="T77" s="125"/>
      <c r="U77" s="125"/>
      <c r="V77" s="125"/>
      <c r="W77" s="125"/>
    </row>
    <row r="78" spans="17:23">
      <c r="Q78" s="125"/>
      <c r="R78" s="125"/>
      <c r="S78" s="125"/>
      <c r="T78" s="125"/>
      <c r="U78" s="125"/>
      <c r="V78" s="125"/>
      <c r="W78" s="125"/>
    </row>
    <row r="79" spans="17:23">
      <c r="Q79" s="125"/>
      <c r="R79" s="125"/>
      <c r="S79" s="125"/>
      <c r="T79" s="125"/>
      <c r="U79" s="125"/>
      <c r="V79" s="125"/>
      <c r="W79" s="125"/>
    </row>
    <row r="80" spans="17:23">
      <c r="Q80" s="125"/>
      <c r="R80" s="125"/>
      <c r="S80" s="125"/>
      <c r="T80" s="125"/>
      <c r="U80" s="125"/>
      <c r="V80" s="125"/>
      <c r="W80" s="125"/>
    </row>
    <row r="81" spans="17:23">
      <c r="Q81" s="125"/>
      <c r="R81" s="125"/>
      <c r="S81" s="125"/>
      <c r="T81" s="125"/>
      <c r="U81" s="125"/>
      <c r="V81" s="125"/>
      <c r="W81" s="125"/>
    </row>
    <row r="82" spans="17:23">
      <c r="Q82" s="125"/>
      <c r="R82" s="125"/>
      <c r="S82" s="125"/>
      <c r="T82" s="125"/>
      <c r="U82" s="125"/>
      <c r="V82" s="125"/>
      <c r="W82" s="125"/>
    </row>
    <row r="83" spans="17:23">
      <c r="Q83" s="125"/>
      <c r="R83" s="125"/>
      <c r="S83" s="125"/>
      <c r="T83" s="125"/>
      <c r="U83" s="125"/>
      <c r="V83" s="125"/>
      <c r="W83" s="125"/>
    </row>
    <row r="84" spans="17:23">
      <c r="Q84" s="125"/>
      <c r="R84" s="125"/>
      <c r="S84" s="125"/>
      <c r="T84" s="125"/>
      <c r="U84" s="125"/>
      <c r="V84" s="125"/>
      <c r="W84" s="125"/>
    </row>
    <row r="85" spans="17:23">
      <c r="Q85" s="125"/>
      <c r="R85" s="125"/>
      <c r="S85" s="125"/>
      <c r="T85" s="125"/>
      <c r="U85" s="125"/>
      <c r="V85" s="125"/>
      <c r="W85" s="125"/>
    </row>
    <row r="86" spans="17:23">
      <c r="Q86" s="125"/>
      <c r="R86" s="125"/>
      <c r="S86" s="125"/>
      <c r="T86" s="125"/>
      <c r="U86" s="125"/>
      <c r="V86" s="125"/>
      <c r="W86" s="125"/>
    </row>
    <row r="87" spans="17:23">
      <c r="Q87" s="125"/>
      <c r="R87" s="125"/>
      <c r="S87" s="125"/>
      <c r="T87" s="125"/>
      <c r="U87" s="125"/>
      <c r="V87" s="125"/>
      <c r="W87" s="125"/>
    </row>
    <row r="88" spans="17:23">
      <c r="Q88" s="125"/>
      <c r="R88" s="125"/>
      <c r="S88" s="125"/>
      <c r="T88" s="125"/>
      <c r="U88" s="125"/>
      <c r="V88" s="125"/>
      <c r="W88" s="125"/>
    </row>
    <row r="89" spans="17:23">
      <c r="Q89" s="125"/>
      <c r="R89" s="125"/>
      <c r="S89" s="125"/>
      <c r="T89" s="125"/>
      <c r="U89" s="125"/>
      <c r="V89" s="125"/>
      <c r="W89" s="125"/>
    </row>
    <row r="90" spans="17:23">
      <c r="Q90" s="125"/>
      <c r="R90" s="125"/>
      <c r="S90" s="125"/>
      <c r="T90" s="125"/>
      <c r="U90" s="125"/>
      <c r="V90" s="125"/>
      <c r="W90" s="125"/>
    </row>
    <row r="91" spans="17:23">
      <c r="Q91" s="125"/>
      <c r="R91" s="125"/>
      <c r="S91" s="125"/>
      <c r="T91" s="125"/>
      <c r="U91" s="125"/>
      <c r="V91" s="125"/>
      <c r="W91" s="125"/>
    </row>
    <row r="92" spans="17:23">
      <c r="Q92" s="125"/>
      <c r="R92" s="125"/>
      <c r="S92" s="125"/>
      <c r="T92" s="125"/>
      <c r="U92" s="125"/>
      <c r="V92" s="125"/>
      <c r="W92" s="125"/>
    </row>
    <row r="93" spans="17:23">
      <c r="Q93" s="125"/>
      <c r="R93" s="125"/>
      <c r="S93" s="125"/>
      <c r="T93" s="125"/>
      <c r="U93" s="125"/>
      <c r="V93" s="125"/>
      <c r="W93" s="125"/>
    </row>
    <row r="94" spans="17:23">
      <c r="Q94" s="125"/>
      <c r="R94" s="125"/>
      <c r="S94" s="125"/>
      <c r="T94" s="125"/>
      <c r="U94" s="125"/>
      <c r="V94" s="125"/>
      <c r="W94" s="125"/>
    </row>
    <row r="95" spans="17:23">
      <c r="Q95" s="125"/>
      <c r="R95" s="125"/>
      <c r="S95" s="125"/>
      <c r="T95" s="125"/>
      <c r="U95" s="125"/>
      <c r="V95" s="125"/>
      <c r="W95" s="125"/>
    </row>
    <row r="96" spans="17:23">
      <c r="Q96" s="125"/>
      <c r="R96" s="125"/>
      <c r="S96" s="125"/>
      <c r="T96" s="125"/>
      <c r="U96" s="125"/>
      <c r="V96" s="125"/>
      <c r="W96" s="125"/>
    </row>
    <row r="97" spans="17:23">
      <c r="Q97" s="125"/>
      <c r="R97" s="125"/>
      <c r="S97" s="125"/>
      <c r="T97" s="125"/>
      <c r="U97" s="125"/>
      <c r="V97" s="125"/>
      <c r="W97" s="125"/>
    </row>
    <row r="98" spans="17:23">
      <c r="Q98" s="125"/>
      <c r="R98" s="125"/>
      <c r="S98" s="125"/>
      <c r="T98" s="125"/>
      <c r="U98" s="125"/>
      <c r="V98" s="125"/>
      <c r="W98" s="125"/>
    </row>
    <row r="99" spans="17:23">
      <c r="Q99" s="125"/>
      <c r="R99" s="125"/>
      <c r="S99" s="125"/>
      <c r="T99" s="125"/>
      <c r="U99" s="125"/>
      <c r="V99" s="125"/>
      <c r="W99" s="125"/>
    </row>
    <row r="100" spans="17:23">
      <c r="Q100" s="125"/>
      <c r="R100" s="125"/>
      <c r="S100" s="125"/>
      <c r="T100" s="125"/>
      <c r="U100" s="125"/>
      <c r="V100" s="125"/>
      <c r="W100" s="125"/>
    </row>
    <row r="101" spans="17:23">
      <c r="Q101" s="125"/>
      <c r="R101" s="125"/>
      <c r="S101" s="125"/>
      <c r="T101" s="125"/>
      <c r="U101" s="125"/>
      <c r="V101" s="125"/>
      <c r="W101" s="125"/>
    </row>
    <row r="102" spans="17:23">
      <c r="Q102" s="125"/>
      <c r="R102" s="125"/>
      <c r="S102" s="125"/>
      <c r="T102" s="125"/>
      <c r="U102" s="125"/>
      <c r="V102" s="125"/>
      <c r="W102" s="125"/>
    </row>
    <row r="103" spans="17:23">
      <c r="Q103" s="125"/>
      <c r="R103" s="125"/>
      <c r="S103" s="125"/>
      <c r="T103" s="125"/>
      <c r="U103" s="125"/>
      <c r="V103" s="125"/>
      <c r="W103" s="125"/>
    </row>
    <row r="104" spans="17:23">
      <c r="Q104" s="125"/>
      <c r="R104" s="125"/>
      <c r="S104" s="125"/>
      <c r="T104" s="125"/>
      <c r="U104" s="125"/>
      <c r="V104" s="125"/>
      <c r="W104" s="125"/>
    </row>
    <row r="105" spans="17:23">
      <c r="Q105" s="125"/>
      <c r="R105" s="125"/>
      <c r="S105" s="125"/>
      <c r="T105" s="125"/>
      <c r="U105" s="125"/>
      <c r="V105" s="125"/>
      <c r="W105" s="125"/>
    </row>
    <row r="106" spans="17:23">
      <c r="Q106" s="125"/>
      <c r="R106" s="125"/>
      <c r="S106" s="125"/>
      <c r="T106" s="125"/>
      <c r="U106" s="125"/>
      <c r="V106" s="125"/>
      <c r="W106" s="125"/>
    </row>
    <row r="107" spans="17:23">
      <c r="Q107" s="125"/>
      <c r="R107" s="125"/>
      <c r="S107" s="125"/>
      <c r="T107" s="125"/>
      <c r="U107" s="125"/>
      <c r="V107" s="125"/>
      <c r="W107" s="125"/>
    </row>
    <row r="108" spans="17:23">
      <c r="Q108" s="125"/>
      <c r="R108" s="125"/>
      <c r="S108" s="125"/>
      <c r="T108" s="125"/>
      <c r="U108" s="125"/>
      <c r="V108" s="125"/>
      <c r="W108" s="125"/>
    </row>
    <row r="109" spans="17:23">
      <c r="Q109" s="125"/>
      <c r="R109" s="125"/>
      <c r="S109" s="125"/>
      <c r="T109" s="125"/>
      <c r="U109" s="125"/>
      <c r="V109" s="125"/>
      <c r="W109" s="125"/>
    </row>
    <row r="110" spans="17:23">
      <c r="Q110" s="125"/>
      <c r="R110" s="125"/>
      <c r="S110" s="125"/>
      <c r="T110" s="125"/>
      <c r="U110" s="125"/>
      <c r="V110" s="125"/>
      <c r="W110" s="125"/>
    </row>
    <row r="111" spans="17:23">
      <c r="Q111" s="125"/>
      <c r="R111" s="125"/>
      <c r="S111" s="125"/>
      <c r="T111" s="125"/>
      <c r="U111" s="125"/>
      <c r="V111" s="125"/>
      <c r="W111" s="125"/>
    </row>
    <row r="112" spans="17:23">
      <c r="Q112" s="125"/>
      <c r="R112" s="125"/>
      <c r="S112" s="125"/>
      <c r="T112" s="125"/>
      <c r="U112" s="125"/>
      <c r="V112" s="125"/>
      <c r="W112" s="125"/>
    </row>
    <row r="113" spans="17:23">
      <c r="Q113" s="125"/>
      <c r="R113" s="125"/>
      <c r="S113" s="125"/>
      <c r="T113" s="125"/>
      <c r="U113" s="125"/>
      <c r="V113" s="125"/>
      <c r="W113" s="125"/>
    </row>
    <row r="114" spans="17:23">
      <c r="Q114" s="125"/>
      <c r="R114" s="125"/>
      <c r="S114" s="125"/>
      <c r="T114" s="125"/>
      <c r="U114" s="125"/>
      <c r="V114" s="125"/>
      <c r="W114" s="125"/>
    </row>
    <row r="115" spans="17:23">
      <c r="Q115" s="125"/>
      <c r="R115" s="125"/>
      <c r="S115" s="125"/>
      <c r="T115" s="125"/>
      <c r="U115" s="125"/>
      <c r="V115" s="125"/>
      <c r="W115" s="125"/>
    </row>
    <row r="116" spans="17:23">
      <c r="Q116" s="125"/>
      <c r="R116" s="125"/>
      <c r="S116" s="125"/>
      <c r="T116" s="125"/>
      <c r="U116" s="125"/>
      <c r="V116" s="125"/>
      <c r="W116" s="125"/>
    </row>
    <row r="117" spans="17:23">
      <c r="Q117" s="125"/>
      <c r="R117" s="125"/>
      <c r="S117" s="125"/>
      <c r="T117" s="125"/>
      <c r="U117" s="125"/>
      <c r="V117" s="125"/>
      <c r="W117" s="125"/>
    </row>
    <row r="118" spans="17:23">
      <c r="Q118" s="125"/>
      <c r="R118" s="125"/>
      <c r="S118" s="125"/>
      <c r="T118" s="125"/>
      <c r="U118" s="125"/>
      <c r="V118" s="125"/>
      <c r="W118" s="125"/>
    </row>
    <row r="119" spans="17:23">
      <c r="Q119" s="125"/>
      <c r="R119" s="125"/>
      <c r="S119" s="125"/>
      <c r="T119" s="125"/>
      <c r="U119" s="125"/>
      <c r="V119" s="125"/>
      <c r="W119" s="125"/>
    </row>
    <row r="120" spans="17:23">
      <c r="Q120" s="125"/>
      <c r="R120" s="125"/>
      <c r="S120" s="125"/>
      <c r="T120" s="125"/>
      <c r="U120" s="125"/>
      <c r="V120" s="125"/>
      <c r="W120" s="125"/>
    </row>
    <row r="121" spans="17:23">
      <c r="Q121" s="125"/>
      <c r="R121" s="125"/>
      <c r="S121" s="125"/>
      <c r="T121" s="125"/>
      <c r="U121" s="125"/>
      <c r="V121" s="125"/>
      <c r="W121" s="125"/>
    </row>
    <row r="122" spans="17:23">
      <c r="Q122" s="125"/>
      <c r="R122" s="125"/>
      <c r="S122" s="125"/>
      <c r="T122" s="125"/>
      <c r="U122" s="125"/>
      <c r="V122" s="125"/>
      <c r="W122" s="125"/>
    </row>
    <row r="123" spans="17:23">
      <c r="Q123" s="125"/>
      <c r="R123" s="125"/>
      <c r="S123" s="125"/>
      <c r="T123" s="125"/>
      <c r="U123" s="125"/>
      <c r="V123" s="125"/>
      <c r="W123" s="125"/>
    </row>
    <row r="124" spans="17:23">
      <c r="Q124" s="125"/>
      <c r="R124" s="125"/>
      <c r="S124" s="125"/>
      <c r="T124" s="125"/>
      <c r="U124" s="125"/>
      <c r="V124" s="125"/>
      <c r="W124" s="125"/>
    </row>
    <row r="125" spans="17:23">
      <c r="Q125" s="125"/>
      <c r="R125" s="125"/>
      <c r="S125" s="125"/>
      <c r="T125" s="125"/>
      <c r="U125" s="125"/>
      <c r="V125" s="125"/>
      <c r="W125" s="125"/>
    </row>
    <row r="126" spans="17:23">
      <c r="Q126" s="125"/>
      <c r="R126" s="125"/>
      <c r="S126" s="125"/>
      <c r="T126" s="125"/>
      <c r="U126" s="125"/>
      <c r="V126" s="125"/>
      <c r="W126" s="125"/>
    </row>
    <row r="127" spans="17:23">
      <c r="Q127" s="125"/>
      <c r="R127" s="125"/>
      <c r="S127" s="125"/>
      <c r="T127" s="125"/>
      <c r="U127" s="125"/>
      <c r="V127" s="125"/>
      <c r="W127" s="125"/>
    </row>
    <row r="128" spans="17:23">
      <c r="Q128" s="125"/>
      <c r="R128" s="125"/>
      <c r="S128" s="125"/>
      <c r="T128" s="125"/>
      <c r="U128" s="125"/>
      <c r="V128" s="125"/>
      <c r="W128" s="125"/>
    </row>
    <row r="129" spans="17:23">
      <c r="Q129" s="125"/>
      <c r="R129" s="125"/>
      <c r="S129" s="125"/>
      <c r="T129" s="125"/>
      <c r="U129" s="125"/>
      <c r="V129" s="125"/>
      <c r="W129" s="125"/>
    </row>
    <row r="130" spans="17:23">
      <c r="Q130" s="125"/>
      <c r="R130" s="125"/>
      <c r="S130" s="125"/>
      <c r="T130" s="125"/>
      <c r="U130" s="125"/>
      <c r="V130" s="125"/>
      <c r="W130" s="125"/>
    </row>
    <row r="131" spans="17:23">
      <c r="Q131" s="125"/>
      <c r="R131" s="125"/>
      <c r="S131" s="125"/>
      <c r="T131" s="125"/>
      <c r="U131" s="125"/>
      <c r="V131" s="125"/>
      <c r="W131" s="125"/>
    </row>
    <row r="132" spans="17:23">
      <c r="Q132" s="125"/>
      <c r="R132" s="125"/>
      <c r="S132" s="125"/>
      <c r="T132" s="125"/>
      <c r="U132" s="125"/>
      <c r="V132" s="125"/>
      <c r="W132" s="125"/>
    </row>
    <row r="133" spans="17:23">
      <c r="Q133" s="125"/>
      <c r="R133" s="125"/>
      <c r="S133" s="125"/>
      <c r="T133" s="125"/>
      <c r="U133" s="125"/>
      <c r="V133" s="125"/>
      <c r="W133" s="125"/>
    </row>
    <row r="134" spans="17:23">
      <c r="Q134" s="125"/>
      <c r="R134" s="125"/>
      <c r="S134" s="125"/>
      <c r="T134" s="125"/>
      <c r="U134" s="125"/>
      <c r="V134" s="125"/>
      <c r="W134" s="125"/>
    </row>
    <row r="135" spans="17:23">
      <c r="Q135" s="125"/>
      <c r="R135" s="125"/>
      <c r="S135" s="125"/>
      <c r="T135" s="125"/>
      <c r="U135" s="125"/>
      <c r="V135" s="125"/>
      <c r="W135" s="125"/>
    </row>
    <row r="136" spans="17:23">
      <c r="Q136" s="125"/>
      <c r="R136" s="125"/>
      <c r="S136" s="125"/>
      <c r="T136" s="125"/>
      <c r="U136" s="125"/>
      <c r="V136" s="125"/>
      <c r="W136" s="125"/>
    </row>
    <row r="137" spans="17:23">
      <c r="Q137" s="125"/>
      <c r="R137" s="125"/>
      <c r="S137" s="125"/>
      <c r="T137" s="125"/>
      <c r="U137" s="125"/>
      <c r="V137" s="125"/>
      <c r="W137" s="125"/>
    </row>
    <row r="138" spans="17:23">
      <c r="Q138" s="125"/>
      <c r="R138" s="125"/>
      <c r="S138" s="125"/>
      <c r="T138" s="125"/>
      <c r="U138" s="125"/>
      <c r="V138" s="125"/>
      <c r="W138" s="125"/>
    </row>
    <row r="139" spans="17:23">
      <c r="Q139" s="125"/>
      <c r="R139" s="125"/>
      <c r="S139" s="125"/>
      <c r="T139" s="125"/>
      <c r="U139" s="125"/>
      <c r="V139" s="125"/>
      <c r="W139" s="125"/>
    </row>
    <row r="140" spans="17:23">
      <c r="Q140" s="125"/>
      <c r="R140" s="125"/>
      <c r="S140" s="125"/>
      <c r="T140" s="125"/>
      <c r="U140" s="125"/>
      <c r="V140" s="125"/>
      <c r="W140" s="125"/>
    </row>
    <row r="141" spans="17:23">
      <c r="Q141" s="125"/>
      <c r="R141" s="125"/>
      <c r="S141" s="125"/>
      <c r="T141" s="125"/>
      <c r="U141" s="125"/>
      <c r="V141" s="125"/>
      <c r="W141" s="125"/>
    </row>
    <row r="142" spans="17:23">
      <c r="Q142" s="125"/>
      <c r="R142" s="125"/>
      <c r="S142" s="125"/>
      <c r="T142" s="125"/>
      <c r="U142" s="125"/>
      <c r="V142" s="125"/>
      <c r="W142" s="125"/>
    </row>
    <row r="143" spans="17:23">
      <c r="Q143" s="125"/>
      <c r="R143" s="125"/>
      <c r="S143" s="125"/>
      <c r="T143" s="125"/>
      <c r="U143" s="125"/>
      <c r="V143" s="125"/>
      <c r="W143" s="125"/>
    </row>
    <row r="144" spans="17:23">
      <c r="Q144" s="125"/>
      <c r="R144" s="125"/>
      <c r="S144" s="125"/>
      <c r="T144" s="125"/>
      <c r="U144" s="125"/>
      <c r="V144" s="125"/>
      <c r="W144" s="125"/>
    </row>
    <row r="145" spans="17:23">
      <c r="Q145" s="125"/>
      <c r="R145" s="125"/>
      <c r="S145" s="125"/>
      <c r="T145" s="125"/>
      <c r="U145" s="125"/>
      <c r="V145" s="125"/>
      <c r="W145" s="125"/>
    </row>
    <row r="146" spans="17:23">
      <c r="Q146" s="125"/>
      <c r="R146" s="125"/>
      <c r="S146" s="125"/>
      <c r="T146" s="125"/>
      <c r="U146" s="125"/>
      <c r="V146" s="125"/>
      <c r="W146" s="125"/>
    </row>
    <row r="147" spans="17:23">
      <c r="Q147" s="125"/>
      <c r="R147" s="125"/>
      <c r="S147" s="125"/>
      <c r="T147" s="125"/>
      <c r="U147" s="125"/>
      <c r="V147" s="125"/>
      <c r="W147" s="125"/>
    </row>
    <row r="148" spans="17:23">
      <c r="Q148" s="125"/>
      <c r="R148" s="125"/>
      <c r="S148" s="125"/>
      <c r="T148" s="125"/>
      <c r="U148" s="125"/>
      <c r="V148" s="125"/>
      <c r="W148" s="125"/>
    </row>
    <row r="149" spans="17:23">
      <c r="Q149" s="125"/>
      <c r="R149" s="125"/>
      <c r="S149" s="125"/>
      <c r="T149" s="125"/>
      <c r="U149" s="125"/>
      <c r="V149" s="125"/>
      <c r="W149" s="125"/>
    </row>
    <row r="150" spans="17:23">
      <c r="Q150" s="125"/>
      <c r="R150" s="125"/>
      <c r="S150" s="125"/>
      <c r="T150" s="125"/>
      <c r="U150" s="125"/>
      <c r="V150" s="125"/>
      <c r="W150" s="125"/>
    </row>
    <row r="151" spans="17:23">
      <c r="Q151" s="125"/>
      <c r="R151" s="125"/>
      <c r="S151" s="125"/>
      <c r="T151" s="125"/>
      <c r="U151" s="125"/>
      <c r="V151" s="125"/>
      <c r="W151" s="125"/>
    </row>
    <row r="152" spans="17:23">
      <c r="Q152" s="125"/>
      <c r="R152" s="125"/>
      <c r="S152" s="125"/>
      <c r="T152" s="125"/>
      <c r="U152" s="125"/>
      <c r="V152" s="125"/>
      <c r="W152" s="125"/>
    </row>
    <row r="153" spans="17:23">
      <c r="Q153" s="125"/>
      <c r="R153" s="125"/>
      <c r="S153" s="125"/>
      <c r="T153" s="125"/>
      <c r="U153" s="125"/>
      <c r="V153" s="125"/>
      <c r="W153" s="125"/>
    </row>
    <row r="154" spans="17:23">
      <c r="Q154" s="125"/>
      <c r="R154" s="125"/>
      <c r="S154" s="125"/>
      <c r="T154" s="125"/>
      <c r="U154" s="125"/>
      <c r="V154" s="125"/>
      <c r="W154" s="125"/>
    </row>
    <row r="155" spans="17:23">
      <c r="Q155" s="125"/>
      <c r="R155" s="125"/>
      <c r="S155" s="125"/>
      <c r="T155" s="125"/>
      <c r="U155" s="125"/>
      <c r="V155" s="125"/>
      <c r="W155" s="125"/>
    </row>
    <row r="156" spans="17:23">
      <c r="Q156" s="125"/>
      <c r="R156" s="125"/>
      <c r="S156" s="125"/>
      <c r="T156" s="125"/>
      <c r="U156" s="125"/>
      <c r="V156" s="125"/>
      <c r="W156" s="125"/>
    </row>
    <row r="157" spans="17:23">
      <c r="Q157" s="125"/>
      <c r="R157" s="125"/>
      <c r="S157" s="125"/>
      <c r="T157" s="125"/>
      <c r="U157" s="125"/>
      <c r="V157" s="125"/>
      <c r="W157" s="125"/>
    </row>
    <row r="158" spans="17:23">
      <c r="Q158" s="125"/>
      <c r="R158" s="125"/>
      <c r="S158" s="125"/>
      <c r="T158" s="125"/>
      <c r="U158" s="125"/>
      <c r="V158" s="125"/>
      <c r="W158" s="125"/>
    </row>
    <row r="159" spans="17:23">
      <c r="Q159" s="125"/>
      <c r="R159" s="125"/>
      <c r="S159" s="125"/>
      <c r="T159" s="125"/>
      <c r="U159" s="125"/>
      <c r="V159" s="125"/>
      <c r="W159" s="125"/>
    </row>
    <row r="160" spans="17:23">
      <c r="Q160" s="125"/>
      <c r="R160" s="125"/>
      <c r="S160" s="125"/>
      <c r="T160" s="125"/>
      <c r="U160" s="125"/>
      <c r="V160" s="125"/>
      <c r="W160" s="125"/>
    </row>
    <row r="161" spans="17:23">
      <c r="Q161" s="125"/>
      <c r="R161" s="125"/>
      <c r="S161" s="125"/>
      <c r="T161" s="125"/>
      <c r="U161" s="125"/>
      <c r="V161" s="125"/>
      <c r="W161" s="125"/>
    </row>
    <row r="162" spans="17:23">
      <c r="Q162" s="125"/>
      <c r="R162" s="125"/>
      <c r="S162" s="125"/>
      <c r="T162" s="125"/>
      <c r="U162" s="125"/>
      <c r="V162" s="125"/>
      <c r="W162" s="125"/>
    </row>
    <row r="163" spans="17:23">
      <c r="Q163" s="125"/>
      <c r="R163" s="125"/>
      <c r="S163" s="125"/>
      <c r="T163" s="125"/>
      <c r="U163" s="125"/>
      <c r="V163" s="125"/>
      <c r="W163" s="125"/>
    </row>
    <row r="164" spans="17:23">
      <c r="Q164" s="125"/>
      <c r="R164" s="125"/>
      <c r="S164" s="125"/>
      <c r="T164" s="125"/>
      <c r="U164" s="125"/>
      <c r="V164" s="125"/>
      <c r="W164" s="125"/>
    </row>
    <row r="165" spans="17:23">
      <c r="Q165" s="125"/>
      <c r="R165" s="125"/>
      <c r="S165" s="125"/>
      <c r="T165" s="125"/>
      <c r="U165" s="125"/>
      <c r="V165" s="125"/>
      <c r="W165" s="125"/>
    </row>
    <row r="166" spans="17:23">
      <c r="Q166" s="125"/>
      <c r="R166" s="125"/>
      <c r="S166" s="125"/>
      <c r="T166" s="125"/>
      <c r="U166" s="125"/>
      <c r="V166" s="125"/>
      <c r="W166" s="125"/>
    </row>
    <row r="167" spans="17:23">
      <c r="Q167" s="125"/>
      <c r="R167" s="125"/>
      <c r="S167" s="125"/>
      <c r="T167" s="125"/>
      <c r="U167" s="125"/>
      <c r="V167" s="125"/>
      <c r="W167" s="125"/>
    </row>
    <row r="168" spans="17:23">
      <c r="Q168" s="125"/>
      <c r="R168" s="125"/>
      <c r="S168" s="125"/>
      <c r="T168" s="125"/>
      <c r="U168" s="125"/>
      <c r="V168" s="125"/>
      <c r="W168" s="125"/>
    </row>
    <row r="169" spans="17:23">
      <c r="Q169" s="125"/>
      <c r="R169" s="125"/>
      <c r="S169" s="125"/>
      <c r="T169" s="125"/>
      <c r="U169" s="125"/>
      <c r="V169" s="125"/>
      <c r="W169" s="125"/>
    </row>
    <row r="170" spans="17:23">
      <c r="Q170" s="125"/>
      <c r="R170" s="125"/>
      <c r="S170" s="125"/>
      <c r="T170" s="125"/>
      <c r="U170" s="125"/>
      <c r="V170" s="125"/>
      <c r="W170" s="125"/>
    </row>
    <row r="171" spans="17:23">
      <c r="Q171" s="125"/>
      <c r="R171" s="125"/>
      <c r="S171" s="125"/>
      <c r="T171" s="125"/>
      <c r="U171" s="125"/>
      <c r="V171" s="125"/>
      <c r="W171" s="125"/>
    </row>
    <row r="172" spans="17:23">
      <c r="Q172" s="125"/>
      <c r="R172" s="125"/>
      <c r="S172" s="125"/>
      <c r="T172" s="125"/>
      <c r="U172" s="125"/>
      <c r="V172" s="125"/>
      <c r="W172" s="125"/>
    </row>
    <row r="173" spans="17:23">
      <c r="Q173" s="125"/>
      <c r="R173" s="125"/>
      <c r="S173" s="125"/>
      <c r="T173" s="125"/>
      <c r="U173" s="125"/>
      <c r="V173" s="125"/>
      <c r="W173" s="125"/>
    </row>
    <row r="174" spans="17:23">
      <c r="Q174" s="125"/>
      <c r="R174" s="125"/>
      <c r="S174" s="125"/>
      <c r="T174" s="125"/>
      <c r="U174" s="125"/>
      <c r="V174" s="125"/>
      <c r="W174" s="125"/>
    </row>
    <row r="175" spans="17:23">
      <c r="Q175" s="125"/>
      <c r="R175" s="125"/>
      <c r="S175" s="125"/>
      <c r="T175" s="125"/>
      <c r="U175" s="125"/>
      <c r="V175" s="125"/>
      <c r="W175" s="125"/>
    </row>
    <row r="176" spans="17:23">
      <c r="Q176" s="125"/>
      <c r="R176" s="125"/>
      <c r="S176" s="125"/>
      <c r="T176" s="125"/>
      <c r="U176" s="125"/>
      <c r="V176" s="125"/>
      <c r="W176" s="125"/>
    </row>
    <row r="177" spans="17:23">
      <c r="Q177" s="125"/>
      <c r="R177" s="125"/>
      <c r="S177" s="125"/>
      <c r="T177" s="125"/>
      <c r="U177" s="125"/>
      <c r="V177" s="125"/>
      <c r="W177" s="125"/>
    </row>
    <row r="178" spans="17:23">
      <c r="Q178" s="125"/>
      <c r="R178" s="125"/>
      <c r="S178" s="125"/>
      <c r="T178" s="125"/>
      <c r="U178" s="125"/>
      <c r="V178" s="125"/>
      <c r="W178" s="125"/>
    </row>
    <row r="179" spans="17:23">
      <c r="Q179" s="125"/>
      <c r="R179" s="125"/>
      <c r="S179" s="125"/>
      <c r="T179" s="125"/>
      <c r="U179" s="125"/>
      <c r="V179" s="125"/>
      <c r="W179" s="125"/>
    </row>
    <row r="180" spans="17:23">
      <c r="Q180" s="125"/>
      <c r="R180" s="125"/>
      <c r="S180" s="125"/>
      <c r="T180" s="125"/>
      <c r="U180" s="125"/>
      <c r="V180" s="125"/>
      <c r="W180" s="125"/>
    </row>
    <row r="181" spans="17:23">
      <c r="Q181" s="125"/>
      <c r="R181" s="125"/>
      <c r="S181" s="125"/>
      <c r="T181" s="125"/>
      <c r="U181" s="125"/>
      <c r="V181" s="125"/>
      <c r="W181" s="125"/>
    </row>
    <row r="182" spans="17:23">
      <c r="Q182" s="125"/>
      <c r="R182" s="125"/>
      <c r="S182" s="125"/>
      <c r="T182" s="125"/>
      <c r="U182" s="125"/>
      <c r="V182" s="125"/>
      <c r="W182" s="125"/>
    </row>
    <row r="183" spans="17:23">
      <c r="Q183" s="125"/>
      <c r="R183" s="125"/>
      <c r="S183" s="125"/>
      <c r="T183" s="125"/>
      <c r="U183" s="125"/>
      <c r="V183" s="125"/>
      <c r="W183" s="125"/>
    </row>
    <row r="184" spans="17:23">
      <c r="Q184" s="125"/>
      <c r="R184" s="125"/>
      <c r="S184" s="125"/>
      <c r="T184" s="125"/>
      <c r="U184" s="125"/>
      <c r="V184" s="125"/>
      <c r="W184" s="125"/>
    </row>
    <row r="185" spans="17:23">
      <c r="Q185" s="125"/>
      <c r="R185" s="125"/>
      <c r="S185" s="125"/>
      <c r="T185" s="125"/>
      <c r="U185" s="125"/>
      <c r="V185" s="125"/>
      <c r="W185" s="125"/>
    </row>
    <row r="186" spans="17:23">
      <c r="Q186" s="125"/>
      <c r="R186" s="125"/>
      <c r="S186" s="125"/>
      <c r="T186" s="125"/>
      <c r="U186" s="125"/>
      <c r="V186" s="125"/>
      <c r="W186" s="125"/>
    </row>
    <row r="187" spans="17:23">
      <c r="Q187" s="125"/>
      <c r="R187" s="125"/>
      <c r="S187" s="125"/>
      <c r="T187" s="125"/>
      <c r="U187" s="125"/>
      <c r="V187" s="125"/>
      <c r="W187" s="125"/>
    </row>
    <row r="188" spans="17:23">
      <c r="Q188" s="125"/>
      <c r="R188" s="125"/>
      <c r="S188" s="125"/>
      <c r="T188" s="125"/>
      <c r="U188" s="125"/>
      <c r="V188" s="125"/>
      <c r="W188" s="125"/>
    </row>
    <row r="189" spans="17:23">
      <c r="Q189" s="125"/>
      <c r="R189" s="125"/>
      <c r="S189" s="125"/>
      <c r="T189" s="125"/>
      <c r="U189" s="125"/>
      <c r="V189" s="125"/>
      <c r="W189" s="125"/>
    </row>
    <row r="190" spans="17:23">
      <c r="Q190" s="125"/>
      <c r="R190" s="125"/>
      <c r="S190" s="125"/>
      <c r="T190" s="125"/>
      <c r="U190" s="125"/>
      <c r="V190" s="125"/>
      <c r="W190" s="125"/>
    </row>
    <row r="191" spans="17:23">
      <c r="Q191" s="125"/>
      <c r="R191" s="125"/>
      <c r="S191" s="125"/>
      <c r="T191" s="125"/>
      <c r="U191" s="125"/>
      <c r="V191" s="125"/>
      <c r="W191" s="125"/>
    </row>
    <row r="192" spans="17:23">
      <c r="Q192" s="125"/>
      <c r="R192" s="125"/>
      <c r="S192" s="125"/>
      <c r="T192" s="125"/>
      <c r="U192" s="125"/>
      <c r="V192" s="125"/>
      <c r="W192" s="125"/>
    </row>
    <row r="193" spans="17:23">
      <c r="Q193" s="125"/>
      <c r="R193" s="125"/>
      <c r="S193" s="125"/>
      <c r="T193" s="125"/>
      <c r="U193" s="125"/>
      <c r="V193" s="125"/>
      <c r="W193" s="125"/>
    </row>
    <row r="194" spans="17:23">
      <c r="Q194" s="125"/>
      <c r="R194" s="125"/>
      <c r="S194" s="125"/>
      <c r="T194" s="125"/>
      <c r="U194" s="125"/>
      <c r="V194" s="125"/>
      <c r="W194" s="125"/>
    </row>
    <row r="195" spans="17:23">
      <c r="Q195" s="125"/>
      <c r="R195" s="125"/>
      <c r="S195" s="125"/>
      <c r="T195" s="125"/>
      <c r="U195" s="125"/>
      <c r="V195" s="125"/>
      <c r="W195" s="125"/>
    </row>
    <row r="196" spans="17:23">
      <c r="Q196" s="125"/>
      <c r="R196" s="125"/>
      <c r="S196" s="125"/>
      <c r="T196" s="125"/>
      <c r="U196" s="125"/>
      <c r="V196" s="125"/>
      <c r="W196" s="125"/>
    </row>
    <row r="197" spans="17:23">
      <c r="Q197" s="125"/>
      <c r="R197" s="125"/>
      <c r="S197" s="125"/>
      <c r="T197" s="125"/>
      <c r="U197" s="125"/>
      <c r="V197" s="125"/>
      <c r="W197" s="125"/>
    </row>
    <row r="198" spans="17:23">
      <c r="Q198" s="125"/>
      <c r="R198" s="125"/>
      <c r="S198" s="125"/>
      <c r="T198" s="125"/>
      <c r="U198" s="125"/>
      <c r="V198" s="125"/>
      <c r="W198" s="125"/>
    </row>
    <row r="199" spans="17:23">
      <c r="Q199" s="125"/>
      <c r="R199" s="125"/>
      <c r="S199" s="125"/>
      <c r="T199" s="125"/>
      <c r="U199" s="125"/>
      <c r="V199" s="125"/>
      <c r="W199" s="125"/>
    </row>
    <row r="200" spans="17:23">
      <c r="Q200" s="125"/>
      <c r="R200" s="125"/>
      <c r="S200" s="125"/>
      <c r="T200" s="125"/>
      <c r="U200" s="125"/>
      <c r="V200" s="125"/>
      <c r="W200" s="125"/>
    </row>
    <row r="201" spans="17:23">
      <c r="Q201" s="125"/>
      <c r="R201" s="125"/>
      <c r="S201" s="125"/>
      <c r="T201" s="125"/>
      <c r="U201" s="125"/>
      <c r="V201" s="125"/>
      <c r="W201" s="125"/>
    </row>
    <row r="202" spans="17:23">
      <c r="Q202" s="125"/>
      <c r="R202" s="125"/>
      <c r="S202" s="125"/>
      <c r="T202" s="125"/>
      <c r="U202" s="125"/>
      <c r="V202" s="125"/>
      <c r="W202" s="125"/>
    </row>
    <row r="203" spans="17:23">
      <c r="Q203" s="125"/>
      <c r="R203" s="125"/>
      <c r="S203" s="125"/>
      <c r="T203" s="125"/>
      <c r="U203" s="125"/>
      <c r="V203" s="125"/>
      <c r="W203" s="125"/>
    </row>
    <row r="204" spans="17:23">
      <c r="Q204" s="125"/>
      <c r="R204" s="125"/>
      <c r="S204" s="125"/>
      <c r="T204" s="125"/>
      <c r="U204" s="125"/>
      <c r="V204" s="125"/>
      <c r="W204" s="125"/>
    </row>
    <row r="205" spans="17:23">
      <c r="Q205" s="125"/>
      <c r="R205" s="125"/>
      <c r="S205" s="125"/>
      <c r="T205" s="125"/>
      <c r="U205" s="125"/>
      <c r="V205" s="125"/>
      <c r="W205" s="125"/>
    </row>
    <row r="206" spans="17:23">
      <c r="Q206" s="125"/>
      <c r="R206" s="125"/>
      <c r="S206" s="125"/>
      <c r="T206" s="125"/>
      <c r="U206" s="125"/>
      <c r="V206" s="125"/>
      <c r="W206" s="125"/>
    </row>
    <row r="207" spans="17:23">
      <c r="Q207" s="125"/>
      <c r="R207" s="125"/>
      <c r="S207" s="125"/>
      <c r="T207" s="125"/>
      <c r="U207" s="125"/>
      <c r="V207" s="125"/>
      <c r="W207" s="125"/>
    </row>
    <row r="208" spans="17:23">
      <c r="Q208" s="125"/>
      <c r="R208" s="125"/>
      <c r="S208" s="125"/>
      <c r="T208" s="125"/>
      <c r="U208" s="125"/>
      <c r="V208" s="125"/>
      <c r="W208" s="125"/>
    </row>
    <row r="209" spans="17:23">
      <c r="Q209" s="125"/>
      <c r="R209" s="125"/>
      <c r="S209" s="125"/>
      <c r="T209" s="125"/>
      <c r="U209" s="125"/>
      <c r="V209" s="125"/>
      <c r="W209" s="125"/>
    </row>
    <row r="210" spans="17:23">
      <c r="Q210" s="125"/>
      <c r="R210" s="125"/>
      <c r="S210" s="125"/>
      <c r="T210" s="125"/>
      <c r="U210" s="125"/>
      <c r="V210" s="125"/>
      <c r="W210" s="125"/>
    </row>
    <row r="211" spans="17:23">
      <c r="Q211" s="125"/>
      <c r="R211" s="125"/>
      <c r="S211" s="125"/>
      <c r="T211" s="125"/>
      <c r="U211" s="125"/>
      <c r="V211" s="125"/>
      <c r="W211" s="125"/>
    </row>
    <row r="212" spans="17:23">
      <c r="Q212" s="125"/>
      <c r="R212" s="125"/>
      <c r="S212" s="125"/>
      <c r="T212" s="125"/>
      <c r="U212" s="125"/>
      <c r="V212" s="125"/>
      <c r="W212" s="125"/>
    </row>
    <row r="213" spans="17:23">
      <c r="Q213" s="125"/>
      <c r="R213" s="125"/>
      <c r="S213" s="125"/>
      <c r="T213" s="125"/>
      <c r="U213" s="125"/>
      <c r="V213" s="125"/>
      <c r="W213" s="125"/>
    </row>
    <row r="214" spans="17:23">
      <c r="Q214" s="125"/>
      <c r="R214" s="125"/>
      <c r="S214" s="125"/>
      <c r="T214" s="125"/>
      <c r="U214" s="125"/>
      <c r="V214" s="125"/>
      <c r="W214" s="125"/>
    </row>
    <row r="215" spans="17:23">
      <c r="Q215" s="125"/>
      <c r="R215" s="125"/>
      <c r="S215" s="125"/>
      <c r="T215" s="125"/>
      <c r="U215" s="125"/>
      <c r="V215" s="125"/>
      <c r="W215" s="125"/>
    </row>
    <row r="216" spans="17:23">
      <c r="Q216" s="125"/>
      <c r="R216" s="125"/>
      <c r="S216" s="125"/>
      <c r="T216" s="125"/>
      <c r="U216" s="125"/>
      <c r="V216" s="125"/>
      <c r="W216" s="125"/>
    </row>
    <row r="217" spans="17:23">
      <c r="Q217" s="125"/>
      <c r="R217" s="125"/>
      <c r="S217" s="125"/>
      <c r="T217" s="125"/>
      <c r="U217" s="125"/>
      <c r="V217" s="125"/>
      <c r="W217" s="125"/>
    </row>
    <row r="218" spans="17:23">
      <c r="Q218" s="125"/>
      <c r="R218" s="125"/>
      <c r="S218" s="125"/>
      <c r="T218" s="125"/>
      <c r="U218" s="125"/>
      <c r="V218" s="125"/>
      <c r="W218" s="125"/>
    </row>
    <row r="219" spans="17:23">
      <c r="Q219" s="125"/>
      <c r="R219" s="125"/>
      <c r="S219" s="125"/>
      <c r="T219" s="125"/>
      <c r="U219" s="125"/>
      <c r="V219" s="125"/>
      <c r="W219" s="125"/>
    </row>
    <row r="220" spans="17:23">
      <c r="Q220" s="125"/>
      <c r="R220" s="125"/>
      <c r="S220" s="125"/>
      <c r="T220" s="125"/>
      <c r="U220" s="125"/>
      <c r="V220" s="125"/>
      <c r="W220" s="125"/>
    </row>
    <row r="221" spans="17:23">
      <c r="Q221" s="125"/>
      <c r="R221" s="125"/>
      <c r="S221" s="125"/>
      <c r="T221" s="125"/>
      <c r="U221" s="125"/>
      <c r="V221" s="125"/>
      <c r="W221" s="125"/>
    </row>
    <row r="222" spans="17:23">
      <c r="Q222" s="125"/>
      <c r="R222" s="125"/>
      <c r="S222" s="125"/>
      <c r="T222" s="125"/>
      <c r="U222" s="125"/>
      <c r="V222" s="125"/>
      <c r="W222" s="125"/>
    </row>
    <row r="223" spans="17:23">
      <c r="Q223" s="125"/>
      <c r="R223" s="125"/>
      <c r="S223" s="125"/>
      <c r="T223" s="125"/>
      <c r="U223" s="125"/>
      <c r="V223" s="125"/>
      <c r="W223" s="125"/>
    </row>
    <row r="224" spans="17:23">
      <c r="Q224" s="125"/>
      <c r="R224" s="125"/>
      <c r="S224" s="125"/>
      <c r="T224" s="125"/>
      <c r="U224" s="125"/>
      <c r="V224" s="125"/>
      <c r="W224" s="125"/>
    </row>
    <row r="225" spans="17:23">
      <c r="Q225" s="125"/>
      <c r="R225" s="125"/>
      <c r="S225" s="125"/>
      <c r="T225" s="125"/>
      <c r="U225" s="125"/>
      <c r="V225" s="125"/>
      <c r="W225" s="125"/>
    </row>
    <row r="226" spans="17:23">
      <c r="Q226" s="125"/>
      <c r="R226" s="125"/>
      <c r="S226" s="125"/>
      <c r="T226" s="125"/>
      <c r="U226" s="125"/>
      <c r="V226" s="125"/>
      <c r="W226" s="125"/>
    </row>
    <row r="227" spans="17:23">
      <c r="Q227" s="125"/>
      <c r="R227" s="125"/>
      <c r="S227" s="125"/>
      <c r="T227" s="125"/>
      <c r="U227" s="125"/>
      <c r="V227" s="125"/>
      <c r="W227" s="125"/>
    </row>
    <row r="228" spans="17:23">
      <c r="Q228" s="125"/>
      <c r="R228" s="125"/>
      <c r="S228" s="125"/>
      <c r="T228" s="125"/>
      <c r="U228" s="125"/>
      <c r="V228" s="125"/>
      <c r="W228" s="125"/>
    </row>
    <row r="229" spans="17:23">
      <c r="Q229" s="125"/>
      <c r="R229" s="125"/>
      <c r="S229" s="125"/>
      <c r="T229" s="125"/>
      <c r="U229" s="125"/>
      <c r="V229" s="125"/>
      <c r="W229" s="125"/>
    </row>
    <row r="230" spans="17:23">
      <c r="Q230" s="125"/>
      <c r="R230" s="125"/>
      <c r="S230" s="125"/>
      <c r="T230" s="125"/>
      <c r="U230" s="125"/>
      <c r="V230" s="125"/>
      <c r="W230" s="125"/>
    </row>
    <row r="231" spans="17:23">
      <c r="Q231" s="125"/>
      <c r="R231" s="125"/>
      <c r="S231" s="125"/>
      <c r="T231" s="125"/>
      <c r="U231" s="125"/>
      <c r="V231" s="125"/>
      <c r="W231" s="125"/>
    </row>
    <row r="232" spans="17:23">
      <c r="Q232" s="125"/>
      <c r="R232" s="125"/>
      <c r="S232" s="125"/>
      <c r="T232" s="125"/>
      <c r="U232" s="125"/>
      <c r="V232" s="125"/>
      <c r="W232" s="125"/>
    </row>
    <row r="233" spans="17:23">
      <c r="Q233" s="125"/>
      <c r="R233" s="125"/>
      <c r="S233" s="125"/>
      <c r="T233" s="125"/>
      <c r="U233" s="125"/>
      <c r="V233" s="125"/>
      <c r="W233" s="125"/>
    </row>
    <row r="234" spans="17:23">
      <c r="Q234" s="125"/>
      <c r="R234" s="125"/>
      <c r="S234" s="125"/>
      <c r="T234" s="125"/>
      <c r="U234" s="125"/>
      <c r="V234" s="125"/>
      <c r="W234" s="125"/>
    </row>
    <row r="235" spans="17:23">
      <c r="Q235" s="125"/>
      <c r="R235" s="125"/>
      <c r="S235" s="125"/>
      <c r="T235" s="125"/>
      <c r="U235" s="125"/>
      <c r="V235" s="125"/>
      <c r="W235" s="125"/>
    </row>
    <row r="236" spans="17:23">
      <c r="Q236" s="125"/>
      <c r="R236" s="125"/>
      <c r="S236" s="125"/>
      <c r="T236" s="125"/>
      <c r="U236" s="125"/>
      <c r="V236" s="125"/>
      <c r="W236" s="125"/>
    </row>
    <row r="237" spans="17:23">
      <c r="Q237" s="125"/>
      <c r="R237" s="125"/>
      <c r="S237" s="125"/>
      <c r="T237" s="125"/>
      <c r="U237" s="125"/>
      <c r="V237" s="125"/>
      <c r="W237" s="125"/>
    </row>
    <row r="238" spans="17:23">
      <c r="Q238" s="125"/>
      <c r="R238" s="125"/>
      <c r="S238" s="125"/>
      <c r="T238" s="125"/>
      <c r="U238" s="125"/>
      <c r="V238" s="125"/>
      <c r="W238" s="125"/>
    </row>
    <row r="239" spans="17:23">
      <c r="Q239" s="125"/>
      <c r="R239" s="125"/>
      <c r="S239" s="125"/>
      <c r="T239" s="125"/>
      <c r="U239" s="125"/>
      <c r="V239" s="125"/>
      <c r="W239" s="125"/>
    </row>
    <row r="240" spans="17:23">
      <c r="Q240" s="125"/>
      <c r="R240" s="125"/>
      <c r="S240" s="125"/>
      <c r="T240" s="125"/>
      <c r="U240" s="125"/>
      <c r="V240" s="125"/>
      <c r="W240" s="125"/>
    </row>
    <row r="241" spans="17:23">
      <c r="Q241" s="125"/>
      <c r="R241" s="125"/>
      <c r="S241" s="125"/>
      <c r="T241" s="125"/>
      <c r="U241" s="125"/>
      <c r="V241" s="125"/>
      <c r="W241" s="125"/>
    </row>
    <row r="242" spans="17:23">
      <c r="Q242" s="125"/>
      <c r="R242" s="125"/>
      <c r="S242" s="125"/>
      <c r="T242" s="125"/>
      <c r="U242" s="125"/>
      <c r="V242" s="125"/>
      <c r="W242" s="125"/>
    </row>
    <row r="243" spans="17:23">
      <c r="Q243" s="125"/>
      <c r="R243" s="125"/>
      <c r="S243" s="125"/>
      <c r="T243" s="125"/>
      <c r="U243" s="125"/>
      <c r="V243" s="125"/>
      <c r="W243" s="125"/>
    </row>
    <row r="244" spans="17:23">
      <c r="Q244" s="125"/>
      <c r="R244" s="125"/>
      <c r="S244" s="125"/>
      <c r="T244" s="125"/>
      <c r="U244" s="125"/>
      <c r="V244" s="125"/>
      <c r="W244" s="125"/>
    </row>
    <row r="245" spans="17:23">
      <c r="Q245" s="125"/>
      <c r="R245" s="125"/>
      <c r="S245" s="125"/>
      <c r="T245" s="125"/>
      <c r="U245" s="125"/>
      <c r="V245" s="125"/>
      <c r="W245" s="125"/>
    </row>
    <row r="246" spans="17:23">
      <c r="Q246" s="125"/>
      <c r="R246" s="125"/>
      <c r="S246" s="125"/>
      <c r="T246" s="125"/>
      <c r="U246" s="125"/>
      <c r="V246" s="125"/>
      <c r="W246" s="125"/>
    </row>
    <row r="247" spans="17:23">
      <c r="Q247" s="125"/>
      <c r="R247" s="125"/>
      <c r="S247" s="125"/>
      <c r="T247" s="125"/>
      <c r="U247" s="125"/>
      <c r="V247" s="125"/>
      <c r="W247" s="125"/>
    </row>
    <row r="248" spans="17:23">
      <c r="Q248" s="125"/>
      <c r="R248" s="125"/>
      <c r="S248" s="125"/>
      <c r="T248" s="125"/>
      <c r="U248" s="125"/>
      <c r="V248" s="125"/>
      <c r="W248" s="125"/>
    </row>
    <row r="249" spans="17:23">
      <c r="Q249" s="125"/>
      <c r="R249" s="125"/>
      <c r="S249" s="125"/>
      <c r="T249" s="125"/>
      <c r="U249" s="125"/>
      <c r="V249" s="125"/>
      <c r="W249" s="125"/>
    </row>
    <row r="250" spans="17:23">
      <c r="Q250" s="125"/>
      <c r="R250" s="125"/>
      <c r="S250" s="125"/>
      <c r="T250" s="125"/>
      <c r="U250" s="125"/>
      <c r="V250" s="125"/>
      <c r="W250" s="125"/>
    </row>
    <row r="251" spans="17:23">
      <c r="Q251" s="125"/>
      <c r="R251" s="125"/>
      <c r="S251" s="125"/>
      <c r="T251" s="125"/>
      <c r="U251" s="125"/>
      <c r="V251" s="125"/>
      <c r="W251" s="125"/>
    </row>
    <row r="252" spans="17:23">
      <c r="Q252" s="125"/>
      <c r="R252" s="125"/>
      <c r="S252" s="125"/>
      <c r="T252" s="125"/>
      <c r="U252" s="125"/>
      <c r="V252" s="125"/>
      <c r="W252" s="125"/>
    </row>
    <row r="253" spans="17:23">
      <c r="Q253" s="125"/>
      <c r="R253" s="125"/>
      <c r="S253" s="125"/>
      <c r="T253" s="125"/>
      <c r="U253" s="125"/>
      <c r="V253" s="125"/>
      <c r="W253" s="125"/>
    </row>
    <row r="254" spans="17:23">
      <c r="Q254" s="125"/>
      <c r="R254" s="125"/>
      <c r="S254" s="125"/>
      <c r="T254" s="125"/>
      <c r="U254" s="125"/>
      <c r="V254" s="125"/>
      <c r="W254" s="125"/>
    </row>
    <row r="255" spans="17:23">
      <c r="Q255" s="125"/>
      <c r="R255" s="125"/>
      <c r="S255" s="125"/>
      <c r="T255" s="125"/>
      <c r="U255" s="125"/>
      <c r="V255" s="125"/>
      <c r="W255" s="125"/>
    </row>
    <row r="256" spans="17:23">
      <c r="Q256" s="125"/>
      <c r="R256" s="125"/>
      <c r="S256" s="125"/>
      <c r="T256" s="125"/>
      <c r="U256" s="125"/>
      <c r="V256" s="125"/>
      <c r="W256" s="125"/>
    </row>
    <row r="257" spans="17:23">
      <c r="Q257" s="125"/>
      <c r="R257" s="125"/>
      <c r="S257" s="125"/>
      <c r="T257" s="125"/>
      <c r="U257" s="125"/>
      <c r="V257" s="125"/>
      <c r="W257" s="125"/>
    </row>
    <row r="258" spans="17:23">
      <c r="Q258" s="125"/>
      <c r="R258" s="125"/>
      <c r="S258" s="125"/>
      <c r="T258" s="125"/>
      <c r="U258" s="125"/>
      <c r="V258" s="125"/>
      <c r="W258" s="125"/>
    </row>
    <row r="259" spans="17:23">
      <c r="Q259" s="125"/>
      <c r="R259" s="125"/>
      <c r="S259" s="125"/>
      <c r="T259" s="125"/>
      <c r="U259" s="125"/>
      <c r="V259" s="125"/>
      <c r="W259" s="125"/>
    </row>
    <row r="260" spans="17:23">
      <c r="Q260" s="125"/>
      <c r="R260" s="125"/>
      <c r="S260" s="125"/>
      <c r="T260" s="125"/>
      <c r="U260" s="125"/>
      <c r="V260" s="125"/>
      <c r="W260" s="125"/>
    </row>
    <row r="261" spans="17:23">
      <c r="Q261" s="125"/>
      <c r="R261" s="125"/>
      <c r="S261" s="125"/>
      <c r="T261" s="125"/>
      <c r="U261" s="125"/>
      <c r="V261" s="125"/>
      <c r="W261" s="125"/>
    </row>
    <row r="262" spans="17:23">
      <c r="Q262" s="125"/>
      <c r="R262" s="125"/>
      <c r="S262" s="125"/>
      <c r="T262" s="125"/>
      <c r="U262" s="125"/>
      <c r="V262" s="125"/>
      <c r="W262" s="125"/>
    </row>
    <row r="263" spans="17:23">
      <c r="Q263" s="125"/>
      <c r="R263" s="125"/>
      <c r="S263" s="125"/>
      <c r="T263" s="125"/>
      <c r="U263" s="125"/>
      <c r="V263" s="125"/>
      <c r="W263" s="125"/>
    </row>
    <row r="264" spans="17:23">
      <c r="Q264" s="125"/>
      <c r="R264" s="125"/>
      <c r="S264" s="125"/>
      <c r="T264" s="125"/>
      <c r="U264" s="125"/>
      <c r="V264" s="125"/>
      <c r="W264" s="125"/>
    </row>
    <row r="265" spans="17:23">
      <c r="Q265" s="125"/>
      <c r="R265" s="125"/>
      <c r="S265" s="125"/>
      <c r="T265" s="125"/>
      <c r="U265" s="125"/>
      <c r="V265" s="125"/>
      <c r="W265" s="125"/>
    </row>
    <row r="266" spans="17:23">
      <c r="Q266" s="125"/>
      <c r="R266" s="125"/>
      <c r="S266" s="125"/>
      <c r="T266" s="125"/>
      <c r="U266" s="125"/>
      <c r="V266" s="125"/>
      <c r="W266" s="125"/>
    </row>
    <row r="267" spans="17:23">
      <c r="Q267" s="125"/>
      <c r="R267" s="125"/>
      <c r="S267" s="125"/>
      <c r="T267" s="125"/>
      <c r="U267" s="125"/>
      <c r="V267" s="125"/>
      <c r="W267" s="125"/>
    </row>
    <row r="268" spans="17:23">
      <c r="Q268" s="125"/>
      <c r="R268" s="125"/>
      <c r="S268" s="125"/>
      <c r="T268" s="125"/>
      <c r="U268" s="125"/>
      <c r="V268" s="125"/>
      <c r="W268" s="125"/>
    </row>
    <row r="269" spans="17:23">
      <c r="Q269" s="125"/>
      <c r="R269" s="125"/>
      <c r="S269" s="125"/>
      <c r="T269" s="125"/>
      <c r="U269" s="125"/>
      <c r="V269" s="125"/>
      <c r="W269" s="125"/>
    </row>
    <row r="270" spans="17:23">
      <c r="Q270" s="125"/>
      <c r="R270" s="125"/>
      <c r="S270" s="125"/>
      <c r="T270" s="125"/>
      <c r="U270" s="125"/>
      <c r="V270" s="125"/>
      <c r="W270" s="125"/>
    </row>
    <row r="271" spans="17:23">
      <c r="Q271" s="125"/>
      <c r="R271" s="125"/>
      <c r="S271" s="125"/>
      <c r="T271" s="125"/>
      <c r="U271" s="125"/>
      <c r="V271" s="125"/>
      <c r="W271" s="125"/>
    </row>
    <row r="272" spans="17:23">
      <c r="Q272" s="125"/>
      <c r="R272" s="125"/>
      <c r="S272" s="125"/>
      <c r="T272" s="125"/>
      <c r="U272" s="125"/>
      <c r="V272" s="125"/>
      <c r="W272" s="125"/>
    </row>
    <row r="273" spans="17:23">
      <c r="Q273" s="125"/>
      <c r="R273" s="125"/>
      <c r="S273" s="125"/>
      <c r="T273" s="125"/>
      <c r="U273" s="125"/>
      <c r="V273" s="125"/>
      <c r="W273" s="125"/>
    </row>
    <row r="274" spans="17:23">
      <c r="Q274" s="125"/>
      <c r="R274" s="125"/>
      <c r="S274" s="125"/>
      <c r="T274" s="125"/>
      <c r="U274" s="125"/>
      <c r="V274" s="125"/>
      <c r="W274" s="125"/>
    </row>
    <row r="275" spans="17:23">
      <c r="Q275" s="125"/>
      <c r="R275" s="125"/>
      <c r="S275" s="125"/>
      <c r="T275" s="125"/>
      <c r="U275" s="125"/>
      <c r="V275" s="125"/>
      <c r="W275" s="125"/>
    </row>
    <row r="276" spans="17:23">
      <c r="Q276" s="125"/>
      <c r="R276" s="125"/>
      <c r="S276" s="125"/>
      <c r="T276" s="125"/>
      <c r="U276" s="125"/>
      <c r="V276" s="125"/>
      <c r="W276" s="125"/>
    </row>
    <row r="277" spans="17:23">
      <c r="Q277" s="125"/>
      <c r="R277" s="125"/>
      <c r="S277" s="125"/>
      <c r="T277" s="125"/>
      <c r="U277" s="125"/>
      <c r="V277" s="125"/>
      <c r="W277" s="125"/>
    </row>
    <row r="278" spans="17:23">
      <c r="Q278" s="125"/>
      <c r="R278" s="125"/>
      <c r="S278" s="125"/>
      <c r="T278" s="125"/>
      <c r="U278" s="125"/>
      <c r="V278" s="125"/>
      <c r="W278" s="125"/>
    </row>
    <row r="279" spans="17:23">
      <c r="Q279" s="125"/>
      <c r="R279" s="125"/>
      <c r="S279" s="125"/>
      <c r="T279" s="125"/>
      <c r="U279" s="125"/>
      <c r="V279" s="125"/>
      <c r="W279" s="125"/>
    </row>
    <row r="280" spans="17:23">
      <c r="Q280" s="125"/>
      <c r="R280" s="125"/>
      <c r="S280" s="125"/>
      <c r="T280" s="125"/>
      <c r="U280" s="125"/>
      <c r="V280" s="125"/>
      <c r="W280" s="125"/>
    </row>
    <row r="281" spans="17:23">
      <c r="Q281" s="125"/>
      <c r="R281" s="125"/>
      <c r="S281" s="125"/>
      <c r="T281" s="125"/>
      <c r="U281" s="125"/>
      <c r="V281" s="125"/>
      <c r="W281" s="125"/>
    </row>
    <row r="282" spans="17:23">
      <c r="Q282" s="125"/>
      <c r="R282" s="125"/>
      <c r="S282" s="125"/>
      <c r="T282" s="125"/>
      <c r="U282" s="125"/>
      <c r="V282" s="125"/>
      <c r="W282" s="125"/>
    </row>
    <row r="283" spans="17:23">
      <c r="Q283" s="125"/>
      <c r="R283" s="125"/>
      <c r="S283" s="125"/>
      <c r="T283" s="125"/>
      <c r="U283" s="125"/>
      <c r="V283" s="125"/>
      <c r="W283" s="125"/>
    </row>
    <row r="284" spans="17:23">
      <c r="Q284" s="125"/>
      <c r="R284" s="125"/>
      <c r="S284" s="125"/>
      <c r="T284" s="125"/>
      <c r="U284" s="125"/>
      <c r="V284" s="125"/>
      <c r="W284" s="125"/>
    </row>
    <row r="285" spans="17:23">
      <c r="Q285" s="125"/>
      <c r="R285" s="125"/>
      <c r="S285" s="125"/>
      <c r="T285" s="125"/>
      <c r="U285" s="125"/>
      <c r="V285" s="125"/>
      <c r="W285" s="125"/>
    </row>
    <row r="286" spans="17:23">
      <c r="Q286" s="125"/>
      <c r="R286" s="125"/>
      <c r="S286" s="125"/>
      <c r="T286" s="125"/>
      <c r="U286" s="125"/>
      <c r="V286" s="125"/>
      <c r="W286" s="125"/>
    </row>
    <row r="287" spans="17:23">
      <c r="Q287" s="125"/>
      <c r="R287" s="125"/>
      <c r="S287" s="125"/>
      <c r="T287" s="125"/>
      <c r="U287" s="125"/>
      <c r="V287" s="125"/>
      <c r="W287" s="125"/>
    </row>
    <row r="288" spans="17:23">
      <c r="Q288" s="125"/>
      <c r="R288" s="125"/>
      <c r="S288" s="125"/>
      <c r="T288" s="125"/>
      <c r="U288" s="125"/>
      <c r="V288" s="125"/>
      <c r="W288" s="125"/>
    </row>
    <row r="289" spans="17:23">
      <c r="Q289" s="125"/>
      <c r="R289" s="125"/>
      <c r="S289" s="125"/>
      <c r="T289" s="125"/>
      <c r="U289" s="125"/>
      <c r="V289" s="125"/>
      <c r="W289" s="125"/>
    </row>
    <row r="290" spans="17:23">
      <c r="Q290" s="125"/>
      <c r="R290" s="125"/>
      <c r="S290" s="125"/>
      <c r="T290" s="125"/>
      <c r="U290" s="125"/>
      <c r="V290" s="125"/>
      <c r="W290" s="125"/>
    </row>
    <row r="291" spans="17:23">
      <c r="Q291" s="125"/>
      <c r="R291" s="125"/>
      <c r="S291" s="125"/>
      <c r="T291" s="125"/>
      <c r="U291" s="125"/>
      <c r="V291" s="125"/>
      <c r="W291" s="125"/>
    </row>
    <row r="292" spans="17:23">
      <c r="Q292" s="125"/>
      <c r="R292" s="125"/>
      <c r="S292" s="125"/>
      <c r="T292" s="125"/>
      <c r="U292" s="125"/>
      <c r="V292" s="125"/>
      <c r="W292" s="125"/>
    </row>
    <row r="293" spans="17:23">
      <c r="Q293" s="125"/>
      <c r="R293" s="125"/>
      <c r="S293" s="125"/>
      <c r="T293" s="125"/>
      <c r="U293" s="125"/>
      <c r="V293" s="125"/>
      <c r="W293" s="125"/>
    </row>
    <row r="294" spans="17:23">
      <c r="Q294" s="125"/>
      <c r="R294" s="125"/>
      <c r="S294" s="125"/>
      <c r="T294" s="125"/>
      <c r="U294" s="125"/>
      <c r="V294" s="125"/>
      <c r="W294" s="125"/>
    </row>
    <row r="295" spans="17:23">
      <c r="Q295" s="125"/>
      <c r="R295" s="125"/>
      <c r="S295" s="125"/>
      <c r="T295" s="125"/>
      <c r="U295" s="125"/>
      <c r="V295" s="125"/>
      <c r="W295" s="125"/>
    </row>
    <row r="296" spans="17:23">
      <c r="Q296" s="125"/>
      <c r="R296" s="125"/>
      <c r="S296" s="125"/>
      <c r="T296" s="125"/>
      <c r="U296" s="125"/>
      <c r="V296" s="125"/>
      <c r="W296" s="125"/>
    </row>
    <row r="297" spans="17:23">
      <c r="Q297" s="125"/>
      <c r="R297" s="125"/>
      <c r="S297" s="125"/>
      <c r="T297" s="125"/>
      <c r="U297" s="125"/>
      <c r="V297" s="125"/>
      <c r="W297" s="125"/>
    </row>
    <row r="298" spans="17:23">
      <c r="Q298" s="125"/>
      <c r="R298" s="125"/>
      <c r="S298" s="125"/>
      <c r="T298" s="125"/>
      <c r="U298" s="125"/>
      <c r="V298" s="125"/>
      <c r="W298" s="125"/>
    </row>
    <row r="299" spans="17:23">
      <c r="Q299" s="125"/>
      <c r="R299" s="125"/>
      <c r="S299" s="125"/>
      <c r="T299" s="125"/>
      <c r="U299" s="125"/>
      <c r="V299" s="125"/>
      <c r="W299" s="125"/>
    </row>
    <row r="300" spans="17:23">
      <c r="Q300" s="125"/>
      <c r="R300" s="125"/>
      <c r="S300" s="125"/>
      <c r="T300" s="125"/>
      <c r="U300" s="125"/>
      <c r="V300" s="125"/>
      <c r="W300" s="125"/>
    </row>
    <row r="301" spans="17:23">
      <c r="Q301" s="125"/>
      <c r="R301" s="125"/>
      <c r="S301" s="125"/>
      <c r="T301" s="125"/>
      <c r="U301" s="125"/>
      <c r="V301" s="125"/>
      <c r="W301" s="125"/>
    </row>
    <row r="302" spans="17:23">
      <c r="Q302" s="125"/>
      <c r="R302" s="125"/>
      <c r="S302" s="125"/>
      <c r="T302" s="125"/>
      <c r="U302" s="125"/>
      <c r="V302" s="125"/>
      <c r="W302" s="125"/>
    </row>
    <row r="303" spans="17:23">
      <c r="Q303" s="125"/>
      <c r="R303" s="125"/>
      <c r="S303" s="125"/>
      <c r="T303" s="125"/>
      <c r="U303" s="125"/>
      <c r="V303" s="125"/>
      <c r="W303" s="125"/>
    </row>
    <row r="304" spans="17:23">
      <c r="Q304" s="125"/>
      <c r="R304" s="125"/>
      <c r="S304" s="125"/>
      <c r="T304" s="125"/>
      <c r="U304" s="125"/>
      <c r="V304" s="125"/>
      <c r="W304" s="125"/>
    </row>
    <row r="305" spans="17:23">
      <c r="Q305" s="125"/>
      <c r="R305" s="125"/>
      <c r="S305" s="125"/>
      <c r="T305" s="125"/>
      <c r="U305" s="125"/>
      <c r="V305" s="125"/>
      <c r="W305" s="125"/>
    </row>
    <row r="306" spans="17:23">
      <c r="Q306" s="125"/>
      <c r="R306" s="125"/>
      <c r="S306" s="125"/>
      <c r="T306" s="125"/>
      <c r="U306" s="125"/>
      <c r="V306" s="125"/>
      <c r="W306" s="125"/>
    </row>
    <row r="307" spans="17:23">
      <c r="Q307" s="125"/>
      <c r="R307" s="125"/>
      <c r="S307" s="125"/>
      <c r="T307" s="125"/>
      <c r="U307" s="125"/>
      <c r="V307" s="125"/>
      <c r="W307" s="125"/>
    </row>
    <row r="308" spans="17:23">
      <c r="Q308" s="125"/>
      <c r="R308" s="125"/>
      <c r="S308" s="125"/>
      <c r="T308" s="125"/>
      <c r="U308" s="125"/>
      <c r="V308" s="125"/>
      <c r="W308" s="125"/>
    </row>
    <row r="309" spans="17:23">
      <c r="Q309" s="125"/>
      <c r="R309" s="125"/>
      <c r="S309" s="125"/>
      <c r="T309" s="125"/>
      <c r="U309" s="125"/>
      <c r="V309" s="125"/>
      <c r="W309" s="125"/>
    </row>
    <row r="310" spans="17:23">
      <c r="Q310" s="125"/>
      <c r="R310" s="125"/>
      <c r="S310" s="125"/>
      <c r="T310" s="125"/>
      <c r="U310" s="125"/>
      <c r="V310" s="125"/>
      <c r="W310" s="125"/>
    </row>
    <row r="311" spans="17:23">
      <c r="Q311" s="125"/>
      <c r="R311" s="125"/>
      <c r="S311" s="125"/>
      <c r="T311" s="125"/>
      <c r="U311" s="125"/>
      <c r="V311" s="125"/>
      <c r="W311" s="125"/>
    </row>
    <row r="312" spans="17:23">
      <c r="Q312" s="125"/>
      <c r="R312" s="125"/>
      <c r="S312" s="125"/>
      <c r="T312" s="125"/>
      <c r="U312" s="125"/>
      <c r="V312" s="125"/>
      <c r="W312" s="125"/>
    </row>
    <row r="313" spans="17:23">
      <c r="Q313" s="125"/>
      <c r="R313" s="125"/>
      <c r="S313" s="125"/>
      <c r="T313" s="125"/>
      <c r="U313" s="125"/>
      <c r="V313" s="125"/>
      <c r="W313" s="125"/>
    </row>
    <row r="314" spans="17:23">
      <c r="Q314" s="125"/>
      <c r="R314" s="125"/>
      <c r="S314" s="125"/>
      <c r="T314" s="125"/>
      <c r="U314" s="125"/>
      <c r="V314" s="125"/>
      <c r="W314" s="125"/>
    </row>
    <row r="315" spans="17:23">
      <c r="Q315" s="125"/>
      <c r="R315" s="125"/>
      <c r="S315" s="125"/>
      <c r="T315" s="125"/>
      <c r="U315" s="125"/>
      <c r="V315" s="125"/>
      <c r="W315" s="125"/>
    </row>
    <row r="316" spans="17:23">
      <c r="Q316" s="125"/>
      <c r="R316" s="125"/>
      <c r="S316" s="125"/>
      <c r="T316" s="125"/>
      <c r="U316" s="125"/>
      <c r="V316" s="125"/>
      <c r="W316" s="125"/>
    </row>
    <row r="317" spans="17:23">
      <c r="Q317" s="125"/>
      <c r="R317" s="125"/>
      <c r="S317" s="125"/>
      <c r="T317" s="125"/>
      <c r="U317" s="125"/>
      <c r="V317" s="125"/>
      <c r="W317" s="125"/>
    </row>
    <row r="318" spans="17:23">
      <c r="Q318" s="125"/>
      <c r="R318" s="125"/>
      <c r="S318" s="125"/>
      <c r="T318" s="125"/>
      <c r="U318" s="125"/>
      <c r="V318" s="125"/>
      <c r="W318" s="125"/>
    </row>
    <row r="319" spans="17:23">
      <c r="Q319" s="125"/>
      <c r="R319" s="125"/>
      <c r="S319" s="125"/>
      <c r="T319" s="125"/>
      <c r="U319" s="125"/>
      <c r="V319" s="125"/>
      <c r="W319" s="125"/>
    </row>
    <row r="320" spans="17:23">
      <c r="Q320" s="125"/>
      <c r="R320" s="125"/>
      <c r="S320" s="125"/>
      <c r="T320" s="125"/>
      <c r="U320" s="125"/>
      <c r="V320" s="125"/>
      <c r="W320" s="125"/>
    </row>
    <row r="321" spans="17:23">
      <c r="Q321" s="125"/>
      <c r="R321" s="125"/>
      <c r="S321" s="125"/>
      <c r="T321" s="125"/>
      <c r="U321" s="125"/>
      <c r="V321" s="125"/>
      <c r="W321" s="125"/>
    </row>
    <row r="322" spans="17:23">
      <c r="Q322" s="125"/>
      <c r="R322" s="125"/>
      <c r="S322" s="125"/>
      <c r="T322" s="125"/>
      <c r="U322" s="125"/>
      <c r="V322" s="125"/>
      <c r="W322" s="125"/>
    </row>
    <row r="323" spans="17:23">
      <c r="Q323" s="125"/>
      <c r="R323" s="125"/>
      <c r="S323" s="125"/>
      <c r="T323" s="125"/>
      <c r="U323" s="125"/>
      <c r="V323" s="125"/>
      <c r="W323" s="125"/>
    </row>
    <row r="324" spans="17:23">
      <c r="Q324" s="125"/>
      <c r="R324" s="125"/>
      <c r="S324" s="125"/>
      <c r="T324" s="125"/>
      <c r="U324" s="125"/>
      <c r="V324" s="125"/>
      <c r="W324" s="125"/>
    </row>
    <row r="325" spans="17:23">
      <c r="Q325" s="125"/>
      <c r="R325" s="125"/>
      <c r="S325" s="125"/>
      <c r="T325" s="125"/>
      <c r="U325" s="125"/>
      <c r="V325" s="125"/>
      <c r="W325" s="125"/>
    </row>
    <row r="326" spans="17:23">
      <c r="Q326" s="125"/>
      <c r="R326" s="125"/>
      <c r="S326" s="125"/>
      <c r="T326" s="125"/>
      <c r="U326" s="125"/>
      <c r="V326" s="125"/>
      <c r="W326" s="125"/>
    </row>
    <row r="327" spans="17:23">
      <c r="Q327" s="125"/>
      <c r="R327" s="125"/>
      <c r="S327" s="125"/>
      <c r="T327" s="125"/>
      <c r="U327" s="125"/>
      <c r="V327" s="125"/>
      <c r="W327" s="125"/>
    </row>
    <row r="328" spans="17:23">
      <c r="Q328" s="125"/>
      <c r="R328" s="125"/>
      <c r="S328" s="125"/>
      <c r="T328" s="125"/>
      <c r="U328" s="125"/>
      <c r="V328" s="125"/>
      <c r="W328" s="125"/>
    </row>
    <row r="329" spans="17:23">
      <c r="Q329" s="125"/>
      <c r="R329" s="125"/>
      <c r="S329" s="125"/>
      <c r="T329" s="125"/>
      <c r="U329" s="125"/>
      <c r="V329" s="125"/>
      <c r="W329" s="125"/>
    </row>
    <row r="330" spans="17:23">
      <c r="Q330" s="125"/>
      <c r="R330" s="125"/>
      <c r="S330" s="125"/>
      <c r="T330" s="125"/>
      <c r="U330" s="125"/>
      <c r="V330" s="125"/>
      <c r="W330" s="125"/>
    </row>
    <row r="331" spans="17:23">
      <c r="Q331" s="125"/>
      <c r="R331" s="125"/>
      <c r="S331" s="125"/>
      <c r="T331" s="125"/>
      <c r="U331" s="125"/>
      <c r="V331" s="125"/>
      <c r="W331" s="125"/>
    </row>
    <row r="332" spans="17:23">
      <c r="Q332" s="125"/>
      <c r="R332" s="125"/>
      <c r="S332" s="125"/>
      <c r="T332" s="125"/>
      <c r="U332" s="125"/>
      <c r="V332" s="125"/>
      <c r="W332" s="125"/>
    </row>
    <row r="333" spans="17:23">
      <c r="Q333" s="125"/>
      <c r="R333" s="125"/>
      <c r="S333" s="125"/>
      <c r="T333" s="125"/>
      <c r="U333" s="125"/>
      <c r="V333" s="125"/>
      <c r="W333" s="125"/>
    </row>
    <row r="334" spans="17:23">
      <c r="Q334" s="125"/>
      <c r="R334" s="125"/>
      <c r="S334" s="125"/>
      <c r="T334" s="125"/>
      <c r="U334" s="125"/>
      <c r="V334" s="125"/>
      <c r="W334" s="125"/>
    </row>
    <row r="335" spans="17:23">
      <c r="Q335" s="125"/>
      <c r="R335" s="125"/>
      <c r="S335" s="125"/>
      <c r="T335" s="125"/>
      <c r="U335" s="125"/>
      <c r="V335" s="125"/>
      <c r="W335" s="125"/>
    </row>
    <row r="336" spans="17:23">
      <c r="Q336" s="125"/>
      <c r="R336" s="125"/>
      <c r="S336" s="125"/>
      <c r="T336" s="125"/>
      <c r="U336" s="125"/>
      <c r="V336" s="125"/>
      <c r="W336" s="125"/>
    </row>
    <row r="337" spans="17:23">
      <c r="Q337" s="125"/>
      <c r="R337" s="125"/>
      <c r="S337" s="125"/>
      <c r="T337" s="125"/>
      <c r="U337" s="125"/>
      <c r="V337" s="125"/>
      <c r="W337" s="125"/>
    </row>
    <row r="338" spans="17:23">
      <c r="Q338" s="125"/>
      <c r="R338" s="125"/>
      <c r="S338" s="125"/>
      <c r="T338" s="125"/>
      <c r="U338" s="125"/>
      <c r="V338" s="125"/>
      <c r="W338" s="125"/>
    </row>
    <row r="339" spans="17:23">
      <c r="Q339" s="125"/>
      <c r="R339" s="125"/>
      <c r="S339" s="125"/>
      <c r="T339" s="125"/>
      <c r="U339" s="125"/>
      <c r="V339" s="125"/>
      <c r="W339" s="125"/>
    </row>
    <row r="340" spans="17:23">
      <c r="Q340" s="125"/>
      <c r="R340" s="125"/>
      <c r="S340" s="125"/>
      <c r="T340" s="125"/>
      <c r="U340" s="125"/>
      <c r="V340" s="125"/>
      <c r="W340" s="125"/>
    </row>
    <row r="341" spans="17:23">
      <c r="Q341" s="125"/>
      <c r="R341" s="125"/>
      <c r="S341" s="125"/>
      <c r="T341" s="125"/>
      <c r="U341" s="125"/>
      <c r="V341" s="125"/>
      <c r="W341" s="125"/>
    </row>
    <row r="342" spans="17:23">
      <c r="Q342" s="125"/>
      <c r="R342" s="125"/>
      <c r="S342" s="125"/>
      <c r="T342" s="125"/>
      <c r="U342" s="125"/>
      <c r="V342" s="125"/>
      <c r="W342" s="125"/>
    </row>
    <row r="343" spans="17:23">
      <c r="Q343" s="125"/>
      <c r="R343" s="125"/>
      <c r="S343" s="125"/>
      <c r="T343" s="125"/>
      <c r="U343" s="125"/>
      <c r="V343" s="125"/>
      <c r="W343" s="125"/>
    </row>
    <row r="344" spans="17:23">
      <c r="Q344" s="125"/>
      <c r="R344" s="125"/>
      <c r="S344" s="125"/>
      <c r="T344" s="125"/>
      <c r="U344" s="125"/>
      <c r="V344" s="125"/>
      <c r="W344" s="125"/>
    </row>
    <row r="345" spans="17:23">
      <c r="Q345" s="125"/>
      <c r="R345" s="125"/>
      <c r="S345" s="125"/>
      <c r="T345" s="125"/>
      <c r="U345" s="125"/>
      <c r="V345" s="125"/>
      <c r="W345" s="125"/>
    </row>
    <row r="346" spans="17:23">
      <c r="Q346" s="125"/>
      <c r="R346" s="125"/>
      <c r="S346" s="125"/>
      <c r="T346" s="125"/>
      <c r="U346" s="125"/>
      <c r="V346" s="125"/>
      <c r="W346" s="125"/>
    </row>
    <row r="347" spans="17:23">
      <c r="Q347" s="125"/>
      <c r="R347" s="125"/>
      <c r="S347" s="125"/>
      <c r="T347" s="125"/>
      <c r="U347" s="125"/>
      <c r="V347" s="125"/>
      <c r="W347" s="125"/>
    </row>
    <row r="348" spans="17:23">
      <c r="Q348" s="125"/>
      <c r="R348" s="125"/>
      <c r="S348" s="125"/>
      <c r="T348" s="125"/>
      <c r="U348" s="125"/>
      <c r="V348" s="125"/>
      <c r="W348" s="125"/>
    </row>
    <row r="349" spans="17:23">
      <c r="Q349" s="125"/>
      <c r="R349" s="125"/>
      <c r="S349" s="125"/>
      <c r="T349" s="125"/>
      <c r="U349" s="125"/>
      <c r="V349" s="125"/>
      <c r="W349" s="125"/>
    </row>
    <row r="350" spans="17:23">
      <c r="Q350" s="125"/>
      <c r="R350" s="125"/>
      <c r="S350" s="125"/>
      <c r="T350" s="125"/>
      <c r="U350" s="125"/>
      <c r="V350" s="125"/>
      <c r="W350" s="125"/>
    </row>
    <row r="351" spans="17:23">
      <c r="Q351" s="125"/>
      <c r="R351" s="125"/>
      <c r="S351" s="125"/>
      <c r="T351" s="125"/>
      <c r="U351" s="125"/>
      <c r="V351" s="125"/>
      <c r="W351" s="125"/>
    </row>
    <row r="352" spans="17:23">
      <c r="Q352" s="125"/>
      <c r="R352" s="125"/>
      <c r="S352" s="125"/>
      <c r="T352" s="125"/>
      <c r="U352" s="125"/>
      <c r="V352" s="125"/>
      <c r="W352" s="125"/>
    </row>
    <row r="353" spans="17:23">
      <c r="Q353" s="125"/>
      <c r="R353" s="125"/>
      <c r="S353" s="125"/>
      <c r="T353" s="125"/>
      <c r="U353" s="125"/>
      <c r="V353" s="125"/>
      <c r="W353" s="125"/>
    </row>
    <row r="354" spans="17:23">
      <c r="Q354" s="125"/>
      <c r="R354" s="125"/>
      <c r="S354" s="125"/>
      <c r="T354" s="125"/>
      <c r="U354" s="125"/>
      <c r="V354" s="125"/>
      <c r="W354" s="125"/>
    </row>
    <row r="355" spans="17:23">
      <c r="Q355" s="125"/>
      <c r="R355" s="125"/>
      <c r="S355" s="125"/>
      <c r="T355" s="125"/>
      <c r="U355" s="125"/>
      <c r="V355" s="125"/>
      <c r="W355" s="125"/>
    </row>
    <row r="356" spans="17:23">
      <c r="Q356" s="125"/>
      <c r="R356" s="125"/>
      <c r="S356" s="125"/>
      <c r="T356" s="125"/>
      <c r="U356" s="125"/>
      <c r="V356" s="125"/>
      <c r="W356" s="125"/>
    </row>
    <row r="357" spans="17:23">
      <c r="Q357" s="125"/>
      <c r="R357" s="125"/>
      <c r="S357" s="125"/>
      <c r="T357" s="125"/>
      <c r="U357" s="125"/>
      <c r="V357" s="125"/>
      <c r="W357" s="125"/>
    </row>
    <row r="358" spans="17:23">
      <c r="Q358" s="125"/>
      <c r="R358" s="125"/>
      <c r="S358" s="125"/>
      <c r="T358" s="125"/>
      <c r="U358" s="125"/>
      <c r="V358" s="125"/>
      <c r="W358" s="125"/>
    </row>
    <row r="359" spans="17:23">
      <c r="Q359" s="125"/>
      <c r="R359" s="125"/>
      <c r="S359" s="125"/>
      <c r="T359" s="125"/>
      <c r="U359" s="125"/>
      <c r="V359" s="125"/>
      <c r="W359" s="125"/>
    </row>
    <row r="360" spans="17:23">
      <c r="Q360" s="125"/>
      <c r="R360" s="125"/>
      <c r="S360" s="125"/>
      <c r="T360" s="125"/>
      <c r="U360" s="125"/>
      <c r="V360" s="125"/>
      <c r="W360" s="125"/>
    </row>
    <row r="361" spans="17:23">
      <c r="Q361" s="125"/>
      <c r="R361" s="125"/>
      <c r="S361" s="125"/>
      <c r="T361" s="125"/>
      <c r="U361" s="125"/>
      <c r="V361" s="125"/>
      <c r="W361" s="125"/>
    </row>
    <row r="362" spans="17:23">
      <c r="Q362" s="125"/>
      <c r="R362" s="125"/>
      <c r="S362" s="125"/>
      <c r="T362" s="125"/>
      <c r="U362" s="125"/>
      <c r="V362" s="125"/>
      <c r="W362" s="125"/>
    </row>
    <row r="363" spans="17:23">
      <c r="Q363" s="125"/>
      <c r="R363" s="125"/>
      <c r="S363" s="125"/>
      <c r="T363" s="125"/>
      <c r="U363" s="125"/>
      <c r="V363" s="125"/>
      <c r="W363" s="125"/>
    </row>
    <row r="364" spans="17:23">
      <c r="Q364" s="125"/>
      <c r="R364" s="125"/>
      <c r="S364" s="125"/>
      <c r="T364" s="125"/>
      <c r="U364" s="125"/>
      <c r="V364" s="125"/>
      <c r="W364" s="125"/>
    </row>
    <row r="365" spans="17:23">
      <c r="Q365" s="125"/>
      <c r="R365" s="125"/>
      <c r="S365" s="125"/>
      <c r="T365" s="125"/>
      <c r="U365" s="125"/>
      <c r="V365" s="125"/>
      <c r="W365" s="125"/>
    </row>
    <row r="366" spans="17:23">
      <c r="Q366" s="125"/>
      <c r="R366" s="125"/>
      <c r="S366" s="125"/>
      <c r="T366" s="125"/>
      <c r="U366" s="125"/>
      <c r="V366" s="125"/>
      <c r="W366" s="125"/>
    </row>
    <row r="367" spans="17:23">
      <c r="Q367" s="125"/>
      <c r="R367" s="125"/>
      <c r="S367" s="125"/>
      <c r="T367" s="125"/>
      <c r="U367" s="125"/>
      <c r="V367" s="125"/>
      <c r="W367" s="125"/>
    </row>
    <row r="368" spans="17:23">
      <c r="Q368" s="125"/>
      <c r="R368" s="125"/>
      <c r="S368" s="125"/>
      <c r="T368" s="125"/>
      <c r="U368" s="125"/>
      <c r="V368" s="125"/>
      <c r="W368" s="125"/>
    </row>
    <row r="369" spans="17:23">
      <c r="Q369" s="125"/>
      <c r="R369" s="125"/>
      <c r="S369" s="125"/>
      <c r="T369" s="125"/>
      <c r="U369" s="125"/>
      <c r="V369" s="125"/>
      <c r="W369" s="125"/>
    </row>
    <row r="370" spans="17:23">
      <c r="Q370" s="125"/>
      <c r="R370" s="125"/>
      <c r="S370" s="125"/>
      <c r="T370" s="125"/>
      <c r="U370" s="125"/>
      <c r="V370" s="125"/>
      <c r="W370" s="125"/>
    </row>
    <row r="371" spans="17:23">
      <c r="Q371" s="125"/>
      <c r="R371" s="125"/>
      <c r="S371" s="125"/>
      <c r="T371" s="125"/>
      <c r="U371" s="125"/>
      <c r="V371" s="125"/>
      <c r="W371" s="125"/>
    </row>
    <row r="372" spans="17:23">
      <c r="Q372" s="125"/>
      <c r="R372" s="125"/>
      <c r="S372" s="125"/>
      <c r="T372" s="125"/>
      <c r="U372" s="125"/>
      <c r="V372" s="125"/>
      <c r="W372" s="125"/>
    </row>
    <row r="373" spans="17:23">
      <c r="Q373" s="125"/>
      <c r="R373" s="125"/>
      <c r="S373" s="125"/>
      <c r="T373" s="125"/>
      <c r="U373" s="125"/>
      <c r="V373" s="125"/>
      <c r="W373" s="125"/>
    </row>
    <row r="374" spans="17:23">
      <c r="Q374" s="125"/>
      <c r="R374" s="125"/>
      <c r="S374" s="125"/>
      <c r="T374" s="125"/>
      <c r="U374" s="125"/>
      <c r="V374" s="125"/>
      <c r="W374" s="125"/>
    </row>
    <row r="375" spans="17:23">
      <c r="Q375" s="125"/>
      <c r="R375" s="125"/>
      <c r="S375" s="125"/>
      <c r="T375" s="125"/>
      <c r="U375" s="125"/>
      <c r="V375" s="125"/>
      <c r="W375" s="125"/>
    </row>
    <row r="376" spans="17:23">
      <c r="Q376" s="125"/>
      <c r="R376" s="125"/>
      <c r="S376" s="125"/>
      <c r="T376" s="125"/>
      <c r="U376" s="125"/>
      <c r="V376" s="125"/>
      <c r="W376" s="125"/>
    </row>
    <row r="377" spans="17:23">
      <c r="Q377" s="125"/>
      <c r="R377" s="125"/>
      <c r="S377" s="125"/>
      <c r="T377" s="125"/>
      <c r="U377" s="125"/>
      <c r="V377" s="125"/>
      <c r="W377" s="125"/>
    </row>
    <row r="378" spans="17:23">
      <c r="Q378" s="125"/>
      <c r="R378" s="125"/>
      <c r="S378" s="125"/>
      <c r="T378" s="125"/>
      <c r="U378" s="125"/>
      <c r="V378" s="125"/>
      <c r="W378" s="125"/>
    </row>
    <row r="379" spans="17:23">
      <c r="Q379" s="125"/>
      <c r="R379" s="125"/>
      <c r="S379" s="125"/>
      <c r="T379" s="125"/>
      <c r="U379" s="125"/>
      <c r="V379" s="125"/>
      <c r="W379" s="125"/>
    </row>
    <row r="380" spans="17:23">
      <c r="Q380" s="125"/>
      <c r="R380" s="125"/>
      <c r="S380" s="125"/>
      <c r="T380" s="125"/>
      <c r="U380" s="125"/>
      <c r="V380" s="125"/>
      <c r="W380" s="125"/>
    </row>
    <row r="381" spans="17:23">
      <c r="Q381" s="125"/>
      <c r="R381" s="125"/>
      <c r="S381" s="125"/>
      <c r="T381" s="125"/>
      <c r="U381" s="125"/>
      <c r="V381" s="125"/>
      <c r="W381" s="125"/>
    </row>
    <row r="382" spans="17:23">
      <c r="Q382" s="125"/>
      <c r="R382" s="125"/>
      <c r="S382" s="125"/>
      <c r="T382" s="125"/>
      <c r="U382" s="125"/>
      <c r="V382" s="125"/>
      <c r="W382" s="125"/>
    </row>
    <row r="383" spans="17:23">
      <c r="Q383" s="125"/>
      <c r="R383" s="125"/>
      <c r="S383" s="125"/>
      <c r="T383" s="125"/>
      <c r="U383" s="125"/>
      <c r="V383" s="125"/>
      <c r="W383" s="125"/>
    </row>
    <row r="384" spans="17:23">
      <c r="Q384" s="125"/>
      <c r="R384" s="125"/>
      <c r="S384" s="125"/>
      <c r="T384" s="125"/>
      <c r="U384" s="125"/>
      <c r="V384" s="125"/>
      <c r="W384" s="125"/>
    </row>
    <row r="385" spans="17:23">
      <c r="Q385" s="125"/>
      <c r="R385" s="125"/>
      <c r="S385" s="125"/>
      <c r="T385" s="125"/>
      <c r="U385" s="125"/>
      <c r="V385" s="125"/>
      <c r="W385" s="125"/>
    </row>
    <row r="386" spans="17:23">
      <c r="Q386" s="125"/>
      <c r="R386" s="125"/>
      <c r="S386" s="125"/>
      <c r="T386" s="125"/>
      <c r="U386" s="125"/>
      <c r="V386" s="125"/>
      <c r="W386" s="125"/>
    </row>
    <row r="387" spans="17:23">
      <c r="Q387" s="125"/>
      <c r="R387" s="125"/>
      <c r="S387" s="125"/>
      <c r="T387" s="125"/>
      <c r="U387" s="125"/>
      <c r="V387" s="125"/>
      <c r="W387" s="125"/>
    </row>
    <row r="388" spans="17:23">
      <c r="Q388" s="125"/>
      <c r="R388" s="125"/>
      <c r="S388" s="125"/>
      <c r="T388" s="125"/>
      <c r="U388" s="125"/>
      <c r="V388" s="125"/>
      <c r="W388" s="125"/>
    </row>
    <row r="389" spans="17:23">
      <c r="Q389" s="125"/>
      <c r="R389" s="125"/>
      <c r="S389" s="125"/>
      <c r="T389" s="125"/>
      <c r="U389" s="125"/>
      <c r="V389" s="125"/>
      <c r="W389" s="125"/>
    </row>
    <row r="390" spans="17:23">
      <c r="Q390" s="125"/>
      <c r="R390" s="125"/>
      <c r="S390" s="125"/>
      <c r="T390" s="125"/>
      <c r="U390" s="125"/>
      <c r="V390" s="125"/>
      <c r="W390" s="125"/>
    </row>
    <row r="391" spans="17:23">
      <c r="Q391" s="125"/>
      <c r="R391" s="125"/>
      <c r="S391" s="125"/>
      <c r="T391" s="125"/>
      <c r="U391" s="125"/>
      <c r="V391" s="125"/>
      <c r="W391" s="125"/>
    </row>
    <row r="392" spans="17:23">
      <c r="Q392" s="125"/>
      <c r="R392" s="125"/>
      <c r="S392" s="125"/>
      <c r="T392" s="125"/>
      <c r="U392" s="125"/>
      <c r="V392" s="125"/>
      <c r="W392" s="125"/>
    </row>
    <row r="393" spans="17:23">
      <c r="Q393" s="125"/>
      <c r="R393" s="125"/>
      <c r="S393" s="125"/>
      <c r="T393" s="125"/>
      <c r="U393" s="125"/>
      <c r="V393" s="125"/>
      <c r="W393" s="125"/>
    </row>
    <row r="394" spans="17:23">
      <c r="Q394" s="125"/>
      <c r="R394" s="125"/>
      <c r="S394" s="125"/>
      <c r="T394" s="125"/>
      <c r="U394" s="125"/>
      <c r="V394" s="125"/>
      <c r="W394" s="125"/>
    </row>
    <row r="395" spans="17:23">
      <c r="Q395" s="125"/>
      <c r="R395" s="125"/>
      <c r="S395" s="125"/>
      <c r="T395" s="125"/>
      <c r="U395" s="125"/>
      <c r="V395" s="125"/>
      <c r="W395" s="125"/>
    </row>
    <row r="396" spans="17:23">
      <c r="Q396" s="125"/>
      <c r="R396" s="125"/>
      <c r="S396" s="125"/>
      <c r="T396" s="125"/>
      <c r="U396" s="125"/>
      <c r="V396" s="125"/>
      <c r="W396" s="125"/>
    </row>
    <row r="397" spans="17:23">
      <c r="Q397" s="125"/>
      <c r="R397" s="125"/>
      <c r="S397" s="125"/>
      <c r="T397" s="125"/>
      <c r="U397" s="125"/>
      <c r="V397" s="125"/>
      <c r="W397" s="125"/>
    </row>
    <row r="398" spans="17:23">
      <c r="Q398" s="125"/>
      <c r="R398" s="125"/>
      <c r="S398" s="125"/>
      <c r="T398" s="125"/>
      <c r="U398" s="125"/>
      <c r="V398" s="125"/>
      <c r="W398" s="125"/>
    </row>
    <row r="399" spans="17:23">
      <c r="Q399" s="125"/>
      <c r="R399" s="125"/>
      <c r="S399" s="125"/>
      <c r="T399" s="125"/>
      <c r="U399" s="125"/>
      <c r="V399" s="125"/>
      <c r="W399" s="125"/>
    </row>
    <row r="400" spans="17:23">
      <c r="Q400" s="125"/>
      <c r="R400" s="125"/>
      <c r="S400" s="125"/>
      <c r="T400" s="125"/>
      <c r="U400" s="125"/>
      <c r="V400" s="125"/>
      <c r="W400" s="125"/>
    </row>
    <row r="401" spans="17:23">
      <c r="Q401" s="125"/>
      <c r="R401" s="125"/>
      <c r="S401" s="125"/>
      <c r="T401" s="125"/>
      <c r="U401" s="125"/>
      <c r="V401" s="125"/>
      <c r="W401" s="125"/>
    </row>
    <row r="402" spans="17:23">
      <c r="Q402" s="125"/>
      <c r="R402" s="125"/>
      <c r="S402" s="125"/>
      <c r="T402" s="125"/>
      <c r="U402" s="125"/>
      <c r="V402" s="125"/>
      <c r="W402" s="125"/>
    </row>
    <row r="403" spans="17:23">
      <c r="Q403" s="125"/>
      <c r="R403" s="125"/>
      <c r="S403" s="125"/>
      <c r="T403" s="125"/>
      <c r="U403" s="125"/>
      <c r="V403" s="125"/>
      <c r="W403" s="125"/>
    </row>
    <row r="404" spans="17:23">
      <c r="Q404" s="125"/>
      <c r="R404" s="125"/>
      <c r="S404" s="125"/>
      <c r="T404" s="125"/>
      <c r="U404" s="125"/>
      <c r="V404" s="125"/>
      <c r="W404" s="125"/>
    </row>
    <row r="405" spans="17:23">
      <c r="Q405" s="125"/>
      <c r="R405" s="125"/>
      <c r="S405" s="125"/>
      <c r="T405" s="125"/>
      <c r="U405" s="125"/>
      <c r="V405" s="125"/>
      <c r="W405" s="125"/>
    </row>
    <row r="406" spans="17:23">
      <c r="Q406" s="125"/>
      <c r="R406" s="125"/>
      <c r="S406" s="125"/>
      <c r="T406" s="125"/>
      <c r="U406" s="125"/>
      <c r="V406" s="125"/>
      <c r="W406" s="125"/>
    </row>
    <row r="407" spans="17:23">
      <c r="Q407" s="125"/>
      <c r="R407" s="125"/>
      <c r="S407" s="125"/>
      <c r="T407" s="125"/>
      <c r="U407" s="125"/>
      <c r="V407" s="125"/>
      <c r="W407" s="125"/>
    </row>
    <row r="408" spans="17:23">
      <c r="Q408" s="125"/>
      <c r="R408" s="125"/>
      <c r="S408" s="125"/>
      <c r="T408" s="125"/>
      <c r="U408" s="125"/>
      <c r="V408" s="125"/>
      <c r="W408" s="125"/>
    </row>
    <row r="409" spans="17:23">
      <c r="Q409" s="125"/>
      <c r="R409" s="125"/>
      <c r="S409" s="125"/>
      <c r="T409" s="125"/>
      <c r="U409" s="125"/>
      <c r="V409" s="125"/>
      <c r="W409" s="125"/>
    </row>
    <row r="410" spans="17:23">
      <c r="Q410" s="125"/>
      <c r="R410" s="125"/>
      <c r="S410" s="125"/>
      <c r="T410" s="125"/>
      <c r="U410" s="125"/>
      <c r="V410" s="125"/>
      <c r="W410" s="125"/>
    </row>
    <row r="411" spans="17:23">
      <c r="Q411" s="125"/>
      <c r="R411" s="125"/>
      <c r="S411" s="125"/>
      <c r="T411" s="125"/>
      <c r="U411" s="125"/>
      <c r="V411" s="125"/>
      <c r="W411" s="125"/>
    </row>
    <row r="412" spans="17:23">
      <c r="Q412" s="125"/>
      <c r="R412" s="125"/>
      <c r="S412" s="125"/>
      <c r="T412" s="125"/>
      <c r="U412" s="125"/>
      <c r="V412" s="125"/>
      <c r="W412" s="125"/>
    </row>
    <row r="413" spans="17:23">
      <c r="Q413" s="125"/>
      <c r="R413" s="125"/>
      <c r="S413" s="125"/>
      <c r="T413" s="125"/>
      <c r="U413" s="125"/>
      <c r="V413" s="125"/>
      <c r="W413" s="125"/>
    </row>
    <row r="414" spans="17:23">
      <c r="Q414" s="125"/>
      <c r="R414" s="125"/>
      <c r="S414" s="125"/>
      <c r="T414" s="125"/>
      <c r="U414" s="125"/>
      <c r="V414" s="125"/>
      <c r="W414" s="125"/>
    </row>
    <row r="415" spans="17:23">
      <c r="Q415" s="125"/>
      <c r="R415" s="125"/>
      <c r="S415" s="125"/>
      <c r="T415" s="125"/>
      <c r="U415" s="125"/>
      <c r="V415" s="125"/>
      <c r="W415" s="125"/>
    </row>
    <row r="416" spans="17:23">
      <c r="Q416" s="125"/>
      <c r="R416" s="125"/>
      <c r="S416" s="125"/>
      <c r="T416" s="125"/>
      <c r="U416" s="125"/>
      <c r="V416" s="125"/>
      <c r="W416" s="125"/>
    </row>
    <row r="417" spans="17:23">
      <c r="Q417" s="125"/>
      <c r="R417" s="125"/>
      <c r="S417" s="125"/>
      <c r="T417" s="125"/>
      <c r="U417" s="125"/>
      <c r="V417" s="125"/>
      <c r="W417" s="125"/>
    </row>
    <row r="418" spans="17:23">
      <c r="Q418" s="125"/>
      <c r="R418" s="125"/>
      <c r="S418" s="125"/>
      <c r="T418" s="125"/>
      <c r="U418" s="125"/>
      <c r="V418" s="125"/>
      <c r="W418" s="125"/>
    </row>
    <row r="419" spans="17:23">
      <c r="Q419" s="125"/>
      <c r="R419" s="125"/>
      <c r="S419" s="125"/>
      <c r="T419" s="125"/>
      <c r="U419" s="125"/>
      <c r="V419" s="125"/>
      <c r="W419" s="125"/>
    </row>
    <row r="420" spans="17:23">
      <c r="Q420" s="125"/>
      <c r="R420" s="125"/>
      <c r="S420" s="125"/>
      <c r="T420" s="125"/>
      <c r="U420" s="125"/>
      <c r="V420" s="125"/>
      <c r="W420" s="125"/>
    </row>
    <row r="421" spans="17:23">
      <c r="Q421" s="125"/>
      <c r="R421" s="125"/>
      <c r="S421" s="125"/>
      <c r="T421" s="125"/>
      <c r="U421" s="125"/>
      <c r="V421" s="125"/>
      <c r="W421" s="125"/>
    </row>
    <row r="422" spans="17:23">
      <c r="Q422" s="125"/>
      <c r="R422" s="125"/>
      <c r="S422" s="125"/>
      <c r="T422" s="125"/>
      <c r="U422" s="125"/>
      <c r="V422" s="125"/>
      <c r="W422" s="125"/>
    </row>
    <row r="423" spans="17:23">
      <c r="Q423" s="125"/>
      <c r="R423" s="125"/>
      <c r="S423" s="125"/>
      <c r="T423" s="125"/>
      <c r="U423" s="125"/>
      <c r="V423" s="125"/>
      <c r="W423" s="125"/>
    </row>
    <row r="424" spans="17:23">
      <c r="Q424" s="125"/>
      <c r="R424" s="125"/>
      <c r="S424" s="125"/>
      <c r="T424" s="125"/>
      <c r="U424" s="125"/>
      <c r="V424" s="125"/>
      <c r="W424" s="125"/>
    </row>
    <row r="425" spans="17:23">
      <c r="Q425" s="125"/>
      <c r="R425" s="125"/>
      <c r="S425" s="125"/>
      <c r="T425" s="125"/>
      <c r="U425" s="125"/>
      <c r="V425" s="125"/>
      <c r="W425" s="125"/>
    </row>
    <row r="426" spans="17:23">
      <c r="Q426" s="125"/>
      <c r="R426" s="125"/>
      <c r="S426" s="125"/>
      <c r="T426" s="125"/>
      <c r="U426" s="125"/>
      <c r="V426" s="125"/>
      <c r="W426" s="125"/>
    </row>
    <row r="427" spans="17:23">
      <c r="Q427" s="125"/>
      <c r="R427" s="125"/>
      <c r="S427" s="125"/>
      <c r="T427" s="125"/>
      <c r="U427" s="125"/>
      <c r="V427" s="125"/>
      <c r="W427" s="125"/>
    </row>
    <row r="428" spans="17:23">
      <c r="Q428" s="125"/>
      <c r="R428" s="125"/>
      <c r="S428" s="125"/>
      <c r="T428" s="125"/>
      <c r="U428" s="125"/>
      <c r="V428" s="125"/>
      <c r="W428" s="125"/>
    </row>
    <row r="429" spans="17:23">
      <c r="Q429" s="125"/>
      <c r="R429" s="125"/>
      <c r="S429" s="125"/>
      <c r="T429" s="125"/>
      <c r="U429" s="125"/>
      <c r="V429" s="125"/>
      <c r="W429" s="125"/>
    </row>
    <row r="430" spans="17:23">
      <c r="Q430" s="125"/>
      <c r="R430" s="125"/>
      <c r="S430" s="125"/>
      <c r="T430" s="125"/>
      <c r="U430" s="125"/>
      <c r="V430" s="125"/>
      <c r="W430" s="125"/>
    </row>
    <row r="431" spans="17:23">
      <c r="Q431" s="125"/>
      <c r="R431" s="125"/>
      <c r="S431" s="125"/>
      <c r="T431" s="125"/>
      <c r="U431" s="125"/>
      <c r="V431" s="125"/>
      <c r="W431" s="125"/>
    </row>
    <row r="432" spans="17:23">
      <c r="Q432" s="125"/>
      <c r="R432" s="125"/>
      <c r="S432" s="125"/>
      <c r="T432" s="125"/>
      <c r="U432" s="125"/>
      <c r="V432" s="125"/>
      <c r="W432" s="125"/>
    </row>
    <row r="433" spans="17:23">
      <c r="Q433" s="125"/>
      <c r="R433" s="125"/>
      <c r="S433" s="125"/>
      <c r="T433" s="125"/>
      <c r="U433" s="125"/>
      <c r="V433" s="125"/>
      <c r="W433" s="125"/>
    </row>
    <row r="434" spans="17:23">
      <c r="Q434" s="125"/>
      <c r="R434" s="125"/>
      <c r="S434" s="125"/>
      <c r="T434" s="125"/>
      <c r="U434" s="125"/>
      <c r="V434" s="125"/>
      <c r="W434" s="125"/>
    </row>
    <row r="435" spans="17:23">
      <c r="Q435" s="125"/>
      <c r="R435" s="125"/>
      <c r="S435" s="125"/>
      <c r="T435" s="125"/>
      <c r="U435" s="125"/>
      <c r="V435" s="125"/>
      <c r="W435" s="125"/>
    </row>
    <row r="436" spans="17:23">
      <c r="Q436" s="125"/>
      <c r="R436" s="125"/>
      <c r="S436" s="125"/>
      <c r="T436" s="125"/>
      <c r="U436" s="125"/>
      <c r="V436" s="125"/>
      <c r="W436" s="125"/>
    </row>
    <row r="437" spans="17:23">
      <c r="Q437" s="125"/>
      <c r="R437" s="125"/>
      <c r="S437" s="125"/>
      <c r="T437" s="125"/>
      <c r="U437" s="125"/>
      <c r="V437" s="125"/>
      <c r="W437" s="125"/>
    </row>
    <row r="438" spans="17:23">
      <c r="Q438" s="125"/>
      <c r="R438" s="125"/>
      <c r="S438" s="125"/>
      <c r="T438" s="125"/>
      <c r="U438" s="125"/>
      <c r="V438" s="125"/>
      <c r="W438" s="125"/>
    </row>
    <row r="439" spans="17:23">
      <c r="Q439" s="125"/>
      <c r="R439" s="125"/>
      <c r="S439" s="125"/>
      <c r="T439" s="125"/>
      <c r="U439" s="125"/>
      <c r="V439" s="125"/>
      <c r="W439" s="125"/>
    </row>
    <row r="440" spans="17:23">
      <c r="Q440" s="125"/>
      <c r="R440" s="125"/>
      <c r="S440" s="125"/>
      <c r="T440" s="125"/>
      <c r="U440" s="125"/>
      <c r="V440" s="125"/>
      <c r="W440" s="125"/>
    </row>
    <row r="441" spans="17:23">
      <c r="Q441" s="125"/>
      <c r="R441" s="125"/>
      <c r="S441" s="125"/>
      <c r="T441" s="125"/>
      <c r="U441" s="125"/>
      <c r="V441" s="125"/>
      <c r="W441" s="125"/>
    </row>
    <row r="442" spans="17:23">
      <c r="Q442" s="125"/>
      <c r="R442" s="125"/>
      <c r="S442" s="125"/>
      <c r="T442" s="125"/>
      <c r="U442" s="125"/>
      <c r="V442" s="125"/>
      <c r="W442" s="125"/>
    </row>
    <row r="443" spans="17:23">
      <c r="Q443" s="125"/>
      <c r="R443" s="125"/>
      <c r="S443" s="125"/>
      <c r="T443" s="125"/>
      <c r="U443" s="125"/>
      <c r="V443" s="125"/>
      <c r="W443" s="125"/>
    </row>
    <row r="444" spans="17:23">
      <c r="Q444" s="125"/>
      <c r="R444" s="125"/>
      <c r="S444" s="125"/>
      <c r="T444" s="125"/>
      <c r="U444" s="125"/>
      <c r="V444" s="125"/>
      <c r="W444" s="125"/>
    </row>
    <row r="445" spans="17:23">
      <c r="Q445" s="125"/>
      <c r="R445" s="125"/>
      <c r="S445" s="125"/>
      <c r="T445" s="125"/>
      <c r="U445" s="125"/>
      <c r="V445" s="125"/>
      <c r="W445" s="125"/>
    </row>
    <row r="446" spans="17:23">
      <c r="Q446" s="125"/>
      <c r="R446" s="125"/>
      <c r="S446" s="125"/>
      <c r="T446" s="125"/>
      <c r="U446" s="125"/>
      <c r="V446" s="125"/>
      <c r="W446" s="125"/>
    </row>
    <row r="447" spans="17:23">
      <c r="Q447" s="125"/>
      <c r="R447" s="125"/>
      <c r="S447" s="125"/>
      <c r="T447" s="125"/>
      <c r="U447" s="125"/>
      <c r="V447" s="125"/>
      <c r="W447" s="125"/>
    </row>
    <row r="448" spans="17:23">
      <c r="Q448" s="125"/>
      <c r="R448" s="125"/>
      <c r="S448" s="125"/>
      <c r="T448" s="125"/>
      <c r="U448" s="125"/>
      <c r="V448" s="125"/>
      <c r="W448" s="125"/>
    </row>
    <row r="449" spans="17:23">
      <c r="Q449" s="125"/>
      <c r="R449" s="125"/>
      <c r="S449" s="125"/>
      <c r="T449" s="125"/>
      <c r="U449" s="125"/>
      <c r="V449" s="125"/>
      <c r="W449" s="125"/>
    </row>
    <row r="450" spans="17:23">
      <c r="Q450" s="125"/>
      <c r="R450" s="125"/>
      <c r="S450" s="125"/>
      <c r="T450" s="125"/>
      <c r="U450" s="125"/>
      <c r="V450" s="125"/>
      <c r="W450" s="125"/>
    </row>
    <row r="451" spans="17:23">
      <c r="Q451" s="125"/>
      <c r="R451" s="125"/>
      <c r="S451" s="125"/>
      <c r="T451" s="125"/>
      <c r="U451" s="125"/>
      <c r="V451" s="125"/>
      <c r="W451" s="125"/>
    </row>
    <row r="452" spans="17:23">
      <c r="Q452" s="125"/>
      <c r="R452" s="125"/>
      <c r="S452" s="125"/>
      <c r="T452" s="125"/>
      <c r="U452" s="125"/>
      <c r="V452" s="125"/>
      <c r="W452" s="125"/>
    </row>
    <row r="453" spans="17:23">
      <c r="Q453" s="125"/>
      <c r="R453" s="125"/>
      <c r="S453" s="125"/>
      <c r="T453" s="125"/>
      <c r="U453" s="125"/>
      <c r="V453" s="125"/>
      <c r="W453" s="125"/>
    </row>
    <row r="454" spans="17:23">
      <c r="Q454" s="125"/>
      <c r="R454" s="125"/>
      <c r="S454" s="125"/>
      <c r="T454" s="125"/>
      <c r="U454" s="125"/>
      <c r="V454" s="125"/>
      <c r="W454" s="125"/>
    </row>
    <row r="455" spans="17:23">
      <c r="Q455" s="125"/>
      <c r="R455" s="125"/>
      <c r="S455" s="125"/>
      <c r="T455" s="125"/>
      <c r="U455" s="125"/>
      <c r="V455" s="125"/>
      <c r="W455" s="125"/>
    </row>
    <row r="456" spans="17:23">
      <c r="Q456" s="125"/>
      <c r="R456" s="125"/>
      <c r="S456" s="125"/>
      <c r="T456" s="125"/>
      <c r="U456" s="125"/>
      <c r="V456" s="125"/>
      <c r="W456" s="125"/>
    </row>
    <row r="457" spans="17:23">
      <c r="Q457" s="125"/>
      <c r="R457" s="125"/>
      <c r="S457" s="125"/>
      <c r="T457" s="125"/>
      <c r="U457" s="125"/>
      <c r="V457" s="125"/>
      <c r="W457" s="125"/>
    </row>
    <row r="458" spans="17:23">
      <c r="Q458" s="125"/>
      <c r="R458" s="125"/>
      <c r="S458" s="125"/>
      <c r="T458" s="125"/>
      <c r="U458" s="125"/>
      <c r="V458" s="125"/>
      <c r="W458" s="125"/>
    </row>
    <row r="459" spans="17:23">
      <c r="Q459" s="125"/>
      <c r="R459" s="125"/>
      <c r="S459" s="125"/>
      <c r="T459" s="125"/>
      <c r="U459" s="125"/>
      <c r="V459" s="125"/>
      <c r="W459" s="125"/>
    </row>
    <row r="460" spans="17:23">
      <c r="Q460" s="125"/>
      <c r="R460" s="125"/>
      <c r="S460" s="125"/>
      <c r="T460" s="125"/>
      <c r="U460" s="125"/>
      <c r="V460" s="125"/>
      <c r="W460" s="125"/>
    </row>
    <row r="461" spans="17:23">
      <c r="Q461" s="125"/>
      <c r="R461" s="125"/>
      <c r="S461" s="125"/>
      <c r="T461" s="125"/>
      <c r="U461" s="125"/>
      <c r="V461" s="125"/>
      <c r="W461" s="125"/>
    </row>
    <row r="462" spans="17:23">
      <c r="Q462" s="125"/>
      <c r="R462" s="125"/>
      <c r="S462" s="125"/>
      <c r="T462" s="125"/>
      <c r="U462" s="125"/>
      <c r="V462" s="125"/>
      <c r="W462" s="125"/>
    </row>
    <row r="463" spans="17:23">
      <c r="Q463" s="125"/>
      <c r="R463" s="125"/>
      <c r="S463" s="125"/>
      <c r="T463" s="125"/>
      <c r="U463" s="125"/>
      <c r="V463" s="125"/>
      <c r="W463" s="125"/>
    </row>
    <row r="464" spans="17:23">
      <c r="Q464" s="125"/>
      <c r="R464" s="125"/>
      <c r="S464" s="125"/>
      <c r="T464" s="125"/>
      <c r="U464" s="125"/>
      <c r="V464" s="125"/>
      <c r="W464" s="125"/>
    </row>
    <row r="465" spans="17:23">
      <c r="Q465" s="125"/>
      <c r="R465" s="125"/>
      <c r="S465" s="125"/>
      <c r="T465" s="125"/>
      <c r="U465" s="125"/>
      <c r="V465" s="125"/>
      <c r="W465" s="125"/>
    </row>
    <row r="466" spans="17:23">
      <c r="Q466" s="125"/>
      <c r="R466" s="125"/>
      <c r="S466" s="125"/>
      <c r="T466" s="125"/>
      <c r="U466" s="125"/>
      <c r="V466" s="125"/>
      <c r="W466" s="125"/>
    </row>
    <row r="467" spans="17:23">
      <c r="Q467" s="125"/>
      <c r="R467" s="125"/>
      <c r="S467" s="125"/>
      <c r="T467" s="125"/>
      <c r="U467" s="125"/>
      <c r="V467" s="125"/>
      <c r="W467" s="125"/>
    </row>
    <row r="468" spans="17:23">
      <c r="Q468" s="125"/>
      <c r="R468" s="125"/>
      <c r="S468" s="125"/>
      <c r="T468" s="125"/>
      <c r="U468" s="125"/>
      <c r="V468" s="125"/>
      <c r="W468" s="125"/>
    </row>
    <row r="469" spans="17:23">
      <c r="Q469" s="125"/>
      <c r="R469" s="125"/>
      <c r="S469" s="125"/>
      <c r="T469" s="125"/>
      <c r="U469" s="125"/>
      <c r="V469" s="125"/>
      <c r="W469" s="125"/>
    </row>
    <row r="470" spans="17:23">
      <c r="Q470" s="125"/>
      <c r="R470" s="125"/>
      <c r="S470" s="125"/>
      <c r="T470" s="125"/>
      <c r="U470" s="125"/>
      <c r="V470" s="125"/>
      <c r="W470" s="125"/>
    </row>
    <row r="471" spans="17:23">
      <c r="Q471" s="125"/>
      <c r="R471" s="125"/>
      <c r="S471" s="125"/>
      <c r="T471" s="125"/>
      <c r="U471" s="125"/>
      <c r="V471" s="125"/>
      <c r="W471" s="125"/>
    </row>
    <row r="472" spans="17:23">
      <c r="Q472" s="125"/>
      <c r="R472" s="125"/>
      <c r="S472" s="125"/>
      <c r="T472" s="125"/>
      <c r="U472" s="125"/>
      <c r="V472" s="125"/>
      <c r="W472" s="125"/>
    </row>
    <row r="473" spans="17:23">
      <c r="Q473" s="125"/>
      <c r="R473" s="125"/>
      <c r="S473" s="125"/>
      <c r="T473" s="125"/>
      <c r="U473" s="125"/>
      <c r="V473" s="125"/>
      <c r="W473" s="125"/>
    </row>
    <row r="474" spans="17:23">
      <c r="Q474" s="125"/>
      <c r="R474" s="125"/>
      <c r="S474" s="125"/>
      <c r="T474" s="125"/>
      <c r="U474" s="125"/>
      <c r="V474" s="125"/>
      <c r="W474" s="125"/>
    </row>
    <row r="475" spans="17:23">
      <c r="Q475" s="125"/>
      <c r="R475" s="125"/>
      <c r="S475" s="125"/>
      <c r="T475" s="125"/>
      <c r="U475" s="125"/>
      <c r="V475" s="125"/>
      <c r="W475" s="125"/>
    </row>
    <row r="476" spans="17:23">
      <c r="Q476" s="125"/>
      <c r="R476" s="125"/>
      <c r="S476" s="125"/>
      <c r="T476" s="125"/>
      <c r="U476" s="125"/>
      <c r="V476" s="125"/>
      <c r="W476" s="125"/>
    </row>
    <row r="477" spans="17:23">
      <c r="Q477" s="125"/>
      <c r="R477" s="125"/>
      <c r="S477" s="125"/>
      <c r="T477" s="125"/>
      <c r="U477" s="125"/>
      <c r="V477" s="125"/>
      <c r="W477" s="125"/>
    </row>
    <row r="478" spans="17:23">
      <c r="Q478" s="125"/>
      <c r="R478" s="125"/>
      <c r="S478" s="125"/>
      <c r="T478" s="125"/>
      <c r="U478" s="125"/>
      <c r="V478" s="125"/>
      <c r="W478" s="125"/>
    </row>
    <row r="479" spans="17:23">
      <c r="Q479" s="125"/>
      <c r="R479" s="125"/>
      <c r="S479" s="125"/>
      <c r="T479" s="125"/>
      <c r="U479" s="125"/>
      <c r="V479" s="125"/>
      <c r="W479" s="125"/>
    </row>
    <row r="480" spans="17:23">
      <c r="Q480" s="125"/>
      <c r="R480" s="125"/>
      <c r="S480" s="125"/>
      <c r="T480" s="125"/>
      <c r="U480" s="125"/>
      <c r="V480" s="125"/>
      <c r="W480" s="125"/>
    </row>
    <row r="481" spans="17:23">
      <c r="Q481" s="125"/>
      <c r="R481" s="125"/>
      <c r="S481" s="125"/>
      <c r="T481" s="125"/>
      <c r="U481" s="125"/>
      <c r="V481" s="125"/>
      <c r="W481" s="125"/>
    </row>
    <row r="482" spans="17:23">
      <c r="Q482" s="125"/>
      <c r="R482" s="125"/>
      <c r="S482" s="125"/>
      <c r="T482" s="125"/>
      <c r="U482" s="125"/>
      <c r="V482" s="125"/>
      <c r="W482" s="125"/>
    </row>
    <row r="483" spans="17:23">
      <c r="Q483" s="125"/>
      <c r="R483" s="125"/>
      <c r="S483" s="125"/>
      <c r="T483" s="125"/>
      <c r="U483" s="125"/>
      <c r="V483" s="125"/>
      <c r="W483" s="125"/>
    </row>
    <row r="484" spans="17:23">
      <c r="Q484" s="125"/>
      <c r="R484" s="125"/>
      <c r="S484" s="125"/>
      <c r="T484" s="125"/>
      <c r="U484" s="125"/>
      <c r="V484" s="125"/>
      <c r="W484" s="125"/>
    </row>
    <row r="485" spans="17:23">
      <c r="Q485" s="125"/>
      <c r="R485" s="125"/>
      <c r="S485" s="125"/>
      <c r="T485" s="125"/>
      <c r="U485" s="125"/>
      <c r="V485" s="125"/>
      <c r="W485" s="125"/>
    </row>
    <row r="486" spans="17:23">
      <c r="Q486" s="125"/>
      <c r="R486" s="125"/>
      <c r="S486" s="125"/>
      <c r="T486" s="125"/>
      <c r="U486" s="125"/>
      <c r="V486" s="125"/>
      <c r="W486" s="125"/>
    </row>
    <row r="487" spans="17:23">
      <c r="Q487" s="125"/>
      <c r="R487" s="125"/>
      <c r="S487" s="125"/>
      <c r="T487" s="125"/>
      <c r="U487" s="125"/>
      <c r="V487" s="125"/>
      <c r="W487" s="125"/>
    </row>
    <row r="488" spans="17:23">
      <c r="Q488" s="125"/>
      <c r="R488" s="125"/>
      <c r="S488" s="125"/>
      <c r="T488" s="125"/>
      <c r="U488" s="125"/>
      <c r="V488" s="125"/>
      <c r="W488" s="125"/>
    </row>
    <row r="489" spans="17:23">
      <c r="Q489" s="125"/>
      <c r="R489" s="125"/>
      <c r="S489" s="125"/>
      <c r="T489" s="125"/>
      <c r="U489" s="125"/>
      <c r="V489" s="125"/>
      <c r="W489" s="125"/>
    </row>
    <row r="490" spans="17:23">
      <c r="Q490" s="125"/>
      <c r="R490" s="125"/>
      <c r="S490" s="125"/>
      <c r="T490" s="125"/>
      <c r="U490" s="125"/>
      <c r="V490" s="125"/>
      <c r="W490" s="125"/>
    </row>
    <row r="491" spans="17:23">
      <c r="Q491" s="125"/>
      <c r="R491" s="125"/>
      <c r="S491" s="125"/>
      <c r="T491" s="125"/>
      <c r="U491" s="125"/>
      <c r="V491" s="125"/>
      <c r="W491" s="125"/>
    </row>
    <row r="492" spans="17:23">
      <c r="Q492" s="125"/>
      <c r="R492" s="125"/>
      <c r="S492" s="125"/>
      <c r="T492" s="125"/>
      <c r="U492" s="125"/>
      <c r="V492" s="125"/>
      <c r="W492" s="125"/>
    </row>
    <row r="493" spans="17:23">
      <c r="Q493" s="125"/>
      <c r="R493" s="125"/>
      <c r="S493" s="125"/>
      <c r="T493" s="125"/>
      <c r="U493" s="125"/>
      <c r="V493" s="125"/>
      <c r="W493" s="125"/>
    </row>
    <row r="494" spans="17:23">
      <c r="Q494" s="125"/>
      <c r="R494" s="125"/>
      <c r="S494" s="125"/>
      <c r="T494" s="125"/>
      <c r="U494" s="125"/>
      <c r="V494" s="125"/>
      <c r="W494" s="125"/>
    </row>
    <row r="495" spans="17:23">
      <c r="Q495" s="125"/>
      <c r="R495" s="125"/>
      <c r="S495" s="125"/>
      <c r="T495" s="125"/>
      <c r="U495" s="125"/>
      <c r="V495" s="125"/>
      <c r="W495" s="125"/>
    </row>
    <row r="496" spans="17:23">
      <c r="Q496" s="125"/>
      <c r="R496" s="125"/>
      <c r="S496" s="125"/>
      <c r="T496" s="125"/>
      <c r="U496" s="125"/>
      <c r="V496" s="125"/>
      <c r="W496" s="125"/>
    </row>
    <row r="497" spans="17:23">
      <c r="Q497" s="125"/>
      <c r="R497" s="125"/>
      <c r="S497" s="125"/>
      <c r="T497" s="125"/>
      <c r="U497" s="125"/>
      <c r="V497" s="125"/>
      <c r="W497" s="125"/>
    </row>
    <row r="498" spans="17:23">
      <c r="Q498" s="125"/>
      <c r="R498" s="125"/>
      <c r="S498" s="125"/>
      <c r="T498" s="125"/>
      <c r="U498" s="125"/>
      <c r="V498" s="125"/>
      <c r="W498" s="125"/>
    </row>
    <row r="499" spans="17:23">
      <c r="Q499" s="125"/>
      <c r="R499" s="125"/>
      <c r="S499" s="125"/>
      <c r="T499" s="125"/>
      <c r="U499" s="125"/>
      <c r="V499" s="125"/>
      <c r="W499" s="125"/>
    </row>
    <row r="500" spans="17:23">
      <c r="Q500" s="125"/>
      <c r="R500" s="125"/>
      <c r="S500" s="125"/>
      <c r="T500" s="125"/>
      <c r="U500" s="125"/>
      <c r="V500" s="125"/>
      <c r="W500" s="125"/>
    </row>
    <row r="501" spans="17:23">
      <c r="Q501" s="125"/>
      <c r="R501" s="125"/>
      <c r="S501" s="125"/>
      <c r="T501" s="125"/>
      <c r="U501" s="125"/>
      <c r="V501" s="125"/>
      <c r="W501" s="125"/>
    </row>
    <row r="502" spans="17:23">
      <c r="Q502" s="125"/>
      <c r="R502" s="125"/>
      <c r="S502" s="125"/>
      <c r="T502" s="125"/>
      <c r="U502" s="125"/>
      <c r="V502" s="125"/>
      <c r="W502" s="125"/>
    </row>
    <row r="503" spans="17:23">
      <c r="Q503" s="125"/>
      <c r="R503" s="125"/>
      <c r="S503" s="125"/>
      <c r="T503" s="125"/>
      <c r="U503" s="125"/>
      <c r="V503" s="125"/>
      <c r="W503" s="125"/>
    </row>
    <row r="504" spans="17:23">
      <c r="Q504" s="125"/>
      <c r="R504" s="125"/>
      <c r="S504" s="125"/>
      <c r="T504" s="125"/>
      <c r="U504" s="125"/>
      <c r="V504" s="125"/>
      <c r="W504" s="125"/>
    </row>
    <row r="505" spans="17:23">
      <c r="Q505" s="125"/>
      <c r="R505" s="125"/>
      <c r="S505" s="125"/>
      <c r="T505" s="125"/>
      <c r="U505" s="125"/>
      <c r="V505" s="125"/>
      <c r="W505" s="125"/>
    </row>
    <row r="506" spans="17:23">
      <c r="Q506" s="125"/>
      <c r="R506" s="125"/>
      <c r="S506" s="125"/>
      <c r="T506" s="125"/>
      <c r="U506" s="125"/>
      <c r="V506" s="125"/>
      <c r="W506" s="125"/>
    </row>
    <row r="507" spans="17:23">
      <c r="Q507" s="125"/>
      <c r="R507" s="125"/>
      <c r="S507" s="125"/>
      <c r="T507" s="125"/>
      <c r="U507" s="125"/>
      <c r="V507" s="125"/>
      <c r="W507" s="125"/>
    </row>
    <row r="508" spans="17:23">
      <c r="Q508" s="125"/>
      <c r="R508" s="125"/>
      <c r="S508" s="125"/>
      <c r="T508" s="125"/>
      <c r="U508" s="125"/>
      <c r="V508" s="125"/>
      <c r="W508" s="125"/>
    </row>
    <row r="509" spans="17:23">
      <c r="Q509" s="125"/>
      <c r="R509" s="125"/>
      <c r="S509" s="125"/>
      <c r="T509" s="125"/>
      <c r="U509" s="125"/>
      <c r="V509" s="125"/>
      <c r="W509" s="125"/>
    </row>
    <row r="510" spans="17:23">
      <c r="Q510" s="125"/>
      <c r="R510" s="125"/>
      <c r="S510" s="125"/>
      <c r="T510" s="125"/>
      <c r="U510" s="125"/>
      <c r="V510" s="125"/>
      <c r="W510" s="125"/>
    </row>
    <row r="511" spans="17:23">
      <c r="Q511" s="125"/>
      <c r="R511" s="125"/>
      <c r="S511" s="125"/>
      <c r="T511" s="125"/>
      <c r="U511" s="125"/>
      <c r="V511" s="125"/>
      <c r="W511" s="125"/>
    </row>
    <row r="512" spans="17:23">
      <c r="Q512" s="125"/>
      <c r="R512" s="125"/>
      <c r="S512" s="125"/>
      <c r="T512" s="125"/>
      <c r="U512" s="125"/>
      <c r="V512" s="125"/>
      <c r="W512" s="125"/>
    </row>
    <row r="513" spans="17:23">
      <c r="Q513" s="125"/>
      <c r="R513" s="125"/>
      <c r="S513" s="125"/>
      <c r="T513" s="125"/>
      <c r="U513" s="125"/>
      <c r="V513" s="125"/>
      <c r="W513" s="125"/>
    </row>
    <row r="514" spans="17:23">
      <c r="Q514" s="125"/>
      <c r="R514" s="125"/>
      <c r="S514" s="125"/>
      <c r="T514" s="125"/>
      <c r="U514" s="125"/>
      <c r="V514" s="125"/>
      <c r="W514" s="125"/>
    </row>
    <row r="515" spans="17:23">
      <c r="Q515" s="125"/>
      <c r="R515" s="125"/>
      <c r="S515" s="125"/>
      <c r="T515" s="125"/>
      <c r="U515" s="125"/>
      <c r="V515" s="125"/>
      <c r="W515" s="125"/>
    </row>
    <row r="516" spans="17:23">
      <c r="Q516" s="125"/>
      <c r="R516" s="125"/>
      <c r="S516" s="125"/>
      <c r="T516" s="125"/>
      <c r="U516" s="125"/>
      <c r="V516" s="125"/>
      <c r="W516" s="125"/>
    </row>
    <row r="517" spans="17:23">
      <c r="Q517" s="125"/>
      <c r="R517" s="125"/>
      <c r="S517" s="125"/>
      <c r="T517" s="125"/>
      <c r="U517" s="125"/>
      <c r="V517" s="125"/>
      <c r="W517" s="125"/>
    </row>
    <row r="518" spans="17:23">
      <c r="Q518" s="125"/>
      <c r="R518" s="125"/>
      <c r="S518" s="125"/>
      <c r="T518" s="125"/>
      <c r="U518" s="125"/>
      <c r="V518" s="125"/>
      <c r="W518" s="125"/>
    </row>
    <row r="519" spans="17:23">
      <c r="Q519" s="125"/>
      <c r="R519" s="125"/>
      <c r="S519" s="125"/>
      <c r="T519" s="125"/>
      <c r="U519" s="125"/>
      <c r="V519" s="125"/>
      <c r="W519" s="125"/>
    </row>
    <row r="520" spans="17:23">
      <c r="Q520" s="125"/>
      <c r="R520" s="125"/>
      <c r="S520" s="125"/>
      <c r="T520" s="125"/>
      <c r="U520" s="125"/>
      <c r="V520" s="125"/>
      <c r="W520" s="125"/>
    </row>
    <row r="521" spans="17:23">
      <c r="Q521" s="125"/>
      <c r="R521" s="125"/>
      <c r="S521" s="125"/>
      <c r="T521" s="125"/>
      <c r="U521" s="125"/>
      <c r="V521" s="125"/>
      <c r="W521" s="125"/>
    </row>
    <row r="522" spans="17:23">
      <c r="Q522" s="125"/>
      <c r="R522" s="125"/>
      <c r="S522" s="125"/>
      <c r="T522" s="125"/>
      <c r="U522" s="125"/>
      <c r="V522" s="125"/>
      <c r="W522" s="125"/>
    </row>
    <row r="523" spans="17:23">
      <c r="Q523" s="125"/>
      <c r="R523" s="125"/>
      <c r="S523" s="125"/>
      <c r="T523" s="125"/>
      <c r="U523" s="125"/>
      <c r="V523" s="125"/>
      <c r="W523" s="125"/>
    </row>
    <row r="524" spans="17:23">
      <c r="Q524" s="125"/>
      <c r="R524" s="125"/>
      <c r="S524" s="125"/>
      <c r="T524" s="125"/>
      <c r="U524" s="125"/>
      <c r="V524" s="125"/>
      <c r="W524" s="125"/>
    </row>
    <row r="525" spans="17:23">
      <c r="Q525" s="125"/>
      <c r="R525" s="125"/>
      <c r="S525" s="125"/>
      <c r="T525" s="125"/>
      <c r="U525" s="125"/>
      <c r="V525" s="125"/>
      <c r="W525" s="125"/>
    </row>
    <row r="526" spans="17:23">
      <c r="Q526" s="125"/>
      <c r="R526" s="125"/>
      <c r="S526" s="125"/>
      <c r="T526" s="125"/>
      <c r="U526" s="125"/>
      <c r="V526" s="125"/>
      <c r="W526" s="125"/>
    </row>
    <row r="527" spans="17:23">
      <c r="Q527" s="125"/>
      <c r="R527" s="125"/>
      <c r="S527" s="125"/>
      <c r="T527" s="125"/>
      <c r="U527" s="125"/>
      <c r="V527" s="125"/>
      <c r="W527" s="125"/>
    </row>
    <row r="528" spans="17:23">
      <c r="Q528" s="125"/>
      <c r="R528" s="125"/>
      <c r="S528" s="125"/>
      <c r="T528" s="125"/>
      <c r="U528" s="125"/>
      <c r="V528" s="125"/>
      <c r="W528" s="125"/>
    </row>
    <row r="529" spans="17:23">
      <c r="Q529" s="125"/>
      <c r="R529" s="125"/>
      <c r="S529" s="125"/>
      <c r="T529" s="125"/>
      <c r="U529" s="125"/>
      <c r="V529" s="125"/>
      <c r="W529" s="125"/>
    </row>
    <row r="530" spans="17:23">
      <c r="Q530" s="125"/>
      <c r="R530" s="125"/>
      <c r="S530" s="125"/>
      <c r="T530" s="125"/>
      <c r="U530" s="125"/>
      <c r="V530" s="125"/>
      <c r="W530" s="125"/>
    </row>
    <row r="531" spans="17:23">
      <c r="Q531" s="125"/>
      <c r="R531" s="125"/>
      <c r="S531" s="125"/>
      <c r="T531" s="125"/>
      <c r="U531" s="125"/>
      <c r="V531" s="125"/>
      <c r="W531" s="125"/>
    </row>
    <row r="532" spans="17:23">
      <c r="Q532" s="125"/>
      <c r="R532" s="125"/>
      <c r="S532" s="125"/>
      <c r="T532" s="125"/>
      <c r="U532" s="125"/>
      <c r="V532" s="125"/>
      <c r="W532" s="125"/>
    </row>
    <row r="533" spans="17:23">
      <c r="Q533" s="125"/>
      <c r="R533" s="125"/>
      <c r="S533" s="125"/>
      <c r="T533" s="125"/>
      <c r="U533" s="125"/>
      <c r="V533" s="125"/>
      <c r="W533" s="125"/>
    </row>
    <row r="534" spans="17:23">
      <c r="Q534" s="125"/>
      <c r="R534" s="125"/>
      <c r="S534" s="125"/>
      <c r="T534" s="125"/>
      <c r="U534" s="125"/>
      <c r="V534" s="125"/>
      <c r="W534" s="125"/>
    </row>
    <row r="535" spans="17:23">
      <c r="Q535" s="125"/>
      <c r="R535" s="125"/>
      <c r="S535" s="125"/>
      <c r="T535" s="125"/>
      <c r="U535" s="125"/>
      <c r="V535" s="125"/>
      <c r="W535" s="125"/>
    </row>
    <row r="536" spans="17:23">
      <c r="Q536" s="125"/>
      <c r="R536" s="125"/>
      <c r="S536" s="125"/>
      <c r="T536" s="125"/>
      <c r="U536" s="125"/>
      <c r="V536" s="125"/>
      <c r="W536" s="125"/>
    </row>
    <row r="537" spans="17:23">
      <c r="Q537" s="125"/>
      <c r="R537" s="125"/>
      <c r="S537" s="125"/>
      <c r="T537" s="125"/>
      <c r="U537" s="125"/>
      <c r="V537" s="125"/>
      <c r="W537" s="125"/>
    </row>
    <row r="538" spans="17:23">
      <c r="Q538" s="125"/>
      <c r="R538" s="125"/>
      <c r="S538" s="125"/>
      <c r="T538" s="125"/>
      <c r="U538" s="125"/>
      <c r="V538" s="125"/>
      <c r="W538" s="125"/>
    </row>
    <row r="539" spans="17:23">
      <c r="Q539" s="125"/>
      <c r="R539" s="125"/>
      <c r="S539" s="125"/>
      <c r="T539" s="125"/>
      <c r="U539" s="125"/>
      <c r="V539" s="125"/>
      <c r="W539" s="125"/>
    </row>
    <row r="540" spans="17:23">
      <c r="Q540" s="125"/>
      <c r="R540" s="125"/>
      <c r="S540" s="125"/>
      <c r="T540" s="125"/>
      <c r="U540" s="125"/>
      <c r="V540" s="125"/>
      <c r="W540" s="125"/>
    </row>
    <row r="541" spans="17:23">
      <c r="Q541" s="125"/>
      <c r="R541" s="125"/>
      <c r="S541" s="125"/>
      <c r="T541" s="125"/>
      <c r="U541" s="125"/>
      <c r="V541" s="125"/>
      <c r="W541" s="125"/>
    </row>
    <row r="542" spans="17:23">
      <c r="Q542" s="125"/>
      <c r="R542" s="125"/>
      <c r="S542" s="125"/>
      <c r="T542" s="125"/>
      <c r="U542" s="125"/>
      <c r="V542" s="125"/>
      <c r="W542" s="125"/>
    </row>
    <row r="543" spans="17:23">
      <c r="Q543" s="125"/>
      <c r="R543" s="125"/>
      <c r="S543" s="125"/>
      <c r="T543" s="125"/>
      <c r="U543" s="125"/>
      <c r="V543" s="125"/>
      <c r="W543" s="125"/>
    </row>
    <row r="544" spans="17:23">
      <c r="Q544" s="125"/>
      <c r="R544" s="125"/>
      <c r="S544" s="125"/>
      <c r="T544" s="125"/>
      <c r="U544" s="125"/>
      <c r="V544" s="125"/>
      <c r="W544" s="125"/>
    </row>
    <row r="545" spans="17:23">
      <c r="Q545" s="125"/>
      <c r="R545" s="125"/>
      <c r="S545" s="125"/>
      <c r="T545" s="125"/>
      <c r="U545" s="125"/>
      <c r="V545" s="125"/>
      <c r="W545" s="125"/>
    </row>
    <row r="546" spans="17:23">
      <c r="Q546" s="125"/>
      <c r="R546" s="125"/>
      <c r="S546" s="125"/>
      <c r="T546" s="125"/>
      <c r="U546" s="125"/>
      <c r="V546" s="125"/>
      <c r="W546" s="125"/>
    </row>
    <row r="547" spans="17:23">
      <c r="Q547" s="125"/>
      <c r="R547" s="125"/>
      <c r="S547" s="125"/>
      <c r="T547" s="125"/>
      <c r="U547" s="125"/>
      <c r="V547" s="125"/>
      <c r="W547" s="125"/>
    </row>
    <row r="548" spans="17:23">
      <c r="Q548" s="125"/>
      <c r="R548" s="125"/>
      <c r="S548" s="125"/>
      <c r="T548" s="125"/>
      <c r="U548" s="125"/>
      <c r="V548" s="125"/>
      <c r="W548" s="125"/>
    </row>
    <row r="549" spans="17:23">
      <c r="Q549" s="125"/>
      <c r="R549" s="125"/>
      <c r="S549" s="125"/>
      <c r="T549" s="125"/>
      <c r="U549" s="125"/>
      <c r="V549" s="125"/>
      <c r="W549" s="125"/>
    </row>
    <row r="550" spans="17:23">
      <c r="Q550" s="125"/>
      <c r="R550" s="125"/>
      <c r="S550" s="125"/>
      <c r="T550" s="125"/>
      <c r="U550" s="125"/>
      <c r="V550" s="125"/>
      <c r="W550" s="125"/>
    </row>
    <row r="551" spans="17:23">
      <c r="Q551" s="125"/>
      <c r="R551" s="125"/>
      <c r="S551" s="125"/>
      <c r="T551" s="125"/>
      <c r="U551" s="125"/>
      <c r="V551" s="125"/>
      <c r="W551" s="125"/>
    </row>
    <row r="552" spans="17:23">
      <c r="Q552" s="125"/>
      <c r="R552" s="125"/>
      <c r="S552" s="125"/>
      <c r="T552" s="125"/>
      <c r="U552" s="125"/>
      <c r="V552" s="125"/>
      <c r="W552" s="125"/>
    </row>
    <row r="553" spans="17:23">
      <c r="Q553" s="125"/>
      <c r="R553" s="125"/>
      <c r="S553" s="125"/>
      <c r="T553" s="125"/>
      <c r="U553" s="125"/>
      <c r="V553" s="125"/>
      <c r="W553" s="125"/>
    </row>
    <row r="554" spans="17:23">
      <c r="Q554" s="125"/>
      <c r="R554" s="125"/>
      <c r="S554" s="125"/>
      <c r="T554" s="125"/>
      <c r="U554" s="125"/>
      <c r="V554" s="125"/>
      <c r="W554" s="125"/>
    </row>
    <row r="555" spans="17:23">
      <c r="Q555" s="125"/>
      <c r="R555" s="125"/>
      <c r="S555" s="125"/>
      <c r="T555" s="125"/>
      <c r="U555" s="125"/>
      <c r="V555" s="125"/>
      <c r="W555" s="125"/>
    </row>
    <row r="556" spans="17:23">
      <c r="Q556" s="125"/>
      <c r="R556" s="125"/>
      <c r="S556" s="125"/>
      <c r="T556" s="125"/>
      <c r="U556" s="125"/>
      <c r="V556" s="125"/>
      <c r="W556" s="125"/>
    </row>
    <row r="557" spans="17:23">
      <c r="Q557" s="125"/>
      <c r="R557" s="125"/>
      <c r="S557" s="125"/>
      <c r="T557" s="125"/>
      <c r="U557" s="125"/>
      <c r="V557" s="125"/>
      <c r="W557" s="125"/>
    </row>
    <row r="558" spans="17:23">
      <c r="Q558" s="125"/>
      <c r="R558" s="125"/>
      <c r="S558" s="125"/>
      <c r="T558" s="125"/>
      <c r="U558" s="125"/>
      <c r="V558" s="125"/>
      <c r="W558" s="125"/>
    </row>
    <row r="559" spans="17:23">
      <c r="Q559" s="125"/>
      <c r="R559" s="125"/>
      <c r="S559" s="125"/>
      <c r="T559" s="125"/>
      <c r="U559" s="125"/>
      <c r="V559" s="125"/>
      <c r="W559" s="125"/>
    </row>
    <row r="560" spans="17:23">
      <c r="Q560" s="125"/>
      <c r="R560" s="125"/>
      <c r="S560" s="125"/>
      <c r="T560" s="125"/>
      <c r="U560" s="125"/>
      <c r="V560" s="125"/>
      <c r="W560" s="125"/>
    </row>
    <row r="561" spans="17:23">
      <c r="Q561" s="125"/>
      <c r="R561" s="125"/>
      <c r="S561" s="125"/>
      <c r="T561" s="125"/>
      <c r="U561" s="125"/>
      <c r="V561" s="125"/>
      <c r="W561" s="125"/>
    </row>
    <row r="562" spans="17:23">
      <c r="Q562" s="125"/>
      <c r="R562" s="125"/>
      <c r="S562" s="125"/>
      <c r="T562" s="125"/>
      <c r="U562" s="125"/>
      <c r="V562" s="125"/>
      <c r="W562" s="125"/>
    </row>
    <row r="563" spans="17:23">
      <c r="Q563" s="125"/>
      <c r="R563" s="125"/>
      <c r="S563" s="125"/>
      <c r="T563" s="125"/>
      <c r="U563" s="125"/>
      <c r="V563" s="125"/>
      <c r="W563" s="125"/>
    </row>
    <row r="564" spans="17:23">
      <c r="Q564" s="125"/>
      <c r="R564" s="125"/>
      <c r="S564" s="125"/>
      <c r="T564" s="125"/>
      <c r="U564" s="125"/>
      <c r="V564" s="125"/>
      <c r="W564" s="125"/>
    </row>
    <row r="565" spans="17:23">
      <c r="Q565" s="125"/>
      <c r="R565" s="125"/>
      <c r="S565" s="125"/>
      <c r="T565" s="125"/>
      <c r="U565" s="125"/>
      <c r="V565" s="125"/>
      <c r="W565" s="125"/>
    </row>
    <row r="566" spans="17:23">
      <c r="Q566" s="125"/>
      <c r="R566" s="125"/>
      <c r="S566" s="125"/>
      <c r="T566" s="125"/>
      <c r="U566" s="125"/>
      <c r="V566" s="125"/>
      <c r="W566" s="125"/>
    </row>
    <row r="567" spans="17:23">
      <c r="Q567" s="125"/>
      <c r="R567" s="125"/>
      <c r="S567" s="125"/>
      <c r="T567" s="125"/>
      <c r="U567" s="125"/>
      <c r="V567" s="125"/>
      <c r="W567" s="125"/>
    </row>
    <row r="568" spans="17:23">
      <c r="Q568" s="125"/>
      <c r="R568" s="125"/>
      <c r="S568" s="125"/>
      <c r="T568" s="125"/>
      <c r="U568" s="125"/>
      <c r="V568" s="125"/>
      <c r="W568" s="125"/>
    </row>
    <row r="569" spans="17:23">
      <c r="Q569" s="125"/>
      <c r="R569" s="125"/>
      <c r="S569" s="125"/>
      <c r="T569" s="125"/>
      <c r="U569" s="125"/>
      <c r="V569" s="125"/>
      <c r="W569" s="125"/>
    </row>
    <row r="570" spans="17:23">
      <c r="Q570" s="125"/>
      <c r="R570" s="125"/>
      <c r="S570" s="125"/>
      <c r="T570" s="125"/>
      <c r="U570" s="125"/>
      <c r="V570" s="125"/>
      <c r="W570" s="125"/>
    </row>
    <row r="571" spans="17:23">
      <c r="Q571" s="125"/>
      <c r="R571" s="125"/>
      <c r="S571" s="125"/>
      <c r="T571" s="125"/>
      <c r="U571" s="125"/>
      <c r="V571" s="125"/>
      <c r="W571" s="125"/>
    </row>
    <row r="572" spans="17:23">
      <c r="Q572" s="125"/>
      <c r="R572" s="125"/>
      <c r="S572" s="125"/>
      <c r="T572" s="125"/>
      <c r="U572" s="125"/>
      <c r="V572" s="125"/>
      <c r="W572" s="125"/>
    </row>
    <row r="573" spans="17:23">
      <c r="Q573" s="125"/>
      <c r="R573" s="125"/>
      <c r="S573" s="125"/>
      <c r="T573" s="125"/>
      <c r="U573" s="125"/>
      <c r="V573" s="125"/>
      <c r="W573" s="125"/>
    </row>
    <row r="574" spans="17:23">
      <c r="Q574" s="125"/>
      <c r="R574" s="125"/>
      <c r="S574" s="125"/>
      <c r="T574" s="125"/>
      <c r="U574" s="125"/>
      <c r="V574" s="125"/>
      <c r="W574" s="125"/>
    </row>
    <row r="575" spans="17:23">
      <c r="Q575" s="125"/>
      <c r="R575" s="125"/>
      <c r="S575" s="125"/>
      <c r="T575" s="125"/>
      <c r="U575" s="125"/>
      <c r="V575" s="125"/>
      <c r="W575" s="125"/>
    </row>
    <row r="576" spans="17:23">
      <c r="Q576" s="125"/>
      <c r="R576" s="125"/>
      <c r="S576" s="125"/>
      <c r="T576" s="125"/>
      <c r="U576" s="125"/>
      <c r="V576" s="125"/>
      <c r="W576" s="125"/>
    </row>
    <row r="577" spans="17:23">
      <c r="Q577" s="125"/>
      <c r="R577" s="125"/>
      <c r="S577" s="125"/>
      <c r="T577" s="125"/>
      <c r="U577" s="125"/>
      <c r="V577" s="125"/>
      <c r="W577" s="125"/>
    </row>
    <row r="578" spans="17:23">
      <c r="Q578" s="125"/>
      <c r="R578" s="125"/>
      <c r="S578" s="125"/>
      <c r="T578" s="125"/>
      <c r="U578" s="125"/>
      <c r="V578" s="125"/>
      <c r="W578" s="125"/>
    </row>
    <row r="579" spans="17:23">
      <c r="Q579" s="125"/>
      <c r="R579" s="125"/>
      <c r="S579" s="125"/>
      <c r="T579" s="125"/>
      <c r="U579" s="125"/>
      <c r="V579" s="125"/>
      <c r="W579" s="125"/>
    </row>
    <row r="580" spans="17:23">
      <c r="Q580" s="125"/>
      <c r="R580" s="125"/>
      <c r="S580" s="125"/>
      <c r="T580" s="125"/>
      <c r="U580" s="125"/>
      <c r="V580" s="125"/>
      <c r="W580" s="125"/>
    </row>
    <row r="581" spans="17:23">
      <c r="Q581" s="125"/>
      <c r="R581" s="125"/>
      <c r="S581" s="125"/>
      <c r="T581" s="125"/>
      <c r="U581" s="125"/>
      <c r="V581" s="125"/>
      <c r="W581" s="125"/>
    </row>
    <row r="582" spans="17:23">
      <c r="Q582" s="125"/>
      <c r="R582" s="125"/>
      <c r="S582" s="125"/>
      <c r="T582" s="125"/>
      <c r="U582" s="125"/>
      <c r="V582" s="125"/>
      <c r="W582" s="125"/>
    </row>
    <row r="583" spans="17:23">
      <c r="Q583" s="125"/>
      <c r="R583" s="125"/>
      <c r="S583" s="125"/>
      <c r="T583" s="125"/>
      <c r="U583" s="125"/>
      <c r="V583" s="125"/>
      <c r="W583" s="125"/>
    </row>
    <row r="584" spans="17:23">
      <c r="Q584" s="125"/>
      <c r="R584" s="125"/>
      <c r="S584" s="125"/>
      <c r="T584" s="125"/>
      <c r="U584" s="125"/>
      <c r="V584" s="125"/>
      <c r="W584" s="125"/>
    </row>
    <row r="585" spans="17:23">
      <c r="Q585" s="125"/>
      <c r="R585" s="125"/>
      <c r="S585" s="125"/>
      <c r="T585" s="125"/>
      <c r="U585" s="125"/>
      <c r="V585" s="125"/>
      <c r="W585" s="125"/>
    </row>
    <row r="586" spans="17:23">
      <c r="Q586" s="125"/>
      <c r="R586" s="125"/>
      <c r="S586" s="125"/>
      <c r="T586" s="125"/>
      <c r="U586" s="125"/>
      <c r="V586" s="125"/>
      <c r="W586" s="125"/>
    </row>
    <row r="587" spans="17:23">
      <c r="Q587" s="125"/>
      <c r="R587" s="125"/>
      <c r="S587" s="125"/>
      <c r="T587" s="125"/>
      <c r="U587" s="125"/>
      <c r="V587" s="125"/>
      <c r="W587" s="125"/>
    </row>
    <row r="588" spans="17:23">
      <c r="Q588" s="125"/>
      <c r="R588" s="125"/>
      <c r="S588" s="125"/>
      <c r="T588" s="125"/>
      <c r="U588" s="125"/>
      <c r="V588" s="125"/>
      <c r="W588" s="125"/>
    </row>
    <row r="589" spans="17:23">
      <c r="Q589" s="125"/>
      <c r="R589" s="125"/>
      <c r="S589" s="125"/>
      <c r="T589" s="125"/>
      <c r="U589" s="125"/>
      <c r="V589" s="125"/>
      <c r="W589" s="125"/>
    </row>
    <row r="590" spans="17:23">
      <c r="Q590" s="125"/>
      <c r="R590" s="125"/>
      <c r="S590" s="125"/>
      <c r="T590" s="125"/>
      <c r="U590" s="125"/>
      <c r="V590" s="125"/>
      <c r="W590" s="125"/>
    </row>
    <row r="591" spans="17:23">
      <c r="Q591" s="125"/>
      <c r="R591" s="125"/>
      <c r="S591" s="125"/>
      <c r="T591" s="125"/>
      <c r="U591" s="125"/>
      <c r="V591" s="125"/>
      <c r="W591" s="125"/>
    </row>
    <row r="592" spans="17:23">
      <c r="Q592" s="125"/>
      <c r="R592" s="125"/>
      <c r="S592" s="125"/>
      <c r="T592" s="125"/>
      <c r="U592" s="125"/>
      <c r="V592" s="125"/>
      <c r="W592" s="125"/>
    </row>
    <row r="593" spans="17:23">
      <c r="Q593" s="125"/>
      <c r="R593" s="125"/>
      <c r="S593" s="125"/>
      <c r="T593" s="125"/>
      <c r="U593" s="125"/>
      <c r="V593" s="125"/>
      <c r="W593" s="125"/>
    </row>
    <row r="594" spans="17:23">
      <c r="Q594" s="125"/>
      <c r="R594" s="125"/>
      <c r="S594" s="125"/>
      <c r="T594" s="125"/>
      <c r="U594" s="125"/>
      <c r="V594" s="125"/>
      <c r="W594" s="125"/>
    </row>
    <row r="595" spans="17:23">
      <c r="Q595" s="125"/>
      <c r="R595" s="125"/>
      <c r="S595" s="125"/>
      <c r="T595" s="125"/>
      <c r="U595" s="125"/>
      <c r="V595" s="125"/>
      <c r="W595" s="125"/>
    </row>
    <row r="596" spans="17:23">
      <c r="Q596" s="125"/>
      <c r="R596" s="125"/>
      <c r="S596" s="125"/>
      <c r="T596" s="125"/>
      <c r="U596" s="125"/>
      <c r="V596" s="125"/>
      <c r="W596" s="125"/>
    </row>
    <row r="597" spans="17:23">
      <c r="Q597" s="125"/>
      <c r="R597" s="125"/>
      <c r="S597" s="125"/>
      <c r="T597" s="125"/>
      <c r="U597" s="125"/>
      <c r="V597" s="125"/>
      <c r="W597" s="125"/>
    </row>
    <row r="598" spans="17:23">
      <c r="Q598" s="125"/>
      <c r="R598" s="125"/>
      <c r="S598" s="125"/>
      <c r="T598" s="125"/>
      <c r="U598" s="125"/>
      <c r="V598" s="125"/>
      <c r="W598" s="125"/>
    </row>
    <row r="599" spans="17:23">
      <c r="Q599" s="125"/>
      <c r="R599" s="125"/>
      <c r="S599" s="125"/>
      <c r="T599" s="125"/>
      <c r="U599" s="125"/>
      <c r="V599" s="125"/>
      <c r="W599" s="125"/>
    </row>
    <row r="600" spans="17:23">
      <c r="Q600" s="125"/>
      <c r="R600" s="125"/>
      <c r="S600" s="125"/>
      <c r="T600" s="125"/>
      <c r="U600" s="125"/>
      <c r="V600" s="125"/>
      <c r="W600" s="125"/>
    </row>
    <row r="601" spans="17:23">
      <c r="Q601" s="125"/>
      <c r="R601" s="125"/>
      <c r="S601" s="125"/>
      <c r="T601" s="125"/>
      <c r="U601" s="125"/>
      <c r="V601" s="125"/>
      <c r="W601" s="125"/>
    </row>
    <row r="602" spans="17:23">
      <c r="Q602" s="125"/>
      <c r="R602" s="125"/>
      <c r="S602" s="125"/>
      <c r="T602" s="125"/>
      <c r="U602" s="125"/>
      <c r="V602" s="125"/>
      <c r="W602" s="125"/>
    </row>
    <row r="603" spans="17:23">
      <c r="Q603" s="125"/>
      <c r="R603" s="125"/>
      <c r="S603" s="125"/>
      <c r="T603" s="125"/>
      <c r="U603" s="125"/>
      <c r="V603" s="125"/>
      <c r="W603" s="125"/>
    </row>
    <row r="604" spans="17:23">
      <c r="Q604" s="125"/>
      <c r="R604" s="125"/>
      <c r="S604" s="125"/>
      <c r="T604" s="125"/>
      <c r="U604" s="125"/>
      <c r="V604" s="125"/>
      <c r="W604" s="125"/>
    </row>
    <row r="605" spans="17:23">
      <c r="Q605" s="125"/>
      <c r="R605" s="125"/>
      <c r="S605" s="125"/>
      <c r="T605" s="125"/>
      <c r="U605" s="125"/>
      <c r="V605" s="125"/>
      <c r="W605" s="125"/>
    </row>
    <row r="606" spans="17:23">
      <c r="Q606" s="125"/>
      <c r="R606" s="125"/>
      <c r="S606" s="125"/>
      <c r="T606" s="125"/>
      <c r="U606" s="125"/>
      <c r="V606" s="125"/>
      <c r="W606" s="125"/>
    </row>
    <row r="607" spans="17:23">
      <c r="Q607" s="125"/>
      <c r="R607" s="125"/>
      <c r="S607" s="125"/>
      <c r="T607" s="125"/>
      <c r="U607" s="125"/>
      <c r="V607" s="125"/>
      <c r="W607" s="125"/>
    </row>
    <row r="608" spans="17:23">
      <c r="Q608" s="125"/>
      <c r="R608" s="125"/>
      <c r="S608" s="125"/>
      <c r="T608" s="125"/>
      <c r="U608" s="125"/>
      <c r="V608" s="125"/>
      <c r="W608" s="125"/>
    </row>
    <row r="609" spans="17:23">
      <c r="Q609" s="125"/>
      <c r="R609" s="125"/>
      <c r="S609" s="125"/>
      <c r="T609" s="125"/>
      <c r="U609" s="125"/>
      <c r="V609" s="125"/>
      <c r="W609" s="125"/>
    </row>
    <row r="610" spans="17:23">
      <c r="Q610" s="125"/>
      <c r="R610" s="125"/>
      <c r="S610" s="125"/>
      <c r="T610" s="125"/>
      <c r="U610" s="125"/>
      <c r="V610" s="125"/>
      <c r="W610" s="125"/>
    </row>
    <row r="611" spans="17:23">
      <c r="Q611" s="125"/>
      <c r="R611" s="125"/>
      <c r="S611" s="125"/>
      <c r="T611" s="125"/>
      <c r="U611" s="125"/>
      <c r="V611" s="125"/>
      <c r="W611" s="125"/>
    </row>
    <row r="612" spans="17:23">
      <c r="Q612" s="125"/>
      <c r="R612" s="125"/>
      <c r="S612" s="125"/>
      <c r="T612" s="125"/>
      <c r="U612" s="125"/>
      <c r="V612" s="125"/>
      <c r="W612" s="125"/>
    </row>
    <row r="613" spans="17:23">
      <c r="Q613" s="125"/>
      <c r="R613" s="125"/>
      <c r="S613" s="125"/>
      <c r="T613" s="125"/>
      <c r="U613" s="125"/>
      <c r="V613" s="125"/>
      <c r="W613" s="125"/>
    </row>
    <row r="614" spans="17:23">
      <c r="Q614" s="125"/>
      <c r="R614" s="125"/>
      <c r="S614" s="125"/>
      <c r="T614" s="125"/>
      <c r="U614" s="125"/>
      <c r="V614" s="125"/>
      <c r="W614" s="125"/>
    </row>
    <row r="615" spans="17:23">
      <c r="Q615" s="125"/>
      <c r="R615" s="125"/>
      <c r="S615" s="125"/>
      <c r="T615" s="125"/>
      <c r="U615" s="125"/>
      <c r="V615" s="125"/>
      <c r="W615" s="125"/>
    </row>
    <row r="616" spans="17:23">
      <c r="Q616" s="125"/>
      <c r="R616" s="125"/>
      <c r="S616" s="125"/>
      <c r="T616" s="125"/>
      <c r="U616" s="125"/>
      <c r="V616" s="125"/>
      <c r="W616" s="125"/>
    </row>
    <row r="617" spans="17:23">
      <c r="Q617" s="125"/>
      <c r="R617" s="125"/>
      <c r="S617" s="125"/>
      <c r="T617" s="125"/>
      <c r="U617" s="125"/>
      <c r="V617" s="125"/>
      <c r="W617" s="125"/>
    </row>
    <row r="618" spans="17:23">
      <c r="Q618" s="125"/>
      <c r="R618" s="125"/>
      <c r="S618" s="125"/>
      <c r="T618" s="125"/>
      <c r="U618" s="125"/>
      <c r="V618" s="125"/>
      <c r="W618" s="125"/>
    </row>
    <row r="619" spans="17:23">
      <c r="Q619" s="125"/>
      <c r="R619" s="125"/>
      <c r="S619" s="125"/>
      <c r="T619" s="125"/>
      <c r="U619" s="125"/>
      <c r="V619" s="125"/>
      <c r="W619" s="125"/>
    </row>
    <row r="620" spans="17:23">
      <c r="Q620" s="125"/>
      <c r="R620" s="125"/>
      <c r="S620" s="125"/>
      <c r="T620" s="125"/>
      <c r="U620" s="125"/>
      <c r="V620" s="125"/>
      <c r="W620" s="125"/>
    </row>
    <row r="621" spans="17:23">
      <c r="Q621" s="125"/>
      <c r="R621" s="125"/>
      <c r="S621" s="125"/>
      <c r="T621" s="125"/>
      <c r="U621" s="125"/>
      <c r="V621" s="125"/>
      <c r="W621" s="125"/>
    </row>
    <row r="622" spans="17:23">
      <c r="Q622" s="125"/>
      <c r="R622" s="125"/>
      <c r="S622" s="125"/>
      <c r="T622" s="125"/>
      <c r="U622" s="125"/>
      <c r="V622" s="125"/>
      <c r="W622" s="125"/>
    </row>
    <row r="623" spans="17:23">
      <c r="Q623" s="125"/>
      <c r="R623" s="125"/>
      <c r="S623" s="125"/>
      <c r="T623" s="125"/>
      <c r="U623" s="125"/>
      <c r="V623" s="125"/>
      <c r="W623" s="125"/>
    </row>
    <row r="624" spans="17:23">
      <c r="Q624" s="125"/>
      <c r="R624" s="125"/>
      <c r="S624" s="125"/>
      <c r="T624" s="125"/>
      <c r="U624" s="125"/>
      <c r="V624" s="125"/>
      <c r="W624" s="125"/>
    </row>
    <row r="625" spans="17:23">
      <c r="Q625" s="125"/>
      <c r="R625" s="125"/>
      <c r="S625" s="125"/>
      <c r="T625" s="125"/>
      <c r="U625" s="125"/>
      <c r="V625" s="125"/>
      <c r="W625" s="125"/>
    </row>
    <row r="626" spans="17:23">
      <c r="Q626" s="125"/>
      <c r="R626" s="125"/>
      <c r="S626" s="125"/>
      <c r="T626" s="125"/>
      <c r="U626" s="125"/>
      <c r="V626" s="125"/>
      <c r="W626" s="125"/>
    </row>
    <row r="627" spans="17:23">
      <c r="Q627" s="125"/>
      <c r="R627" s="125"/>
      <c r="S627" s="125"/>
      <c r="T627" s="125"/>
      <c r="U627" s="125"/>
      <c r="V627" s="125"/>
      <c r="W627" s="125"/>
    </row>
    <row r="628" spans="17:23">
      <c r="Q628" s="125"/>
      <c r="R628" s="125"/>
      <c r="S628" s="125"/>
      <c r="T628" s="125"/>
      <c r="U628" s="125"/>
      <c r="V628" s="125"/>
      <c r="W628" s="125"/>
    </row>
    <row r="629" spans="17:23">
      <c r="Q629" s="125"/>
      <c r="R629" s="125"/>
      <c r="S629" s="125"/>
      <c r="T629" s="125"/>
      <c r="U629" s="125"/>
      <c r="V629" s="125"/>
      <c r="W629" s="125"/>
    </row>
    <row r="630" spans="17:23">
      <c r="Q630" s="125"/>
      <c r="R630" s="125"/>
      <c r="S630" s="125"/>
      <c r="T630" s="125"/>
      <c r="U630" s="125"/>
      <c r="V630" s="125"/>
      <c r="W630" s="125"/>
    </row>
    <row r="631" spans="17:23">
      <c r="Q631" s="125"/>
      <c r="R631" s="125"/>
      <c r="S631" s="125"/>
      <c r="T631" s="125"/>
      <c r="U631" s="125"/>
      <c r="V631" s="125"/>
      <c r="W631" s="125"/>
    </row>
    <row r="632" spans="17:23">
      <c r="Q632" s="125"/>
      <c r="R632" s="125"/>
      <c r="S632" s="125"/>
      <c r="T632" s="125"/>
      <c r="U632" s="125"/>
      <c r="V632" s="125"/>
      <c r="W632" s="125"/>
    </row>
    <row r="633" spans="17:23">
      <c r="Q633" s="125"/>
      <c r="R633" s="125"/>
      <c r="S633" s="125"/>
      <c r="T633" s="125"/>
      <c r="U633" s="125"/>
      <c r="V633" s="125"/>
      <c r="W633" s="125"/>
    </row>
    <row r="634" spans="17:23">
      <c r="Q634" s="125"/>
      <c r="R634" s="125"/>
      <c r="S634" s="125"/>
      <c r="T634" s="125"/>
      <c r="U634" s="125"/>
      <c r="V634" s="125"/>
      <c r="W634" s="125"/>
    </row>
    <row r="635" spans="17:23">
      <c r="Q635" s="125"/>
      <c r="R635" s="125"/>
      <c r="S635" s="125"/>
      <c r="T635" s="125"/>
      <c r="U635" s="125"/>
      <c r="V635" s="125"/>
      <c r="W635" s="125"/>
    </row>
    <row r="636" spans="17:23">
      <c r="Q636" s="125"/>
      <c r="R636" s="125"/>
      <c r="S636" s="125"/>
      <c r="T636" s="125"/>
      <c r="U636" s="125"/>
      <c r="V636" s="125"/>
      <c r="W636" s="125"/>
    </row>
    <row r="637" spans="17:23">
      <c r="Q637" s="125"/>
      <c r="R637" s="125"/>
      <c r="S637" s="125"/>
      <c r="T637" s="125"/>
      <c r="U637" s="125"/>
      <c r="V637" s="125"/>
      <c r="W637" s="125"/>
    </row>
    <row r="638" spans="17:23">
      <c r="Q638" s="125"/>
      <c r="R638" s="125"/>
      <c r="S638" s="125"/>
      <c r="T638" s="125"/>
      <c r="U638" s="125"/>
      <c r="V638" s="125"/>
      <c r="W638" s="125"/>
    </row>
    <row r="639" spans="17:23">
      <c r="Q639" s="125"/>
      <c r="R639" s="125"/>
      <c r="S639" s="125"/>
      <c r="T639" s="125"/>
      <c r="U639" s="125"/>
      <c r="V639" s="125"/>
      <c r="W639" s="125"/>
    </row>
    <row r="640" spans="17:23">
      <c r="Q640" s="125"/>
      <c r="R640" s="125"/>
      <c r="S640" s="125"/>
      <c r="T640" s="125"/>
      <c r="U640" s="125"/>
      <c r="V640" s="125"/>
      <c r="W640" s="125"/>
    </row>
    <row r="641" spans="17:23">
      <c r="Q641" s="125"/>
      <c r="R641" s="125"/>
      <c r="S641" s="125"/>
      <c r="T641" s="125"/>
      <c r="U641" s="125"/>
      <c r="V641" s="125"/>
      <c r="W641" s="125"/>
    </row>
    <row r="642" spans="17:23">
      <c r="Q642" s="125"/>
      <c r="R642" s="125"/>
      <c r="S642" s="125"/>
      <c r="T642" s="125"/>
      <c r="U642" s="125"/>
      <c r="V642" s="125"/>
      <c r="W642" s="125"/>
    </row>
    <row r="643" spans="17:23">
      <c r="Q643" s="125"/>
      <c r="R643" s="125"/>
      <c r="S643" s="125"/>
      <c r="T643" s="125"/>
      <c r="U643" s="125"/>
      <c r="V643" s="125"/>
      <c r="W643" s="125"/>
    </row>
    <row r="644" spans="17:23">
      <c r="Q644" s="125"/>
      <c r="R644" s="125"/>
      <c r="S644" s="125"/>
      <c r="T644" s="125"/>
      <c r="U644" s="125"/>
      <c r="V644" s="125"/>
      <c r="W644" s="125"/>
    </row>
    <row r="645" spans="17:23">
      <c r="Q645" s="125"/>
      <c r="R645" s="125"/>
      <c r="S645" s="125"/>
      <c r="T645" s="125"/>
      <c r="U645" s="125"/>
      <c r="V645" s="125"/>
      <c r="W645" s="125"/>
    </row>
    <row r="646" spans="17:23">
      <c r="Q646" s="125"/>
      <c r="R646" s="125"/>
      <c r="S646" s="125"/>
      <c r="T646" s="125"/>
      <c r="U646" s="125"/>
      <c r="V646" s="125"/>
      <c r="W646" s="125"/>
    </row>
    <row r="647" spans="17:23">
      <c r="Q647" s="125"/>
      <c r="R647" s="125"/>
      <c r="S647" s="125"/>
      <c r="T647" s="125"/>
      <c r="U647" s="125"/>
      <c r="V647" s="125"/>
      <c r="W647" s="125"/>
    </row>
    <row r="648" spans="17:23">
      <c r="Q648" s="125"/>
      <c r="R648" s="125"/>
      <c r="S648" s="125"/>
      <c r="T648" s="125"/>
      <c r="U648" s="125"/>
      <c r="V648" s="125"/>
      <c r="W648" s="125"/>
    </row>
    <row r="649" spans="17:23">
      <c r="Q649" s="125"/>
      <c r="R649" s="125"/>
      <c r="S649" s="125"/>
      <c r="T649" s="125"/>
      <c r="U649" s="125"/>
      <c r="V649" s="125"/>
      <c r="W649" s="125"/>
    </row>
    <row r="650" spans="17:23">
      <c r="Q650" s="125"/>
      <c r="R650" s="125"/>
      <c r="S650" s="125"/>
      <c r="T650" s="125"/>
      <c r="U650" s="125"/>
      <c r="V650" s="125"/>
      <c r="W650" s="125"/>
    </row>
    <row r="651" spans="17:23">
      <c r="Q651" s="125"/>
      <c r="R651" s="125"/>
      <c r="S651" s="125"/>
      <c r="T651" s="125"/>
      <c r="U651" s="125"/>
      <c r="V651" s="125"/>
      <c r="W651" s="125"/>
    </row>
    <row r="652" spans="17:23">
      <c r="Q652" s="125"/>
      <c r="R652" s="125"/>
      <c r="S652" s="125"/>
      <c r="T652" s="125"/>
      <c r="U652" s="125"/>
      <c r="V652" s="125"/>
      <c r="W652" s="125"/>
    </row>
    <row r="653" spans="17:23">
      <c r="Q653" s="125"/>
      <c r="R653" s="125"/>
      <c r="S653" s="125"/>
      <c r="T653" s="125"/>
      <c r="U653" s="125"/>
      <c r="V653" s="125"/>
      <c r="W653" s="125"/>
    </row>
    <row r="654" spans="17:23">
      <c r="Q654" s="125"/>
      <c r="R654" s="125"/>
      <c r="S654" s="125"/>
      <c r="T654" s="125"/>
      <c r="U654" s="125"/>
      <c r="V654" s="125"/>
      <c r="W654" s="125"/>
    </row>
    <row r="655" spans="17:23">
      <c r="Q655" s="125"/>
      <c r="R655" s="125"/>
      <c r="S655" s="125"/>
      <c r="T655" s="125"/>
      <c r="U655" s="125"/>
      <c r="V655" s="125"/>
      <c r="W655" s="125"/>
    </row>
    <row r="656" spans="17:23">
      <c r="Q656" s="125"/>
      <c r="R656" s="125"/>
      <c r="S656" s="125"/>
      <c r="T656" s="125"/>
      <c r="U656" s="125"/>
      <c r="V656" s="125"/>
      <c r="W656" s="125"/>
    </row>
    <row r="657" spans="17:23">
      <c r="Q657" s="125"/>
      <c r="R657" s="125"/>
      <c r="S657" s="125"/>
      <c r="T657" s="125"/>
      <c r="U657" s="125"/>
      <c r="V657" s="125"/>
      <c r="W657" s="125"/>
    </row>
    <row r="658" spans="17:23">
      <c r="Q658" s="125"/>
      <c r="R658" s="125"/>
      <c r="S658" s="125"/>
      <c r="T658" s="125"/>
      <c r="U658" s="125"/>
      <c r="V658" s="125"/>
      <c r="W658" s="125"/>
    </row>
    <row r="659" spans="17:23">
      <c r="Q659" s="125"/>
      <c r="R659" s="125"/>
      <c r="S659" s="125"/>
      <c r="T659" s="125"/>
      <c r="U659" s="125"/>
      <c r="V659" s="125"/>
      <c r="W659" s="125"/>
    </row>
    <row r="660" spans="17:23">
      <c r="Q660" s="125"/>
      <c r="R660" s="125"/>
      <c r="S660" s="125"/>
      <c r="T660" s="125"/>
      <c r="U660" s="125"/>
      <c r="V660" s="125"/>
      <c r="W660" s="125"/>
    </row>
    <row r="661" spans="17:23">
      <c r="Q661" s="125"/>
      <c r="R661" s="125"/>
      <c r="S661" s="125"/>
      <c r="T661" s="125"/>
      <c r="U661" s="125"/>
      <c r="V661" s="125"/>
      <c r="W661" s="125"/>
    </row>
    <row r="662" spans="17:23">
      <c r="Q662" s="125"/>
      <c r="R662" s="125"/>
      <c r="S662" s="125"/>
      <c r="T662" s="125"/>
      <c r="U662" s="125"/>
      <c r="V662" s="125"/>
      <c r="W662" s="125"/>
    </row>
    <row r="663" spans="17:23">
      <c r="Q663" s="125"/>
      <c r="R663" s="125"/>
      <c r="S663" s="125"/>
      <c r="T663" s="125"/>
      <c r="U663" s="125"/>
      <c r="V663" s="125"/>
      <c r="W663" s="125"/>
    </row>
    <row r="664" spans="17:23">
      <c r="Q664" s="125"/>
      <c r="R664" s="125"/>
      <c r="S664" s="125"/>
      <c r="T664" s="125"/>
      <c r="U664" s="125"/>
      <c r="V664" s="125"/>
      <c r="W664" s="125"/>
    </row>
    <row r="665" spans="17:23">
      <c r="Q665" s="125"/>
      <c r="R665" s="125"/>
      <c r="S665" s="125"/>
      <c r="T665" s="125"/>
      <c r="U665" s="125"/>
      <c r="V665" s="125"/>
      <c r="W665" s="125"/>
    </row>
    <row r="666" spans="17:23">
      <c r="Q666" s="125"/>
      <c r="R666" s="125"/>
      <c r="S666" s="125"/>
      <c r="T666" s="125"/>
      <c r="U666" s="125"/>
      <c r="V666" s="125"/>
      <c r="W666" s="125"/>
    </row>
    <row r="667" spans="17:23">
      <c r="Q667" s="125"/>
      <c r="R667" s="125"/>
      <c r="S667" s="125"/>
      <c r="T667" s="125"/>
      <c r="U667" s="125"/>
      <c r="V667" s="125"/>
      <c r="W667" s="125"/>
    </row>
    <row r="668" spans="17:23">
      <c r="Q668" s="125"/>
      <c r="R668" s="125"/>
      <c r="S668" s="125"/>
      <c r="T668" s="125"/>
      <c r="U668" s="125"/>
      <c r="V668" s="125"/>
      <c r="W668" s="125"/>
    </row>
    <row r="669" spans="17:23">
      <c r="Q669" s="125"/>
      <c r="R669" s="125"/>
      <c r="S669" s="125"/>
      <c r="T669" s="125"/>
      <c r="U669" s="125"/>
      <c r="V669" s="125"/>
      <c r="W669" s="125"/>
    </row>
    <row r="670" spans="17:23">
      <c r="Q670" s="125"/>
      <c r="R670" s="125"/>
      <c r="S670" s="125"/>
      <c r="T670" s="125"/>
      <c r="U670" s="125"/>
      <c r="V670" s="125"/>
      <c r="W670" s="125"/>
    </row>
    <row r="671" spans="17:23">
      <c r="Q671" s="125"/>
      <c r="R671" s="125"/>
      <c r="S671" s="125"/>
      <c r="T671" s="125"/>
      <c r="U671" s="125"/>
      <c r="V671" s="125"/>
      <c r="W671" s="125"/>
    </row>
    <row r="672" spans="17:23">
      <c r="Q672" s="125"/>
      <c r="R672" s="125"/>
      <c r="S672" s="125"/>
      <c r="T672" s="125"/>
      <c r="U672" s="125"/>
      <c r="V672" s="125"/>
      <c r="W672" s="125"/>
    </row>
    <row r="673" spans="17:23">
      <c r="Q673" s="125"/>
      <c r="R673" s="125"/>
      <c r="S673" s="125"/>
      <c r="T673" s="125"/>
      <c r="U673" s="125"/>
      <c r="V673" s="125"/>
      <c r="W673" s="125"/>
    </row>
    <row r="674" spans="17:23">
      <c r="Q674" s="125"/>
      <c r="R674" s="125"/>
      <c r="S674" s="125"/>
      <c r="T674" s="125"/>
      <c r="U674" s="125"/>
      <c r="V674" s="125"/>
      <c r="W674" s="125"/>
    </row>
    <row r="675" spans="17:23">
      <c r="Q675" s="125"/>
      <c r="R675" s="125"/>
      <c r="S675" s="125"/>
      <c r="T675" s="125"/>
      <c r="U675" s="125"/>
      <c r="V675" s="125"/>
      <c r="W675" s="125"/>
    </row>
    <row r="676" spans="17:23">
      <c r="Q676" s="125"/>
      <c r="R676" s="125"/>
      <c r="S676" s="125"/>
      <c r="T676" s="125"/>
      <c r="U676" s="125"/>
      <c r="V676" s="125"/>
      <c r="W676" s="125"/>
    </row>
    <row r="677" spans="17:23">
      <c r="Q677" s="125"/>
      <c r="R677" s="125"/>
      <c r="S677" s="125"/>
      <c r="T677" s="125"/>
      <c r="U677" s="125"/>
      <c r="V677" s="125"/>
      <c r="W677" s="125"/>
    </row>
    <row r="678" spans="17:23">
      <c r="Q678" s="125"/>
      <c r="R678" s="125"/>
      <c r="S678" s="125"/>
      <c r="T678" s="125"/>
      <c r="U678" s="125"/>
      <c r="V678" s="125"/>
      <c r="W678" s="125"/>
    </row>
    <row r="679" spans="17:23">
      <c r="Q679" s="125"/>
      <c r="R679" s="125"/>
      <c r="S679" s="125"/>
      <c r="T679" s="125"/>
      <c r="U679" s="125"/>
      <c r="V679" s="125"/>
      <c r="W679" s="125"/>
    </row>
    <row r="680" spans="17:23">
      <c r="Q680" s="125"/>
      <c r="R680" s="125"/>
      <c r="S680" s="125"/>
      <c r="T680" s="125"/>
      <c r="U680" s="125"/>
      <c r="V680" s="125"/>
      <c r="W680" s="125"/>
    </row>
    <row r="681" spans="17:23">
      <c r="Q681" s="125"/>
      <c r="R681" s="125"/>
      <c r="S681" s="125"/>
      <c r="T681" s="125"/>
      <c r="U681" s="125"/>
      <c r="V681" s="125"/>
      <c r="W681" s="125"/>
    </row>
    <row r="682" spans="17:23">
      <c r="Q682" s="125"/>
      <c r="R682" s="125"/>
      <c r="S682" s="125"/>
      <c r="T682" s="125"/>
      <c r="U682" s="125"/>
      <c r="V682" s="125"/>
      <c r="W682" s="125"/>
    </row>
    <row r="683" spans="17:23">
      <c r="Q683" s="125"/>
      <c r="R683" s="125"/>
      <c r="S683" s="125"/>
      <c r="T683" s="125"/>
      <c r="U683" s="125"/>
      <c r="V683" s="125"/>
      <c r="W683" s="125"/>
    </row>
    <row r="684" spans="17:23">
      <c r="Q684" s="125"/>
      <c r="R684" s="125"/>
      <c r="S684" s="125"/>
      <c r="T684" s="125"/>
      <c r="U684" s="125"/>
      <c r="V684" s="125"/>
      <c r="W684" s="125"/>
    </row>
    <row r="685" spans="17:23">
      <c r="Q685" s="125"/>
      <c r="R685" s="125"/>
      <c r="S685" s="125"/>
      <c r="T685" s="125"/>
      <c r="U685" s="125"/>
      <c r="V685" s="125"/>
      <c r="W685" s="125"/>
    </row>
    <row r="686" spans="17:23">
      <c r="Q686" s="125"/>
      <c r="R686" s="125"/>
      <c r="S686" s="125"/>
      <c r="T686" s="125"/>
      <c r="U686" s="125"/>
      <c r="V686" s="125"/>
      <c r="W686" s="125"/>
    </row>
    <row r="687" spans="17:23">
      <c r="Q687" s="125"/>
      <c r="R687" s="125"/>
      <c r="S687" s="125"/>
      <c r="T687" s="125"/>
      <c r="U687" s="125"/>
      <c r="V687" s="125"/>
      <c r="W687" s="125"/>
    </row>
    <row r="688" spans="17:23">
      <c r="Q688" s="125"/>
      <c r="R688" s="125"/>
      <c r="S688" s="125"/>
      <c r="T688" s="125"/>
      <c r="U688" s="125"/>
      <c r="V688" s="125"/>
      <c r="W688" s="125"/>
    </row>
    <row r="689" spans="17:23">
      <c r="Q689" s="125"/>
      <c r="R689" s="125"/>
      <c r="S689" s="125"/>
      <c r="T689" s="125"/>
      <c r="U689" s="125"/>
      <c r="V689" s="125"/>
      <c r="W689" s="125"/>
    </row>
    <row r="690" spans="17:23">
      <c r="Q690" s="125"/>
      <c r="R690" s="125"/>
      <c r="S690" s="125"/>
      <c r="T690" s="125"/>
      <c r="U690" s="125"/>
      <c r="V690" s="125"/>
      <c r="W690" s="125"/>
    </row>
    <row r="691" spans="17:23">
      <c r="Q691" s="125"/>
      <c r="R691" s="125"/>
      <c r="S691" s="125"/>
      <c r="T691" s="125"/>
      <c r="U691" s="125"/>
      <c r="V691" s="125"/>
      <c r="W691" s="125"/>
    </row>
    <row r="692" spans="17:23">
      <c r="Q692" s="125"/>
      <c r="R692" s="125"/>
      <c r="S692" s="125"/>
      <c r="T692" s="125"/>
      <c r="U692" s="125"/>
      <c r="V692" s="125"/>
      <c r="W692" s="125"/>
    </row>
    <row r="693" spans="17:23">
      <c r="Q693" s="125"/>
      <c r="R693" s="125"/>
      <c r="S693" s="125"/>
      <c r="T693" s="125"/>
      <c r="U693" s="125"/>
      <c r="V693" s="125"/>
      <c r="W693" s="125"/>
    </row>
    <row r="694" spans="17:23">
      <c r="Q694" s="125"/>
      <c r="R694" s="125"/>
      <c r="S694" s="125"/>
      <c r="T694" s="125"/>
      <c r="U694" s="125"/>
      <c r="V694" s="125"/>
      <c r="W694" s="125"/>
    </row>
    <row r="695" spans="17:23">
      <c r="Q695" s="125"/>
      <c r="R695" s="125"/>
      <c r="S695" s="125"/>
      <c r="T695" s="125"/>
      <c r="U695" s="125"/>
      <c r="V695" s="125"/>
      <c r="W695" s="125"/>
    </row>
    <row r="696" spans="17:23">
      <c r="Q696" s="125"/>
      <c r="R696" s="125"/>
      <c r="S696" s="125"/>
      <c r="T696" s="125"/>
      <c r="U696" s="125"/>
      <c r="V696" s="125"/>
      <c r="W696" s="125"/>
    </row>
    <row r="697" spans="17:23">
      <c r="Q697" s="125"/>
      <c r="R697" s="125"/>
      <c r="S697" s="125"/>
      <c r="T697" s="125"/>
      <c r="U697" s="125"/>
      <c r="V697" s="125"/>
      <c r="W697" s="125"/>
    </row>
    <row r="698" spans="17:23">
      <c r="Q698" s="125"/>
      <c r="R698" s="125"/>
      <c r="S698" s="125"/>
      <c r="T698" s="125"/>
      <c r="U698" s="125"/>
      <c r="V698" s="125"/>
      <c r="W698" s="125"/>
    </row>
    <row r="699" spans="17:23">
      <c r="Q699" s="125"/>
      <c r="R699" s="125"/>
      <c r="S699" s="125"/>
      <c r="T699" s="125"/>
      <c r="U699" s="125"/>
      <c r="V699" s="125"/>
      <c r="W699" s="125"/>
    </row>
    <row r="700" spans="17:23">
      <c r="Q700" s="125"/>
      <c r="R700" s="125"/>
      <c r="S700" s="125"/>
      <c r="T700" s="125"/>
      <c r="U700" s="125"/>
      <c r="V700" s="125"/>
      <c r="W700" s="125"/>
    </row>
    <row r="701" spans="17:23">
      <c r="Q701" s="125"/>
      <c r="R701" s="125"/>
      <c r="S701" s="125"/>
      <c r="T701" s="125"/>
      <c r="U701" s="125"/>
      <c r="V701" s="125"/>
      <c r="W701" s="125"/>
    </row>
    <row r="702" spans="17:23">
      <c r="Q702" s="125"/>
      <c r="R702" s="125"/>
      <c r="S702" s="125"/>
      <c r="T702" s="125"/>
      <c r="U702" s="125"/>
      <c r="V702" s="125"/>
      <c r="W702" s="125"/>
    </row>
    <row r="703" spans="17:23">
      <c r="Q703" s="125"/>
      <c r="R703" s="125"/>
      <c r="S703" s="125"/>
      <c r="T703" s="125"/>
      <c r="U703" s="125"/>
      <c r="V703" s="125"/>
      <c r="W703" s="125"/>
    </row>
    <row r="704" spans="17:23">
      <c r="Q704" s="125"/>
      <c r="R704" s="125"/>
      <c r="S704" s="125"/>
      <c r="T704" s="125"/>
      <c r="U704" s="125"/>
      <c r="V704" s="125"/>
      <c r="W704" s="125"/>
    </row>
    <row r="705" spans="17:23">
      <c r="Q705" s="125"/>
      <c r="R705" s="125"/>
      <c r="S705" s="125"/>
      <c r="T705" s="125"/>
      <c r="U705" s="125"/>
      <c r="V705" s="125"/>
      <c r="W705" s="125"/>
    </row>
    <row r="706" spans="17:23">
      <c r="Q706" s="125"/>
      <c r="R706" s="125"/>
      <c r="S706" s="125"/>
      <c r="T706" s="125"/>
      <c r="U706" s="125"/>
      <c r="V706" s="125"/>
      <c r="W706" s="125"/>
    </row>
    <row r="707" spans="17:23">
      <c r="Q707" s="125"/>
      <c r="R707" s="125"/>
      <c r="S707" s="125"/>
      <c r="T707" s="125"/>
      <c r="U707" s="125"/>
      <c r="V707" s="125"/>
      <c r="W707" s="125"/>
    </row>
    <row r="708" spans="17:23">
      <c r="Q708" s="125"/>
      <c r="R708" s="125"/>
      <c r="S708" s="125"/>
      <c r="T708" s="125"/>
      <c r="U708" s="125"/>
      <c r="V708" s="125"/>
      <c r="W708" s="125"/>
    </row>
    <row r="709" spans="17:23">
      <c r="Q709" s="125"/>
      <c r="R709" s="125"/>
      <c r="S709" s="125"/>
      <c r="T709" s="125"/>
      <c r="U709" s="125"/>
      <c r="V709" s="125"/>
      <c r="W709" s="125"/>
    </row>
    <row r="710" spans="17:23">
      <c r="Q710" s="125"/>
      <c r="R710" s="125"/>
      <c r="S710" s="125"/>
      <c r="T710" s="125"/>
      <c r="U710" s="125"/>
      <c r="V710" s="125"/>
      <c r="W710" s="125"/>
    </row>
    <row r="711" spans="17:23">
      <c r="Q711" s="125"/>
      <c r="R711" s="125"/>
      <c r="S711" s="125"/>
      <c r="T711" s="125"/>
      <c r="U711" s="125"/>
      <c r="V711" s="125"/>
      <c r="W711" s="125"/>
    </row>
    <row r="712" spans="17:23">
      <c r="Q712" s="125"/>
      <c r="R712" s="125"/>
      <c r="S712" s="125"/>
      <c r="T712" s="125"/>
      <c r="U712" s="125"/>
      <c r="V712" s="125"/>
      <c r="W712" s="125"/>
    </row>
    <row r="713" spans="17:23">
      <c r="Q713" s="125"/>
      <c r="R713" s="125"/>
      <c r="S713" s="125"/>
      <c r="T713" s="125"/>
      <c r="U713" s="125"/>
      <c r="V713" s="125"/>
      <c r="W713" s="125"/>
    </row>
    <row r="714" spans="17:23">
      <c r="Q714" s="125"/>
      <c r="R714" s="125"/>
      <c r="S714" s="125"/>
      <c r="T714" s="125"/>
      <c r="U714" s="125"/>
      <c r="V714" s="125"/>
      <c r="W714" s="125"/>
    </row>
    <row r="715" spans="17:23">
      <c r="Q715" s="125"/>
      <c r="R715" s="125"/>
      <c r="S715" s="125"/>
      <c r="T715" s="125"/>
      <c r="U715" s="125"/>
      <c r="V715" s="125"/>
      <c r="W715" s="125"/>
    </row>
    <row r="716" spans="17:23">
      <c r="Q716" s="125"/>
      <c r="R716" s="125"/>
      <c r="S716" s="125"/>
      <c r="T716" s="125"/>
      <c r="U716" s="125"/>
      <c r="V716" s="125"/>
      <c r="W716" s="125"/>
    </row>
    <row r="717" spans="17:23">
      <c r="Q717" s="125"/>
      <c r="R717" s="125"/>
      <c r="S717" s="125"/>
      <c r="T717" s="125"/>
      <c r="U717" s="125"/>
      <c r="V717" s="125"/>
      <c r="W717" s="125"/>
    </row>
    <row r="718" spans="17:23">
      <c r="Q718" s="125"/>
      <c r="R718" s="125"/>
      <c r="S718" s="125"/>
      <c r="T718" s="125"/>
      <c r="U718" s="125"/>
      <c r="V718" s="125"/>
      <c r="W718" s="125"/>
    </row>
    <row r="719" spans="17:23">
      <c r="Q719" s="125"/>
      <c r="R719" s="125"/>
      <c r="S719" s="125"/>
      <c r="T719" s="125"/>
      <c r="U719" s="125"/>
      <c r="V719" s="125"/>
      <c r="W719" s="125"/>
    </row>
    <row r="720" spans="17:23">
      <c r="Q720" s="125"/>
      <c r="R720" s="125"/>
      <c r="S720" s="125"/>
      <c r="T720" s="125"/>
      <c r="U720" s="125"/>
      <c r="V720" s="125"/>
      <c r="W720" s="125"/>
    </row>
    <row r="721" spans="17:23">
      <c r="Q721" s="125"/>
      <c r="R721" s="125"/>
      <c r="S721" s="125"/>
      <c r="T721" s="125"/>
      <c r="U721" s="125"/>
      <c r="V721" s="125"/>
      <c r="W721" s="125"/>
    </row>
    <row r="722" spans="17:23">
      <c r="Q722" s="125"/>
      <c r="R722" s="125"/>
      <c r="S722" s="125"/>
      <c r="T722" s="125"/>
      <c r="U722" s="125"/>
      <c r="V722" s="125"/>
      <c r="W722" s="125"/>
    </row>
    <row r="723" spans="17:23">
      <c r="Q723" s="125"/>
      <c r="R723" s="125"/>
      <c r="S723" s="125"/>
      <c r="T723" s="125"/>
      <c r="U723" s="125"/>
      <c r="V723" s="125"/>
      <c r="W723" s="125"/>
    </row>
    <row r="724" spans="17:23">
      <c r="Q724" s="125"/>
      <c r="R724" s="125"/>
      <c r="S724" s="125"/>
      <c r="T724" s="125"/>
      <c r="U724" s="125"/>
      <c r="V724" s="125"/>
      <c r="W724" s="125"/>
    </row>
    <row r="725" spans="17:23">
      <c r="Q725" s="125"/>
      <c r="R725" s="125"/>
      <c r="S725" s="125"/>
      <c r="T725" s="125"/>
      <c r="U725" s="125"/>
      <c r="V725" s="125"/>
      <c r="W725" s="125"/>
    </row>
    <row r="726" spans="17:23">
      <c r="Q726" s="125"/>
      <c r="R726" s="125"/>
      <c r="S726" s="125"/>
      <c r="T726" s="125"/>
      <c r="U726" s="125"/>
      <c r="V726" s="125"/>
      <c r="W726" s="125"/>
    </row>
    <row r="727" spans="17:23">
      <c r="Q727" s="125"/>
      <c r="R727" s="125"/>
      <c r="S727" s="125"/>
      <c r="T727" s="125"/>
      <c r="U727" s="125"/>
      <c r="V727" s="125"/>
      <c r="W727" s="125"/>
    </row>
    <row r="728" spans="17:23">
      <c r="Q728" s="125"/>
      <c r="R728" s="125"/>
      <c r="S728" s="125"/>
      <c r="T728" s="125"/>
      <c r="U728" s="125"/>
      <c r="V728" s="125"/>
      <c r="W728" s="125"/>
    </row>
    <row r="729" spans="17:23">
      <c r="Q729" s="125"/>
      <c r="R729" s="125"/>
      <c r="S729" s="125"/>
      <c r="T729" s="125"/>
      <c r="U729" s="125"/>
      <c r="V729" s="125"/>
      <c r="W729" s="125"/>
    </row>
    <row r="730" spans="17:23">
      <c r="Q730" s="125"/>
      <c r="R730" s="125"/>
      <c r="S730" s="125"/>
      <c r="T730" s="125"/>
      <c r="U730" s="125"/>
      <c r="V730" s="125"/>
      <c r="W730" s="125"/>
    </row>
    <row r="731" spans="17:23">
      <c r="Q731" s="125"/>
      <c r="R731" s="125"/>
      <c r="S731" s="125"/>
      <c r="T731" s="125"/>
      <c r="U731" s="125"/>
      <c r="V731" s="125"/>
      <c r="W731" s="125"/>
    </row>
    <row r="732" spans="17:23">
      <c r="Q732" s="125"/>
      <c r="R732" s="125"/>
      <c r="S732" s="125"/>
      <c r="T732" s="125"/>
      <c r="U732" s="125"/>
      <c r="V732" s="125"/>
      <c r="W732" s="125"/>
    </row>
    <row r="733" spans="17:23">
      <c r="Q733" s="125"/>
      <c r="R733" s="125"/>
      <c r="S733" s="125"/>
      <c r="T733" s="125"/>
      <c r="U733" s="125"/>
      <c r="V733" s="125"/>
      <c r="W733" s="125"/>
    </row>
    <row r="734" spans="17:23">
      <c r="Q734" s="125"/>
      <c r="R734" s="125"/>
      <c r="S734" s="125"/>
      <c r="T734" s="125"/>
      <c r="U734" s="125"/>
      <c r="V734" s="125"/>
      <c r="W734" s="125"/>
    </row>
    <row r="735" spans="17:23">
      <c r="Q735" s="125"/>
      <c r="R735" s="125"/>
      <c r="S735" s="125"/>
      <c r="T735" s="125"/>
      <c r="U735" s="125"/>
      <c r="V735" s="125"/>
      <c r="W735" s="125"/>
    </row>
    <row r="736" spans="17:23">
      <c r="Q736" s="125"/>
      <c r="R736" s="125"/>
      <c r="S736" s="125"/>
      <c r="T736" s="125"/>
      <c r="U736" s="125"/>
      <c r="V736" s="125"/>
      <c r="W736" s="125"/>
    </row>
    <row r="737" spans="17:23">
      <c r="Q737" s="125"/>
      <c r="R737" s="125"/>
      <c r="S737" s="125"/>
      <c r="T737" s="125"/>
      <c r="U737" s="125"/>
      <c r="V737" s="125"/>
      <c r="W737" s="125"/>
    </row>
    <row r="738" spans="17:23">
      <c r="Q738" s="125"/>
      <c r="R738" s="125"/>
      <c r="S738" s="125"/>
      <c r="T738" s="125"/>
      <c r="U738" s="125"/>
      <c r="V738" s="125"/>
      <c r="W738" s="125"/>
    </row>
    <row r="739" spans="17:23">
      <c r="Q739" s="125"/>
      <c r="R739" s="125"/>
      <c r="S739" s="125"/>
      <c r="T739" s="125"/>
      <c r="U739" s="125"/>
      <c r="V739" s="125"/>
      <c r="W739" s="125"/>
    </row>
    <row r="740" spans="17:23">
      <c r="Q740" s="125"/>
      <c r="R740" s="125"/>
      <c r="S740" s="125"/>
      <c r="T740" s="125"/>
      <c r="U740" s="125"/>
      <c r="V740" s="125"/>
      <c r="W740" s="125"/>
    </row>
    <row r="741" spans="17:23">
      <c r="Q741" s="125"/>
      <c r="R741" s="125"/>
      <c r="S741" s="125"/>
      <c r="T741" s="125"/>
      <c r="U741" s="125"/>
      <c r="V741" s="125"/>
      <c r="W741" s="125"/>
    </row>
    <row r="742" spans="17:23">
      <c r="Q742" s="125"/>
      <c r="R742" s="125"/>
      <c r="S742" s="125"/>
      <c r="T742" s="125"/>
      <c r="U742" s="125"/>
      <c r="V742" s="125"/>
      <c r="W742" s="125"/>
    </row>
    <row r="743" spans="17:23">
      <c r="Q743" s="125"/>
      <c r="R743" s="125"/>
      <c r="S743" s="125"/>
      <c r="T743" s="125"/>
      <c r="U743" s="125"/>
      <c r="V743" s="125"/>
      <c r="W743" s="125"/>
    </row>
    <row r="744" spans="17:23">
      <c r="Q744" s="125"/>
      <c r="R744" s="125"/>
      <c r="S744" s="125"/>
      <c r="T744" s="125"/>
      <c r="U744" s="125"/>
      <c r="V744" s="125"/>
      <c r="W744" s="125"/>
    </row>
    <row r="745" spans="17:23">
      <c r="Q745" s="125"/>
      <c r="R745" s="125"/>
      <c r="S745" s="125"/>
      <c r="T745" s="125"/>
      <c r="U745" s="125"/>
      <c r="V745" s="125"/>
      <c r="W745" s="125"/>
    </row>
    <row r="746" spans="17:23">
      <c r="Q746" s="125"/>
      <c r="R746" s="125"/>
      <c r="S746" s="125"/>
      <c r="T746" s="125"/>
      <c r="U746" s="125"/>
      <c r="V746" s="125"/>
      <c r="W746" s="125"/>
    </row>
    <row r="747" spans="17:23">
      <c r="Q747" s="125"/>
      <c r="R747" s="125"/>
      <c r="S747" s="125"/>
      <c r="T747" s="125"/>
      <c r="U747" s="125"/>
      <c r="V747" s="125"/>
      <c r="W747" s="125"/>
    </row>
    <row r="748" spans="17:23">
      <c r="Q748" s="125"/>
      <c r="R748" s="125"/>
      <c r="S748" s="125"/>
      <c r="T748" s="125"/>
      <c r="U748" s="125"/>
      <c r="V748" s="125"/>
      <c r="W748" s="125"/>
    </row>
    <row r="749" spans="17:23">
      <c r="Q749" s="125"/>
      <c r="R749" s="125"/>
      <c r="S749" s="125"/>
      <c r="T749" s="125"/>
      <c r="U749" s="125"/>
      <c r="V749" s="125"/>
      <c r="W749" s="125"/>
    </row>
    <row r="750" spans="17:23">
      <c r="Q750" s="125"/>
      <c r="R750" s="125"/>
      <c r="S750" s="125"/>
      <c r="T750" s="125"/>
      <c r="U750" s="125"/>
      <c r="V750" s="125"/>
      <c r="W750" s="125"/>
    </row>
    <row r="751" spans="17:23">
      <c r="Q751" s="125"/>
      <c r="R751" s="125"/>
      <c r="S751" s="125"/>
      <c r="T751" s="125"/>
      <c r="U751" s="125"/>
      <c r="V751" s="125"/>
      <c r="W751" s="125"/>
    </row>
    <row r="752" spans="17:23">
      <c r="Q752" s="125"/>
      <c r="R752" s="125"/>
      <c r="S752" s="125"/>
      <c r="T752" s="125"/>
      <c r="U752" s="125"/>
      <c r="V752" s="125"/>
      <c r="W752" s="125"/>
    </row>
    <row r="753" spans="17:23">
      <c r="Q753" s="125"/>
      <c r="R753" s="125"/>
      <c r="S753" s="125"/>
      <c r="T753" s="125"/>
      <c r="U753" s="125"/>
      <c r="V753" s="125"/>
      <c r="W753" s="125"/>
    </row>
    <row r="754" spans="17:23">
      <c r="Q754" s="125"/>
      <c r="R754" s="125"/>
      <c r="S754" s="125"/>
      <c r="T754" s="125"/>
      <c r="U754" s="125"/>
      <c r="V754" s="125"/>
      <c r="W754" s="125"/>
    </row>
    <row r="755" spans="17:23">
      <c r="Q755" s="125"/>
      <c r="R755" s="125"/>
      <c r="S755" s="125"/>
      <c r="T755" s="125"/>
      <c r="U755" s="125"/>
      <c r="V755" s="125"/>
      <c r="W755" s="125"/>
    </row>
    <row r="756" spans="17:23">
      <c r="Q756" s="125"/>
      <c r="R756" s="125"/>
      <c r="S756" s="125"/>
      <c r="T756" s="125"/>
      <c r="U756" s="125"/>
      <c r="V756" s="125"/>
      <c r="W756" s="125"/>
    </row>
    <row r="757" spans="17:23">
      <c r="Q757" s="125"/>
      <c r="R757" s="125"/>
      <c r="S757" s="125"/>
      <c r="T757" s="125"/>
      <c r="U757" s="125"/>
      <c r="V757" s="125"/>
      <c r="W757" s="125"/>
    </row>
    <row r="758" spans="17:23">
      <c r="Q758" s="125"/>
      <c r="R758" s="125"/>
      <c r="S758" s="125"/>
      <c r="T758" s="125"/>
      <c r="U758" s="125"/>
      <c r="V758" s="125"/>
      <c r="W758" s="125"/>
    </row>
    <row r="759" spans="17:23">
      <c r="Q759" s="125"/>
      <c r="R759" s="125"/>
      <c r="S759" s="125"/>
      <c r="T759" s="125"/>
      <c r="U759" s="125"/>
      <c r="V759" s="125"/>
      <c r="W759" s="125"/>
    </row>
    <row r="760" spans="17:23">
      <c r="Q760" s="125"/>
      <c r="R760" s="125"/>
      <c r="S760" s="125"/>
      <c r="T760" s="125"/>
      <c r="U760" s="125"/>
      <c r="V760" s="125"/>
      <c r="W760" s="125"/>
    </row>
    <row r="761" spans="17:23">
      <c r="Q761" s="125"/>
      <c r="R761" s="125"/>
      <c r="S761" s="125"/>
      <c r="T761" s="125"/>
      <c r="U761" s="125"/>
      <c r="V761" s="125"/>
      <c r="W761" s="125"/>
    </row>
    <row r="762" spans="17:23">
      <c r="Q762" s="125"/>
      <c r="R762" s="125"/>
      <c r="S762" s="125"/>
      <c r="T762" s="125"/>
      <c r="U762" s="125"/>
      <c r="V762" s="125"/>
      <c r="W762" s="125"/>
    </row>
    <row r="763" spans="17:23">
      <c r="Q763" s="125"/>
      <c r="R763" s="125"/>
      <c r="S763" s="125"/>
      <c r="T763" s="125"/>
      <c r="U763" s="125"/>
      <c r="V763" s="125"/>
      <c r="W763" s="125"/>
    </row>
    <row r="764" spans="17:23">
      <c r="Q764" s="125"/>
      <c r="R764" s="125"/>
      <c r="S764" s="125"/>
      <c r="T764" s="125"/>
      <c r="U764" s="125"/>
      <c r="V764" s="125"/>
      <c r="W764" s="125"/>
    </row>
    <row r="765" spans="17:23">
      <c r="Q765" s="125"/>
      <c r="R765" s="125"/>
      <c r="S765" s="125"/>
      <c r="T765" s="125"/>
      <c r="U765" s="125"/>
      <c r="V765" s="125"/>
      <c r="W765" s="125"/>
    </row>
    <row r="766" spans="17:23">
      <c r="Q766" s="125"/>
      <c r="R766" s="125"/>
      <c r="S766" s="125"/>
      <c r="T766" s="125"/>
      <c r="U766" s="125"/>
      <c r="V766" s="125"/>
      <c r="W766" s="125"/>
    </row>
    <row r="767" spans="17:23">
      <c r="Q767" s="125"/>
      <c r="R767" s="125"/>
      <c r="S767" s="125"/>
      <c r="T767" s="125"/>
      <c r="U767" s="125"/>
      <c r="V767" s="125"/>
      <c r="W767" s="125"/>
    </row>
    <row r="768" spans="17:23">
      <c r="Q768" s="125"/>
      <c r="R768" s="125"/>
      <c r="S768" s="125"/>
      <c r="T768" s="125"/>
      <c r="U768" s="125"/>
      <c r="V768" s="125"/>
      <c r="W768" s="125"/>
    </row>
    <row r="769" spans="17:23">
      <c r="Q769" s="125"/>
      <c r="R769" s="125"/>
      <c r="S769" s="125"/>
      <c r="T769" s="125"/>
      <c r="U769" s="125"/>
      <c r="V769" s="125"/>
      <c r="W769" s="125"/>
    </row>
    <row r="770" spans="17:23">
      <c r="Q770" s="125"/>
      <c r="R770" s="125"/>
      <c r="S770" s="125"/>
      <c r="T770" s="125"/>
      <c r="U770" s="125"/>
      <c r="V770" s="125"/>
      <c r="W770" s="125"/>
    </row>
    <row r="771" spans="17:23">
      <c r="Q771" s="125"/>
      <c r="R771" s="125"/>
      <c r="S771" s="125"/>
      <c r="T771" s="125"/>
      <c r="U771" s="125"/>
      <c r="V771" s="125"/>
      <c r="W771" s="125"/>
    </row>
    <row r="772" spans="17:23">
      <c r="Q772" s="125"/>
      <c r="R772" s="125"/>
      <c r="S772" s="125"/>
      <c r="T772" s="125"/>
      <c r="U772" s="125"/>
      <c r="V772" s="125"/>
      <c r="W772" s="125"/>
    </row>
    <row r="773" spans="17:23">
      <c r="Q773" s="125"/>
      <c r="R773" s="125"/>
      <c r="S773" s="125"/>
      <c r="T773" s="125"/>
      <c r="U773" s="125"/>
      <c r="V773" s="125"/>
      <c r="W773" s="125"/>
    </row>
    <row r="774" spans="17:23">
      <c r="Q774" s="125"/>
      <c r="R774" s="125"/>
      <c r="S774" s="125"/>
      <c r="T774" s="125"/>
      <c r="U774" s="125"/>
      <c r="V774" s="125"/>
      <c r="W774" s="125"/>
    </row>
    <row r="775" spans="17:23">
      <c r="Q775" s="125"/>
      <c r="R775" s="125"/>
      <c r="S775" s="125"/>
      <c r="T775" s="125"/>
      <c r="U775" s="125"/>
      <c r="V775" s="125"/>
      <c r="W775" s="125"/>
    </row>
    <row r="776" spans="17:23">
      <c r="Q776" s="125"/>
      <c r="R776" s="125"/>
      <c r="S776" s="125"/>
      <c r="T776" s="125"/>
      <c r="U776" s="125"/>
      <c r="V776" s="125"/>
      <c r="W776" s="125"/>
    </row>
    <row r="777" spans="17:23">
      <c r="Q777" s="125"/>
      <c r="R777" s="125"/>
      <c r="S777" s="125"/>
      <c r="T777" s="125"/>
      <c r="U777" s="125"/>
      <c r="V777" s="125"/>
      <c r="W777" s="125"/>
    </row>
    <row r="778" spans="17:23">
      <c r="Q778" s="125"/>
      <c r="R778" s="125"/>
      <c r="S778" s="125"/>
      <c r="T778" s="125"/>
      <c r="U778" s="125"/>
      <c r="V778" s="125"/>
      <c r="W778" s="125"/>
    </row>
    <row r="779" spans="17:23">
      <c r="Q779" s="125"/>
      <c r="R779" s="125"/>
      <c r="S779" s="125"/>
      <c r="T779" s="125"/>
      <c r="U779" s="125"/>
      <c r="V779" s="125"/>
      <c r="W779" s="125"/>
    </row>
    <row r="780" spans="17:23">
      <c r="Q780" s="125"/>
      <c r="R780" s="125"/>
      <c r="S780" s="125"/>
      <c r="T780" s="125"/>
      <c r="U780" s="125"/>
      <c r="V780" s="125"/>
      <c r="W780" s="125"/>
    </row>
    <row r="781" spans="17:23">
      <c r="Q781" s="125"/>
      <c r="R781" s="125"/>
      <c r="S781" s="125"/>
      <c r="T781" s="125"/>
      <c r="U781" s="125"/>
      <c r="V781" s="125"/>
      <c r="W781" s="125"/>
    </row>
    <row r="782" spans="17:23">
      <c r="Q782" s="125"/>
      <c r="R782" s="125"/>
      <c r="S782" s="125"/>
      <c r="T782" s="125"/>
      <c r="U782" s="125"/>
      <c r="V782" s="125"/>
      <c r="W782" s="125"/>
    </row>
    <row r="783" spans="17:23">
      <c r="Q783" s="125"/>
      <c r="R783" s="125"/>
      <c r="S783" s="125"/>
      <c r="T783" s="125"/>
      <c r="U783" s="125"/>
      <c r="V783" s="125"/>
      <c r="W783" s="125"/>
    </row>
    <row r="784" spans="17:23">
      <c r="Q784" s="125"/>
      <c r="R784" s="125"/>
      <c r="S784" s="125"/>
      <c r="T784" s="125"/>
      <c r="U784" s="125"/>
      <c r="V784" s="125"/>
      <c r="W784" s="125"/>
    </row>
    <row r="785" spans="17:23">
      <c r="Q785" s="125"/>
      <c r="R785" s="125"/>
      <c r="S785" s="125"/>
      <c r="T785" s="125"/>
      <c r="U785" s="125"/>
      <c r="V785" s="125"/>
      <c r="W785" s="125"/>
    </row>
    <row r="786" spans="17:23">
      <c r="Q786" s="125"/>
      <c r="R786" s="125"/>
      <c r="S786" s="125"/>
      <c r="T786" s="125"/>
      <c r="U786" s="125"/>
      <c r="V786" s="125"/>
      <c r="W786" s="125"/>
    </row>
    <row r="787" spans="17:23">
      <c r="Q787" s="125"/>
      <c r="R787" s="125"/>
      <c r="S787" s="125"/>
      <c r="T787" s="125"/>
      <c r="U787" s="125"/>
      <c r="V787" s="125"/>
      <c r="W787" s="125"/>
    </row>
    <row r="788" spans="17:23">
      <c r="Q788" s="125"/>
      <c r="R788" s="125"/>
      <c r="S788" s="125"/>
      <c r="T788" s="125"/>
      <c r="U788" s="125"/>
      <c r="V788" s="125"/>
      <c r="W788" s="125"/>
    </row>
    <row r="789" spans="17:23">
      <c r="Q789" s="125"/>
      <c r="R789" s="125"/>
      <c r="S789" s="125"/>
      <c r="T789" s="125"/>
      <c r="U789" s="125"/>
      <c r="V789" s="125"/>
      <c r="W789" s="125"/>
    </row>
    <row r="790" spans="17:23">
      <c r="Q790" s="125"/>
      <c r="R790" s="125"/>
      <c r="S790" s="125"/>
      <c r="T790" s="125"/>
      <c r="U790" s="125"/>
      <c r="V790" s="125"/>
      <c r="W790" s="125"/>
    </row>
    <row r="791" spans="17:23">
      <c r="Q791" s="125"/>
      <c r="R791" s="125"/>
      <c r="S791" s="125"/>
      <c r="T791" s="125"/>
      <c r="U791" s="125"/>
      <c r="V791" s="125"/>
      <c r="W791" s="125"/>
    </row>
    <row r="792" spans="17:23">
      <c r="Q792" s="125"/>
      <c r="R792" s="125"/>
      <c r="S792" s="125"/>
      <c r="T792" s="125"/>
      <c r="U792" s="125"/>
      <c r="V792" s="125"/>
      <c r="W792" s="125"/>
    </row>
    <row r="793" spans="17:23">
      <c r="Q793" s="125"/>
      <c r="R793" s="125"/>
      <c r="S793" s="125"/>
      <c r="T793" s="125"/>
      <c r="U793" s="125"/>
      <c r="V793" s="125"/>
      <c r="W793" s="125"/>
    </row>
    <row r="794" spans="17:23">
      <c r="Q794" s="125"/>
      <c r="R794" s="125"/>
      <c r="S794" s="125"/>
      <c r="T794" s="125"/>
      <c r="U794" s="125"/>
      <c r="V794" s="125"/>
      <c r="W794" s="125"/>
    </row>
    <row r="795" spans="17:23">
      <c r="Q795" s="125"/>
      <c r="R795" s="125"/>
      <c r="S795" s="125"/>
      <c r="T795" s="125"/>
      <c r="U795" s="125"/>
      <c r="V795" s="125"/>
      <c r="W795" s="125"/>
    </row>
    <row r="796" spans="17:23">
      <c r="Q796" s="125"/>
      <c r="R796" s="125"/>
      <c r="S796" s="125"/>
      <c r="T796" s="125"/>
      <c r="U796" s="125"/>
      <c r="V796" s="125"/>
      <c r="W796" s="125"/>
    </row>
    <row r="797" spans="17:23">
      <c r="Q797" s="125"/>
      <c r="R797" s="125"/>
      <c r="S797" s="125"/>
      <c r="T797" s="125"/>
      <c r="U797" s="125"/>
      <c r="V797" s="125"/>
      <c r="W797" s="125"/>
    </row>
    <row r="798" spans="17:23">
      <c r="Q798" s="125"/>
      <c r="R798" s="125"/>
      <c r="S798" s="125"/>
      <c r="T798" s="125"/>
      <c r="U798" s="125"/>
      <c r="V798" s="125"/>
      <c r="W798" s="125"/>
    </row>
    <row r="799" spans="17:23">
      <c r="Q799" s="125"/>
      <c r="R799" s="125"/>
      <c r="S799" s="125"/>
      <c r="T799" s="125"/>
      <c r="U799" s="125"/>
      <c r="V799" s="125"/>
      <c r="W799" s="125"/>
    </row>
    <row r="800" spans="17:23">
      <c r="Q800" s="125"/>
      <c r="R800" s="125"/>
      <c r="S800" s="125"/>
      <c r="T800" s="125"/>
      <c r="U800" s="125"/>
      <c r="V800" s="125"/>
      <c r="W800" s="125"/>
    </row>
    <row r="801" spans="17:23">
      <c r="Q801" s="125"/>
      <c r="R801" s="125"/>
      <c r="S801" s="125"/>
      <c r="T801" s="125"/>
      <c r="U801" s="125"/>
      <c r="V801" s="125"/>
      <c r="W801" s="125"/>
    </row>
    <row r="802" spans="17:23">
      <c r="Q802" s="125"/>
      <c r="R802" s="125"/>
      <c r="S802" s="125"/>
      <c r="T802" s="125"/>
      <c r="U802" s="125"/>
      <c r="V802" s="125"/>
      <c r="W802" s="125"/>
    </row>
    <row r="803" spans="17:23">
      <c r="Q803" s="125"/>
      <c r="R803" s="125"/>
      <c r="S803" s="125"/>
      <c r="T803" s="125"/>
      <c r="U803" s="125"/>
      <c r="V803" s="125"/>
      <c r="W803" s="125"/>
    </row>
    <row r="804" spans="17:23">
      <c r="Q804" s="125"/>
      <c r="R804" s="125"/>
      <c r="S804" s="125"/>
      <c r="T804" s="125"/>
      <c r="U804" s="125"/>
      <c r="V804" s="125"/>
      <c r="W804" s="125"/>
    </row>
    <row r="805" spans="17:23">
      <c r="Q805" s="125"/>
      <c r="R805" s="125"/>
      <c r="S805" s="125"/>
      <c r="T805" s="125"/>
      <c r="U805" s="125"/>
      <c r="V805" s="125"/>
      <c r="W805" s="125"/>
    </row>
    <row r="806" spans="17:23">
      <c r="Q806" s="125"/>
      <c r="R806" s="125"/>
      <c r="S806" s="125"/>
      <c r="T806" s="125"/>
      <c r="U806" s="125"/>
      <c r="V806" s="125"/>
      <c r="W806" s="125"/>
    </row>
    <row r="807" spans="17:23">
      <c r="Q807" s="125"/>
      <c r="R807" s="125"/>
      <c r="S807" s="125"/>
      <c r="T807" s="125"/>
      <c r="U807" s="125"/>
      <c r="V807" s="125"/>
      <c r="W807" s="125"/>
    </row>
    <row r="808" spans="17:23">
      <c r="Q808" s="125"/>
      <c r="R808" s="125"/>
      <c r="S808" s="125"/>
      <c r="T808" s="125"/>
      <c r="U808" s="125"/>
      <c r="V808" s="125"/>
      <c r="W808" s="125"/>
    </row>
    <row r="809" spans="17:23">
      <c r="Q809" s="125"/>
      <c r="R809" s="125"/>
      <c r="S809" s="125"/>
      <c r="T809" s="125"/>
      <c r="U809" s="125"/>
      <c r="V809" s="125"/>
      <c r="W809" s="125"/>
    </row>
    <row r="810" spans="17:23">
      <c r="Q810" s="125"/>
      <c r="R810" s="125"/>
      <c r="S810" s="125"/>
      <c r="T810" s="125"/>
      <c r="U810" s="125"/>
      <c r="V810" s="125"/>
      <c r="W810" s="125"/>
    </row>
    <row r="811" spans="17:23">
      <c r="Q811" s="125"/>
      <c r="R811" s="125"/>
      <c r="S811" s="125"/>
      <c r="T811" s="125"/>
      <c r="U811" s="125"/>
      <c r="V811" s="125"/>
      <c r="W811" s="125"/>
    </row>
    <row r="812" spans="17:23">
      <c r="Q812" s="125"/>
      <c r="R812" s="125"/>
      <c r="S812" s="125"/>
      <c r="T812" s="125"/>
      <c r="U812" s="125"/>
      <c r="V812" s="125"/>
      <c r="W812" s="125"/>
    </row>
    <row r="813" spans="17:23">
      <c r="Q813" s="125"/>
      <c r="R813" s="125"/>
      <c r="S813" s="125"/>
      <c r="T813" s="125"/>
      <c r="U813" s="125"/>
      <c r="V813" s="125"/>
      <c r="W813" s="125"/>
    </row>
    <row r="814" spans="17:23">
      <c r="Q814" s="125"/>
      <c r="R814" s="125"/>
      <c r="S814" s="125"/>
      <c r="T814" s="125"/>
      <c r="U814" s="125"/>
      <c r="V814" s="125"/>
      <c r="W814" s="125"/>
    </row>
    <row r="815" spans="17:23">
      <c r="Q815" s="125"/>
      <c r="R815" s="125"/>
      <c r="S815" s="125"/>
      <c r="T815" s="125"/>
      <c r="U815" s="125"/>
      <c r="V815" s="125"/>
      <c r="W815" s="125"/>
    </row>
    <row r="816" spans="17:23">
      <c r="Q816" s="125"/>
      <c r="R816" s="125"/>
      <c r="S816" s="125"/>
      <c r="T816" s="125"/>
      <c r="U816" s="125"/>
      <c r="V816" s="125"/>
      <c r="W816" s="125"/>
    </row>
    <row r="817" spans="17:23">
      <c r="Q817" s="125"/>
      <c r="R817" s="125"/>
      <c r="S817" s="125"/>
      <c r="T817" s="125"/>
      <c r="U817" s="125"/>
      <c r="V817" s="125"/>
      <c r="W817" s="125"/>
    </row>
    <row r="818" spans="17:23">
      <c r="Q818" s="125"/>
      <c r="R818" s="125"/>
      <c r="S818" s="125"/>
      <c r="T818" s="125"/>
      <c r="U818" s="125"/>
      <c r="V818" s="125"/>
      <c r="W818" s="125"/>
    </row>
  </sheetData>
  <mergeCells count="4">
    <mergeCell ref="A1:P1"/>
    <mergeCell ref="Q1:W1"/>
    <mergeCell ref="E3:P3"/>
    <mergeCell ref="E19:P19"/>
  </mergeCells>
  <pageMargins left="0.7" right="0.7" top="0.75" bottom="0.75" header="0.3" footer="0.3"/>
  <pageSetup paperSize="9" orientation="portrait" r:id="rId1"/>
  <colBreaks count="1" manualBreakCount="1">
    <brk id="4"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72137-7524-45F0-897B-BDE33580C414}">
  <sheetPr codeName="Sheet4">
    <pageSetUpPr fitToPage="1"/>
  </sheetPr>
  <dimension ref="A1:AX264"/>
  <sheetViews>
    <sheetView tabSelected="1" zoomScale="55" zoomScaleNormal="55" workbookViewId="0">
      <selection activeCell="AI25" sqref="AI25"/>
    </sheetView>
  </sheetViews>
  <sheetFormatPr defaultColWidth="9.140625" defaultRowHeight="15"/>
  <cols>
    <col min="1" max="5" width="9.140625" style="32"/>
    <col min="6" max="6" width="9.140625" style="32" customWidth="1"/>
    <col min="7" max="7" width="11.140625" style="32" customWidth="1"/>
    <col min="8" max="8" width="13" style="32" customWidth="1"/>
    <col min="9" max="9" width="8.85546875" style="32" customWidth="1"/>
    <col min="10" max="42" width="9.140625" style="32"/>
    <col min="43" max="44" width="11" style="32" customWidth="1"/>
    <col min="45" max="51" width="9.140625" style="32"/>
    <col min="52" max="52" width="13.140625" style="32" customWidth="1"/>
    <col min="53" max="16384" width="9.140625" style="32"/>
  </cols>
  <sheetData>
    <row r="1" spans="1:48" ht="49.5" customHeight="1">
      <c r="A1" s="366" t="s">
        <v>998</v>
      </c>
      <c r="B1" s="366"/>
      <c r="C1" s="366"/>
      <c r="D1" s="366"/>
      <c r="E1" s="366"/>
      <c r="F1" s="366"/>
      <c r="G1" s="366"/>
      <c r="H1" s="366"/>
      <c r="I1" s="366"/>
      <c r="J1" s="366"/>
      <c r="K1" s="366"/>
      <c r="L1" s="366"/>
      <c r="M1" s="366"/>
      <c r="N1" s="366"/>
      <c r="O1" s="366"/>
      <c r="P1" s="366"/>
      <c r="Q1" s="366"/>
      <c r="R1" s="366"/>
      <c r="S1" s="366"/>
      <c r="T1" s="366"/>
      <c r="U1" s="366"/>
      <c r="V1" s="366"/>
      <c r="W1" s="366"/>
      <c r="X1" s="366"/>
      <c r="Y1" s="366"/>
      <c r="Z1" s="366"/>
      <c r="AA1" s="366"/>
      <c r="AB1" s="366"/>
      <c r="AC1" s="366"/>
      <c r="AD1" s="366"/>
      <c r="AE1" s="366"/>
      <c r="AF1" s="366"/>
      <c r="AG1" s="366"/>
      <c r="AH1" s="366"/>
      <c r="AI1" s="366"/>
      <c r="AJ1" s="366"/>
      <c r="AK1" s="366"/>
      <c r="AL1" s="366"/>
      <c r="AM1" s="366"/>
      <c r="AN1" s="366"/>
      <c r="AO1" s="366"/>
      <c r="AP1" s="366"/>
      <c r="AQ1" s="366"/>
      <c r="AR1" s="366"/>
      <c r="AS1" s="366"/>
      <c r="AT1" s="366"/>
      <c r="AU1" s="366"/>
      <c r="AV1" s="366"/>
    </row>
    <row r="2" spans="1:48" ht="20.25" customHeight="1">
      <c r="A2" s="365" t="s">
        <v>207</v>
      </c>
      <c r="B2" s="365"/>
      <c r="C2" s="365"/>
      <c r="D2" s="365"/>
      <c r="E2" s="365"/>
      <c r="F2" s="365"/>
      <c r="G2" s="365"/>
      <c r="H2" s="365"/>
      <c r="I2" s="365"/>
      <c r="J2" s="365"/>
      <c r="K2" s="365"/>
      <c r="L2" s="365"/>
      <c r="M2" s="365"/>
      <c r="N2" s="365"/>
      <c r="O2" s="365"/>
      <c r="P2" s="365"/>
      <c r="Q2" s="365"/>
      <c r="R2" s="365"/>
      <c r="S2" s="365"/>
      <c r="T2" s="365"/>
      <c r="U2" s="365"/>
      <c r="V2" s="365"/>
      <c r="W2" s="365"/>
      <c r="X2" s="365"/>
      <c r="Y2" s="365"/>
      <c r="Z2" s="365"/>
      <c r="AA2" s="365"/>
      <c r="AB2" s="365"/>
      <c r="AC2" s="365"/>
      <c r="AD2" s="365"/>
      <c r="AE2" s="365"/>
      <c r="AF2" s="365"/>
      <c r="AG2" s="365"/>
      <c r="AH2" s="365"/>
      <c r="AI2" s="365"/>
      <c r="AJ2" s="365"/>
      <c r="AK2" s="365"/>
      <c r="AL2" s="365"/>
      <c r="AM2" s="365"/>
      <c r="AN2" s="365"/>
      <c r="AO2" s="365"/>
      <c r="AP2" s="365"/>
      <c r="AQ2" s="365"/>
      <c r="AR2" s="365"/>
      <c r="AS2" s="365"/>
      <c r="AT2" s="365"/>
      <c r="AU2" s="365"/>
      <c r="AV2" s="365"/>
    </row>
    <row r="3" spans="1:48" ht="42.75" customHeight="1">
      <c r="A3" s="73"/>
      <c r="B3" s="73"/>
      <c r="C3" s="73"/>
      <c r="D3" s="73"/>
      <c r="E3" s="73"/>
      <c r="F3" s="73"/>
      <c r="G3" s="73"/>
      <c r="H3" s="72"/>
      <c r="I3" s="72"/>
      <c r="J3" s="73"/>
      <c r="K3" s="73"/>
      <c r="L3" s="73"/>
      <c r="M3" s="73"/>
      <c r="N3" s="73"/>
      <c r="O3" s="73"/>
      <c r="P3" s="73"/>
      <c r="Q3" s="370" t="s">
        <v>623</v>
      </c>
      <c r="R3" s="370"/>
      <c r="S3" s="370"/>
      <c r="T3" s="370"/>
      <c r="U3" s="370"/>
      <c r="V3" s="370"/>
      <c r="W3" s="370"/>
      <c r="X3" s="370"/>
      <c r="Y3" s="370"/>
      <c r="Z3" s="370"/>
      <c r="AA3" s="370"/>
      <c r="AB3" s="370"/>
      <c r="AC3" s="370"/>
      <c r="AD3" s="370"/>
      <c r="AE3" s="370"/>
      <c r="AF3" s="73"/>
      <c r="AG3" s="73"/>
      <c r="AH3" s="73"/>
      <c r="AI3" s="73"/>
      <c r="AJ3" s="73"/>
      <c r="AK3" s="73"/>
      <c r="AL3" s="73"/>
      <c r="AM3" s="73"/>
      <c r="AN3" s="73"/>
      <c r="AO3" s="73"/>
      <c r="AP3" s="73"/>
      <c r="AQ3" s="74"/>
      <c r="AR3" s="73"/>
      <c r="AS3" s="73"/>
      <c r="AT3" s="73"/>
      <c r="AU3" s="73"/>
      <c r="AV3" s="73"/>
    </row>
    <row r="4" spans="1:48" ht="24.75" customHeight="1">
      <c r="A4" s="73"/>
      <c r="B4" s="367" t="s">
        <v>210</v>
      </c>
      <c r="C4" s="367"/>
      <c r="D4" s="368" t="s">
        <v>208</v>
      </c>
      <c r="E4" s="368"/>
      <c r="F4" s="369" t="s">
        <v>209</v>
      </c>
      <c r="G4" s="369"/>
      <c r="H4" s="72"/>
      <c r="I4" s="72"/>
      <c r="J4" s="73"/>
      <c r="K4" s="73"/>
      <c r="L4" s="73"/>
      <c r="M4" s="73"/>
      <c r="N4" s="73"/>
      <c r="O4" s="73"/>
      <c r="P4" s="73"/>
      <c r="Q4" s="124"/>
      <c r="R4" s="124"/>
      <c r="S4" s="124"/>
      <c r="T4" s="124"/>
      <c r="U4" s="124"/>
      <c r="V4" s="124"/>
      <c r="W4" s="124"/>
      <c r="X4" s="124"/>
      <c r="Y4" s="124"/>
      <c r="Z4" s="124"/>
      <c r="AA4" s="124"/>
      <c r="AB4" s="124"/>
      <c r="AC4" s="124"/>
      <c r="AD4" s="124"/>
      <c r="AE4" s="73"/>
      <c r="AF4" s="73"/>
      <c r="AG4" s="73"/>
      <c r="AH4" s="73"/>
      <c r="AI4" s="73"/>
      <c r="AJ4" s="73"/>
      <c r="AK4" s="73"/>
      <c r="AL4" s="73"/>
      <c r="AM4" s="73"/>
      <c r="AN4" s="73"/>
      <c r="AO4" s="73"/>
      <c r="AP4" s="73"/>
      <c r="AQ4" s="74"/>
      <c r="AR4" s="73"/>
      <c r="AS4" s="73"/>
      <c r="AT4" s="73"/>
      <c r="AU4" s="73"/>
      <c r="AV4" s="73"/>
    </row>
    <row r="5" spans="1:48" ht="20.25" customHeight="1">
      <c r="A5" s="75" t="s">
        <v>62</v>
      </c>
      <c r="B5" s="361">
        <v>6</v>
      </c>
      <c r="C5" s="361"/>
      <c r="D5" s="361">
        <f>J15</f>
        <v>8</v>
      </c>
      <c r="E5" s="361"/>
      <c r="F5" s="362">
        <f>B5-D5</f>
        <v>-2</v>
      </c>
      <c r="G5" s="362"/>
      <c r="H5" s="72"/>
      <c r="I5" s="72"/>
      <c r="J5" s="73"/>
      <c r="K5" s="73"/>
      <c r="L5" s="73"/>
      <c r="M5" s="73"/>
      <c r="N5" s="73"/>
      <c r="O5" s="73"/>
      <c r="P5" s="73"/>
      <c r="Q5" s="73"/>
      <c r="R5" s="73"/>
      <c r="S5" s="73"/>
      <c r="T5" s="73"/>
      <c r="U5" s="73"/>
      <c r="V5" s="73"/>
      <c r="W5" s="73"/>
      <c r="X5" s="73"/>
      <c r="Y5" s="73"/>
      <c r="Z5" s="73"/>
      <c r="AA5" s="73"/>
      <c r="AB5" s="73"/>
      <c r="AC5" s="73"/>
      <c r="AD5" s="73"/>
      <c r="AE5" s="73"/>
      <c r="AF5" s="73"/>
      <c r="AG5" s="73"/>
      <c r="AH5" s="73"/>
      <c r="AI5" s="73"/>
      <c r="AJ5" s="73"/>
      <c r="AK5" s="73"/>
      <c r="AL5" s="73"/>
      <c r="AM5" s="73"/>
      <c r="AN5" s="73"/>
      <c r="AO5" s="73"/>
      <c r="AP5" s="73"/>
      <c r="AQ5" s="73"/>
      <c r="AR5" s="73"/>
      <c r="AS5" s="73"/>
      <c r="AT5" s="73"/>
      <c r="AU5" s="73"/>
      <c r="AV5" s="73"/>
    </row>
    <row r="6" spans="1:48" ht="20.25" customHeight="1">
      <c r="A6" s="75" t="s">
        <v>61</v>
      </c>
      <c r="B6" s="361">
        <v>2</v>
      </c>
      <c r="C6" s="361"/>
      <c r="D6" s="361">
        <f>K15</f>
        <v>1</v>
      </c>
      <c r="E6" s="361"/>
      <c r="F6" s="362">
        <f>B6-D6</f>
        <v>1</v>
      </c>
      <c r="G6" s="362"/>
      <c r="H6" s="381"/>
      <c r="I6" s="381"/>
      <c r="J6" s="363" t="s">
        <v>224</v>
      </c>
      <c r="K6" s="363"/>
      <c r="L6" s="364" t="s">
        <v>600</v>
      </c>
      <c r="M6" s="364"/>
      <c r="N6" s="364"/>
      <c r="O6" s="364" t="s">
        <v>604</v>
      </c>
      <c r="P6" s="364"/>
      <c r="Q6" s="364"/>
      <c r="R6" s="364"/>
      <c r="S6" s="364"/>
      <c r="T6" s="364"/>
      <c r="U6" s="376" t="s">
        <v>605</v>
      </c>
      <c r="V6" s="377"/>
      <c r="W6" s="378"/>
      <c r="X6" s="364" t="s">
        <v>606</v>
      </c>
      <c r="Y6" s="364"/>
      <c r="Z6" s="364"/>
      <c r="AA6" s="364"/>
      <c r="AB6" s="364"/>
      <c r="AC6" s="364"/>
      <c r="AD6" s="364" t="s">
        <v>610</v>
      </c>
      <c r="AE6" s="364"/>
      <c r="AF6" s="364"/>
      <c r="AG6" s="364"/>
      <c r="AH6" s="364"/>
      <c r="AI6" s="364"/>
      <c r="AJ6" s="364"/>
      <c r="AK6" s="364"/>
      <c r="AL6" s="364"/>
      <c r="AM6" s="364"/>
      <c r="AN6" s="364"/>
      <c r="AO6" s="364"/>
      <c r="AP6" s="364"/>
      <c r="AQ6" s="364"/>
      <c r="AR6" s="364"/>
      <c r="AS6" s="364" t="s">
        <v>620</v>
      </c>
      <c r="AT6" s="364"/>
      <c r="AU6" s="364"/>
      <c r="AV6" s="364"/>
    </row>
    <row r="7" spans="1:48" ht="24.75" customHeight="1">
      <c r="A7" s="215"/>
      <c r="B7" s="215"/>
      <c r="C7" s="215"/>
      <c r="D7" s="215"/>
      <c r="E7" s="215"/>
      <c r="F7" s="215"/>
      <c r="G7" s="215"/>
      <c r="H7" s="381" t="s">
        <v>206</v>
      </c>
      <c r="I7" s="381"/>
      <c r="J7" s="75" t="s">
        <v>62</v>
      </c>
      <c r="K7" s="75" t="s">
        <v>61</v>
      </c>
      <c r="L7" s="207" t="s">
        <v>601</v>
      </c>
      <c r="M7" s="207" t="s">
        <v>602</v>
      </c>
      <c r="N7" s="207" t="s">
        <v>603</v>
      </c>
      <c r="O7" s="207" t="s">
        <v>601</v>
      </c>
      <c r="P7" s="207" t="s">
        <v>602</v>
      </c>
      <c r="Q7" s="207" t="s">
        <v>603</v>
      </c>
      <c r="R7" s="207" t="s">
        <v>607</v>
      </c>
      <c r="S7" s="207" t="s">
        <v>608</v>
      </c>
      <c r="T7" s="207" t="s">
        <v>609</v>
      </c>
      <c r="U7" s="207" t="s">
        <v>601</v>
      </c>
      <c r="V7" s="207" t="s">
        <v>602</v>
      </c>
      <c r="W7" s="207" t="s">
        <v>603</v>
      </c>
      <c r="X7" s="207" t="s">
        <v>601</v>
      </c>
      <c r="Y7" s="207" t="s">
        <v>602</v>
      </c>
      <c r="Z7" s="207" t="s">
        <v>603</v>
      </c>
      <c r="AA7" s="207" t="s">
        <v>607</v>
      </c>
      <c r="AB7" s="207" t="s">
        <v>608</v>
      </c>
      <c r="AC7" s="207" t="s">
        <v>609</v>
      </c>
      <c r="AD7" s="207" t="s">
        <v>601</v>
      </c>
      <c r="AE7" s="77" t="s">
        <v>602</v>
      </c>
      <c r="AF7" s="207" t="s">
        <v>603</v>
      </c>
      <c r="AG7" s="77" t="s">
        <v>607</v>
      </c>
      <c r="AH7" s="207" t="s">
        <v>608</v>
      </c>
      <c r="AI7" s="77" t="s">
        <v>609</v>
      </c>
      <c r="AJ7" s="207" t="s">
        <v>611</v>
      </c>
      <c r="AK7" s="77" t="s">
        <v>612</v>
      </c>
      <c r="AL7" s="207" t="s">
        <v>613</v>
      </c>
      <c r="AM7" s="77" t="s">
        <v>614</v>
      </c>
      <c r="AN7" s="207" t="s">
        <v>615</v>
      </c>
      <c r="AO7" s="77" t="s">
        <v>616</v>
      </c>
      <c r="AP7" s="207" t="s">
        <v>617</v>
      </c>
      <c r="AQ7" s="77" t="s">
        <v>618</v>
      </c>
      <c r="AR7" s="207" t="s">
        <v>619</v>
      </c>
      <c r="AS7" s="207" t="s">
        <v>601</v>
      </c>
      <c r="AT7" s="78" t="s">
        <v>602</v>
      </c>
      <c r="AU7" s="207" t="s">
        <v>603</v>
      </c>
      <c r="AV7" s="78" t="s">
        <v>607</v>
      </c>
    </row>
    <row r="8" spans="1:48" ht="24.75" customHeight="1">
      <c r="A8" s="357" t="s">
        <v>56</v>
      </c>
      <c r="B8" s="357"/>
      <c r="C8" s="357"/>
      <c r="D8" s="357"/>
      <c r="E8" s="357"/>
      <c r="F8" s="359">
        <v>14</v>
      </c>
      <c r="G8" s="359"/>
      <c r="H8" s="358" t="s">
        <v>225</v>
      </c>
      <c r="I8" s="358"/>
      <c r="J8" s="76">
        <v>3</v>
      </c>
      <c r="K8" s="76">
        <v>1</v>
      </c>
      <c r="L8" s="79" t="e">
        <v>#N/A</v>
      </c>
      <c r="M8" s="79" t="s">
        <v>204</v>
      </c>
      <c r="N8" s="79" t="s">
        <v>204</v>
      </c>
      <c r="O8" s="79" t="s">
        <v>204</v>
      </c>
      <c r="P8" s="79" t="s">
        <v>204</v>
      </c>
      <c r="Q8" s="79" t="s">
        <v>204</v>
      </c>
      <c r="R8" s="79" t="e">
        <v>#N/A</v>
      </c>
      <c r="S8" s="79" t="s">
        <v>204</v>
      </c>
      <c r="T8" s="79" t="e">
        <v>#N/A</v>
      </c>
      <c r="U8" s="79" t="s">
        <v>204</v>
      </c>
      <c r="V8" s="80" t="s">
        <v>205</v>
      </c>
      <c r="W8" s="80" t="s">
        <v>204</v>
      </c>
      <c r="X8" s="80" t="e">
        <v>#N/A</v>
      </c>
      <c r="Y8" s="80" t="s">
        <v>204</v>
      </c>
      <c r="Z8" s="80" t="s">
        <v>204</v>
      </c>
      <c r="AA8" s="80" t="s">
        <v>204</v>
      </c>
      <c r="AB8" s="80" t="s">
        <v>204</v>
      </c>
      <c r="AC8" s="80" t="s">
        <v>204</v>
      </c>
      <c r="AD8" s="79" t="s">
        <v>204</v>
      </c>
      <c r="AE8" s="79" t="s">
        <v>204</v>
      </c>
      <c r="AF8" s="79" t="s">
        <v>204</v>
      </c>
      <c r="AG8" s="79" t="s">
        <v>204</v>
      </c>
      <c r="AH8" s="79" t="s">
        <v>204</v>
      </c>
      <c r="AI8" s="79" t="s">
        <v>204</v>
      </c>
      <c r="AJ8" s="79" t="s">
        <v>204</v>
      </c>
      <c r="AK8" s="79" t="s">
        <v>204</v>
      </c>
      <c r="AL8" s="79" t="s">
        <v>204</v>
      </c>
      <c r="AM8" s="79" t="s">
        <v>204</v>
      </c>
      <c r="AN8" s="79" t="s">
        <v>204</v>
      </c>
      <c r="AO8" s="79" t="s">
        <v>204</v>
      </c>
      <c r="AP8" s="79" t="s">
        <v>205</v>
      </c>
      <c r="AQ8" s="79" t="s">
        <v>204</v>
      </c>
      <c r="AR8" s="79" t="s">
        <v>204</v>
      </c>
      <c r="AS8" s="79" t="s">
        <v>204</v>
      </c>
      <c r="AT8" s="79" t="s">
        <v>205</v>
      </c>
      <c r="AU8" s="79" t="s">
        <v>204</v>
      </c>
      <c r="AV8" s="79" t="s">
        <v>204</v>
      </c>
    </row>
    <row r="9" spans="1:48" ht="24.75" customHeight="1">
      <c r="A9" s="357" t="s">
        <v>57</v>
      </c>
      <c r="B9" s="357"/>
      <c r="C9" s="357"/>
      <c r="D9" s="357"/>
      <c r="E9" s="357"/>
      <c r="F9" s="359">
        <v>10</v>
      </c>
      <c r="G9" s="359"/>
      <c r="H9" s="358" t="s">
        <v>226</v>
      </c>
      <c r="I9" s="358"/>
      <c r="J9" s="76">
        <v>1</v>
      </c>
      <c r="K9" s="76"/>
      <c r="L9" s="79" t="s">
        <v>204</v>
      </c>
      <c r="M9" s="79" t="s">
        <v>204</v>
      </c>
      <c r="N9" s="79" t="s">
        <v>204</v>
      </c>
      <c r="O9" s="79" t="s">
        <v>204</v>
      </c>
      <c r="P9" s="79" t="s">
        <v>204</v>
      </c>
      <c r="Q9" s="79" t="e">
        <v>#N/A</v>
      </c>
      <c r="R9" s="79" t="s">
        <v>204</v>
      </c>
      <c r="S9" s="79" t="s">
        <v>204</v>
      </c>
      <c r="T9" s="79" t="s">
        <v>204</v>
      </c>
      <c r="U9" s="79" t="s">
        <v>204</v>
      </c>
      <c r="V9" s="79" t="s">
        <v>205</v>
      </c>
      <c r="W9" s="79" t="s">
        <v>204</v>
      </c>
      <c r="X9" s="79" t="s">
        <v>204</v>
      </c>
      <c r="Y9" s="79" t="e">
        <v>#N/A</v>
      </c>
      <c r="Z9" s="79" t="e">
        <v>#N/A</v>
      </c>
      <c r="AA9" s="79" t="s">
        <v>204</v>
      </c>
      <c r="AB9" s="79" t="s">
        <v>204</v>
      </c>
      <c r="AC9" s="79" t="e">
        <v>#N/A</v>
      </c>
      <c r="AD9" s="79" t="s">
        <v>204</v>
      </c>
      <c r="AE9" s="79" t="s">
        <v>204</v>
      </c>
      <c r="AF9" s="79" t="s">
        <v>204</v>
      </c>
      <c r="AG9" s="79" t="s">
        <v>204</v>
      </c>
      <c r="AH9" s="79" t="s">
        <v>204</v>
      </c>
      <c r="AI9" s="79" t="s">
        <v>204</v>
      </c>
      <c r="AJ9" s="79" t="s">
        <v>204</v>
      </c>
      <c r="AK9" s="79" t="s">
        <v>204</v>
      </c>
      <c r="AL9" s="79" t="s">
        <v>204</v>
      </c>
      <c r="AM9" s="79" t="s">
        <v>204</v>
      </c>
      <c r="AN9" s="79" t="s">
        <v>204</v>
      </c>
      <c r="AO9" s="79" t="s">
        <v>204</v>
      </c>
      <c r="AP9" s="79" t="s">
        <v>204</v>
      </c>
      <c r="AQ9" s="79" t="s">
        <v>204</v>
      </c>
      <c r="AR9" s="79" t="s">
        <v>204</v>
      </c>
      <c r="AS9" s="79" t="s">
        <v>204</v>
      </c>
      <c r="AT9" s="79" t="s">
        <v>205</v>
      </c>
      <c r="AU9" s="79" t="s">
        <v>204</v>
      </c>
      <c r="AV9" s="79" t="s">
        <v>204</v>
      </c>
    </row>
    <row r="10" spans="1:48" ht="24.75" customHeight="1">
      <c r="A10" s="357" t="s">
        <v>58</v>
      </c>
      <c r="B10" s="357"/>
      <c r="C10" s="357"/>
      <c r="D10" s="357"/>
      <c r="E10" s="357"/>
      <c r="F10" s="359">
        <v>12</v>
      </c>
      <c r="G10" s="359"/>
      <c r="H10" s="358" t="s">
        <v>226</v>
      </c>
      <c r="I10" s="358"/>
      <c r="J10" s="76">
        <v>2</v>
      </c>
      <c r="K10" s="76"/>
      <c r="L10" s="79" t="s">
        <v>204</v>
      </c>
      <c r="M10" s="79" t="s">
        <v>204</v>
      </c>
      <c r="N10" s="79" t="s">
        <v>204</v>
      </c>
      <c r="O10" s="79" t="s">
        <v>204</v>
      </c>
      <c r="P10" s="79" t="s">
        <v>204</v>
      </c>
      <c r="Q10" s="79" t="e">
        <v>#N/A</v>
      </c>
      <c r="R10" s="79" t="s">
        <v>204</v>
      </c>
      <c r="S10" s="79" t="s">
        <v>204</v>
      </c>
      <c r="T10" s="79" t="s">
        <v>204</v>
      </c>
      <c r="U10" s="79" t="s">
        <v>204</v>
      </c>
      <c r="V10" s="79" t="s">
        <v>205</v>
      </c>
      <c r="W10" s="79" t="s">
        <v>204</v>
      </c>
      <c r="X10" s="79" t="s">
        <v>204</v>
      </c>
      <c r="Y10" s="79" t="e">
        <v>#N/A</v>
      </c>
      <c r="Z10" s="79" t="e">
        <v>#N/A</v>
      </c>
      <c r="AA10" s="79" t="e">
        <v>#N/A</v>
      </c>
      <c r="AB10" s="79" t="s">
        <v>204</v>
      </c>
      <c r="AC10" s="79" t="e">
        <v>#N/A</v>
      </c>
      <c r="AD10" s="79" t="s">
        <v>204</v>
      </c>
      <c r="AE10" s="79" t="s">
        <v>204</v>
      </c>
      <c r="AF10" s="79" t="s">
        <v>204</v>
      </c>
      <c r="AG10" s="79" t="s">
        <v>204</v>
      </c>
      <c r="AH10" s="79" t="e">
        <v>#N/A</v>
      </c>
      <c r="AI10" s="79" t="s">
        <v>204</v>
      </c>
      <c r="AJ10" s="79" t="s">
        <v>204</v>
      </c>
      <c r="AK10" s="79" t="s">
        <v>204</v>
      </c>
      <c r="AL10" s="79" t="s">
        <v>204</v>
      </c>
      <c r="AM10" s="79" t="s">
        <v>204</v>
      </c>
      <c r="AN10" s="79" t="s">
        <v>204</v>
      </c>
      <c r="AO10" s="79" t="s">
        <v>204</v>
      </c>
      <c r="AP10" s="79" t="s">
        <v>204</v>
      </c>
      <c r="AQ10" s="79" t="s">
        <v>204</v>
      </c>
      <c r="AR10" s="79" t="s">
        <v>204</v>
      </c>
      <c r="AS10" s="79" t="s">
        <v>204</v>
      </c>
      <c r="AT10" s="79" t="s">
        <v>204</v>
      </c>
      <c r="AU10" s="79" t="s">
        <v>204</v>
      </c>
      <c r="AV10" s="79" t="s">
        <v>204</v>
      </c>
    </row>
    <row r="11" spans="1:48" ht="24.75" customHeight="1">
      <c r="A11" s="357" t="s">
        <v>43</v>
      </c>
      <c r="B11" s="357"/>
      <c r="C11" s="357"/>
      <c r="D11" s="357"/>
      <c r="E11" s="357"/>
      <c r="F11" s="359">
        <v>14</v>
      </c>
      <c r="G11" s="359"/>
      <c r="H11" s="358" t="s">
        <v>225</v>
      </c>
      <c r="I11" s="358"/>
      <c r="J11" s="76">
        <v>2</v>
      </c>
      <c r="K11" s="76"/>
      <c r="L11" s="79" t="s">
        <v>204</v>
      </c>
      <c r="M11" s="79" t="s">
        <v>204</v>
      </c>
      <c r="N11" s="79" t="s">
        <v>204</v>
      </c>
      <c r="O11" s="79" t="s">
        <v>204</v>
      </c>
      <c r="P11" s="79" t="s">
        <v>204</v>
      </c>
      <c r="Q11" s="79" t="e">
        <v>#N/A</v>
      </c>
      <c r="R11" s="79" t="s">
        <v>204</v>
      </c>
      <c r="S11" s="79" t="s">
        <v>204</v>
      </c>
      <c r="T11" s="79" t="s">
        <v>204</v>
      </c>
      <c r="U11" s="79" t="s">
        <v>204</v>
      </c>
      <c r="V11" s="79" t="s">
        <v>205</v>
      </c>
      <c r="W11" s="79" t="s">
        <v>204</v>
      </c>
      <c r="X11" s="79" t="s">
        <v>204</v>
      </c>
      <c r="Y11" s="79" t="s">
        <v>204</v>
      </c>
      <c r="Z11" s="79" t="s">
        <v>204</v>
      </c>
      <c r="AA11" s="79" t="s">
        <v>204</v>
      </c>
      <c r="AB11" s="79" t="s">
        <v>204</v>
      </c>
      <c r="AC11" s="79" t="s">
        <v>204</v>
      </c>
      <c r="AD11" s="79" t="s">
        <v>204</v>
      </c>
      <c r="AE11" s="79" t="s">
        <v>204</v>
      </c>
      <c r="AF11" s="79" t="s">
        <v>204</v>
      </c>
      <c r="AG11" s="79" t="s">
        <v>204</v>
      </c>
      <c r="AH11" s="79" t="s">
        <v>204</v>
      </c>
      <c r="AI11" s="79" t="s">
        <v>204</v>
      </c>
      <c r="AJ11" s="79" t="s">
        <v>204</v>
      </c>
      <c r="AK11" s="79" t="s">
        <v>204</v>
      </c>
      <c r="AL11" s="79" t="s">
        <v>204</v>
      </c>
      <c r="AM11" s="79" t="s">
        <v>204</v>
      </c>
      <c r="AN11" s="79" t="s">
        <v>204</v>
      </c>
      <c r="AO11" s="79" t="s">
        <v>204</v>
      </c>
      <c r="AP11" s="79" t="s">
        <v>205</v>
      </c>
      <c r="AQ11" s="79" t="s">
        <v>204</v>
      </c>
      <c r="AR11" s="79" t="s">
        <v>204</v>
      </c>
      <c r="AS11" s="79" t="s">
        <v>204</v>
      </c>
      <c r="AT11" s="79" t="s">
        <v>205</v>
      </c>
      <c r="AU11" s="79" t="s">
        <v>204</v>
      </c>
      <c r="AV11" s="79" t="s">
        <v>204</v>
      </c>
    </row>
    <row r="12" spans="1:48" ht="24.75" customHeight="1">
      <c r="A12" s="360" t="s">
        <v>184</v>
      </c>
      <c r="B12" s="360"/>
      <c r="C12" s="360"/>
      <c r="D12" s="360"/>
      <c r="E12" s="360"/>
      <c r="F12" s="380">
        <v>1</v>
      </c>
      <c r="G12" s="380"/>
      <c r="H12" s="213"/>
      <c r="I12" s="213"/>
      <c r="J12" s="76"/>
      <c r="K12" s="76"/>
      <c r="L12" s="214"/>
      <c r="M12" s="214"/>
      <c r="N12" s="214"/>
      <c r="O12" s="214"/>
      <c r="P12" s="214"/>
      <c r="Q12" s="214"/>
      <c r="R12" s="214"/>
      <c r="S12" s="214"/>
      <c r="T12" s="214"/>
      <c r="U12" s="214"/>
      <c r="V12" s="214"/>
      <c r="W12" s="214"/>
      <c r="X12" s="214"/>
      <c r="Y12" s="214"/>
      <c r="Z12" s="214"/>
      <c r="AA12" s="214"/>
      <c r="AB12" s="214"/>
      <c r="AC12" s="214"/>
      <c r="AD12" s="214"/>
      <c r="AE12" s="214"/>
      <c r="AF12" s="214"/>
      <c r="AG12" s="214"/>
      <c r="AH12" s="214"/>
      <c r="AI12" s="214"/>
      <c r="AJ12" s="214"/>
      <c r="AK12" s="214"/>
      <c r="AL12" s="214"/>
      <c r="AM12" s="214"/>
      <c r="AN12" s="214"/>
      <c r="AO12" s="214"/>
      <c r="AP12" s="214"/>
      <c r="AQ12" s="214"/>
      <c r="AR12" s="214"/>
      <c r="AS12" s="214"/>
      <c r="AT12" s="214"/>
      <c r="AU12" s="214"/>
      <c r="AV12" s="214"/>
    </row>
    <row r="13" spans="1:48" ht="24.75" customHeight="1">
      <c r="A13" s="360" t="s">
        <v>429</v>
      </c>
      <c r="B13" s="360"/>
      <c r="C13" s="360"/>
      <c r="D13" s="360"/>
      <c r="E13" s="360"/>
      <c r="F13" s="380">
        <v>1</v>
      </c>
      <c r="G13" s="380"/>
      <c r="H13" s="213"/>
      <c r="I13" s="213"/>
      <c r="J13" s="76"/>
      <c r="K13" s="76"/>
      <c r="L13" s="214"/>
      <c r="M13" s="214"/>
      <c r="N13" s="214"/>
      <c r="O13" s="214"/>
      <c r="P13" s="214"/>
      <c r="Q13" s="214"/>
      <c r="R13" s="214"/>
      <c r="S13" s="214"/>
      <c r="T13" s="214"/>
      <c r="U13" s="214"/>
      <c r="V13" s="214"/>
      <c r="W13" s="214"/>
      <c r="X13" s="214"/>
      <c r="Y13" s="214"/>
      <c r="Z13" s="214"/>
      <c r="AA13" s="214"/>
      <c r="AB13" s="214"/>
      <c r="AC13" s="214"/>
      <c r="AD13" s="214"/>
      <c r="AE13" s="214"/>
      <c r="AF13" s="214"/>
      <c r="AG13" s="214"/>
      <c r="AH13" s="214"/>
      <c r="AI13" s="214"/>
      <c r="AJ13" s="214"/>
      <c r="AK13" s="214"/>
      <c r="AL13" s="214"/>
      <c r="AM13" s="214"/>
      <c r="AN13" s="214"/>
      <c r="AO13" s="214"/>
      <c r="AP13" s="214"/>
      <c r="AQ13" s="214"/>
      <c r="AR13" s="214"/>
      <c r="AS13" s="214"/>
      <c r="AT13" s="214"/>
      <c r="AU13" s="214"/>
      <c r="AV13" s="214"/>
    </row>
    <row r="14" spans="1:48" ht="24.75" customHeight="1">
      <c r="A14" s="357" t="s">
        <v>1033</v>
      </c>
      <c r="B14" s="357"/>
      <c r="C14" s="357"/>
      <c r="D14" s="357"/>
      <c r="E14" s="357"/>
      <c r="F14" s="359">
        <v>1</v>
      </c>
      <c r="G14" s="359"/>
      <c r="H14" s="213"/>
      <c r="I14" s="213"/>
      <c r="J14" s="76"/>
      <c r="K14" s="76"/>
      <c r="L14" s="214"/>
      <c r="M14" s="214"/>
      <c r="N14" s="214"/>
      <c r="O14" s="214"/>
      <c r="P14" s="214"/>
      <c r="Q14" s="214"/>
      <c r="R14" s="214"/>
      <c r="S14" s="214"/>
      <c r="T14" s="214"/>
      <c r="U14" s="214"/>
      <c r="V14" s="214"/>
      <c r="W14" s="214"/>
      <c r="X14" s="214"/>
      <c r="Y14" s="214"/>
      <c r="Z14" s="214"/>
      <c r="AA14" s="214"/>
      <c r="AB14" s="214"/>
      <c r="AC14" s="214"/>
      <c r="AD14" s="214"/>
      <c r="AE14" s="214"/>
      <c r="AF14" s="214"/>
      <c r="AG14" s="214"/>
      <c r="AH14" s="214"/>
      <c r="AI14" s="214"/>
      <c r="AJ14" s="214"/>
      <c r="AK14" s="214"/>
      <c r="AL14" s="214"/>
      <c r="AM14" s="214"/>
      <c r="AN14" s="214"/>
      <c r="AO14" s="214"/>
      <c r="AP14" s="214"/>
      <c r="AQ14" s="214"/>
      <c r="AR14" s="214"/>
      <c r="AS14" s="214"/>
      <c r="AT14" s="214"/>
      <c r="AU14" s="214"/>
      <c r="AV14" s="214"/>
    </row>
    <row r="15" spans="1:48" ht="24.75" customHeight="1">
      <c r="A15" s="384" t="s">
        <v>60</v>
      </c>
      <c r="B15" s="385"/>
      <c r="C15" s="385"/>
      <c r="D15" s="385"/>
      <c r="E15" s="386"/>
      <c r="F15" s="382">
        <f>SUM(F7:G14)</f>
        <v>53</v>
      </c>
      <c r="G15" s="383"/>
      <c r="H15" s="73"/>
      <c r="I15" s="73"/>
      <c r="J15" s="84">
        <f>SUM(J8:J14)</f>
        <v>8</v>
      </c>
      <c r="K15" s="84">
        <f>SUM(K8:K14)</f>
        <v>1</v>
      </c>
      <c r="L15" s="73"/>
      <c r="M15" s="123"/>
      <c r="N15" s="73"/>
      <c r="O15" s="73"/>
      <c r="P15" s="73"/>
      <c r="Q15" s="73"/>
      <c r="R15" s="73"/>
      <c r="S15" s="73"/>
      <c r="T15" s="73"/>
      <c r="U15" s="73"/>
      <c r="V15" s="73"/>
      <c r="W15" s="73"/>
      <c r="X15" s="73"/>
      <c r="Y15" s="73"/>
      <c r="Z15" s="73"/>
      <c r="AA15" s="73"/>
      <c r="AB15" s="73"/>
      <c r="AC15" s="73"/>
      <c r="AD15" s="73"/>
      <c r="AE15" s="73"/>
      <c r="AF15" s="73"/>
      <c r="AG15" s="73"/>
      <c r="AH15" s="73"/>
      <c r="AI15" s="73"/>
      <c r="AJ15" s="73"/>
      <c r="AK15" s="73"/>
      <c r="AL15" s="73"/>
      <c r="AM15" s="73"/>
      <c r="AN15" s="73"/>
      <c r="AO15" s="73"/>
      <c r="AP15" s="73"/>
      <c r="AQ15" s="73"/>
      <c r="AR15" s="85"/>
      <c r="AS15" s="73"/>
      <c r="AT15" s="73"/>
      <c r="AU15" s="73"/>
      <c r="AV15" s="73"/>
    </row>
    <row r="16" spans="1:48" ht="24.75" customHeight="1">
      <c r="A16" s="90"/>
      <c r="B16" s="90"/>
      <c r="C16" s="90"/>
      <c r="D16" s="90"/>
      <c r="E16" s="91"/>
      <c r="F16" s="92"/>
      <c r="G16" s="92"/>
      <c r="H16" s="93"/>
      <c r="I16" s="93"/>
      <c r="J16" s="94"/>
      <c r="K16" s="94"/>
      <c r="L16" s="93"/>
      <c r="M16" s="73"/>
      <c r="N16" s="73"/>
      <c r="O16" s="73"/>
      <c r="P16" s="73"/>
      <c r="Q16" s="73"/>
      <c r="R16" s="73"/>
      <c r="S16" s="73"/>
      <c r="T16" s="73"/>
      <c r="U16" s="73"/>
      <c r="V16" s="73"/>
      <c r="W16" s="73"/>
      <c r="X16" s="73"/>
      <c r="Y16" s="73"/>
      <c r="Z16" s="73"/>
      <c r="AA16" s="73"/>
      <c r="AB16" s="73"/>
      <c r="AC16" s="73"/>
      <c r="AD16" s="73"/>
      <c r="AE16" s="73"/>
      <c r="AF16" s="73"/>
      <c r="AG16" s="73"/>
      <c r="AH16" s="73"/>
      <c r="AI16" s="73"/>
      <c r="AJ16" s="73"/>
      <c r="AK16" s="73"/>
      <c r="AL16" s="73"/>
      <c r="AM16" s="73"/>
      <c r="AN16" s="73"/>
      <c r="AO16" s="73"/>
      <c r="AP16" s="73"/>
      <c r="AQ16" s="73"/>
      <c r="AR16" s="85"/>
      <c r="AS16" s="73"/>
      <c r="AT16" s="73"/>
      <c r="AU16" s="73"/>
      <c r="AV16" s="73"/>
    </row>
    <row r="17" spans="1:48" ht="24.75" customHeight="1">
      <c r="A17" s="85"/>
      <c r="B17" s="85"/>
      <c r="C17" s="85"/>
      <c r="D17" s="85"/>
      <c r="E17" s="85"/>
      <c r="F17" s="85"/>
      <c r="G17" s="85"/>
      <c r="H17" s="85"/>
      <c r="I17" s="85"/>
      <c r="J17" s="85"/>
      <c r="K17" s="85"/>
      <c r="L17" s="85"/>
      <c r="M17" s="373" t="s">
        <v>230</v>
      </c>
      <c r="N17" s="373"/>
      <c r="O17" s="373"/>
      <c r="P17" s="373"/>
      <c r="Q17" s="85"/>
      <c r="R17" s="375" t="s">
        <v>227</v>
      </c>
      <c r="S17" s="85"/>
      <c r="T17" s="85"/>
      <c r="U17" s="85"/>
      <c r="V17" s="85"/>
      <c r="W17" s="373" t="s">
        <v>230</v>
      </c>
      <c r="X17" s="373"/>
      <c r="Y17" s="373"/>
      <c r="Z17" s="373"/>
      <c r="AA17" s="85"/>
      <c r="AB17" s="372" t="s">
        <v>227</v>
      </c>
      <c r="AC17" s="87"/>
      <c r="AD17" s="371" t="s">
        <v>226</v>
      </c>
      <c r="AE17" s="371"/>
      <c r="AF17" s="371"/>
      <c r="AG17" s="373" t="s">
        <v>231</v>
      </c>
      <c r="AH17" s="373"/>
      <c r="AI17" s="373"/>
      <c r="AJ17" s="373"/>
      <c r="AK17" s="85"/>
      <c r="AL17" s="372" t="s">
        <v>228</v>
      </c>
      <c r="AM17" s="87"/>
      <c r="AN17" s="371" t="s">
        <v>229</v>
      </c>
      <c r="AO17" s="371"/>
      <c r="AP17" s="371"/>
      <c r="AQ17" s="371"/>
      <c r="AR17" s="85"/>
      <c r="AS17" s="85"/>
      <c r="AT17" s="85"/>
      <c r="AU17" s="85"/>
      <c r="AV17" s="85"/>
    </row>
    <row r="18" spans="1:48" ht="24.75" customHeight="1">
      <c r="A18" s="85"/>
      <c r="B18" s="85"/>
      <c r="C18" s="85"/>
      <c r="D18" s="85"/>
      <c r="E18" s="85"/>
      <c r="F18" s="85"/>
      <c r="G18" s="85"/>
      <c r="H18" s="85"/>
      <c r="I18" s="85"/>
      <c r="J18" s="85"/>
      <c r="K18" s="85"/>
      <c r="L18" s="85"/>
      <c r="M18" s="374" t="s">
        <v>621</v>
      </c>
      <c r="N18" s="374"/>
      <c r="O18" s="374"/>
      <c r="P18" s="374"/>
      <c r="Q18" s="85"/>
      <c r="R18" s="375"/>
      <c r="S18" s="85"/>
      <c r="T18" s="371" t="s">
        <v>225</v>
      </c>
      <c r="U18" s="371"/>
      <c r="V18" s="371"/>
      <c r="W18" s="374" t="s">
        <v>621</v>
      </c>
      <c r="X18" s="374"/>
      <c r="Y18" s="374"/>
      <c r="Z18" s="374"/>
      <c r="AA18" s="85"/>
      <c r="AB18" s="372"/>
      <c r="AC18" s="85"/>
      <c r="AD18" s="371"/>
      <c r="AE18" s="371"/>
      <c r="AF18" s="371"/>
      <c r="AG18" s="374" t="s">
        <v>622</v>
      </c>
      <c r="AH18" s="374"/>
      <c r="AI18" s="374"/>
      <c r="AJ18" s="374"/>
      <c r="AK18" s="85"/>
      <c r="AL18" s="372"/>
      <c r="AM18" s="85"/>
      <c r="AN18" s="371"/>
      <c r="AO18" s="371"/>
      <c r="AP18" s="371"/>
      <c r="AQ18" s="371"/>
      <c r="AR18" s="85"/>
      <c r="AS18" s="85"/>
      <c r="AT18" s="85"/>
      <c r="AU18" s="85"/>
      <c r="AV18" s="85"/>
    </row>
    <row r="19" spans="1:48" ht="24.75" customHeight="1">
      <c r="A19" s="85"/>
      <c r="B19" s="85"/>
      <c r="C19" s="85"/>
      <c r="D19" s="85"/>
      <c r="E19" s="85"/>
      <c r="F19" s="85"/>
      <c r="G19" s="85"/>
      <c r="H19" s="374" t="s">
        <v>996</v>
      </c>
      <c r="I19" s="374"/>
      <c r="J19" s="374"/>
      <c r="K19" s="374"/>
      <c r="L19" s="374"/>
      <c r="M19" s="374"/>
      <c r="N19" s="374"/>
      <c r="O19" s="374"/>
      <c r="P19" s="374"/>
      <c r="Q19" s="85"/>
      <c r="R19" s="375"/>
      <c r="S19" s="85"/>
      <c r="T19" s="371"/>
      <c r="U19" s="371"/>
      <c r="V19" s="371"/>
      <c r="W19" s="85"/>
      <c r="X19" s="85"/>
      <c r="Y19" s="85"/>
      <c r="Z19" s="85"/>
      <c r="AA19" s="85"/>
      <c r="AB19" s="85"/>
      <c r="AC19" s="85"/>
      <c r="AD19" s="85"/>
      <c r="AE19" s="85"/>
      <c r="AF19" s="73"/>
      <c r="AG19" s="73"/>
      <c r="AH19" s="73"/>
      <c r="AI19" s="73"/>
      <c r="AJ19" s="73"/>
      <c r="AK19" s="73"/>
      <c r="AL19" s="73"/>
      <c r="AM19" s="73"/>
      <c r="AN19" s="73"/>
      <c r="AO19" s="73"/>
      <c r="AP19" s="73"/>
      <c r="AQ19" s="73"/>
      <c r="AR19" s="85"/>
      <c r="AS19" s="85"/>
      <c r="AT19" s="85"/>
      <c r="AU19" s="85"/>
      <c r="AV19" s="85"/>
    </row>
    <row r="20" spans="1:48" ht="24.75" customHeight="1">
      <c r="A20" s="85"/>
      <c r="B20" s="85"/>
      <c r="C20" s="85"/>
      <c r="D20" s="85"/>
      <c r="E20" s="85"/>
      <c r="F20" s="85"/>
      <c r="G20" s="85"/>
      <c r="H20" s="85"/>
      <c r="I20" s="85"/>
      <c r="J20" s="85"/>
      <c r="K20" s="86"/>
      <c r="L20" s="374" t="s">
        <v>997</v>
      </c>
      <c r="M20" s="374"/>
      <c r="N20" s="374"/>
      <c r="O20" s="374"/>
      <c r="P20" s="374"/>
      <c r="Q20" s="85"/>
      <c r="R20" s="375"/>
      <c r="S20" s="85"/>
      <c r="T20" s="85"/>
      <c r="U20" s="85"/>
      <c r="V20" s="85"/>
      <c r="W20" s="85"/>
      <c r="X20" s="85"/>
      <c r="Y20" s="85"/>
      <c r="Z20" s="85"/>
      <c r="AA20" s="85"/>
      <c r="AB20" s="85"/>
      <c r="AC20" s="85"/>
      <c r="AD20" s="85"/>
      <c r="AE20" s="85"/>
      <c r="AF20" s="73"/>
      <c r="AG20" s="73"/>
      <c r="AH20" s="73"/>
      <c r="AI20" s="73"/>
      <c r="AJ20" s="73"/>
      <c r="AK20" s="73"/>
      <c r="AL20" s="73"/>
      <c r="AM20" s="73"/>
      <c r="AN20" s="73"/>
      <c r="AO20" s="73"/>
      <c r="AP20" s="73"/>
      <c r="AQ20" s="73"/>
      <c r="AR20" s="85"/>
      <c r="AS20" s="85"/>
      <c r="AT20" s="85"/>
      <c r="AU20" s="85"/>
      <c r="AV20" s="85"/>
    </row>
    <row r="21" spans="1:48" ht="24.75" customHeight="1">
      <c r="A21" s="85"/>
      <c r="B21" s="85"/>
      <c r="C21" s="85"/>
      <c r="D21" s="85"/>
      <c r="E21" s="85"/>
      <c r="F21" s="85"/>
      <c r="G21" s="85"/>
      <c r="H21" s="85"/>
      <c r="I21" s="85"/>
      <c r="J21" s="85"/>
      <c r="K21" s="86"/>
      <c r="L21" s="86"/>
      <c r="M21" s="86"/>
      <c r="N21" s="86"/>
      <c r="O21" s="86"/>
      <c r="P21" s="86"/>
      <c r="Q21" s="85"/>
      <c r="R21" s="89"/>
      <c r="S21" s="85"/>
      <c r="T21" s="85"/>
      <c r="U21" s="85"/>
      <c r="V21" s="85"/>
      <c r="W21" s="85"/>
      <c r="X21" s="85"/>
      <c r="Y21" s="85"/>
      <c r="Z21" s="85"/>
      <c r="AA21" s="85"/>
      <c r="AB21" s="85"/>
      <c r="AC21" s="85"/>
      <c r="AD21" s="85"/>
      <c r="AE21" s="85"/>
      <c r="AF21" s="73"/>
      <c r="AG21" s="73"/>
      <c r="AH21" s="73"/>
      <c r="AI21" s="73"/>
      <c r="AJ21" s="73"/>
      <c r="AK21" s="73"/>
      <c r="AL21" s="73"/>
      <c r="AM21" s="73"/>
      <c r="AN21" s="73"/>
      <c r="AO21" s="73"/>
      <c r="AP21" s="73"/>
      <c r="AQ21" s="73"/>
      <c r="AR21" s="85"/>
      <c r="AS21" s="85"/>
      <c r="AT21" s="85"/>
      <c r="AU21" s="85"/>
      <c r="AV21" s="85"/>
    </row>
    <row r="22" spans="1:48" ht="24.75" customHeight="1">
      <c r="A22" s="379" t="s">
        <v>1050</v>
      </c>
      <c r="B22" s="379"/>
      <c r="C22" s="379"/>
      <c r="D22" s="379"/>
      <c r="E22" s="379"/>
      <c r="F22" s="379"/>
      <c r="G22" s="379"/>
      <c r="H22" s="379"/>
      <c r="I22" s="379"/>
      <c r="J22" s="379"/>
      <c r="K22" s="379"/>
      <c r="L22" s="379"/>
      <c r="M22" s="379"/>
      <c r="N22" s="379"/>
      <c r="O22" s="379"/>
      <c r="P22" s="379"/>
      <c r="Q22" s="379"/>
      <c r="R22" s="379"/>
      <c r="S22" s="379"/>
      <c r="T22" s="379"/>
      <c r="U22" s="379"/>
      <c r="V22" s="379"/>
      <c r="W22" s="379"/>
      <c r="X22" s="379"/>
      <c r="Y22" s="379"/>
      <c r="Z22" s="379"/>
      <c r="AA22" s="379"/>
      <c r="AB22" s="379"/>
      <c r="AC22" s="379"/>
      <c r="AD22" s="85"/>
      <c r="AE22" s="85"/>
      <c r="AF22" s="73"/>
      <c r="AG22" s="73"/>
      <c r="AH22" s="73"/>
      <c r="AI22" s="73"/>
      <c r="AJ22" s="73"/>
      <c r="AK22" s="73"/>
      <c r="AL22" s="73"/>
      <c r="AM22" s="73"/>
      <c r="AN22" s="73"/>
      <c r="AO22" s="73"/>
      <c r="AP22" s="73"/>
      <c r="AQ22" s="73"/>
      <c r="AR22" s="85"/>
      <c r="AS22" s="85"/>
      <c r="AT22" s="85"/>
      <c r="AU22" s="85"/>
      <c r="AV22" s="85"/>
    </row>
    <row r="23" spans="1:48" ht="24.75" customHeight="1">
      <c r="A23" s="356" t="s">
        <v>238</v>
      </c>
      <c r="B23" s="356"/>
      <c r="C23" s="356"/>
      <c r="D23" s="356"/>
      <c r="E23" s="356"/>
      <c r="F23" s="356" t="s">
        <v>430</v>
      </c>
      <c r="G23" s="356"/>
      <c r="H23" s="356" t="s">
        <v>54</v>
      </c>
      <c r="I23" s="356"/>
      <c r="J23" s="356" t="s">
        <v>55</v>
      </c>
      <c r="K23" s="356"/>
      <c r="L23" s="356" t="s">
        <v>32</v>
      </c>
      <c r="M23" s="356"/>
      <c r="N23" s="356" t="s">
        <v>34</v>
      </c>
      <c r="O23" s="356"/>
      <c r="P23" s="356" t="s">
        <v>35</v>
      </c>
      <c r="Q23" s="356"/>
      <c r="R23" s="356" t="s">
        <v>36</v>
      </c>
      <c r="S23" s="356"/>
      <c r="T23" s="356" t="s">
        <v>37</v>
      </c>
      <c r="U23" s="356"/>
      <c r="V23" s="356" t="s">
        <v>38</v>
      </c>
      <c r="W23" s="356"/>
      <c r="X23" s="356" t="s">
        <v>39</v>
      </c>
      <c r="Y23" s="356"/>
      <c r="Z23" s="356" t="s">
        <v>40</v>
      </c>
      <c r="AA23" s="356"/>
      <c r="AB23" s="356" t="s">
        <v>41</v>
      </c>
      <c r="AC23" s="356"/>
      <c r="AD23" s="122"/>
      <c r="AE23" s="122"/>
      <c r="AF23" s="122"/>
      <c r="AG23" s="122"/>
      <c r="AH23" s="73"/>
      <c r="AI23" s="73"/>
      <c r="AJ23" s="73"/>
      <c r="AK23" s="73"/>
      <c r="AL23" s="73"/>
      <c r="AM23" s="73"/>
      <c r="AN23" s="73"/>
      <c r="AO23" s="73"/>
      <c r="AP23" s="73"/>
      <c r="AQ23" s="73"/>
      <c r="AR23" s="85"/>
      <c r="AS23" s="85"/>
      <c r="AT23" s="85"/>
      <c r="AU23" s="85"/>
      <c r="AV23" s="85"/>
    </row>
    <row r="24" spans="1:48" ht="24.75" customHeight="1">
      <c r="A24" s="357" t="s">
        <v>56</v>
      </c>
      <c r="B24" s="357"/>
      <c r="C24" s="357"/>
      <c r="D24" s="357"/>
      <c r="E24" s="357"/>
      <c r="F24" s="354" t="s">
        <v>236</v>
      </c>
      <c r="G24" s="355"/>
      <c r="H24" s="354" t="s">
        <v>236</v>
      </c>
      <c r="I24" s="355"/>
      <c r="J24" s="354"/>
      <c r="K24" s="355"/>
      <c r="L24" s="354"/>
      <c r="M24" s="355"/>
      <c r="N24" s="354"/>
      <c r="O24" s="355"/>
      <c r="P24" s="354"/>
      <c r="Q24" s="355"/>
      <c r="R24" s="354"/>
      <c r="S24" s="355"/>
      <c r="T24" s="354"/>
      <c r="U24" s="355"/>
      <c r="V24" s="354"/>
      <c r="W24" s="355"/>
      <c r="X24" s="354"/>
      <c r="Y24" s="355"/>
      <c r="Z24" s="354"/>
      <c r="AA24" s="355"/>
      <c r="AB24" s="354"/>
      <c r="AC24" s="355"/>
      <c r="AD24" s="85"/>
      <c r="AE24" s="85"/>
      <c r="AF24" s="73"/>
      <c r="AG24" s="73"/>
      <c r="AH24" s="73"/>
      <c r="AI24" s="73"/>
      <c r="AJ24" s="73"/>
      <c r="AK24" s="73"/>
      <c r="AL24" s="73"/>
      <c r="AM24" s="73"/>
      <c r="AN24" s="73"/>
      <c r="AO24" s="73"/>
      <c r="AP24" s="73"/>
      <c r="AQ24" s="73"/>
      <c r="AR24" s="85"/>
      <c r="AS24" s="85"/>
      <c r="AT24" s="85"/>
      <c r="AU24" s="85"/>
      <c r="AV24" s="85"/>
    </row>
    <row r="25" spans="1:48" ht="24.75" customHeight="1">
      <c r="A25" s="357" t="s">
        <v>57</v>
      </c>
      <c r="B25" s="357"/>
      <c r="C25" s="357"/>
      <c r="D25" s="357"/>
      <c r="E25" s="357"/>
      <c r="F25" s="354" t="s">
        <v>237</v>
      </c>
      <c r="G25" s="355"/>
      <c r="H25" s="354" t="s">
        <v>237</v>
      </c>
      <c r="I25" s="355"/>
      <c r="J25" s="354"/>
      <c r="K25" s="355"/>
      <c r="L25" s="354"/>
      <c r="M25" s="355"/>
      <c r="N25" s="354"/>
      <c r="O25" s="355"/>
      <c r="P25" s="354"/>
      <c r="Q25" s="355"/>
      <c r="R25" s="354"/>
      <c r="S25" s="355"/>
      <c r="T25" s="354"/>
      <c r="U25" s="355"/>
      <c r="V25" s="354"/>
      <c r="W25" s="355"/>
      <c r="X25" s="354"/>
      <c r="Y25" s="355"/>
      <c r="Z25" s="354"/>
      <c r="AA25" s="355"/>
      <c r="AB25" s="354"/>
      <c r="AC25" s="355"/>
      <c r="AD25" s="122"/>
      <c r="AE25" s="122"/>
      <c r="AF25" s="122"/>
      <c r="AG25" s="122"/>
      <c r="AH25" s="122"/>
      <c r="AI25" s="122"/>
      <c r="AJ25" s="122"/>
      <c r="AK25" s="122"/>
      <c r="AL25" s="73"/>
      <c r="AM25" s="73"/>
      <c r="AN25" s="73"/>
      <c r="AO25" s="73"/>
      <c r="AP25" s="73"/>
      <c r="AQ25" s="73"/>
      <c r="AR25" s="85"/>
      <c r="AS25" s="85"/>
      <c r="AT25" s="85"/>
      <c r="AU25" s="85"/>
      <c r="AV25" s="85"/>
    </row>
    <row r="26" spans="1:48" ht="24.75" customHeight="1">
      <c r="A26" s="357" t="s">
        <v>58</v>
      </c>
      <c r="B26" s="357"/>
      <c r="C26" s="357"/>
      <c r="D26" s="357"/>
      <c r="E26" s="357"/>
      <c r="F26" s="354" t="s">
        <v>236</v>
      </c>
      <c r="G26" s="355"/>
      <c r="H26" s="354" t="s">
        <v>237</v>
      </c>
      <c r="I26" s="355"/>
      <c r="J26" s="354"/>
      <c r="K26" s="355"/>
      <c r="L26" s="354"/>
      <c r="M26" s="355"/>
      <c r="N26" s="354"/>
      <c r="O26" s="355"/>
      <c r="P26" s="354"/>
      <c r="Q26" s="355"/>
      <c r="R26" s="354"/>
      <c r="S26" s="355"/>
      <c r="T26" s="354"/>
      <c r="U26" s="355"/>
      <c r="V26" s="354"/>
      <c r="W26" s="355"/>
      <c r="X26" s="354"/>
      <c r="Y26" s="355"/>
      <c r="Z26" s="354"/>
      <c r="AA26" s="355"/>
      <c r="AB26" s="354"/>
      <c r="AC26" s="355"/>
      <c r="AD26" s="122"/>
      <c r="AE26" s="85"/>
      <c r="AF26" s="73"/>
      <c r="AG26" s="73"/>
      <c r="AH26" s="73"/>
      <c r="AI26" s="73"/>
      <c r="AJ26" s="73"/>
      <c r="AK26" s="73"/>
      <c r="AL26" s="73"/>
      <c r="AM26" s="73"/>
      <c r="AN26" s="73"/>
      <c r="AO26" s="73"/>
      <c r="AP26" s="73"/>
      <c r="AQ26" s="73"/>
      <c r="AR26" s="85"/>
      <c r="AS26" s="85"/>
      <c r="AT26" s="85"/>
      <c r="AU26" s="85"/>
      <c r="AV26" s="85"/>
    </row>
    <row r="27" spans="1:48" ht="24.75" customHeight="1">
      <c r="A27" s="357" t="s">
        <v>59</v>
      </c>
      <c r="B27" s="357"/>
      <c r="C27" s="357"/>
      <c r="D27" s="357"/>
      <c r="E27" s="357"/>
      <c r="F27" s="354" t="s">
        <v>237</v>
      </c>
      <c r="G27" s="355"/>
      <c r="H27" s="354" t="s">
        <v>236</v>
      </c>
      <c r="I27" s="355"/>
      <c r="J27" s="354"/>
      <c r="K27" s="355"/>
      <c r="L27" s="354"/>
      <c r="M27" s="355"/>
      <c r="N27" s="354"/>
      <c r="O27" s="355"/>
      <c r="P27" s="354"/>
      <c r="Q27" s="355"/>
      <c r="R27" s="354"/>
      <c r="S27" s="355"/>
      <c r="T27" s="354"/>
      <c r="U27" s="355"/>
      <c r="V27" s="354"/>
      <c r="W27" s="355"/>
      <c r="X27" s="354"/>
      <c r="Y27" s="355"/>
      <c r="Z27" s="354"/>
      <c r="AA27" s="355"/>
      <c r="AB27" s="354"/>
      <c r="AC27" s="355"/>
      <c r="AD27" s="122"/>
      <c r="AE27" s="122"/>
      <c r="AF27" s="122"/>
      <c r="AG27" s="122"/>
      <c r="AH27" s="122"/>
      <c r="AI27" s="73"/>
      <c r="AJ27" s="73"/>
      <c r="AK27" s="73"/>
      <c r="AL27" s="73"/>
      <c r="AM27" s="73"/>
      <c r="AN27" s="73"/>
      <c r="AO27" s="73"/>
      <c r="AP27" s="73"/>
      <c r="AQ27" s="73"/>
      <c r="AR27" s="85"/>
      <c r="AS27" s="85"/>
      <c r="AT27" s="85"/>
      <c r="AU27" s="85"/>
      <c r="AV27" s="85"/>
    </row>
    <row r="28" spans="1:48" ht="24.75" customHeight="1">
      <c r="A28" s="213"/>
      <c r="B28" s="213"/>
      <c r="C28" s="213"/>
      <c r="D28" s="213"/>
      <c r="E28" s="213"/>
      <c r="F28" s="85"/>
      <c r="G28" s="85"/>
      <c r="H28" s="85"/>
      <c r="I28" s="85"/>
      <c r="J28" s="85"/>
      <c r="K28" s="85"/>
      <c r="L28" s="85"/>
      <c r="M28" s="85"/>
      <c r="N28" s="85"/>
      <c r="O28" s="85"/>
      <c r="P28" s="85"/>
      <c r="Q28" s="85"/>
      <c r="R28" s="85"/>
      <c r="S28" s="85"/>
      <c r="T28" s="85"/>
      <c r="U28" s="85"/>
      <c r="V28" s="85"/>
      <c r="W28" s="85"/>
      <c r="X28" s="85"/>
      <c r="Y28" s="85"/>
      <c r="Z28" s="85"/>
      <c r="AA28" s="85"/>
      <c r="AB28" s="85"/>
      <c r="AC28" s="85"/>
      <c r="AD28" s="122"/>
      <c r="AE28" s="122"/>
      <c r="AF28" s="122"/>
      <c r="AG28" s="122"/>
      <c r="AH28" s="122"/>
      <c r="AI28" s="73"/>
      <c r="AJ28" s="73"/>
      <c r="AK28" s="73"/>
      <c r="AL28" s="73"/>
      <c r="AM28" s="73"/>
      <c r="AN28" s="73"/>
      <c r="AO28" s="73"/>
      <c r="AP28" s="73"/>
      <c r="AQ28" s="73"/>
      <c r="AR28" s="85"/>
      <c r="AS28" s="85"/>
      <c r="AT28" s="85"/>
      <c r="AU28" s="85"/>
      <c r="AV28" s="85"/>
    </row>
    <row r="29" spans="1:48" ht="24.75" customHeight="1">
      <c r="A29" s="213"/>
      <c r="B29" s="213"/>
      <c r="C29" s="213"/>
      <c r="D29" s="213"/>
      <c r="E29" s="213"/>
      <c r="F29" s="85"/>
      <c r="G29" s="85"/>
      <c r="H29" s="85"/>
      <c r="I29" s="85"/>
      <c r="J29" s="85"/>
      <c r="K29" s="85"/>
      <c r="L29" s="85"/>
      <c r="M29" s="85"/>
      <c r="N29" s="85"/>
      <c r="O29" s="85"/>
      <c r="P29" s="85"/>
      <c r="Q29" s="85"/>
      <c r="R29" s="85"/>
      <c r="S29" s="85"/>
      <c r="T29" s="85"/>
      <c r="U29" s="85"/>
      <c r="V29" s="85"/>
      <c r="W29" s="85"/>
      <c r="X29" s="85"/>
      <c r="Y29" s="85"/>
      <c r="Z29" s="85"/>
      <c r="AA29" s="85"/>
      <c r="AB29" s="85"/>
      <c r="AC29" s="85"/>
      <c r="AD29" s="122"/>
      <c r="AE29" s="122"/>
      <c r="AF29" s="122"/>
      <c r="AG29" s="122"/>
      <c r="AH29" s="122"/>
      <c r="AI29" s="73"/>
      <c r="AJ29" s="73"/>
      <c r="AK29" s="73"/>
      <c r="AL29" s="73"/>
      <c r="AM29" s="73"/>
      <c r="AN29" s="73"/>
      <c r="AO29" s="73"/>
      <c r="AP29" s="73"/>
      <c r="AQ29" s="73"/>
      <c r="AR29" s="85"/>
      <c r="AS29" s="85"/>
      <c r="AT29" s="85"/>
      <c r="AU29" s="85"/>
      <c r="AV29" s="85"/>
    </row>
    <row r="30" spans="1:48" ht="24.75" customHeight="1">
      <c r="A30" s="213"/>
      <c r="B30" s="213"/>
      <c r="C30" s="213"/>
      <c r="D30" s="213"/>
      <c r="E30" s="213"/>
      <c r="F30" s="85"/>
      <c r="G30" s="85"/>
      <c r="H30" s="85"/>
      <c r="I30" s="85"/>
      <c r="J30" s="85"/>
      <c r="K30" s="85"/>
      <c r="L30" s="85"/>
      <c r="M30" s="85"/>
      <c r="N30" s="85"/>
      <c r="O30" s="85"/>
      <c r="P30" s="85"/>
      <c r="Q30" s="85"/>
      <c r="R30" s="85"/>
      <c r="S30" s="85"/>
      <c r="T30" s="85"/>
      <c r="U30" s="85"/>
      <c r="V30" s="85"/>
      <c r="W30" s="85"/>
      <c r="X30" s="85"/>
      <c r="Y30" s="85"/>
      <c r="Z30" s="85"/>
      <c r="AA30" s="85"/>
      <c r="AB30" s="85"/>
      <c r="AC30" s="85"/>
      <c r="AD30" s="122"/>
      <c r="AE30" s="122"/>
      <c r="AF30" s="122"/>
      <c r="AG30" s="122"/>
      <c r="AH30" s="122"/>
      <c r="AI30" s="73"/>
      <c r="AJ30" s="73"/>
      <c r="AK30" s="73"/>
      <c r="AL30" s="73"/>
      <c r="AM30" s="73"/>
      <c r="AN30" s="73"/>
      <c r="AO30" s="73"/>
      <c r="AP30" s="73"/>
      <c r="AQ30" s="73"/>
      <c r="AR30" s="85"/>
      <c r="AS30" s="85"/>
      <c r="AT30" s="85"/>
      <c r="AU30" s="85"/>
      <c r="AV30" s="85"/>
    </row>
    <row r="31" spans="1:48" ht="24.75" customHeight="1">
      <c r="A31" s="213"/>
      <c r="B31" s="213"/>
      <c r="C31" s="213"/>
      <c r="D31" s="213"/>
      <c r="E31" s="213"/>
      <c r="F31" s="85"/>
      <c r="G31" s="85"/>
      <c r="H31" s="85"/>
      <c r="I31" s="85"/>
      <c r="J31" s="85"/>
      <c r="K31" s="85"/>
      <c r="L31" s="85"/>
      <c r="M31" s="85"/>
      <c r="N31" s="85"/>
      <c r="O31" s="85"/>
      <c r="P31" s="85"/>
      <c r="Q31" s="85"/>
      <c r="R31" s="85"/>
      <c r="S31" s="85"/>
      <c r="T31" s="85"/>
      <c r="U31" s="85"/>
      <c r="V31" s="85"/>
      <c r="W31" s="85"/>
      <c r="X31" s="85"/>
      <c r="Y31" s="85"/>
      <c r="Z31" s="85"/>
      <c r="AA31" s="85"/>
      <c r="AB31" s="85"/>
      <c r="AC31" s="85"/>
      <c r="AD31" s="122"/>
      <c r="AE31" s="122"/>
      <c r="AF31" s="122"/>
      <c r="AG31" s="122"/>
      <c r="AH31" s="122"/>
      <c r="AI31" s="73"/>
      <c r="AJ31" s="73"/>
      <c r="AK31" s="73"/>
      <c r="AL31" s="73"/>
      <c r="AM31" s="73"/>
      <c r="AN31" s="73"/>
      <c r="AO31" s="73"/>
      <c r="AP31" s="73"/>
      <c r="AQ31" s="73"/>
      <c r="AR31" s="85"/>
      <c r="AS31" s="85"/>
      <c r="AT31" s="85"/>
      <c r="AU31" s="85"/>
      <c r="AV31" s="85"/>
    </row>
    <row r="32" spans="1:48" ht="24.75" customHeight="1">
      <c r="A32" s="213"/>
      <c r="B32" s="213"/>
      <c r="C32" s="213"/>
      <c r="D32" s="213"/>
      <c r="E32" s="213"/>
      <c r="F32" s="85"/>
      <c r="G32" s="85"/>
      <c r="H32" s="85"/>
      <c r="I32" s="85"/>
      <c r="J32" s="85"/>
      <c r="K32" s="85"/>
      <c r="L32" s="85"/>
      <c r="M32" s="85"/>
      <c r="N32" s="85"/>
      <c r="O32" s="85"/>
      <c r="P32" s="85"/>
      <c r="Q32" s="85"/>
      <c r="R32" s="85"/>
      <c r="S32" s="85"/>
      <c r="T32" s="85"/>
      <c r="U32" s="85"/>
      <c r="V32" s="85"/>
      <c r="W32" s="85"/>
      <c r="X32" s="85"/>
      <c r="Y32" s="85"/>
      <c r="Z32" s="85"/>
      <c r="AA32" s="85"/>
      <c r="AB32" s="85"/>
      <c r="AC32" s="85"/>
      <c r="AD32" s="122"/>
      <c r="AE32" s="122"/>
      <c r="AF32" s="122"/>
      <c r="AG32" s="122"/>
      <c r="AH32" s="122"/>
      <c r="AI32" s="73"/>
      <c r="AJ32" s="73"/>
      <c r="AK32" s="73"/>
      <c r="AL32" s="73"/>
      <c r="AM32" s="73"/>
      <c r="AN32" s="73"/>
      <c r="AO32" s="73"/>
      <c r="AP32" s="73"/>
      <c r="AQ32" s="73"/>
      <c r="AR32" s="85"/>
      <c r="AS32" s="85"/>
      <c r="AT32" s="85"/>
      <c r="AU32" s="85"/>
      <c r="AV32" s="85"/>
    </row>
    <row r="33" spans="1:48" ht="24.75" customHeight="1">
      <c r="A33" s="213"/>
      <c r="B33" s="213"/>
      <c r="C33" s="213"/>
      <c r="D33" s="213"/>
      <c r="E33" s="213"/>
      <c r="F33" s="85"/>
      <c r="G33" s="85"/>
      <c r="H33" s="85"/>
      <c r="I33" s="85"/>
      <c r="J33" s="85"/>
      <c r="K33" s="85"/>
      <c r="L33" s="85"/>
      <c r="M33" s="85"/>
      <c r="N33" s="85"/>
      <c r="O33" s="85"/>
      <c r="P33" s="85"/>
      <c r="Q33" s="85"/>
      <c r="R33" s="85"/>
      <c r="S33" s="85"/>
      <c r="T33" s="85"/>
      <c r="U33" s="85"/>
      <c r="V33" s="85"/>
      <c r="W33" s="85"/>
      <c r="X33" s="85"/>
      <c r="Y33" s="85"/>
      <c r="Z33" s="85"/>
      <c r="AA33" s="85"/>
      <c r="AB33" s="85"/>
      <c r="AC33" s="85"/>
      <c r="AD33" s="122"/>
      <c r="AE33" s="122"/>
      <c r="AF33" s="122"/>
      <c r="AG33" s="122"/>
      <c r="AH33" s="122"/>
      <c r="AI33" s="73"/>
      <c r="AJ33" s="73"/>
      <c r="AK33" s="73"/>
      <c r="AL33" s="73"/>
      <c r="AM33" s="73"/>
      <c r="AN33" s="73"/>
      <c r="AO33" s="73"/>
      <c r="AP33" s="73"/>
      <c r="AQ33" s="73"/>
      <c r="AR33" s="85"/>
      <c r="AS33" s="85"/>
      <c r="AT33" s="85"/>
      <c r="AU33" s="85"/>
      <c r="AV33" s="85"/>
    </row>
    <row r="34" spans="1:48" ht="15" customHeight="1">
      <c r="A34" s="81"/>
      <c r="B34" s="81"/>
      <c r="C34" s="81"/>
      <c r="D34" s="81"/>
      <c r="E34" s="81"/>
      <c r="F34" s="81"/>
      <c r="G34" s="81"/>
      <c r="H34" s="81"/>
      <c r="I34" s="81"/>
      <c r="J34" s="81"/>
      <c r="K34" s="81"/>
      <c r="L34" s="81"/>
      <c r="M34" s="81"/>
      <c r="N34" s="81"/>
      <c r="O34" s="81"/>
      <c r="P34" s="81"/>
      <c r="Q34" s="81"/>
      <c r="R34" s="81"/>
      <c r="S34" s="81"/>
      <c r="T34" s="81"/>
      <c r="U34" s="81"/>
      <c r="V34" s="81"/>
      <c r="W34" s="81"/>
      <c r="X34" s="81"/>
      <c r="Y34" s="81"/>
      <c r="Z34" s="81"/>
      <c r="AA34" s="85"/>
      <c r="AB34" s="81"/>
      <c r="AC34" s="81"/>
      <c r="AD34" s="81"/>
      <c r="AE34" s="81"/>
      <c r="AF34" s="81"/>
      <c r="AG34" s="81"/>
      <c r="AH34" s="81"/>
      <c r="AI34" s="81"/>
      <c r="AJ34" s="81"/>
      <c r="AK34" s="81"/>
      <c r="AL34" s="81"/>
      <c r="AM34" s="81"/>
      <c r="AN34" s="81"/>
      <c r="AO34" s="81"/>
      <c r="AP34" s="81"/>
      <c r="AQ34" s="81"/>
      <c r="AR34" s="81"/>
      <c r="AS34" s="81"/>
      <c r="AT34" s="81"/>
      <c r="AU34" s="81"/>
      <c r="AV34" s="81"/>
    </row>
    <row r="35" spans="1:48">
      <c r="A35" s="81"/>
      <c r="B35" s="81"/>
      <c r="C35" s="81"/>
      <c r="D35" s="81"/>
      <c r="E35" s="81"/>
      <c r="F35" s="81"/>
      <c r="G35" s="81"/>
      <c r="H35" s="81"/>
      <c r="I35" s="81"/>
      <c r="J35" s="81"/>
      <c r="K35" s="81"/>
      <c r="L35" s="81"/>
      <c r="M35" s="81"/>
      <c r="N35" s="81"/>
      <c r="O35" s="81"/>
      <c r="P35" s="81"/>
      <c r="Q35" s="81"/>
      <c r="R35" s="81"/>
      <c r="S35" s="81"/>
      <c r="T35" s="81"/>
      <c r="U35" s="81"/>
      <c r="V35" s="81"/>
      <c r="W35" s="81"/>
      <c r="X35" s="81"/>
      <c r="Y35" s="81"/>
      <c r="Z35" s="81"/>
      <c r="AA35" s="81"/>
      <c r="AB35" s="81"/>
      <c r="AC35" s="81"/>
      <c r="AD35" s="81"/>
      <c r="AE35" s="81"/>
      <c r="AF35" s="81"/>
      <c r="AG35" s="81"/>
      <c r="AH35" s="81"/>
      <c r="AI35" s="81"/>
      <c r="AJ35" s="81"/>
      <c r="AK35" s="81"/>
      <c r="AL35" s="81"/>
      <c r="AM35" s="81"/>
      <c r="AN35" s="81"/>
      <c r="AO35" s="81"/>
      <c r="AP35" s="81"/>
      <c r="AQ35" s="81"/>
      <c r="AR35" s="81"/>
      <c r="AS35" s="81"/>
      <c r="AT35" s="81"/>
      <c r="AU35" s="81"/>
      <c r="AV35" s="81"/>
    </row>
    <row r="36" spans="1:48">
      <c r="A36" s="81"/>
      <c r="B36" s="81"/>
      <c r="C36" s="81"/>
      <c r="D36" s="81"/>
      <c r="E36" s="81"/>
      <c r="F36" s="81"/>
      <c r="G36" s="81"/>
      <c r="H36" s="81"/>
      <c r="I36" s="81"/>
      <c r="J36" s="81"/>
      <c r="K36" s="81"/>
      <c r="L36" s="81"/>
      <c r="M36" s="81"/>
      <c r="N36" s="81"/>
      <c r="O36" s="81"/>
      <c r="P36" s="81"/>
      <c r="Q36" s="81"/>
      <c r="R36" s="81"/>
      <c r="S36" s="81"/>
      <c r="T36" s="81"/>
      <c r="U36" s="81"/>
      <c r="V36" s="81"/>
      <c r="W36" s="81"/>
      <c r="X36" s="81"/>
      <c r="Y36" s="81"/>
      <c r="Z36" s="81"/>
      <c r="AA36" s="81"/>
      <c r="AB36" s="81"/>
      <c r="AC36" s="81"/>
      <c r="AD36" s="81"/>
      <c r="AE36" s="81"/>
      <c r="AF36" s="81"/>
      <c r="AG36" s="81"/>
      <c r="AH36" s="81"/>
      <c r="AI36" s="81"/>
      <c r="AJ36" s="81"/>
      <c r="AK36" s="81"/>
      <c r="AL36" s="81"/>
      <c r="AM36" s="81"/>
      <c r="AN36" s="81"/>
      <c r="AO36" s="81"/>
      <c r="AP36" s="81"/>
      <c r="AQ36" s="81"/>
      <c r="AR36" s="81"/>
      <c r="AS36" s="81"/>
      <c r="AT36" s="81"/>
      <c r="AU36" s="81"/>
      <c r="AV36" s="81"/>
    </row>
    <row r="37" spans="1:48">
      <c r="A37" s="81"/>
      <c r="B37" s="81"/>
      <c r="C37" s="81"/>
      <c r="D37" s="81"/>
      <c r="E37" s="81"/>
      <c r="F37" s="81"/>
      <c r="G37" s="81"/>
      <c r="H37" s="81"/>
      <c r="I37" s="81"/>
      <c r="J37" s="81"/>
      <c r="K37" s="81"/>
      <c r="L37" s="81"/>
      <c r="M37" s="81"/>
      <c r="N37" s="81"/>
      <c r="O37" s="81"/>
      <c r="P37" s="81"/>
      <c r="Q37" s="81"/>
      <c r="R37" s="81"/>
      <c r="S37" s="81"/>
      <c r="T37" s="81"/>
      <c r="U37" s="81"/>
      <c r="V37" s="81"/>
      <c r="W37" s="81"/>
      <c r="X37" s="81"/>
      <c r="Y37" s="81"/>
      <c r="Z37" s="81"/>
      <c r="AA37" s="81"/>
      <c r="AB37" s="81"/>
      <c r="AC37" s="81"/>
      <c r="AD37" s="81"/>
      <c r="AE37" s="81"/>
      <c r="AF37" s="81"/>
      <c r="AG37" s="81"/>
      <c r="AH37" s="81"/>
      <c r="AI37" s="81"/>
      <c r="AJ37" s="81"/>
      <c r="AK37" s="81"/>
      <c r="AL37" s="81"/>
      <c r="AM37" s="81"/>
      <c r="AN37" s="81"/>
      <c r="AO37" s="81"/>
      <c r="AP37" s="81"/>
      <c r="AQ37" s="81"/>
      <c r="AR37" s="81"/>
      <c r="AS37" s="81"/>
      <c r="AT37" s="81"/>
      <c r="AU37" s="81"/>
      <c r="AV37" s="81"/>
    </row>
    <row r="38" spans="1:48">
      <c r="A38" s="81"/>
      <c r="B38" s="81"/>
      <c r="C38" s="81"/>
      <c r="D38" s="81"/>
      <c r="E38" s="81"/>
      <c r="F38" s="81"/>
      <c r="G38" s="81"/>
      <c r="H38" s="81"/>
      <c r="I38" s="81"/>
      <c r="J38" s="81"/>
      <c r="K38" s="81"/>
      <c r="L38" s="81"/>
      <c r="M38" s="81"/>
      <c r="N38" s="81"/>
      <c r="O38" s="81"/>
      <c r="P38" s="81"/>
      <c r="Q38" s="81"/>
      <c r="R38" s="81"/>
      <c r="S38" s="81"/>
      <c r="T38" s="81"/>
      <c r="U38" s="81"/>
      <c r="V38" s="81"/>
      <c r="W38" s="81"/>
      <c r="X38" s="81"/>
      <c r="Y38" s="81"/>
      <c r="Z38" s="81"/>
      <c r="AA38" s="81"/>
      <c r="AB38" s="81"/>
      <c r="AC38" s="81"/>
      <c r="AD38" s="81"/>
      <c r="AE38" s="81"/>
      <c r="AF38" s="81"/>
      <c r="AG38" s="81"/>
      <c r="AH38" s="81"/>
      <c r="AI38" s="81"/>
      <c r="AJ38" s="81"/>
      <c r="AK38" s="81"/>
      <c r="AL38" s="81"/>
      <c r="AM38" s="81"/>
      <c r="AN38" s="81"/>
      <c r="AO38" s="81"/>
      <c r="AP38" s="81"/>
      <c r="AQ38" s="81"/>
      <c r="AR38" s="81"/>
      <c r="AS38" s="81"/>
      <c r="AT38" s="81"/>
      <c r="AU38" s="81"/>
      <c r="AV38" s="81"/>
    </row>
    <row r="39" spans="1:48">
      <c r="A39" s="81"/>
      <c r="B39" s="81"/>
      <c r="C39" s="81"/>
      <c r="D39" s="81"/>
      <c r="E39" s="81"/>
      <c r="F39" s="81"/>
      <c r="G39" s="81"/>
      <c r="H39" s="81"/>
      <c r="I39" s="81"/>
      <c r="J39" s="81"/>
      <c r="K39" s="81"/>
      <c r="L39" s="81"/>
      <c r="M39" s="81"/>
      <c r="N39" s="81"/>
      <c r="O39" s="81"/>
      <c r="P39" s="81"/>
      <c r="Q39" s="81"/>
      <c r="R39" s="81"/>
      <c r="S39" s="81"/>
      <c r="T39" s="81"/>
      <c r="U39" s="81"/>
      <c r="V39" s="81"/>
      <c r="W39" s="81"/>
      <c r="X39" s="81"/>
      <c r="Y39" s="81"/>
      <c r="Z39" s="81"/>
      <c r="AA39" s="81"/>
      <c r="AB39" s="81"/>
      <c r="AC39" s="81"/>
      <c r="AD39" s="81"/>
      <c r="AE39" s="81"/>
      <c r="AF39" s="81"/>
      <c r="AG39" s="81"/>
      <c r="AH39" s="81"/>
      <c r="AI39" s="81"/>
      <c r="AJ39" s="81"/>
      <c r="AK39" s="81"/>
      <c r="AL39" s="81"/>
      <c r="AM39" s="81"/>
      <c r="AN39" s="81"/>
      <c r="AO39" s="81"/>
      <c r="AP39" s="81"/>
      <c r="AQ39" s="81"/>
      <c r="AR39" s="81"/>
      <c r="AS39" s="81"/>
      <c r="AT39" s="81"/>
      <c r="AU39" s="81"/>
      <c r="AV39" s="81"/>
    </row>
    <row r="40" spans="1:48">
      <c r="A40" s="81"/>
      <c r="B40" s="81"/>
      <c r="C40" s="81"/>
      <c r="D40" s="81"/>
      <c r="E40" s="81"/>
      <c r="F40" s="81"/>
      <c r="G40" s="81"/>
      <c r="H40" s="81"/>
      <c r="I40" s="81"/>
      <c r="J40" s="81"/>
      <c r="K40" s="81"/>
      <c r="L40" s="81"/>
      <c r="M40" s="81"/>
      <c r="N40" s="81"/>
      <c r="O40" s="81"/>
      <c r="P40" s="81"/>
      <c r="Q40" s="81"/>
      <c r="R40" s="81"/>
      <c r="S40" s="81"/>
      <c r="T40" s="81"/>
      <c r="U40" s="81"/>
      <c r="V40" s="81"/>
      <c r="W40" s="81"/>
      <c r="X40" s="81"/>
      <c r="Y40" s="81"/>
      <c r="Z40" s="81"/>
      <c r="AA40" s="81"/>
      <c r="AB40" s="81"/>
      <c r="AC40" s="81"/>
      <c r="AD40" s="81"/>
      <c r="AE40" s="81"/>
      <c r="AF40" s="81"/>
      <c r="AG40" s="81"/>
      <c r="AH40" s="81"/>
      <c r="AI40" s="81"/>
      <c r="AJ40" s="81"/>
      <c r="AK40" s="81"/>
      <c r="AL40" s="81"/>
      <c r="AM40" s="81"/>
      <c r="AN40" s="81"/>
      <c r="AO40" s="81"/>
      <c r="AP40" s="81"/>
      <c r="AQ40" s="81"/>
      <c r="AR40" s="81"/>
      <c r="AS40" s="81"/>
      <c r="AT40" s="81"/>
      <c r="AU40" s="81"/>
      <c r="AV40" s="81"/>
    </row>
    <row r="41" spans="1:48">
      <c r="A41" s="81"/>
      <c r="B41" s="81"/>
      <c r="C41" s="81"/>
      <c r="D41" s="81"/>
      <c r="E41" s="81"/>
      <c r="F41" s="81"/>
      <c r="G41" s="81"/>
      <c r="H41" s="81"/>
      <c r="I41" s="81"/>
      <c r="J41" s="81"/>
      <c r="K41" s="81"/>
      <c r="L41" s="81"/>
      <c r="M41" s="81"/>
      <c r="N41" s="81"/>
      <c r="O41" s="81"/>
      <c r="P41" s="81"/>
      <c r="Q41" s="81"/>
      <c r="R41" s="81"/>
      <c r="S41" s="81"/>
      <c r="T41" s="81"/>
      <c r="U41" s="81"/>
      <c r="V41" s="81"/>
      <c r="W41" s="81"/>
      <c r="X41" s="81"/>
      <c r="Y41" s="81"/>
      <c r="Z41" s="81"/>
      <c r="AA41" s="81"/>
      <c r="AB41" s="81"/>
      <c r="AC41" s="81"/>
      <c r="AD41" s="81"/>
      <c r="AE41" s="81"/>
      <c r="AF41" s="81"/>
      <c r="AG41" s="81"/>
      <c r="AH41" s="81"/>
      <c r="AI41" s="81"/>
      <c r="AJ41" s="81"/>
      <c r="AK41" s="81"/>
      <c r="AL41" s="81"/>
      <c r="AM41" s="81"/>
      <c r="AN41" s="81"/>
      <c r="AO41" s="81"/>
      <c r="AP41" s="81"/>
      <c r="AQ41" s="81"/>
      <c r="AR41" s="81"/>
      <c r="AS41" s="81"/>
      <c r="AT41" s="81"/>
      <c r="AU41" s="81"/>
      <c r="AV41" s="81"/>
    </row>
    <row r="42" spans="1:48">
      <c r="A42" s="81"/>
      <c r="B42" s="81"/>
      <c r="C42" s="81"/>
      <c r="D42" s="81"/>
      <c r="E42" s="81"/>
      <c r="F42" s="81"/>
      <c r="G42" s="81"/>
      <c r="H42" s="81"/>
      <c r="I42" s="81"/>
      <c r="J42" s="81"/>
      <c r="K42" s="81"/>
      <c r="L42" s="81"/>
      <c r="M42" s="81"/>
      <c r="N42" s="81"/>
      <c r="O42" s="81"/>
      <c r="P42" s="81"/>
      <c r="Q42" s="81"/>
      <c r="R42" s="81"/>
      <c r="S42" s="81"/>
      <c r="T42" s="81"/>
      <c r="U42" s="81"/>
      <c r="V42" s="81"/>
      <c r="W42" s="81"/>
      <c r="X42" s="81"/>
      <c r="Y42" s="81"/>
      <c r="Z42" s="81"/>
      <c r="AA42" s="81"/>
      <c r="AB42" s="81"/>
      <c r="AC42" s="81"/>
      <c r="AD42" s="81"/>
      <c r="AE42" s="81"/>
      <c r="AF42" s="81"/>
      <c r="AG42" s="81"/>
      <c r="AH42" s="81"/>
      <c r="AI42" s="81"/>
      <c r="AJ42" s="81"/>
      <c r="AK42" s="81"/>
      <c r="AL42" s="81"/>
      <c r="AM42" s="81"/>
      <c r="AN42" s="81"/>
      <c r="AO42" s="81"/>
      <c r="AP42" s="81"/>
      <c r="AQ42" s="81"/>
      <c r="AR42" s="81"/>
      <c r="AS42" s="81"/>
      <c r="AT42" s="81"/>
      <c r="AU42" s="81"/>
      <c r="AV42" s="81"/>
    </row>
    <row r="43" spans="1:48">
      <c r="A43" s="81"/>
      <c r="B43" s="81"/>
      <c r="C43" s="81"/>
      <c r="D43" s="81"/>
      <c r="E43" s="81"/>
      <c r="F43" s="81"/>
      <c r="G43" s="81"/>
      <c r="H43" s="81"/>
      <c r="I43" s="81"/>
      <c r="J43" s="81"/>
      <c r="K43" s="81"/>
      <c r="L43" s="81"/>
      <c r="M43" s="81"/>
      <c r="N43" s="81"/>
      <c r="O43" s="81"/>
      <c r="P43" s="81"/>
      <c r="Q43" s="81"/>
      <c r="R43" s="81"/>
      <c r="S43" s="81"/>
      <c r="T43" s="81"/>
      <c r="U43" s="81"/>
      <c r="V43" s="81"/>
      <c r="W43" s="81"/>
      <c r="X43" s="81"/>
      <c r="Y43" s="81"/>
      <c r="Z43" s="81"/>
      <c r="AA43" s="81"/>
      <c r="AB43" s="81"/>
      <c r="AC43" s="81"/>
      <c r="AD43" s="81"/>
      <c r="AE43" s="81"/>
      <c r="AF43" s="81"/>
      <c r="AG43" s="81"/>
      <c r="AH43" s="81"/>
      <c r="AI43" s="81"/>
      <c r="AJ43" s="81"/>
      <c r="AK43" s="81"/>
      <c r="AL43" s="81"/>
      <c r="AM43" s="81"/>
      <c r="AN43" s="81"/>
      <c r="AO43" s="81"/>
      <c r="AP43" s="81"/>
      <c r="AQ43" s="81"/>
      <c r="AR43" s="81"/>
      <c r="AS43" s="81"/>
      <c r="AT43" s="81"/>
      <c r="AU43" s="81"/>
      <c r="AV43" s="81"/>
    </row>
    <row r="44" spans="1:48">
      <c r="A44" s="81"/>
      <c r="B44" s="81"/>
      <c r="C44" s="81"/>
      <c r="D44" s="81"/>
      <c r="E44" s="81"/>
      <c r="F44" s="81"/>
      <c r="G44" s="81"/>
      <c r="H44" s="81"/>
      <c r="I44" s="81"/>
      <c r="J44" s="81"/>
      <c r="K44" s="81"/>
      <c r="L44" s="81"/>
      <c r="M44" s="81"/>
      <c r="N44" s="81"/>
      <c r="O44" s="81"/>
      <c r="P44" s="81"/>
      <c r="Q44" s="81"/>
      <c r="R44" s="81"/>
      <c r="S44" s="81"/>
      <c r="T44" s="81"/>
      <c r="U44" s="81"/>
      <c r="V44" s="81"/>
      <c r="W44" s="81"/>
      <c r="X44" s="81"/>
      <c r="Y44" s="81"/>
      <c r="Z44" s="81"/>
      <c r="AA44" s="81"/>
      <c r="AB44" s="81"/>
      <c r="AC44" s="81"/>
      <c r="AD44" s="81"/>
      <c r="AE44" s="81"/>
      <c r="AF44" s="81"/>
      <c r="AG44" s="81"/>
      <c r="AH44" s="81"/>
      <c r="AI44" s="81"/>
      <c r="AJ44" s="81"/>
      <c r="AK44" s="81"/>
      <c r="AL44" s="81"/>
      <c r="AM44" s="81"/>
      <c r="AN44" s="81"/>
      <c r="AO44" s="81"/>
      <c r="AP44" s="81"/>
      <c r="AQ44" s="81"/>
      <c r="AR44" s="81"/>
      <c r="AS44" s="81"/>
      <c r="AT44" s="81"/>
      <c r="AU44" s="81"/>
      <c r="AV44" s="81"/>
    </row>
    <row r="45" spans="1:48">
      <c r="A45" s="81"/>
      <c r="B45" s="81"/>
      <c r="C45" s="81"/>
      <c r="D45" s="81"/>
      <c r="E45" s="81"/>
      <c r="F45" s="81"/>
      <c r="G45" s="81"/>
      <c r="H45" s="81"/>
      <c r="I45" s="81"/>
      <c r="J45" s="81"/>
      <c r="K45" s="81"/>
      <c r="L45" s="81"/>
      <c r="M45" s="81"/>
      <c r="N45" s="81"/>
      <c r="O45" s="81"/>
      <c r="P45" s="81"/>
      <c r="Q45" s="81"/>
      <c r="R45" s="81"/>
      <c r="S45" s="81"/>
      <c r="T45" s="81"/>
      <c r="U45" s="81"/>
      <c r="V45" s="81"/>
      <c r="W45" s="81"/>
      <c r="X45" s="81"/>
      <c r="Y45" s="81"/>
      <c r="Z45" s="81"/>
      <c r="AA45" s="81"/>
      <c r="AB45" s="81"/>
      <c r="AC45" s="81"/>
      <c r="AD45" s="81"/>
      <c r="AE45" s="81"/>
      <c r="AF45" s="81"/>
      <c r="AG45" s="81"/>
      <c r="AH45" s="81"/>
      <c r="AI45" s="81"/>
      <c r="AJ45" s="81"/>
      <c r="AK45" s="81"/>
      <c r="AL45" s="81"/>
      <c r="AM45" s="81"/>
      <c r="AN45" s="81"/>
      <c r="AO45" s="81"/>
      <c r="AP45" s="81"/>
      <c r="AQ45" s="81"/>
      <c r="AR45" s="81"/>
      <c r="AS45" s="81"/>
      <c r="AT45" s="81"/>
      <c r="AU45" s="81"/>
      <c r="AV45" s="81"/>
    </row>
    <row r="46" spans="1:48">
      <c r="A46" s="81"/>
      <c r="B46" s="81"/>
      <c r="C46" s="81"/>
      <c r="D46" s="81"/>
      <c r="E46" s="81"/>
      <c r="F46" s="81"/>
      <c r="G46" s="81"/>
      <c r="H46" s="81"/>
      <c r="I46" s="81"/>
      <c r="J46" s="81"/>
      <c r="K46" s="81"/>
      <c r="L46" s="81"/>
      <c r="M46" s="81"/>
      <c r="N46" s="81"/>
      <c r="O46" s="81"/>
      <c r="P46" s="81"/>
      <c r="Q46" s="81"/>
      <c r="R46" s="81"/>
      <c r="S46" s="81"/>
      <c r="T46" s="81"/>
      <c r="U46" s="81"/>
      <c r="V46" s="81"/>
      <c r="W46" s="81"/>
      <c r="X46" s="81"/>
      <c r="Y46" s="81"/>
      <c r="Z46" s="81"/>
      <c r="AA46" s="81"/>
      <c r="AB46" s="81"/>
      <c r="AC46" s="81"/>
      <c r="AD46" s="81"/>
      <c r="AE46" s="81"/>
      <c r="AF46" s="81"/>
      <c r="AG46" s="81"/>
      <c r="AH46" s="81"/>
      <c r="AI46" s="81"/>
      <c r="AJ46" s="81"/>
      <c r="AK46" s="81"/>
      <c r="AL46" s="81"/>
      <c r="AM46" s="81"/>
      <c r="AN46" s="81"/>
      <c r="AO46" s="81"/>
      <c r="AP46" s="81"/>
      <c r="AQ46" s="81"/>
      <c r="AR46" s="81"/>
      <c r="AS46" s="81"/>
      <c r="AT46" s="81"/>
      <c r="AU46" s="81"/>
      <c r="AV46" s="81"/>
    </row>
    <row r="47" spans="1:48">
      <c r="A47" s="81"/>
      <c r="B47" s="81"/>
      <c r="C47" s="81"/>
      <c r="D47" s="81"/>
      <c r="E47" s="81"/>
      <c r="F47" s="81"/>
      <c r="G47" s="81"/>
      <c r="H47" s="81"/>
      <c r="I47" s="81"/>
      <c r="J47" s="81"/>
      <c r="K47" s="81"/>
      <c r="L47" s="81"/>
      <c r="M47" s="81"/>
      <c r="N47" s="81"/>
      <c r="O47" s="81"/>
      <c r="P47" s="81"/>
      <c r="Q47" s="81"/>
      <c r="R47" s="81"/>
      <c r="S47" s="81"/>
      <c r="T47" s="81"/>
      <c r="U47" s="81"/>
      <c r="V47" s="81"/>
      <c r="W47" s="81"/>
      <c r="X47" s="81"/>
      <c r="Y47" s="81"/>
      <c r="Z47" s="81"/>
      <c r="AA47" s="81"/>
      <c r="AB47" s="81"/>
      <c r="AC47" s="81"/>
      <c r="AD47" s="81"/>
      <c r="AE47" s="81"/>
      <c r="AF47" s="81"/>
      <c r="AG47" s="81"/>
      <c r="AH47" s="81"/>
      <c r="AI47" s="81"/>
      <c r="AJ47" s="81"/>
      <c r="AK47" s="81"/>
      <c r="AL47" s="81"/>
      <c r="AM47" s="81"/>
      <c r="AN47" s="81"/>
      <c r="AO47" s="81"/>
      <c r="AP47" s="81"/>
      <c r="AQ47" s="81"/>
      <c r="AR47" s="81"/>
      <c r="AS47" s="81"/>
      <c r="AT47" s="81"/>
      <c r="AU47" s="81"/>
      <c r="AV47" s="81"/>
    </row>
    <row r="48" spans="1:48">
      <c r="A48" s="81"/>
      <c r="B48" s="81"/>
      <c r="C48" s="81"/>
      <c r="D48" s="81"/>
      <c r="E48" s="81"/>
      <c r="F48" s="81"/>
      <c r="G48" s="81"/>
      <c r="H48" s="81"/>
      <c r="I48" s="81"/>
      <c r="J48" s="81"/>
      <c r="K48" s="81"/>
      <c r="L48" s="81"/>
      <c r="M48" s="81"/>
      <c r="N48" s="81"/>
      <c r="O48" s="81"/>
      <c r="P48" s="81"/>
      <c r="Q48" s="81"/>
      <c r="R48" s="81"/>
      <c r="S48" s="81"/>
      <c r="T48" s="81"/>
      <c r="U48" s="81"/>
      <c r="V48" s="81"/>
      <c r="W48" s="81"/>
      <c r="X48" s="81"/>
      <c r="Y48" s="81"/>
      <c r="Z48" s="81"/>
      <c r="AA48" s="81"/>
      <c r="AB48" s="81"/>
      <c r="AC48" s="81"/>
      <c r="AD48" s="81"/>
      <c r="AE48" s="81"/>
      <c r="AF48" s="81"/>
      <c r="AG48" s="81"/>
      <c r="AH48" s="81"/>
      <c r="AI48" s="81"/>
      <c r="AJ48" s="81"/>
      <c r="AK48" s="81"/>
      <c r="AL48" s="81"/>
      <c r="AM48" s="81"/>
      <c r="AN48" s="81"/>
      <c r="AO48" s="81"/>
      <c r="AP48" s="81"/>
      <c r="AQ48" s="81"/>
      <c r="AR48" s="81"/>
      <c r="AS48" s="81"/>
      <c r="AT48" s="81"/>
      <c r="AU48" s="81"/>
      <c r="AV48" s="81"/>
    </row>
    <row r="49" spans="1:48">
      <c r="A49" s="81"/>
      <c r="B49" s="81"/>
      <c r="C49" s="81"/>
      <c r="D49" s="81"/>
      <c r="E49" s="81"/>
      <c r="F49" s="81"/>
      <c r="G49" s="81"/>
      <c r="H49" s="81"/>
      <c r="I49" s="81"/>
      <c r="J49" s="81"/>
      <c r="K49" s="81"/>
      <c r="L49" s="81"/>
      <c r="M49" s="81"/>
      <c r="N49" s="81"/>
      <c r="O49" s="81"/>
      <c r="P49" s="81"/>
      <c r="Q49" s="81"/>
      <c r="R49" s="81"/>
      <c r="S49" s="81"/>
      <c r="T49" s="81"/>
      <c r="U49" s="81"/>
      <c r="V49" s="81"/>
      <c r="W49" s="81"/>
      <c r="X49" s="81"/>
      <c r="Y49" s="81"/>
      <c r="Z49" s="81"/>
      <c r="AA49" s="81"/>
      <c r="AB49" s="81"/>
      <c r="AC49" s="81"/>
      <c r="AD49" s="81"/>
      <c r="AE49" s="81"/>
      <c r="AF49" s="81"/>
      <c r="AG49" s="81"/>
      <c r="AH49" s="81"/>
      <c r="AI49" s="81"/>
      <c r="AJ49" s="81"/>
      <c r="AK49" s="81"/>
      <c r="AL49" s="81"/>
      <c r="AM49" s="81"/>
      <c r="AN49" s="81"/>
      <c r="AO49" s="81"/>
      <c r="AP49" s="81"/>
      <c r="AQ49" s="81"/>
      <c r="AR49" s="81"/>
      <c r="AS49" s="81"/>
      <c r="AT49" s="81"/>
      <c r="AU49" s="81"/>
      <c r="AV49" s="81"/>
    </row>
    <row r="50" spans="1:48">
      <c r="A50" s="81"/>
      <c r="B50" s="81"/>
      <c r="C50" s="81"/>
      <c r="D50" s="81"/>
      <c r="E50" s="81"/>
      <c r="F50" s="81"/>
      <c r="G50" s="81"/>
      <c r="H50" s="81"/>
      <c r="I50" s="81"/>
      <c r="J50" s="81"/>
      <c r="K50" s="81"/>
      <c r="L50" s="81"/>
      <c r="M50" s="81"/>
      <c r="N50" s="81"/>
      <c r="O50" s="81"/>
      <c r="P50" s="81"/>
      <c r="Q50" s="81"/>
      <c r="R50" s="81"/>
      <c r="S50" s="81"/>
      <c r="T50" s="81"/>
      <c r="U50" s="81"/>
      <c r="V50" s="81"/>
      <c r="W50" s="81"/>
      <c r="X50" s="81"/>
      <c r="Y50" s="81"/>
      <c r="Z50" s="81"/>
      <c r="AA50" s="81"/>
      <c r="AB50" s="81"/>
      <c r="AC50" s="81"/>
      <c r="AD50" s="81"/>
      <c r="AE50" s="81"/>
      <c r="AF50" s="81"/>
      <c r="AG50" s="81"/>
      <c r="AH50" s="81"/>
      <c r="AI50" s="81"/>
      <c r="AJ50" s="81"/>
      <c r="AK50" s="81"/>
      <c r="AL50" s="81"/>
      <c r="AM50" s="81"/>
      <c r="AN50" s="81"/>
      <c r="AO50" s="81"/>
      <c r="AP50" s="81"/>
      <c r="AQ50" s="81"/>
      <c r="AR50" s="81"/>
      <c r="AS50" s="81"/>
      <c r="AT50" s="81"/>
      <c r="AU50" s="81"/>
      <c r="AV50" s="81"/>
    </row>
    <row r="51" spans="1:48">
      <c r="A51" s="81"/>
      <c r="B51" s="81"/>
      <c r="C51" s="81"/>
      <c r="D51" s="81"/>
      <c r="E51" s="81"/>
      <c r="F51" s="81"/>
      <c r="G51" s="81"/>
      <c r="H51" s="81"/>
      <c r="I51" s="81"/>
      <c r="J51" s="81"/>
      <c r="K51" s="81"/>
      <c r="L51" s="81"/>
      <c r="M51" s="81"/>
      <c r="N51" s="81"/>
      <c r="O51" s="81"/>
      <c r="P51" s="81"/>
      <c r="Q51" s="81"/>
      <c r="R51" s="81"/>
      <c r="S51" s="81"/>
      <c r="T51" s="81"/>
      <c r="U51" s="81"/>
      <c r="V51" s="81"/>
      <c r="W51" s="81"/>
      <c r="X51" s="81"/>
      <c r="Y51" s="81"/>
      <c r="Z51" s="81"/>
      <c r="AA51" s="81"/>
      <c r="AB51" s="81"/>
      <c r="AC51" s="81"/>
      <c r="AD51" s="81"/>
      <c r="AE51" s="81"/>
      <c r="AF51" s="81"/>
      <c r="AG51" s="81"/>
      <c r="AH51" s="81"/>
      <c r="AI51" s="81"/>
      <c r="AJ51" s="81"/>
      <c r="AK51" s="81"/>
      <c r="AL51" s="81"/>
      <c r="AM51" s="81"/>
      <c r="AN51" s="81"/>
      <c r="AO51" s="81"/>
      <c r="AP51" s="81"/>
      <c r="AQ51" s="81"/>
      <c r="AR51" s="81"/>
      <c r="AS51" s="81"/>
      <c r="AT51" s="81"/>
      <c r="AU51" s="81"/>
      <c r="AV51" s="81"/>
    </row>
    <row r="52" spans="1:48">
      <c r="A52" s="81"/>
      <c r="B52" s="81"/>
      <c r="C52" s="81"/>
      <c r="D52" s="81"/>
      <c r="E52" s="81"/>
      <c r="F52" s="81"/>
      <c r="G52" s="81"/>
      <c r="H52" s="81"/>
      <c r="I52" s="81"/>
      <c r="J52" s="81"/>
      <c r="K52" s="81"/>
      <c r="L52" s="81"/>
      <c r="M52" s="81"/>
      <c r="N52" s="81"/>
      <c r="O52" s="81"/>
      <c r="P52" s="81"/>
      <c r="Q52" s="81"/>
      <c r="R52" s="81"/>
      <c r="S52" s="81"/>
      <c r="T52" s="81"/>
      <c r="U52" s="81"/>
      <c r="V52" s="81"/>
      <c r="W52" s="81"/>
      <c r="X52" s="81"/>
      <c r="Y52" s="81"/>
      <c r="Z52" s="81"/>
      <c r="AA52" s="81"/>
      <c r="AB52" s="81"/>
      <c r="AC52" s="81"/>
      <c r="AD52" s="81"/>
      <c r="AE52" s="81"/>
      <c r="AF52" s="81"/>
      <c r="AG52" s="81"/>
      <c r="AH52" s="81"/>
      <c r="AI52" s="81"/>
      <c r="AJ52" s="81"/>
      <c r="AK52" s="81"/>
      <c r="AL52" s="81"/>
      <c r="AM52" s="81"/>
      <c r="AN52" s="81"/>
      <c r="AO52" s="81"/>
      <c r="AP52" s="81"/>
      <c r="AQ52" s="81"/>
      <c r="AR52" s="81"/>
      <c r="AS52" s="81"/>
      <c r="AT52" s="81"/>
      <c r="AU52" s="81"/>
      <c r="AV52" s="81"/>
    </row>
    <row r="53" spans="1:48">
      <c r="A53" s="81"/>
      <c r="B53" s="81"/>
      <c r="C53" s="81"/>
      <c r="D53" s="81"/>
      <c r="E53" s="81"/>
      <c r="F53" s="81"/>
      <c r="G53" s="81"/>
      <c r="H53" s="81"/>
      <c r="I53" s="81"/>
      <c r="J53" s="81"/>
      <c r="K53" s="81"/>
      <c r="L53" s="81"/>
      <c r="M53" s="81"/>
      <c r="N53" s="81"/>
      <c r="O53" s="81"/>
      <c r="P53" s="81"/>
      <c r="Q53" s="81"/>
      <c r="R53" s="81"/>
      <c r="S53" s="81"/>
      <c r="T53" s="81"/>
      <c r="U53" s="81"/>
      <c r="V53" s="81"/>
      <c r="W53" s="81"/>
      <c r="X53" s="81"/>
      <c r="Y53" s="81"/>
      <c r="Z53" s="81"/>
      <c r="AA53" s="81"/>
      <c r="AB53" s="81"/>
      <c r="AC53" s="81"/>
      <c r="AD53" s="81"/>
      <c r="AE53" s="81"/>
      <c r="AF53" s="81"/>
      <c r="AG53" s="81"/>
      <c r="AH53" s="81"/>
      <c r="AI53" s="81"/>
      <c r="AJ53" s="81"/>
      <c r="AK53" s="81"/>
      <c r="AL53" s="81"/>
      <c r="AM53" s="81"/>
      <c r="AN53" s="81"/>
      <c r="AO53" s="81"/>
      <c r="AP53" s="81"/>
      <c r="AQ53" s="81"/>
      <c r="AR53" s="81"/>
      <c r="AS53" s="81"/>
      <c r="AT53" s="81"/>
      <c r="AU53" s="81"/>
      <c r="AV53" s="81"/>
    </row>
    <row r="54" spans="1:48">
      <c r="A54" s="81"/>
      <c r="B54" s="81"/>
      <c r="C54" s="81"/>
      <c r="D54" s="81"/>
      <c r="E54" s="81"/>
      <c r="F54" s="81"/>
      <c r="G54" s="81"/>
      <c r="H54" s="81"/>
      <c r="I54" s="81"/>
      <c r="J54" s="81"/>
      <c r="K54" s="81"/>
      <c r="L54" s="81"/>
      <c r="M54" s="81"/>
      <c r="N54" s="81"/>
      <c r="O54" s="81"/>
      <c r="P54" s="81"/>
      <c r="Q54" s="81"/>
      <c r="R54" s="81"/>
      <c r="S54" s="81"/>
      <c r="T54" s="81"/>
      <c r="U54" s="81"/>
      <c r="V54" s="81"/>
      <c r="W54" s="81"/>
      <c r="X54" s="81"/>
      <c r="Y54" s="81"/>
      <c r="Z54" s="81"/>
      <c r="AA54" s="81"/>
      <c r="AB54" s="81"/>
      <c r="AC54" s="81"/>
      <c r="AD54" s="81"/>
      <c r="AE54" s="81"/>
      <c r="AF54" s="81"/>
      <c r="AG54" s="81"/>
      <c r="AH54" s="81"/>
      <c r="AI54" s="81"/>
      <c r="AJ54" s="81"/>
      <c r="AK54" s="81"/>
      <c r="AL54" s="81"/>
      <c r="AM54" s="81"/>
      <c r="AN54" s="81"/>
      <c r="AO54" s="81"/>
      <c r="AP54" s="81"/>
      <c r="AQ54" s="81"/>
      <c r="AR54" s="81"/>
      <c r="AS54" s="81"/>
      <c r="AT54" s="81"/>
      <c r="AU54" s="81"/>
      <c r="AV54" s="81"/>
    </row>
    <row r="55" spans="1:48">
      <c r="A55" s="81"/>
      <c r="B55" s="81"/>
      <c r="C55" s="81"/>
      <c r="D55" s="81"/>
      <c r="E55" s="81"/>
      <c r="F55" s="81"/>
      <c r="G55" s="81"/>
      <c r="H55" s="81"/>
      <c r="I55" s="81"/>
      <c r="J55" s="81"/>
      <c r="K55" s="81"/>
      <c r="L55" s="81"/>
      <c r="M55" s="81"/>
      <c r="N55" s="81"/>
      <c r="O55" s="81"/>
      <c r="P55" s="81"/>
      <c r="Q55" s="81"/>
      <c r="R55" s="81"/>
      <c r="S55" s="81"/>
      <c r="T55" s="81"/>
      <c r="U55" s="81"/>
      <c r="V55" s="81"/>
      <c r="W55" s="81"/>
      <c r="X55" s="81"/>
      <c r="Y55" s="81"/>
      <c r="Z55" s="81"/>
      <c r="AA55" s="81"/>
      <c r="AB55" s="81"/>
      <c r="AC55" s="81"/>
      <c r="AD55" s="81"/>
      <c r="AE55" s="81"/>
      <c r="AF55" s="81"/>
      <c r="AG55" s="81"/>
      <c r="AH55" s="81"/>
      <c r="AI55" s="81"/>
      <c r="AJ55" s="81"/>
      <c r="AK55" s="81"/>
      <c r="AL55" s="81"/>
      <c r="AM55" s="81"/>
      <c r="AN55" s="81"/>
      <c r="AO55" s="81"/>
      <c r="AP55" s="81"/>
      <c r="AQ55" s="81"/>
      <c r="AR55" s="81"/>
      <c r="AS55" s="81"/>
      <c r="AT55" s="81"/>
      <c r="AU55" s="81"/>
      <c r="AV55" s="81"/>
    </row>
    <row r="56" spans="1:48">
      <c r="A56" s="81"/>
      <c r="B56" s="81"/>
      <c r="C56" s="81"/>
      <c r="D56" s="81"/>
      <c r="E56" s="81"/>
      <c r="F56" s="81"/>
      <c r="G56" s="81"/>
      <c r="H56" s="81"/>
      <c r="I56" s="81"/>
      <c r="J56" s="81"/>
      <c r="K56" s="81"/>
      <c r="L56" s="81"/>
      <c r="M56" s="81"/>
      <c r="N56" s="81"/>
      <c r="O56" s="81"/>
      <c r="P56" s="81"/>
      <c r="Q56" s="81"/>
      <c r="R56" s="81"/>
      <c r="S56" s="81"/>
      <c r="T56" s="81"/>
      <c r="U56" s="81"/>
      <c r="V56" s="81"/>
      <c r="W56" s="81"/>
      <c r="X56" s="81"/>
      <c r="Y56" s="81"/>
      <c r="Z56" s="81"/>
      <c r="AA56" s="81"/>
      <c r="AB56" s="81"/>
      <c r="AC56" s="81"/>
      <c r="AD56" s="81"/>
      <c r="AE56" s="81"/>
      <c r="AF56" s="81"/>
      <c r="AG56" s="81"/>
      <c r="AH56" s="81"/>
      <c r="AI56" s="81"/>
      <c r="AJ56" s="81"/>
      <c r="AK56" s="81"/>
      <c r="AL56" s="81"/>
      <c r="AM56" s="81"/>
      <c r="AN56" s="81"/>
      <c r="AO56" s="81"/>
      <c r="AP56" s="81"/>
      <c r="AQ56" s="81"/>
      <c r="AR56" s="81"/>
      <c r="AS56" s="81"/>
      <c r="AT56" s="81"/>
      <c r="AU56" s="81"/>
      <c r="AV56" s="81"/>
    </row>
    <row r="57" spans="1:48">
      <c r="A57" s="81"/>
      <c r="B57" s="81"/>
      <c r="C57" s="81"/>
      <c r="D57" s="81"/>
      <c r="E57" s="81"/>
      <c r="F57" s="81"/>
      <c r="G57" s="81"/>
      <c r="H57" s="81"/>
      <c r="I57" s="81"/>
      <c r="J57" s="81"/>
      <c r="K57" s="81"/>
      <c r="L57" s="81"/>
      <c r="M57" s="81"/>
      <c r="N57" s="81"/>
      <c r="O57" s="81"/>
      <c r="P57" s="81"/>
      <c r="Q57" s="81"/>
      <c r="R57" s="81"/>
      <c r="S57" s="81"/>
      <c r="T57" s="81"/>
      <c r="U57" s="81"/>
      <c r="V57" s="81"/>
      <c r="W57" s="81"/>
      <c r="X57" s="81"/>
      <c r="Y57" s="81"/>
      <c r="Z57" s="81"/>
      <c r="AA57" s="81"/>
      <c r="AB57" s="81"/>
      <c r="AC57" s="81"/>
      <c r="AD57" s="81"/>
      <c r="AE57" s="81"/>
      <c r="AF57" s="81"/>
      <c r="AG57" s="81"/>
      <c r="AH57" s="81"/>
      <c r="AI57" s="81"/>
      <c r="AJ57" s="81"/>
      <c r="AK57" s="81"/>
      <c r="AL57" s="81"/>
      <c r="AM57" s="81"/>
      <c r="AN57" s="81"/>
      <c r="AO57" s="81"/>
      <c r="AP57" s="81"/>
      <c r="AQ57" s="81"/>
      <c r="AR57" s="81"/>
      <c r="AS57" s="81"/>
      <c r="AT57" s="81"/>
      <c r="AU57" s="81"/>
      <c r="AV57" s="81"/>
    </row>
    <row r="58" spans="1:48">
      <c r="A58" s="81"/>
      <c r="B58" s="81"/>
      <c r="C58" s="81"/>
      <c r="D58" s="81"/>
      <c r="E58" s="81"/>
      <c r="F58" s="81"/>
      <c r="G58" s="81"/>
      <c r="H58" s="81"/>
      <c r="I58" s="81"/>
      <c r="J58" s="81"/>
      <c r="K58" s="81"/>
      <c r="L58" s="81"/>
      <c r="M58" s="81"/>
      <c r="N58" s="81"/>
      <c r="O58" s="81"/>
      <c r="P58" s="81"/>
      <c r="Q58" s="81"/>
      <c r="R58" s="81"/>
      <c r="S58" s="81"/>
      <c r="T58" s="81"/>
      <c r="U58" s="81"/>
      <c r="V58" s="81"/>
      <c r="W58" s="81"/>
      <c r="X58" s="81"/>
      <c r="Y58" s="81"/>
      <c r="Z58" s="81"/>
      <c r="AA58" s="81"/>
      <c r="AB58" s="81"/>
      <c r="AC58" s="81"/>
      <c r="AD58" s="81"/>
      <c r="AE58" s="81"/>
      <c r="AF58" s="81"/>
      <c r="AG58" s="81"/>
      <c r="AH58" s="81"/>
      <c r="AI58" s="81"/>
      <c r="AJ58" s="81"/>
      <c r="AK58" s="81"/>
      <c r="AL58" s="81"/>
      <c r="AM58" s="81"/>
      <c r="AN58" s="81"/>
      <c r="AO58" s="81"/>
      <c r="AP58" s="81"/>
      <c r="AQ58" s="81"/>
      <c r="AR58" s="81"/>
      <c r="AS58" s="81"/>
      <c r="AT58" s="81"/>
      <c r="AU58" s="81"/>
      <c r="AV58" s="81"/>
    </row>
    <row r="59" spans="1:48">
      <c r="A59" s="81"/>
      <c r="B59" s="81"/>
      <c r="C59" s="81"/>
      <c r="D59" s="81"/>
      <c r="E59" s="81"/>
      <c r="F59" s="81"/>
      <c r="G59" s="81"/>
      <c r="H59" s="81"/>
      <c r="I59" s="81"/>
      <c r="J59" s="81"/>
      <c r="K59" s="81"/>
      <c r="L59" s="81"/>
      <c r="M59" s="81"/>
      <c r="N59" s="81"/>
      <c r="O59" s="81"/>
      <c r="P59" s="81"/>
      <c r="Q59" s="81"/>
      <c r="R59" s="81"/>
      <c r="S59" s="81"/>
      <c r="T59" s="81"/>
      <c r="U59" s="81"/>
      <c r="V59" s="81"/>
      <c r="W59" s="81"/>
      <c r="X59" s="81"/>
      <c r="Y59" s="81"/>
      <c r="Z59" s="81"/>
      <c r="AA59" s="81"/>
      <c r="AB59" s="81"/>
      <c r="AC59" s="81"/>
      <c r="AD59" s="81"/>
      <c r="AE59" s="81"/>
      <c r="AF59" s="81"/>
      <c r="AG59" s="81"/>
      <c r="AH59" s="81"/>
      <c r="AI59" s="81"/>
      <c r="AJ59" s="81"/>
      <c r="AK59" s="81"/>
      <c r="AL59" s="81"/>
      <c r="AM59" s="81"/>
      <c r="AN59" s="81"/>
      <c r="AO59" s="81"/>
      <c r="AP59" s="81"/>
      <c r="AQ59" s="81"/>
      <c r="AR59" s="81"/>
      <c r="AS59" s="81"/>
      <c r="AT59" s="81"/>
      <c r="AU59" s="81"/>
      <c r="AV59" s="81"/>
    </row>
    <row r="60" spans="1:48">
      <c r="A60" s="81"/>
      <c r="B60" s="81"/>
      <c r="C60" s="81"/>
      <c r="D60" s="81"/>
      <c r="E60" s="81"/>
      <c r="F60" s="81"/>
      <c r="G60" s="81"/>
      <c r="H60" s="81"/>
      <c r="I60" s="81"/>
      <c r="J60" s="81"/>
      <c r="K60" s="81"/>
      <c r="L60" s="81"/>
      <c r="M60" s="81"/>
      <c r="N60" s="81"/>
      <c r="O60" s="81"/>
      <c r="P60" s="81"/>
      <c r="Q60" s="81"/>
      <c r="R60" s="81"/>
      <c r="S60" s="81"/>
      <c r="T60" s="81"/>
      <c r="U60" s="81"/>
      <c r="V60" s="81"/>
      <c r="W60" s="81"/>
      <c r="X60" s="81"/>
      <c r="Y60" s="81"/>
      <c r="Z60" s="81"/>
      <c r="AA60" s="81"/>
      <c r="AB60" s="81"/>
      <c r="AC60" s="81"/>
      <c r="AD60" s="81"/>
      <c r="AE60" s="81"/>
      <c r="AF60" s="81"/>
      <c r="AG60" s="81"/>
      <c r="AH60" s="81"/>
      <c r="AI60" s="81"/>
      <c r="AJ60" s="81"/>
      <c r="AK60" s="81"/>
      <c r="AL60" s="81"/>
      <c r="AM60" s="81"/>
      <c r="AN60" s="81"/>
      <c r="AO60" s="81"/>
      <c r="AP60" s="81"/>
      <c r="AQ60" s="81"/>
      <c r="AR60" s="81"/>
      <c r="AS60" s="81"/>
      <c r="AT60" s="81"/>
      <c r="AU60" s="81"/>
      <c r="AV60" s="81"/>
    </row>
    <row r="61" spans="1:48">
      <c r="A61" s="81"/>
      <c r="B61" s="81"/>
      <c r="C61" s="81"/>
      <c r="D61" s="81"/>
      <c r="E61" s="81"/>
      <c r="F61" s="81"/>
      <c r="G61" s="81"/>
      <c r="H61" s="81"/>
      <c r="I61" s="81"/>
      <c r="J61" s="81"/>
      <c r="K61" s="81"/>
      <c r="L61" s="81"/>
      <c r="M61" s="81"/>
      <c r="N61" s="81"/>
      <c r="O61" s="81"/>
      <c r="P61" s="81"/>
      <c r="Q61" s="81"/>
      <c r="R61" s="81"/>
      <c r="S61" s="81"/>
      <c r="T61" s="81"/>
      <c r="U61" s="81"/>
      <c r="V61" s="81"/>
      <c r="W61" s="81"/>
      <c r="X61" s="81"/>
      <c r="Y61" s="81"/>
      <c r="Z61" s="81"/>
      <c r="AA61" s="81"/>
      <c r="AB61" s="81"/>
      <c r="AC61" s="81"/>
      <c r="AD61" s="81"/>
      <c r="AE61" s="81"/>
      <c r="AF61" s="81"/>
      <c r="AG61" s="81"/>
      <c r="AH61" s="81"/>
      <c r="AI61" s="81"/>
      <c r="AJ61" s="81"/>
      <c r="AK61" s="81"/>
      <c r="AL61" s="81"/>
      <c r="AM61" s="81"/>
      <c r="AN61" s="81"/>
      <c r="AO61" s="81"/>
      <c r="AP61" s="81"/>
      <c r="AQ61" s="81"/>
      <c r="AR61" s="81"/>
      <c r="AS61" s="81"/>
      <c r="AT61" s="81"/>
      <c r="AU61" s="81"/>
      <c r="AV61" s="81"/>
    </row>
    <row r="62" spans="1:48">
      <c r="A62" s="81"/>
      <c r="B62" s="81"/>
      <c r="C62" s="81"/>
      <c r="D62" s="81"/>
      <c r="E62" s="81"/>
      <c r="F62" s="81"/>
      <c r="G62" s="81"/>
      <c r="H62" s="81"/>
      <c r="I62" s="81"/>
      <c r="J62" s="81"/>
      <c r="K62" s="81"/>
      <c r="L62" s="81"/>
      <c r="M62" s="81"/>
      <c r="N62" s="81"/>
      <c r="O62" s="81"/>
      <c r="P62" s="81"/>
      <c r="Q62" s="81"/>
      <c r="R62" s="81"/>
      <c r="S62" s="81"/>
      <c r="T62" s="81"/>
      <c r="U62" s="81"/>
      <c r="V62" s="81"/>
      <c r="W62" s="81"/>
      <c r="X62" s="81"/>
      <c r="Y62" s="81"/>
      <c r="Z62" s="81"/>
      <c r="AA62" s="81"/>
      <c r="AB62" s="81"/>
      <c r="AC62" s="81"/>
      <c r="AD62" s="81"/>
      <c r="AE62" s="81"/>
      <c r="AF62" s="81"/>
      <c r="AG62" s="81"/>
      <c r="AH62" s="81"/>
      <c r="AI62" s="81"/>
      <c r="AJ62" s="81"/>
      <c r="AK62" s="81"/>
      <c r="AL62" s="81"/>
      <c r="AM62" s="81"/>
      <c r="AN62" s="81"/>
      <c r="AO62" s="81"/>
      <c r="AP62" s="81"/>
      <c r="AQ62" s="81"/>
      <c r="AR62" s="81"/>
      <c r="AS62" s="81"/>
      <c r="AT62" s="81"/>
      <c r="AU62" s="81"/>
      <c r="AV62" s="81"/>
    </row>
    <row r="63" spans="1:48">
      <c r="A63" s="81"/>
      <c r="B63" s="81"/>
      <c r="C63" s="81"/>
      <c r="D63" s="81"/>
      <c r="E63" s="81"/>
      <c r="F63" s="81"/>
      <c r="G63" s="81"/>
      <c r="H63" s="81"/>
      <c r="I63" s="81"/>
      <c r="J63" s="81"/>
      <c r="K63" s="81"/>
      <c r="L63" s="81"/>
      <c r="M63" s="81"/>
      <c r="N63" s="81"/>
      <c r="O63" s="81"/>
      <c r="P63" s="81"/>
      <c r="Q63" s="81"/>
      <c r="R63" s="81"/>
      <c r="S63" s="81"/>
      <c r="T63" s="81"/>
      <c r="U63" s="81"/>
      <c r="V63" s="81"/>
      <c r="W63" s="81"/>
      <c r="X63" s="81"/>
      <c r="Y63" s="81"/>
      <c r="Z63" s="81"/>
      <c r="AA63" s="81"/>
      <c r="AB63" s="81"/>
      <c r="AC63" s="81"/>
      <c r="AD63" s="81"/>
      <c r="AE63" s="81"/>
      <c r="AF63" s="81"/>
      <c r="AG63" s="81"/>
      <c r="AH63" s="81"/>
      <c r="AI63" s="81"/>
      <c r="AJ63" s="81"/>
      <c r="AK63" s="81"/>
      <c r="AL63" s="81"/>
      <c r="AM63" s="81"/>
      <c r="AN63" s="81"/>
      <c r="AO63" s="81"/>
      <c r="AP63" s="81"/>
      <c r="AQ63" s="81"/>
      <c r="AR63" s="81"/>
      <c r="AS63" s="81"/>
      <c r="AT63" s="81"/>
      <c r="AU63" s="81"/>
      <c r="AV63" s="81"/>
    </row>
    <row r="64" spans="1:48">
      <c r="A64" s="81"/>
      <c r="B64" s="81"/>
      <c r="C64" s="81"/>
      <c r="D64" s="81"/>
      <c r="E64" s="81"/>
      <c r="F64" s="81"/>
      <c r="G64" s="81"/>
      <c r="H64" s="81"/>
      <c r="I64" s="81"/>
      <c r="J64" s="81"/>
      <c r="K64" s="81"/>
      <c r="L64" s="81"/>
      <c r="M64" s="81"/>
      <c r="N64" s="81"/>
      <c r="O64" s="81"/>
      <c r="P64" s="81"/>
      <c r="Q64" s="81"/>
      <c r="R64" s="81"/>
      <c r="S64" s="81"/>
      <c r="T64" s="81"/>
      <c r="U64" s="81"/>
      <c r="V64" s="81"/>
      <c r="W64" s="81"/>
      <c r="X64" s="81"/>
      <c r="Y64" s="81"/>
      <c r="Z64" s="81"/>
      <c r="AA64" s="81"/>
      <c r="AB64" s="81"/>
      <c r="AC64" s="81"/>
      <c r="AD64" s="81"/>
      <c r="AE64" s="81"/>
      <c r="AF64" s="81"/>
      <c r="AG64" s="81"/>
      <c r="AH64" s="81"/>
      <c r="AI64" s="81"/>
      <c r="AJ64" s="81"/>
      <c r="AK64" s="81"/>
      <c r="AL64" s="81"/>
      <c r="AM64" s="81"/>
      <c r="AN64" s="81"/>
      <c r="AO64" s="81"/>
      <c r="AP64" s="81"/>
      <c r="AQ64" s="81"/>
      <c r="AR64" s="81"/>
      <c r="AS64" s="81"/>
      <c r="AT64" s="81"/>
      <c r="AU64" s="81"/>
      <c r="AV64" s="81"/>
    </row>
    <row r="65" spans="1:48">
      <c r="A65" s="81"/>
      <c r="B65" s="81"/>
      <c r="C65" s="81"/>
      <c r="D65" s="81"/>
      <c r="E65" s="81"/>
      <c r="F65" s="81"/>
      <c r="G65" s="81"/>
      <c r="H65" s="81"/>
      <c r="I65" s="81"/>
      <c r="J65" s="81"/>
      <c r="K65" s="81"/>
      <c r="L65" s="81"/>
      <c r="M65" s="81"/>
      <c r="N65" s="81"/>
      <c r="O65" s="81"/>
      <c r="P65" s="81"/>
      <c r="Q65" s="81"/>
      <c r="R65" s="81"/>
      <c r="S65" s="81"/>
      <c r="T65" s="81"/>
      <c r="U65" s="81"/>
      <c r="V65" s="81"/>
      <c r="W65" s="81"/>
      <c r="X65" s="81"/>
      <c r="Y65" s="81"/>
      <c r="Z65" s="81"/>
      <c r="AA65" s="81"/>
      <c r="AB65" s="81"/>
      <c r="AC65" s="81"/>
      <c r="AD65" s="81"/>
      <c r="AE65" s="81"/>
      <c r="AF65" s="81"/>
      <c r="AG65" s="81"/>
      <c r="AH65" s="81"/>
      <c r="AI65" s="81"/>
      <c r="AJ65" s="81"/>
      <c r="AK65" s="81"/>
      <c r="AL65" s="81"/>
      <c r="AM65" s="81"/>
      <c r="AN65" s="81"/>
      <c r="AO65" s="81"/>
      <c r="AP65" s="81"/>
      <c r="AQ65" s="81"/>
      <c r="AR65" s="81"/>
      <c r="AS65" s="81"/>
      <c r="AT65" s="81"/>
      <c r="AU65" s="81"/>
      <c r="AV65" s="81"/>
    </row>
    <row r="66" spans="1:48">
      <c r="A66" s="81"/>
      <c r="B66" s="81"/>
      <c r="C66" s="81"/>
      <c r="D66" s="81"/>
      <c r="E66" s="81"/>
      <c r="F66" s="81"/>
      <c r="G66" s="81"/>
      <c r="H66" s="81"/>
      <c r="I66" s="81"/>
      <c r="J66" s="81"/>
      <c r="K66" s="81"/>
      <c r="L66" s="81"/>
      <c r="M66" s="81"/>
      <c r="N66" s="81"/>
      <c r="O66" s="81"/>
      <c r="P66" s="81"/>
      <c r="Q66" s="81"/>
      <c r="R66" s="81"/>
      <c r="S66" s="81"/>
      <c r="T66" s="81"/>
      <c r="U66" s="81"/>
      <c r="V66" s="81"/>
      <c r="W66" s="81"/>
      <c r="X66" s="81"/>
      <c r="Y66" s="81"/>
      <c r="Z66" s="81"/>
      <c r="AA66" s="81"/>
      <c r="AB66" s="81"/>
      <c r="AC66" s="81"/>
      <c r="AD66" s="81"/>
      <c r="AE66" s="81"/>
      <c r="AF66" s="81"/>
      <c r="AG66" s="81"/>
      <c r="AH66" s="81"/>
      <c r="AI66" s="81"/>
      <c r="AJ66" s="81"/>
      <c r="AK66" s="81"/>
      <c r="AL66" s="81"/>
      <c r="AM66" s="81"/>
      <c r="AN66" s="81"/>
      <c r="AO66" s="81"/>
      <c r="AP66" s="81"/>
      <c r="AQ66" s="81"/>
      <c r="AR66" s="81"/>
      <c r="AS66" s="81"/>
      <c r="AT66" s="81"/>
      <c r="AU66" s="81"/>
      <c r="AV66" s="81"/>
    </row>
    <row r="67" spans="1:48">
      <c r="A67" s="81"/>
      <c r="B67" s="81"/>
      <c r="C67" s="81"/>
      <c r="D67" s="81"/>
      <c r="E67" s="81"/>
      <c r="F67" s="81"/>
      <c r="G67" s="81"/>
      <c r="H67" s="81"/>
      <c r="I67" s="81"/>
      <c r="J67" s="81"/>
      <c r="K67" s="81"/>
      <c r="L67" s="81"/>
      <c r="M67" s="81"/>
      <c r="N67" s="81"/>
      <c r="O67" s="81"/>
      <c r="P67" s="81"/>
      <c r="Q67" s="81"/>
      <c r="R67" s="81"/>
      <c r="S67" s="81"/>
      <c r="T67" s="81"/>
      <c r="U67" s="81"/>
      <c r="V67" s="81"/>
      <c r="W67" s="81"/>
      <c r="X67" s="81"/>
      <c r="Y67" s="81"/>
      <c r="Z67" s="81"/>
      <c r="AA67" s="81"/>
      <c r="AB67" s="81"/>
      <c r="AC67" s="81"/>
      <c r="AD67" s="81"/>
      <c r="AE67" s="81"/>
      <c r="AF67" s="81"/>
      <c r="AG67" s="81"/>
      <c r="AH67" s="81"/>
      <c r="AI67" s="81"/>
      <c r="AJ67" s="81"/>
      <c r="AK67" s="81"/>
      <c r="AL67" s="81"/>
      <c r="AM67" s="81"/>
      <c r="AN67" s="81"/>
      <c r="AO67" s="81"/>
      <c r="AP67" s="81"/>
      <c r="AQ67" s="81"/>
      <c r="AR67" s="81"/>
      <c r="AS67" s="81"/>
      <c r="AT67" s="81"/>
      <c r="AU67" s="81"/>
      <c r="AV67" s="81"/>
    </row>
    <row r="68" spans="1:48">
      <c r="A68" s="81"/>
      <c r="B68" s="81"/>
      <c r="C68" s="81"/>
      <c r="D68" s="81"/>
      <c r="E68" s="81"/>
      <c r="F68" s="81"/>
      <c r="G68" s="81"/>
      <c r="H68" s="81"/>
      <c r="I68" s="81"/>
      <c r="J68" s="81"/>
      <c r="K68" s="81"/>
      <c r="L68" s="81"/>
      <c r="M68" s="81"/>
      <c r="N68" s="81"/>
      <c r="O68" s="81"/>
      <c r="P68" s="81"/>
      <c r="Q68" s="81"/>
      <c r="R68" s="81"/>
      <c r="S68" s="81"/>
      <c r="T68" s="81"/>
      <c r="U68" s="81"/>
      <c r="V68" s="81"/>
      <c r="W68" s="81"/>
      <c r="X68" s="81"/>
      <c r="Y68" s="81"/>
      <c r="Z68" s="81"/>
      <c r="AA68" s="81"/>
      <c r="AB68" s="81"/>
      <c r="AC68" s="81"/>
      <c r="AD68" s="81"/>
      <c r="AE68" s="81"/>
      <c r="AF68" s="81"/>
      <c r="AG68" s="81"/>
      <c r="AH68" s="81"/>
      <c r="AI68" s="81"/>
      <c r="AJ68" s="81"/>
      <c r="AK68" s="81"/>
      <c r="AL68" s="81"/>
      <c r="AM68" s="81"/>
      <c r="AN68" s="81"/>
      <c r="AO68" s="81"/>
      <c r="AP68" s="81"/>
      <c r="AQ68" s="81"/>
      <c r="AR68" s="81"/>
      <c r="AS68" s="81"/>
      <c r="AT68" s="81"/>
      <c r="AU68" s="81"/>
      <c r="AV68" s="81"/>
    </row>
    <row r="69" spans="1:48">
      <c r="A69" s="81"/>
      <c r="B69" s="81"/>
      <c r="C69" s="81"/>
      <c r="D69" s="81"/>
      <c r="E69" s="81"/>
      <c r="F69" s="81"/>
      <c r="G69" s="81"/>
      <c r="H69" s="81"/>
      <c r="I69" s="81"/>
      <c r="J69" s="81"/>
      <c r="K69" s="81"/>
      <c r="L69" s="81"/>
      <c r="M69" s="81"/>
      <c r="N69" s="81"/>
      <c r="O69" s="81"/>
      <c r="P69" s="81"/>
      <c r="Q69" s="81"/>
      <c r="R69" s="81"/>
      <c r="S69" s="81"/>
      <c r="T69" s="81"/>
      <c r="U69" s="81"/>
      <c r="V69" s="81"/>
      <c r="W69" s="81"/>
      <c r="X69" s="81"/>
      <c r="Y69" s="81"/>
      <c r="Z69" s="81"/>
      <c r="AA69" s="81"/>
      <c r="AB69" s="81"/>
      <c r="AC69" s="81"/>
      <c r="AD69" s="81"/>
      <c r="AE69" s="81"/>
      <c r="AF69" s="81"/>
      <c r="AG69" s="81"/>
      <c r="AH69" s="81"/>
      <c r="AI69" s="81"/>
      <c r="AJ69" s="81"/>
      <c r="AK69" s="81"/>
      <c r="AL69" s="81"/>
      <c r="AM69" s="81"/>
      <c r="AN69" s="81"/>
      <c r="AO69" s="81"/>
      <c r="AP69" s="81"/>
      <c r="AQ69" s="81"/>
      <c r="AR69" s="81"/>
      <c r="AS69" s="81"/>
      <c r="AT69" s="81"/>
      <c r="AU69" s="81"/>
      <c r="AV69" s="81"/>
    </row>
    <row r="70" spans="1:48">
      <c r="A70" s="81"/>
      <c r="B70" s="81"/>
      <c r="C70" s="81"/>
      <c r="D70" s="81"/>
      <c r="E70" s="81"/>
      <c r="F70" s="81"/>
      <c r="G70" s="81"/>
      <c r="H70" s="81"/>
      <c r="I70" s="81"/>
      <c r="J70" s="81"/>
      <c r="K70" s="81"/>
      <c r="L70" s="81"/>
      <c r="M70" s="81"/>
      <c r="N70" s="81"/>
      <c r="O70" s="81"/>
      <c r="P70" s="81"/>
      <c r="Q70" s="81"/>
      <c r="R70" s="81"/>
      <c r="S70" s="81"/>
      <c r="T70" s="81"/>
      <c r="U70" s="81"/>
      <c r="V70" s="81"/>
      <c r="W70" s="81"/>
      <c r="X70" s="81"/>
      <c r="Y70" s="81"/>
      <c r="Z70" s="81"/>
      <c r="AA70" s="81"/>
      <c r="AB70" s="81"/>
      <c r="AC70" s="81"/>
      <c r="AD70" s="81"/>
      <c r="AE70" s="81"/>
      <c r="AF70" s="81"/>
      <c r="AG70" s="81"/>
      <c r="AH70" s="81"/>
      <c r="AI70" s="81"/>
      <c r="AJ70" s="81"/>
      <c r="AK70" s="81"/>
      <c r="AL70" s="81"/>
      <c r="AM70" s="81"/>
      <c r="AN70" s="81"/>
      <c r="AO70" s="81"/>
      <c r="AP70" s="81"/>
      <c r="AQ70" s="81"/>
      <c r="AR70" s="81"/>
      <c r="AS70" s="81"/>
      <c r="AT70" s="81"/>
      <c r="AU70" s="81"/>
      <c r="AV70" s="81"/>
    </row>
    <row r="71" spans="1:48">
      <c r="A71" s="81"/>
      <c r="B71" s="81"/>
      <c r="C71" s="81"/>
      <c r="D71" s="81"/>
      <c r="E71" s="81"/>
      <c r="F71" s="81"/>
      <c r="G71" s="81"/>
      <c r="H71" s="81"/>
      <c r="I71" s="81"/>
      <c r="J71" s="81"/>
      <c r="K71" s="81"/>
      <c r="L71" s="81"/>
      <c r="M71" s="81"/>
      <c r="N71" s="81"/>
      <c r="O71" s="81"/>
      <c r="P71" s="81"/>
      <c r="Q71" s="81"/>
      <c r="R71" s="81"/>
      <c r="S71" s="81"/>
      <c r="T71" s="81"/>
      <c r="U71" s="81"/>
      <c r="V71" s="81"/>
      <c r="W71" s="81"/>
      <c r="X71" s="81"/>
      <c r="Y71" s="81"/>
      <c r="Z71" s="81"/>
      <c r="AA71" s="81"/>
      <c r="AB71" s="81"/>
      <c r="AC71" s="81"/>
      <c r="AD71" s="81"/>
      <c r="AE71" s="81"/>
      <c r="AF71" s="81"/>
      <c r="AG71" s="81"/>
      <c r="AH71" s="81"/>
      <c r="AI71" s="81"/>
      <c r="AJ71" s="81"/>
      <c r="AK71" s="81"/>
      <c r="AL71" s="81"/>
      <c r="AM71" s="81"/>
      <c r="AN71" s="81"/>
      <c r="AO71" s="81"/>
      <c r="AP71" s="81"/>
      <c r="AQ71" s="81"/>
      <c r="AR71" s="81"/>
      <c r="AS71" s="81"/>
      <c r="AT71" s="81"/>
      <c r="AU71" s="81"/>
      <c r="AV71" s="81"/>
    </row>
    <row r="72" spans="1:48">
      <c r="A72" s="81"/>
      <c r="B72" s="81"/>
      <c r="C72" s="81"/>
      <c r="D72" s="81"/>
      <c r="E72" s="81"/>
      <c r="F72" s="81"/>
      <c r="G72" s="81"/>
      <c r="H72" s="81"/>
      <c r="I72" s="81"/>
      <c r="J72" s="81"/>
      <c r="K72" s="81"/>
      <c r="L72" s="81"/>
      <c r="M72" s="81"/>
      <c r="N72" s="81"/>
      <c r="O72" s="81"/>
      <c r="P72" s="81"/>
      <c r="Q72" s="81"/>
      <c r="R72" s="81"/>
      <c r="S72" s="81"/>
      <c r="T72" s="81"/>
      <c r="U72" s="81"/>
      <c r="V72" s="81"/>
      <c r="W72" s="81"/>
      <c r="X72" s="81"/>
      <c r="Y72" s="81"/>
      <c r="Z72" s="81"/>
      <c r="AA72" s="81"/>
      <c r="AB72" s="81"/>
      <c r="AC72" s="81"/>
      <c r="AD72" s="81"/>
      <c r="AE72" s="81"/>
      <c r="AF72" s="81"/>
      <c r="AG72" s="81"/>
      <c r="AH72" s="81"/>
      <c r="AI72" s="81"/>
      <c r="AJ72" s="81"/>
      <c r="AK72" s="81"/>
      <c r="AL72" s="81"/>
      <c r="AM72" s="81"/>
      <c r="AN72" s="81"/>
      <c r="AO72" s="81"/>
      <c r="AP72" s="81"/>
      <c r="AQ72" s="81"/>
      <c r="AR72" s="81"/>
      <c r="AS72" s="81"/>
      <c r="AT72" s="81"/>
      <c r="AU72" s="81"/>
      <c r="AV72" s="81"/>
    </row>
    <row r="73" spans="1:48">
      <c r="A73" s="81"/>
      <c r="B73" s="81"/>
      <c r="C73" s="81"/>
      <c r="D73" s="81"/>
      <c r="E73" s="81"/>
      <c r="F73" s="81"/>
      <c r="G73" s="81"/>
      <c r="H73" s="81"/>
      <c r="I73" s="81"/>
      <c r="J73" s="81"/>
      <c r="K73" s="81"/>
      <c r="L73" s="81"/>
      <c r="M73" s="81"/>
      <c r="N73" s="81"/>
      <c r="O73" s="81"/>
      <c r="P73" s="81"/>
      <c r="Q73" s="81"/>
      <c r="R73" s="81"/>
      <c r="S73" s="81"/>
      <c r="T73" s="81"/>
      <c r="U73" s="81"/>
      <c r="V73" s="81"/>
      <c r="W73" s="81"/>
      <c r="X73" s="81"/>
      <c r="Y73" s="81"/>
      <c r="Z73" s="81"/>
      <c r="AA73" s="81"/>
      <c r="AB73" s="81"/>
      <c r="AC73" s="81"/>
      <c r="AD73" s="81"/>
      <c r="AE73" s="81"/>
      <c r="AF73" s="81"/>
      <c r="AG73" s="81"/>
      <c r="AH73" s="81"/>
      <c r="AI73" s="81"/>
      <c r="AJ73" s="81"/>
      <c r="AK73" s="81"/>
      <c r="AL73" s="81"/>
      <c r="AM73" s="81"/>
      <c r="AN73" s="81"/>
      <c r="AO73" s="81"/>
      <c r="AP73" s="81"/>
      <c r="AQ73" s="81"/>
      <c r="AR73" s="81"/>
      <c r="AS73" s="81"/>
      <c r="AT73" s="81"/>
      <c r="AU73" s="81"/>
      <c r="AV73" s="81"/>
    </row>
    <row r="74" spans="1:48">
      <c r="A74" s="81"/>
      <c r="B74" s="81"/>
      <c r="C74" s="81"/>
      <c r="D74" s="81"/>
      <c r="E74" s="81"/>
      <c r="F74" s="81"/>
      <c r="G74" s="81"/>
      <c r="H74" s="81"/>
      <c r="I74" s="81"/>
      <c r="J74" s="81"/>
      <c r="K74" s="81"/>
      <c r="L74" s="81"/>
      <c r="M74" s="81"/>
      <c r="N74" s="81"/>
      <c r="O74" s="81"/>
      <c r="P74" s="81"/>
      <c r="Q74" s="81"/>
      <c r="R74" s="81"/>
      <c r="S74" s="81"/>
      <c r="T74" s="81"/>
      <c r="U74" s="81"/>
      <c r="V74" s="81"/>
      <c r="W74" s="81"/>
      <c r="X74" s="81"/>
      <c r="Y74" s="81"/>
      <c r="Z74" s="81"/>
      <c r="AA74" s="81"/>
      <c r="AB74" s="81"/>
      <c r="AC74" s="81"/>
      <c r="AD74" s="81"/>
      <c r="AE74" s="81"/>
      <c r="AF74" s="81"/>
      <c r="AG74" s="81"/>
      <c r="AH74" s="81"/>
      <c r="AI74" s="81"/>
      <c r="AJ74" s="81"/>
      <c r="AK74" s="81"/>
      <c r="AL74" s="81"/>
      <c r="AM74" s="81"/>
      <c r="AN74" s="81"/>
      <c r="AO74" s="81"/>
      <c r="AP74" s="81"/>
      <c r="AQ74" s="81"/>
      <c r="AR74" s="81"/>
      <c r="AS74" s="81"/>
      <c r="AT74" s="81"/>
      <c r="AU74" s="81"/>
      <c r="AV74" s="81"/>
    </row>
    <row r="75" spans="1:48">
      <c r="A75" s="81"/>
      <c r="B75" s="81"/>
      <c r="C75" s="81"/>
      <c r="D75" s="81"/>
      <c r="E75" s="81"/>
      <c r="F75" s="81"/>
      <c r="G75" s="81"/>
      <c r="H75" s="81"/>
      <c r="I75" s="81"/>
      <c r="J75" s="81"/>
      <c r="K75" s="81"/>
      <c r="L75" s="81"/>
      <c r="M75" s="81"/>
      <c r="N75" s="81"/>
      <c r="O75" s="81"/>
      <c r="P75" s="81"/>
      <c r="Q75" s="81"/>
      <c r="R75" s="81"/>
      <c r="S75" s="81"/>
      <c r="T75" s="81"/>
      <c r="U75" s="81"/>
      <c r="V75" s="81"/>
      <c r="W75" s="81"/>
      <c r="X75" s="81"/>
      <c r="Y75" s="81"/>
      <c r="Z75" s="81"/>
      <c r="AA75" s="81"/>
      <c r="AB75" s="81"/>
      <c r="AC75" s="81"/>
      <c r="AD75" s="81"/>
      <c r="AE75" s="81"/>
      <c r="AF75" s="81"/>
      <c r="AG75" s="81"/>
      <c r="AH75" s="81"/>
      <c r="AI75" s="81"/>
      <c r="AJ75" s="81"/>
      <c r="AK75" s="81"/>
      <c r="AL75" s="81"/>
      <c r="AM75" s="81"/>
      <c r="AN75" s="81"/>
      <c r="AO75" s="81"/>
      <c r="AP75" s="81"/>
      <c r="AQ75" s="81"/>
      <c r="AR75" s="81"/>
      <c r="AS75" s="81"/>
      <c r="AT75" s="81"/>
      <c r="AU75" s="81"/>
      <c r="AV75" s="81"/>
    </row>
    <row r="76" spans="1:48">
      <c r="A76" s="81"/>
      <c r="B76" s="81"/>
      <c r="C76" s="81"/>
      <c r="D76" s="81"/>
      <c r="E76" s="81"/>
      <c r="F76" s="81"/>
      <c r="G76" s="81"/>
      <c r="H76" s="81"/>
      <c r="I76" s="81"/>
      <c r="J76" s="81"/>
      <c r="K76" s="81"/>
      <c r="L76" s="81"/>
      <c r="M76" s="81"/>
      <c r="N76" s="81"/>
      <c r="O76" s="81"/>
      <c r="P76" s="81"/>
      <c r="Q76" s="81"/>
      <c r="R76" s="81"/>
      <c r="S76" s="81"/>
      <c r="T76" s="81"/>
      <c r="U76" s="81"/>
      <c r="V76" s="81"/>
      <c r="W76" s="81"/>
      <c r="X76" s="81"/>
      <c r="Y76" s="81"/>
      <c r="Z76" s="81"/>
      <c r="AA76" s="81"/>
      <c r="AB76" s="81"/>
      <c r="AC76" s="81"/>
      <c r="AD76" s="81"/>
      <c r="AE76" s="81"/>
      <c r="AF76" s="81"/>
      <c r="AG76" s="81"/>
      <c r="AH76" s="81"/>
      <c r="AI76" s="81"/>
      <c r="AJ76" s="81"/>
      <c r="AK76" s="81"/>
      <c r="AL76" s="81"/>
      <c r="AM76" s="81"/>
      <c r="AN76" s="81"/>
      <c r="AO76" s="81"/>
      <c r="AP76" s="81"/>
      <c r="AQ76" s="81"/>
      <c r="AR76" s="81"/>
      <c r="AS76" s="81"/>
      <c r="AT76" s="81"/>
      <c r="AU76" s="81"/>
      <c r="AV76" s="81"/>
    </row>
    <row r="77" spans="1:48">
      <c r="A77" s="81"/>
      <c r="B77" s="81"/>
      <c r="C77" s="81"/>
      <c r="D77" s="81"/>
      <c r="E77" s="81"/>
      <c r="F77" s="81"/>
      <c r="G77" s="81"/>
      <c r="H77" s="81"/>
      <c r="I77" s="81"/>
      <c r="J77" s="81"/>
      <c r="K77" s="81"/>
      <c r="L77" s="81"/>
      <c r="M77" s="81"/>
      <c r="N77" s="81"/>
      <c r="O77" s="81"/>
      <c r="P77" s="81"/>
      <c r="Q77" s="81"/>
      <c r="R77" s="81"/>
      <c r="S77" s="81"/>
      <c r="T77" s="81"/>
      <c r="U77" s="81"/>
      <c r="V77" s="81"/>
      <c r="W77" s="81"/>
      <c r="X77" s="81"/>
      <c r="Y77" s="81"/>
      <c r="Z77" s="81"/>
      <c r="AA77" s="81"/>
      <c r="AB77" s="81"/>
      <c r="AC77" s="81"/>
      <c r="AD77" s="81"/>
      <c r="AE77" s="81"/>
      <c r="AF77" s="81"/>
      <c r="AG77" s="81"/>
      <c r="AH77" s="81"/>
      <c r="AI77" s="81"/>
      <c r="AJ77" s="81"/>
      <c r="AK77" s="81"/>
      <c r="AL77" s="81"/>
      <c r="AM77" s="81"/>
      <c r="AN77" s="81"/>
      <c r="AO77" s="81"/>
      <c r="AP77" s="81"/>
      <c r="AQ77" s="81"/>
      <c r="AR77" s="81"/>
      <c r="AS77" s="81"/>
      <c r="AT77" s="81"/>
      <c r="AU77" s="81"/>
      <c r="AV77" s="81"/>
    </row>
    <row r="78" spans="1:48">
      <c r="A78" s="81"/>
      <c r="B78" s="81"/>
      <c r="C78" s="81"/>
      <c r="D78" s="81"/>
      <c r="E78" s="81"/>
      <c r="F78" s="81"/>
      <c r="G78" s="81"/>
      <c r="H78" s="81"/>
      <c r="I78" s="81"/>
      <c r="J78" s="81"/>
      <c r="K78" s="81"/>
      <c r="L78" s="81"/>
      <c r="M78" s="81"/>
      <c r="N78" s="81"/>
      <c r="O78" s="81"/>
      <c r="P78" s="81"/>
      <c r="Q78" s="81"/>
      <c r="R78" s="81"/>
      <c r="S78" s="81"/>
      <c r="T78" s="81"/>
      <c r="U78" s="81"/>
      <c r="V78" s="81"/>
      <c r="W78" s="81"/>
      <c r="X78" s="81"/>
      <c r="Y78" s="81"/>
      <c r="Z78" s="81"/>
      <c r="AA78" s="81"/>
      <c r="AB78" s="81"/>
      <c r="AC78" s="81"/>
      <c r="AD78" s="81"/>
      <c r="AE78" s="81"/>
      <c r="AF78" s="81"/>
      <c r="AG78" s="81"/>
      <c r="AH78" s="81"/>
      <c r="AI78" s="81"/>
      <c r="AJ78" s="81"/>
      <c r="AK78" s="81"/>
      <c r="AL78" s="81"/>
      <c r="AM78" s="81"/>
      <c r="AN78" s="81"/>
      <c r="AO78" s="81"/>
      <c r="AP78" s="81"/>
      <c r="AQ78" s="81"/>
      <c r="AR78" s="81"/>
      <c r="AS78" s="81"/>
      <c r="AT78" s="81"/>
      <c r="AU78" s="81"/>
      <c r="AV78" s="81"/>
    </row>
    <row r="79" spans="1:48">
      <c r="A79" s="81"/>
      <c r="B79" s="81"/>
      <c r="C79" s="81"/>
      <c r="D79" s="81"/>
      <c r="E79" s="81"/>
      <c r="F79" s="81"/>
      <c r="G79" s="81"/>
      <c r="H79" s="81"/>
      <c r="I79" s="81"/>
      <c r="J79" s="81"/>
      <c r="K79" s="81"/>
      <c r="L79" s="81"/>
      <c r="M79" s="81"/>
      <c r="N79" s="81"/>
      <c r="O79" s="81"/>
      <c r="P79" s="81"/>
      <c r="Q79" s="81"/>
      <c r="R79" s="81"/>
      <c r="S79" s="81"/>
      <c r="T79" s="81"/>
      <c r="U79" s="81"/>
      <c r="V79" s="81"/>
      <c r="W79" s="81"/>
      <c r="X79" s="81"/>
      <c r="Y79" s="81"/>
      <c r="Z79" s="81"/>
      <c r="AA79" s="81"/>
      <c r="AB79" s="81"/>
      <c r="AC79" s="81"/>
      <c r="AD79" s="81"/>
      <c r="AE79" s="81"/>
      <c r="AF79" s="81"/>
      <c r="AG79" s="81"/>
      <c r="AH79" s="81"/>
      <c r="AI79" s="81"/>
      <c r="AJ79" s="81"/>
      <c r="AK79" s="81"/>
      <c r="AL79" s="81"/>
      <c r="AM79" s="81"/>
      <c r="AN79" s="81"/>
      <c r="AO79" s="81"/>
      <c r="AP79" s="81"/>
      <c r="AQ79" s="81"/>
      <c r="AR79" s="81"/>
      <c r="AS79" s="81"/>
      <c r="AT79" s="81"/>
      <c r="AU79" s="81"/>
      <c r="AV79" s="81"/>
    </row>
    <row r="80" spans="1:48">
      <c r="A80" s="81"/>
      <c r="B80" s="81"/>
      <c r="C80" s="81"/>
      <c r="D80" s="81"/>
      <c r="E80" s="81"/>
      <c r="F80" s="81"/>
      <c r="G80" s="81"/>
      <c r="H80" s="81"/>
      <c r="I80" s="81"/>
      <c r="J80" s="81"/>
      <c r="K80" s="81"/>
      <c r="L80" s="81"/>
      <c r="M80" s="81"/>
      <c r="N80" s="81"/>
      <c r="O80" s="81"/>
      <c r="P80" s="81"/>
      <c r="Q80" s="81"/>
      <c r="R80" s="81"/>
      <c r="S80" s="81"/>
      <c r="T80" s="81"/>
      <c r="U80" s="81"/>
      <c r="V80" s="81"/>
      <c r="W80" s="81"/>
      <c r="X80" s="81"/>
      <c r="Y80" s="81"/>
      <c r="Z80" s="81"/>
      <c r="AA80" s="81"/>
      <c r="AB80" s="81"/>
      <c r="AC80" s="81"/>
      <c r="AD80" s="81"/>
      <c r="AE80" s="81"/>
      <c r="AF80" s="81"/>
      <c r="AG80" s="81"/>
      <c r="AH80" s="81"/>
      <c r="AI80" s="81"/>
      <c r="AJ80" s="81"/>
      <c r="AK80" s="81"/>
      <c r="AL80" s="81"/>
      <c r="AM80" s="81"/>
      <c r="AN80" s="81"/>
      <c r="AO80" s="81"/>
      <c r="AP80" s="81"/>
      <c r="AQ80" s="81"/>
      <c r="AR80" s="81"/>
      <c r="AS80" s="81"/>
      <c r="AT80" s="81"/>
      <c r="AU80" s="81"/>
      <c r="AV80" s="81"/>
    </row>
    <row r="81" spans="1:48">
      <c r="A81" s="81"/>
      <c r="B81" s="81"/>
      <c r="C81" s="81"/>
      <c r="D81" s="81"/>
      <c r="E81" s="81"/>
      <c r="F81" s="81"/>
      <c r="G81" s="81"/>
      <c r="H81" s="81"/>
      <c r="I81" s="81"/>
      <c r="J81" s="81"/>
      <c r="K81" s="81"/>
      <c r="L81" s="81"/>
      <c r="M81" s="81"/>
      <c r="N81" s="81"/>
      <c r="O81" s="81"/>
      <c r="P81" s="81"/>
      <c r="Q81" s="81"/>
      <c r="R81" s="81"/>
      <c r="S81" s="81"/>
      <c r="T81" s="81"/>
      <c r="U81" s="81"/>
      <c r="V81" s="81"/>
      <c r="W81" s="81"/>
      <c r="X81" s="81"/>
      <c r="Y81" s="81"/>
      <c r="Z81" s="81"/>
      <c r="AA81" s="81"/>
      <c r="AB81" s="81"/>
      <c r="AC81" s="81"/>
      <c r="AD81" s="81"/>
      <c r="AE81" s="81"/>
      <c r="AF81" s="81"/>
      <c r="AG81" s="81"/>
      <c r="AH81" s="81"/>
      <c r="AI81" s="81"/>
      <c r="AJ81" s="81"/>
      <c r="AK81" s="81"/>
      <c r="AL81" s="81"/>
      <c r="AM81" s="81"/>
      <c r="AN81" s="81"/>
      <c r="AO81" s="81"/>
      <c r="AP81" s="81"/>
      <c r="AQ81" s="81"/>
      <c r="AR81" s="81"/>
      <c r="AS81" s="81"/>
      <c r="AT81" s="81"/>
      <c r="AU81" s="81"/>
      <c r="AV81" s="81"/>
    </row>
    <row r="82" spans="1:48">
      <c r="A82" s="81"/>
      <c r="B82" s="81"/>
      <c r="C82" s="81"/>
      <c r="D82" s="81"/>
      <c r="E82" s="81"/>
      <c r="F82" s="81"/>
      <c r="G82" s="81"/>
      <c r="H82" s="81"/>
      <c r="I82" s="81"/>
      <c r="J82" s="81"/>
      <c r="K82" s="81"/>
      <c r="L82" s="81"/>
      <c r="M82" s="81"/>
      <c r="N82" s="81"/>
      <c r="O82" s="81"/>
      <c r="P82" s="81"/>
      <c r="Q82" s="81"/>
      <c r="R82" s="81"/>
      <c r="S82" s="81"/>
      <c r="T82" s="81"/>
      <c r="U82" s="81"/>
      <c r="V82" s="81"/>
      <c r="W82" s="81"/>
      <c r="X82" s="81"/>
      <c r="Y82" s="81"/>
      <c r="Z82" s="81"/>
      <c r="AA82" s="81"/>
      <c r="AB82" s="81"/>
      <c r="AC82" s="81"/>
      <c r="AD82" s="81"/>
      <c r="AE82" s="81"/>
      <c r="AF82" s="81"/>
      <c r="AG82" s="81"/>
      <c r="AH82" s="81"/>
      <c r="AI82" s="81"/>
      <c r="AJ82" s="81"/>
      <c r="AK82" s="81"/>
      <c r="AL82" s="81"/>
      <c r="AM82" s="81"/>
      <c r="AN82" s="81"/>
      <c r="AO82" s="81"/>
      <c r="AP82" s="81"/>
      <c r="AQ82" s="81"/>
      <c r="AR82" s="81"/>
      <c r="AS82" s="81"/>
      <c r="AT82" s="81"/>
      <c r="AU82" s="81"/>
      <c r="AV82" s="81"/>
    </row>
    <row r="83" spans="1:48">
      <c r="A83" s="81"/>
      <c r="B83" s="81"/>
      <c r="C83" s="81"/>
      <c r="D83" s="81"/>
      <c r="E83" s="81"/>
      <c r="F83" s="81"/>
      <c r="G83" s="81"/>
      <c r="H83" s="81"/>
      <c r="I83" s="81"/>
      <c r="J83" s="81"/>
      <c r="K83" s="81"/>
      <c r="L83" s="81"/>
      <c r="M83" s="81"/>
      <c r="N83" s="81"/>
      <c r="O83" s="81"/>
      <c r="P83" s="81"/>
      <c r="Q83" s="81"/>
      <c r="R83" s="81"/>
      <c r="S83" s="81"/>
      <c r="T83" s="81"/>
      <c r="U83" s="81"/>
      <c r="V83" s="81"/>
      <c r="W83" s="81"/>
      <c r="X83" s="81"/>
      <c r="Y83" s="81"/>
      <c r="Z83" s="81"/>
      <c r="AA83" s="81"/>
      <c r="AB83" s="81"/>
      <c r="AC83" s="81"/>
      <c r="AD83" s="81"/>
      <c r="AE83" s="81"/>
      <c r="AF83" s="81"/>
      <c r="AG83" s="81"/>
      <c r="AH83" s="81"/>
      <c r="AI83" s="81"/>
      <c r="AJ83" s="81"/>
      <c r="AK83" s="81"/>
      <c r="AL83" s="81"/>
      <c r="AM83" s="81"/>
      <c r="AN83" s="81"/>
      <c r="AO83" s="81"/>
      <c r="AP83" s="81"/>
      <c r="AQ83" s="81"/>
      <c r="AR83" s="81"/>
      <c r="AS83" s="81"/>
      <c r="AT83" s="81"/>
      <c r="AU83" s="81"/>
      <c r="AV83" s="81"/>
    </row>
    <row r="84" spans="1:48">
      <c r="A84" s="81"/>
      <c r="B84" s="81"/>
      <c r="C84" s="81"/>
      <c r="D84" s="81"/>
      <c r="E84" s="81"/>
      <c r="F84" s="81"/>
      <c r="G84" s="81"/>
      <c r="H84" s="81"/>
      <c r="I84" s="81"/>
      <c r="J84" s="81"/>
      <c r="K84" s="81"/>
      <c r="L84" s="81"/>
      <c r="M84" s="81"/>
      <c r="N84" s="81"/>
      <c r="O84" s="81"/>
      <c r="P84" s="81"/>
      <c r="Q84" s="81"/>
      <c r="R84" s="81"/>
      <c r="S84" s="81"/>
      <c r="T84" s="81"/>
      <c r="U84" s="81"/>
      <c r="V84" s="81"/>
      <c r="W84" s="81"/>
      <c r="X84" s="81"/>
      <c r="Y84" s="81"/>
      <c r="Z84" s="81"/>
      <c r="AA84" s="81"/>
      <c r="AB84" s="81"/>
      <c r="AC84" s="81"/>
      <c r="AD84" s="81"/>
      <c r="AE84" s="81"/>
      <c r="AF84" s="81"/>
      <c r="AG84" s="81"/>
      <c r="AH84" s="81"/>
      <c r="AI84" s="81"/>
      <c r="AJ84" s="81"/>
      <c r="AK84" s="81"/>
      <c r="AL84" s="81"/>
      <c r="AM84" s="81"/>
      <c r="AN84" s="81"/>
      <c r="AO84" s="81"/>
      <c r="AP84" s="81"/>
      <c r="AQ84" s="81"/>
      <c r="AR84" s="81"/>
      <c r="AS84" s="81"/>
      <c r="AT84" s="81"/>
      <c r="AU84" s="81"/>
      <c r="AV84" s="81"/>
    </row>
    <row r="85" spans="1:48">
      <c r="A85" s="81"/>
      <c r="B85" s="81"/>
      <c r="C85" s="81"/>
      <c r="D85" s="81"/>
      <c r="E85" s="81"/>
      <c r="F85" s="81"/>
      <c r="G85" s="81"/>
      <c r="H85" s="81"/>
      <c r="I85" s="81"/>
      <c r="J85" s="81"/>
      <c r="K85" s="81"/>
      <c r="L85" s="81"/>
      <c r="M85" s="81"/>
      <c r="N85" s="81"/>
      <c r="O85" s="81"/>
      <c r="P85" s="81"/>
      <c r="Q85" s="81"/>
      <c r="R85" s="81"/>
      <c r="S85" s="81"/>
      <c r="T85" s="81"/>
      <c r="U85" s="81"/>
      <c r="V85" s="81"/>
      <c r="W85" s="81"/>
      <c r="X85" s="81"/>
      <c r="Y85" s="81"/>
      <c r="Z85" s="81"/>
      <c r="AA85" s="81"/>
      <c r="AB85" s="81"/>
      <c r="AC85" s="81"/>
      <c r="AD85" s="81"/>
      <c r="AE85" s="81"/>
      <c r="AF85" s="81"/>
      <c r="AG85" s="81"/>
      <c r="AH85" s="81"/>
      <c r="AI85" s="81"/>
      <c r="AJ85" s="81"/>
      <c r="AK85" s="81"/>
      <c r="AL85" s="81"/>
      <c r="AM85" s="81"/>
      <c r="AN85" s="81"/>
      <c r="AO85" s="81"/>
      <c r="AP85" s="81"/>
      <c r="AQ85" s="81"/>
      <c r="AR85" s="81"/>
      <c r="AS85" s="81"/>
      <c r="AT85" s="81"/>
      <c r="AU85" s="81"/>
      <c r="AV85" s="81"/>
    </row>
    <row r="86" spans="1:48">
      <c r="A86" s="81"/>
      <c r="B86" s="81"/>
      <c r="C86" s="81"/>
      <c r="D86" s="81"/>
      <c r="E86" s="81"/>
      <c r="F86" s="81"/>
      <c r="G86" s="81"/>
      <c r="H86" s="81"/>
      <c r="I86" s="81"/>
      <c r="J86" s="81"/>
      <c r="K86" s="81"/>
      <c r="L86" s="81"/>
      <c r="M86" s="81"/>
      <c r="N86" s="81"/>
      <c r="O86" s="81"/>
      <c r="P86" s="81"/>
      <c r="Q86" s="81"/>
      <c r="R86" s="81"/>
      <c r="S86" s="81"/>
      <c r="T86" s="81"/>
      <c r="U86" s="81"/>
      <c r="V86" s="81"/>
      <c r="W86" s="81"/>
      <c r="X86" s="81"/>
      <c r="Y86" s="81"/>
      <c r="Z86" s="81"/>
      <c r="AA86" s="81"/>
      <c r="AB86" s="81"/>
      <c r="AC86" s="81"/>
      <c r="AD86" s="81"/>
      <c r="AE86" s="81"/>
      <c r="AF86" s="81"/>
      <c r="AG86" s="81"/>
      <c r="AH86" s="81"/>
      <c r="AI86" s="81"/>
      <c r="AJ86" s="81"/>
      <c r="AK86" s="81"/>
      <c r="AL86" s="81"/>
      <c r="AM86" s="81"/>
      <c r="AN86" s="81"/>
      <c r="AO86" s="81"/>
      <c r="AP86" s="81"/>
      <c r="AQ86" s="81"/>
      <c r="AR86" s="81"/>
      <c r="AS86" s="81"/>
      <c r="AT86" s="81"/>
      <c r="AU86" s="81"/>
      <c r="AV86" s="81"/>
    </row>
    <row r="87" spans="1:48">
      <c r="A87" s="81"/>
      <c r="B87" s="81"/>
      <c r="C87" s="81"/>
      <c r="D87" s="81"/>
      <c r="E87" s="81"/>
      <c r="F87" s="81"/>
      <c r="G87" s="81"/>
      <c r="H87" s="81"/>
      <c r="I87" s="81"/>
      <c r="J87" s="81"/>
      <c r="K87" s="81"/>
      <c r="L87" s="81"/>
      <c r="M87" s="81"/>
      <c r="N87" s="81"/>
      <c r="O87" s="81"/>
      <c r="P87" s="81"/>
      <c r="Q87" s="81"/>
      <c r="R87" s="81"/>
      <c r="S87" s="81"/>
      <c r="T87" s="81"/>
      <c r="U87" s="81"/>
      <c r="V87" s="81"/>
      <c r="W87" s="81"/>
      <c r="X87" s="81"/>
      <c r="Y87" s="81"/>
      <c r="Z87" s="81"/>
      <c r="AA87" s="81"/>
      <c r="AB87" s="81"/>
      <c r="AC87" s="81"/>
      <c r="AD87" s="81"/>
      <c r="AE87" s="81"/>
      <c r="AF87" s="81"/>
      <c r="AG87" s="81"/>
      <c r="AH87" s="81"/>
      <c r="AI87" s="81"/>
      <c r="AJ87" s="81"/>
      <c r="AK87" s="81"/>
      <c r="AL87" s="81"/>
      <c r="AM87" s="81"/>
      <c r="AN87" s="81"/>
      <c r="AO87" s="81"/>
      <c r="AP87" s="81"/>
      <c r="AQ87" s="81"/>
      <c r="AR87" s="81"/>
      <c r="AS87" s="81"/>
      <c r="AT87" s="81"/>
      <c r="AU87" s="81"/>
      <c r="AV87" s="81"/>
    </row>
    <row r="88" spans="1:48">
      <c r="A88" s="81"/>
      <c r="B88" s="81"/>
      <c r="C88" s="81"/>
      <c r="D88" s="81"/>
      <c r="E88" s="81"/>
      <c r="F88" s="81"/>
      <c r="G88" s="81"/>
      <c r="H88" s="81"/>
      <c r="I88" s="81"/>
      <c r="J88" s="81"/>
      <c r="K88" s="81"/>
      <c r="L88" s="81"/>
      <c r="M88" s="81"/>
      <c r="N88" s="81"/>
      <c r="O88" s="81"/>
      <c r="P88" s="81"/>
      <c r="Q88" s="81"/>
      <c r="R88" s="81"/>
      <c r="S88" s="81"/>
      <c r="T88" s="81"/>
      <c r="U88" s="81"/>
      <c r="V88" s="81"/>
      <c r="W88" s="81"/>
      <c r="X88" s="81"/>
      <c r="Y88" s="81"/>
      <c r="Z88" s="81"/>
      <c r="AA88" s="81"/>
      <c r="AB88" s="81"/>
      <c r="AC88" s="81"/>
      <c r="AD88" s="81"/>
      <c r="AE88" s="81"/>
      <c r="AF88" s="81"/>
      <c r="AG88" s="81"/>
      <c r="AH88" s="81"/>
      <c r="AI88" s="81"/>
      <c r="AJ88" s="81"/>
      <c r="AK88" s="81"/>
      <c r="AL88" s="81"/>
      <c r="AM88" s="81"/>
      <c r="AN88" s="81"/>
      <c r="AO88" s="81"/>
      <c r="AP88" s="81"/>
      <c r="AQ88" s="81"/>
      <c r="AR88" s="81"/>
      <c r="AS88" s="81"/>
      <c r="AT88" s="81"/>
      <c r="AU88" s="81"/>
      <c r="AV88" s="81"/>
    </row>
    <row r="89" spans="1:48">
      <c r="A89" s="81"/>
      <c r="B89" s="81"/>
      <c r="C89" s="81"/>
      <c r="D89" s="81"/>
      <c r="E89" s="81"/>
      <c r="F89" s="81"/>
      <c r="G89" s="81"/>
      <c r="H89" s="81"/>
      <c r="I89" s="81"/>
      <c r="J89" s="81"/>
      <c r="K89" s="81"/>
      <c r="L89" s="81"/>
      <c r="M89" s="81"/>
      <c r="N89" s="81"/>
      <c r="O89" s="81"/>
      <c r="P89" s="81"/>
      <c r="Q89" s="81"/>
      <c r="R89" s="81"/>
      <c r="S89" s="81"/>
      <c r="T89" s="81"/>
      <c r="U89" s="81"/>
      <c r="V89" s="81"/>
      <c r="W89" s="81"/>
      <c r="X89" s="81"/>
      <c r="Y89" s="81"/>
      <c r="Z89" s="81"/>
      <c r="AA89" s="81"/>
      <c r="AB89" s="81"/>
      <c r="AC89" s="81"/>
      <c r="AD89" s="81"/>
      <c r="AE89" s="81"/>
      <c r="AF89" s="81"/>
      <c r="AG89" s="81"/>
      <c r="AH89" s="81"/>
      <c r="AI89" s="81"/>
      <c r="AJ89" s="81"/>
      <c r="AK89" s="81"/>
      <c r="AL89" s="81"/>
      <c r="AM89" s="81"/>
      <c r="AN89" s="81"/>
      <c r="AO89" s="81"/>
      <c r="AP89" s="81"/>
      <c r="AQ89" s="81"/>
      <c r="AR89" s="81"/>
      <c r="AS89" s="81"/>
      <c r="AT89" s="81"/>
      <c r="AU89" s="81"/>
      <c r="AV89" s="81"/>
    </row>
    <row r="90" spans="1:48">
      <c r="A90" s="81"/>
      <c r="B90" s="81"/>
      <c r="C90" s="81"/>
      <c r="D90" s="81"/>
      <c r="E90" s="81"/>
      <c r="F90" s="81"/>
      <c r="G90" s="81"/>
      <c r="H90" s="81"/>
      <c r="I90" s="81"/>
      <c r="J90" s="81"/>
      <c r="K90" s="81"/>
      <c r="L90" s="81"/>
      <c r="M90" s="81"/>
      <c r="N90" s="81"/>
      <c r="O90" s="81"/>
      <c r="P90" s="81"/>
      <c r="Q90" s="81"/>
      <c r="R90" s="81"/>
      <c r="S90" s="81"/>
      <c r="T90" s="81"/>
      <c r="U90" s="81"/>
      <c r="V90" s="81"/>
      <c r="W90" s="81"/>
      <c r="X90" s="81"/>
      <c r="Y90" s="81"/>
      <c r="Z90" s="81"/>
      <c r="AA90" s="81"/>
      <c r="AB90" s="81"/>
      <c r="AC90" s="81"/>
      <c r="AD90" s="81"/>
      <c r="AE90" s="81"/>
      <c r="AF90" s="81"/>
      <c r="AG90" s="81"/>
      <c r="AH90" s="81"/>
      <c r="AI90" s="81"/>
      <c r="AJ90" s="81"/>
      <c r="AK90" s="81"/>
      <c r="AL90" s="81"/>
      <c r="AM90" s="81"/>
      <c r="AN90" s="81"/>
      <c r="AO90" s="81"/>
      <c r="AP90" s="81"/>
      <c r="AQ90" s="81"/>
      <c r="AR90" s="81"/>
      <c r="AS90" s="81"/>
      <c r="AT90" s="81"/>
      <c r="AU90" s="81"/>
      <c r="AV90" s="81"/>
    </row>
    <row r="91" spans="1:48">
      <c r="A91" s="81"/>
      <c r="B91" s="81"/>
      <c r="C91" s="81"/>
      <c r="D91" s="81"/>
      <c r="E91" s="81"/>
      <c r="F91" s="81"/>
      <c r="G91" s="81"/>
      <c r="H91" s="81"/>
      <c r="I91" s="81"/>
      <c r="J91" s="81"/>
      <c r="K91" s="81"/>
      <c r="L91" s="81"/>
      <c r="M91" s="81"/>
      <c r="N91" s="81"/>
      <c r="O91" s="81"/>
      <c r="P91" s="81"/>
      <c r="Q91" s="81"/>
      <c r="R91" s="81"/>
      <c r="S91" s="81"/>
      <c r="T91" s="81"/>
      <c r="U91" s="81"/>
      <c r="V91" s="81"/>
      <c r="W91" s="81"/>
      <c r="X91" s="81"/>
      <c r="Y91" s="81"/>
      <c r="Z91" s="81"/>
      <c r="AA91" s="81"/>
      <c r="AB91" s="81"/>
      <c r="AC91" s="81"/>
      <c r="AD91" s="81"/>
      <c r="AE91" s="81"/>
      <c r="AF91" s="81"/>
      <c r="AG91" s="81"/>
      <c r="AH91" s="81"/>
      <c r="AI91" s="81"/>
      <c r="AJ91" s="81"/>
      <c r="AK91" s="81"/>
      <c r="AL91" s="81"/>
      <c r="AM91" s="81"/>
      <c r="AN91" s="81"/>
      <c r="AO91" s="81"/>
      <c r="AP91" s="81"/>
      <c r="AQ91" s="81"/>
      <c r="AR91" s="81"/>
      <c r="AS91" s="81"/>
      <c r="AT91" s="81"/>
      <c r="AU91" s="81"/>
      <c r="AV91" s="81"/>
    </row>
    <row r="92" spans="1:48">
      <c r="A92" s="81"/>
      <c r="B92" s="81"/>
      <c r="C92" s="81"/>
      <c r="D92" s="81"/>
      <c r="E92" s="81"/>
      <c r="F92" s="81"/>
      <c r="G92" s="81"/>
      <c r="H92" s="81"/>
      <c r="I92" s="81"/>
      <c r="J92" s="81"/>
      <c r="K92" s="81"/>
      <c r="L92" s="81"/>
      <c r="M92" s="81"/>
      <c r="N92" s="81"/>
      <c r="O92" s="81"/>
      <c r="P92" s="81"/>
      <c r="Q92" s="81"/>
      <c r="R92" s="81"/>
      <c r="S92" s="81"/>
      <c r="T92" s="81"/>
      <c r="U92" s="81"/>
      <c r="V92" s="81"/>
      <c r="W92" s="81"/>
      <c r="X92" s="81"/>
      <c r="Y92" s="81"/>
      <c r="Z92" s="81"/>
      <c r="AA92" s="81"/>
      <c r="AB92" s="81"/>
      <c r="AC92" s="81"/>
      <c r="AD92" s="81"/>
      <c r="AE92" s="81"/>
      <c r="AF92" s="81"/>
      <c r="AG92" s="81"/>
      <c r="AH92" s="81"/>
      <c r="AI92" s="81"/>
      <c r="AJ92" s="81"/>
      <c r="AK92" s="81"/>
      <c r="AL92" s="81"/>
      <c r="AM92" s="81"/>
      <c r="AN92" s="81"/>
      <c r="AO92" s="81"/>
      <c r="AP92" s="81"/>
      <c r="AQ92" s="81"/>
      <c r="AR92" s="81"/>
      <c r="AS92" s="81"/>
      <c r="AT92" s="81"/>
      <c r="AU92" s="81"/>
      <c r="AV92" s="81"/>
    </row>
    <row r="93" spans="1:48">
      <c r="A93" s="81"/>
      <c r="B93" s="81"/>
      <c r="C93" s="81"/>
      <c r="D93" s="81"/>
      <c r="E93" s="81"/>
      <c r="F93" s="81"/>
      <c r="G93" s="81"/>
      <c r="H93" s="81"/>
      <c r="I93" s="81"/>
      <c r="J93" s="81"/>
      <c r="K93" s="81"/>
      <c r="L93" s="81"/>
      <c r="M93" s="81"/>
      <c r="N93" s="81"/>
      <c r="O93" s="81"/>
      <c r="P93" s="81"/>
      <c r="Q93" s="81"/>
      <c r="R93" s="81"/>
      <c r="S93" s="81"/>
      <c r="T93" s="81"/>
      <c r="U93" s="81"/>
      <c r="V93" s="81"/>
      <c r="W93" s="81"/>
      <c r="X93" s="81"/>
      <c r="Y93" s="81"/>
      <c r="Z93" s="81"/>
      <c r="AA93" s="81"/>
      <c r="AB93" s="81"/>
      <c r="AC93" s="81"/>
      <c r="AD93" s="81"/>
      <c r="AE93" s="81"/>
      <c r="AF93" s="81"/>
      <c r="AG93" s="81"/>
      <c r="AH93" s="81"/>
      <c r="AI93" s="81"/>
      <c r="AJ93" s="81"/>
      <c r="AK93" s="81"/>
      <c r="AL93" s="81"/>
      <c r="AM93" s="81"/>
      <c r="AN93" s="81"/>
      <c r="AO93" s="81"/>
      <c r="AP93" s="81"/>
      <c r="AQ93" s="81"/>
      <c r="AR93" s="81"/>
      <c r="AS93" s="81"/>
      <c r="AT93" s="81"/>
      <c r="AU93" s="81"/>
      <c r="AV93" s="81"/>
    </row>
    <row r="94" spans="1:48">
      <c r="A94" s="81"/>
      <c r="B94" s="81"/>
      <c r="C94" s="81"/>
      <c r="D94" s="81"/>
      <c r="E94" s="81"/>
      <c r="F94" s="81"/>
      <c r="G94" s="81"/>
      <c r="H94" s="81"/>
      <c r="I94" s="81"/>
      <c r="J94" s="81"/>
      <c r="K94" s="81"/>
      <c r="L94" s="81"/>
      <c r="M94" s="81"/>
      <c r="N94" s="81"/>
      <c r="O94" s="81"/>
      <c r="P94" s="81"/>
      <c r="Q94" s="81"/>
      <c r="R94" s="81"/>
      <c r="S94" s="81"/>
      <c r="T94" s="81"/>
      <c r="U94" s="81"/>
      <c r="V94" s="81"/>
      <c r="W94" s="81"/>
      <c r="X94" s="81"/>
      <c r="Y94" s="81"/>
      <c r="Z94" s="81"/>
      <c r="AA94" s="81"/>
      <c r="AB94" s="81"/>
      <c r="AC94" s="81"/>
      <c r="AD94" s="81"/>
      <c r="AE94" s="81"/>
      <c r="AF94" s="81"/>
      <c r="AG94" s="81"/>
      <c r="AH94" s="81"/>
      <c r="AI94" s="81"/>
      <c r="AJ94" s="81"/>
      <c r="AK94" s="81"/>
      <c r="AL94" s="81"/>
      <c r="AM94" s="81"/>
      <c r="AN94" s="81"/>
      <c r="AO94" s="81"/>
      <c r="AP94" s="81"/>
      <c r="AQ94" s="81"/>
      <c r="AR94" s="81"/>
      <c r="AS94" s="81"/>
      <c r="AT94" s="81"/>
      <c r="AU94" s="81"/>
      <c r="AV94" s="81"/>
    </row>
    <row r="95" spans="1:48">
      <c r="A95" s="81"/>
      <c r="B95" s="81"/>
      <c r="C95" s="81"/>
      <c r="D95" s="81"/>
      <c r="E95" s="81"/>
      <c r="F95" s="81"/>
      <c r="G95" s="81"/>
      <c r="H95" s="81"/>
      <c r="I95" s="81"/>
      <c r="J95" s="81"/>
      <c r="K95" s="81"/>
      <c r="L95" s="81"/>
      <c r="M95" s="81"/>
      <c r="N95" s="81"/>
      <c r="O95" s="81"/>
      <c r="P95" s="81"/>
      <c r="Q95" s="81"/>
      <c r="R95" s="81"/>
      <c r="S95" s="81"/>
      <c r="T95" s="81"/>
      <c r="U95" s="81"/>
      <c r="V95" s="81"/>
      <c r="W95" s="81"/>
      <c r="X95" s="81"/>
      <c r="Y95" s="81"/>
      <c r="Z95" s="81"/>
      <c r="AA95" s="81"/>
      <c r="AB95" s="81"/>
      <c r="AC95" s="81"/>
      <c r="AD95" s="81"/>
      <c r="AE95" s="81"/>
      <c r="AF95" s="81"/>
      <c r="AG95" s="81"/>
      <c r="AH95" s="81"/>
      <c r="AI95" s="81"/>
      <c r="AJ95" s="81"/>
      <c r="AK95" s="81"/>
      <c r="AL95" s="81"/>
      <c r="AM95" s="81"/>
      <c r="AN95" s="81"/>
      <c r="AO95" s="81"/>
      <c r="AP95" s="81"/>
      <c r="AQ95" s="81"/>
      <c r="AR95" s="81"/>
      <c r="AS95" s="81"/>
      <c r="AT95" s="81"/>
      <c r="AU95" s="81"/>
      <c r="AV95" s="81"/>
    </row>
    <row r="96" spans="1:48">
      <c r="A96" s="81"/>
      <c r="B96" s="81"/>
      <c r="C96" s="81"/>
      <c r="D96" s="81"/>
      <c r="E96" s="81"/>
      <c r="F96" s="81"/>
      <c r="G96" s="81"/>
      <c r="H96" s="81"/>
      <c r="I96" s="81"/>
      <c r="J96" s="81"/>
      <c r="K96" s="81"/>
      <c r="L96" s="81"/>
      <c r="M96" s="81"/>
      <c r="N96" s="81"/>
      <c r="O96" s="81"/>
      <c r="P96" s="81"/>
      <c r="Q96" s="81"/>
      <c r="R96" s="81"/>
      <c r="S96" s="81"/>
      <c r="T96" s="81"/>
      <c r="U96" s="81"/>
      <c r="V96" s="81"/>
      <c r="W96" s="81"/>
      <c r="X96" s="81"/>
      <c r="Y96" s="81"/>
      <c r="Z96" s="81"/>
      <c r="AA96" s="81"/>
      <c r="AB96" s="81"/>
      <c r="AC96" s="81"/>
      <c r="AD96" s="81"/>
      <c r="AE96" s="81"/>
      <c r="AF96" s="81"/>
      <c r="AG96" s="81"/>
      <c r="AH96" s="81"/>
      <c r="AI96" s="81"/>
      <c r="AJ96" s="81"/>
      <c r="AK96" s="81"/>
      <c r="AL96" s="81"/>
      <c r="AM96" s="81"/>
      <c r="AN96" s="81"/>
      <c r="AO96" s="81"/>
      <c r="AP96" s="81"/>
      <c r="AQ96" s="81"/>
      <c r="AR96" s="81"/>
      <c r="AS96" s="81"/>
      <c r="AT96" s="81"/>
      <c r="AU96" s="81"/>
      <c r="AV96" s="81"/>
    </row>
    <row r="97" spans="1:48">
      <c r="A97" s="81"/>
      <c r="B97" s="81"/>
      <c r="C97" s="81"/>
      <c r="D97" s="81"/>
      <c r="E97" s="81"/>
      <c r="F97" s="81"/>
      <c r="G97" s="81"/>
      <c r="H97" s="81"/>
      <c r="I97" s="81"/>
      <c r="J97" s="81"/>
      <c r="K97" s="81"/>
      <c r="L97" s="81"/>
      <c r="M97" s="81"/>
      <c r="N97" s="81"/>
      <c r="O97" s="81"/>
      <c r="P97" s="81"/>
      <c r="Q97" s="81"/>
      <c r="R97" s="81"/>
      <c r="S97" s="81"/>
      <c r="T97" s="81"/>
      <c r="U97" s="81"/>
      <c r="V97" s="81"/>
      <c r="W97" s="81"/>
      <c r="X97" s="81"/>
      <c r="Y97" s="81"/>
      <c r="Z97" s="81"/>
      <c r="AA97" s="81"/>
      <c r="AB97" s="81"/>
      <c r="AC97" s="81"/>
      <c r="AD97" s="81"/>
      <c r="AE97" s="81"/>
      <c r="AF97" s="81"/>
      <c r="AG97" s="81"/>
      <c r="AH97" s="81"/>
      <c r="AI97" s="81"/>
      <c r="AJ97" s="81"/>
      <c r="AK97" s="81"/>
      <c r="AL97" s="81"/>
      <c r="AM97" s="81"/>
      <c r="AN97" s="81"/>
      <c r="AO97" s="81"/>
      <c r="AP97" s="81"/>
      <c r="AQ97" s="81"/>
      <c r="AR97" s="81"/>
      <c r="AS97" s="81"/>
      <c r="AT97" s="81"/>
      <c r="AU97" s="81"/>
      <c r="AV97" s="81"/>
    </row>
    <row r="98" spans="1:48">
      <c r="A98" s="81"/>
      <c r="B98" s="81"/>
      <c r="C98" s="81"/>
      <c r="D98" s="81"/>
      <c r="E98" s="81"/>
      <c r="F98" s="81"/>
      <c r="G98" s="81"/>
      <c r="H98" s="81"/>
      <c r="I98" s="81"/>
      <c r="J98" s="81"/>
      <c r="K98" s="81"/>
      <c r="L98" s="81"/>
      <c r="M98" s="81"/>
      <c r="N98" s="81"/>
      <c r="O98" s="81"/>
      <c r="P98" s="81"/>
      <c r="Q98" s="81"/>
      <c r="R98" s="81"/>
      <c r="S98" s="81"/>
      <c r="T98" s="81"/>
      <c r="U98" s="81"/>
      <c r="V98" s="81"/>
      <c r="W98" s="81"/>
      <c r="X98" s="81"/>
      <c r="Y98" s="81"/>
      <c r="Z98" s="81"/>
      <c r="AA98" s="81"/>
      <c r="AB98" s="81"/>
      <c r="AC98" s="81"/>
      <c r="AD98" s="81"/>
      <c r="AE98" s="81"/>
      <c r="AF98" s="81"/>
      <c r="AG98" s="81"/>
      <c r="AH98" s="81"/>
      <c r="AI98" s="81"/>
      <c r="AJ98" s="81"/>
      <c r="AK98" s="81"/>
      <c r="AL98" s="81"/>
      <c r="AM98" s="81"/>
      <c r="AN98" s="81"/>
      <c r="AO98" s="81"/>
      <c r="AP98" s="81"/>
      <c r="AQ98" s="81"/>
      <c r="AR98" s="81"/>
      <c r="AS98" s="81"/>
      <c r="AT98" s="81"/>
      <c r="AU98" s="81"/>
      <c r="AV98" s="81"/>
    </row>
    <row r="99" spans="1:48">
      <c r="A99" s="81"/>
      <c r="B99" s="81"/>
      <c r="C99" s="81"/>
      <c r="D99" s="81"/>
      <c r="E99" s="81"/>
      <c r="F99" s="81"/>
      <c r="G99" s="81"/>
      <c r="H99" s="81"/>
      <c r="I99" s="81"/>
      <c r="J99" s="81"/>
      <c r="K99" s="81"/>
      <c r="L99" s="81"/>
      <c r="M99" s="81"/>
      <c r="N99" s="81"/>
      <c r="O99" s="81"/>
      <c r="P99" s="81"/>
      <c r="Q99" s="81"/>
      <c r="R99" s="81"/>
      <c r="S99" s="81"/>
      <c r="T99" s="81"/>
      <c r="U99" s="81"/>
      <c r="V99" s="81"/>
      <c r="W99" s="81"/>
      <c r="X99" s="81"/>
      <c r="Y99" s="81"/>
      <c r="Z99" s="81"/>
      <c r="AA99" s="81"/>
      <c r="AB99" s="81"/>
      <c r="AC99" s="81"/>
      <c r="AD99" s="81"/>
      <c r="AE99" s="81"/>
      <c r="AF99" s="81"/>
      <c r="AG99" s="81"/>
      <c r="AH99" s="81"/>
      <c r="AI99" s="81"/>
      <c r="AJ99" s="81"/>
      <c r="AK99" s="81"/>
      <c r="AL99" s="81"/>
      <c r="AM99" s="81"/>
      <c r="AN99" s="81"/>
      <c r="AO99" s="81"/>
      <c r="AP99" s="81"/>
      <c r="AQ99" s="81"/>
      <c r="AR99" s="81"/>
      <c r="AS99" s="81"/>
      <c r="AT99" s="81"/>
      <c r="AU99" s="81"/>
      <c r="AV99" s="81"/>
    </row>
    <row r="100" spans="1:48">
      <c r="A100" s="81"/>
      <c r="B100" s="81"/>
      <c r="C100" s="81"/>
      <c r="D100" s="81"/>
      <c r="E100" s="81"/>
      <c r="F100" s="81"/>
      <c r="G100" s="81"/>
      <c r="H100" s="81"/>
      <c r="I100" s="81"/>
      <c r="J100" s="81"/>
      <c r="K100" s="81"/>
      <c r="L100" s="81"/>
      <c r="M100" s="81"/>
      <c r="N100" s="81"/>
      <c r="O100" s="81"/>
      <c r="P100" s="81"/>
      <c r="Q100" s="81"/>
      <c r="R100" s="81"/>
      <c r="S100" s="81"/>
      <c r="T100" s="81"/>
      <c r="U100" s="81"/>
      <c r="V100" s="81"/>
      <c r="W100" s="81"/>
      <c r="X100" s="81"/>
      <c r="Y100" s="81"/>
      <c r="Z100" s="81"/>
      <c r="AA100" s="81"/>
      <c r="AB100" s="81"/>
      <c r="AC100" s="81"/>
      <c r="AD100" s="81"/>
      <c r="AE100" s="81"/>
      <c r="AF100" s="81"/>
      <c r="AG100" s="81"/>
      <c r="AH100" s="81"/>
      <c r="AI100" s="81"/>
      <c r="AJ100" s="81"/>
      <c r="AK100" s="81"/>
      <c r="AL100" s="81"/>
      <c r="AM100" s="81"/>
      <c r="AN100" s="81"/>
      <c r="AO100" s="81"/>
      <c r="AP100" s="81"/>
      <c r="AQ100" s="81"/>
      <c r="AR100" s="81"/>
      <c r="AS100" s="81"/>
      <c r="AT100" s="81"/>
      <c r="AU100" s="81"/>
      <c r="AV100" s="81"/>
    </row>
    <row r="101" spans="1:48">
      <c r="A101" s="81"/>
      <c r="B101" s="81"/>
      <c r="C101" s="81"/>
      <c r="D101" s="81"/>
      <c r="E101" s="81"/>
      <c r="F101" s="81"/>
      <c r="G101" s="81"/>
      <c r="H101" s="81"/>
      <c r="I101" s="81"/>
      <c r="J101" s="81"/>
      <c r="K101" s="81"/>
      <c r="L101" s="81"/>
      <c r="M101" s="81"/>
      <c r="N101" s="81"/>
      <c r="O101" s="81"/>
      <c r="P101" s="81"/>
      <c r="Q101" s="81"/>
      <c r="R101" s="81"/>
      <c r="S101" s="81"/>
      <c r="T101" s="81"/>
      <c r="U101" s="81"/>
      <c r="V101" s="81"/>
      <c r="W101" s="81"/>
      <c r="X101" s="81"/>
      <c r="Y101" s="81"/>
      <c r="Z101" s="81"/>
      <c r="AA101" s="81"/>
      <c r="AB101" s="81"/>
      <c r="AC101" s="81"/>
      <c r="AD101" s="81"/>
      <c r="AE101" s="81"/>
      <c r="AF101" s="81"/>
      <c r="AG101" s="81"/>
      <c r="AH101" s="81"/>
      <c r="AI101" s="81"/>
      <c r="AJ101" s="81"/>
      <c r="AK101" s="81"/>
      <c r="AL101" s="81"/>
      <c r="AM101" s="81"/>
      <c r="AN101" s="81"/>
      <c r="AO101" s="81"/>
      <c r="AP101" s="81"/>
      <c r="AQ101" s="81"/>
      <c r="AR101" s="81"/>
      <c r="AS101" s="81"/>
      <c r="AT101" s="81"/>
      <c r="AU101" s="81"/>
      <c r="AV101" s="81"/>
    </row>
    <row r="102" spans="1:48">
      <c r="A102" s="81"/>
      <c r="B102" s="81"/>
      <c r="C102" s="81"/>
      <c r="D102" s="81"/>
      <c r="E102" s="81"/>
      <c r="F102" s="81"/>
      <c r="G102" s="81"/>
      <c r="H102" s="81"/>
      <c r="I102" s="81"/>
      <c r="J102" s="81"/>
      <c r="K102" s="81"/>
      <c r="L102" s="81"/>
      <c r="M102" s="81"/>
      <c r="N102" s="81"/>
      <c r="O102" s="81"/>
      <c r="P102" s="81"/>
      <c r="Q102" s="81"/>
      <c r="R102" s="81"/>
      <c r="S102" s="81"/>
      <c r="T102" s="81"/>
      <c r="U102" s="81"/>
      <c r="V102" s="81"/>
      <c r="W102" s="81"/>
      <c r="X102" s="81"/>
      <c r="Y102" s="81"/>
      <c r="Z102" s="81"/>
      <c r="AA102" s="81"/>
      <c r="AB102" s="81"/>
      <c r="AC102" s="81"/>
      <c r="AD102" s="81"/>
      <c r="AE102" s="81"/>
      <c r="AF102" s="81"/>
      <c r="AG102" s="81"/>
      <c r="AH102" s="81"/>
      <c r="AI102" s="81"/>
      <c r="AJ102" s="81"/>
      <c r="AK102" s="81"/>
      <c r="AL102" s="81"/>
      <c r="AM102" s="81"/>
      <c r="AN102" s="81"/>
      <c r="AO102" s="81"/>
      <c r="AP102" s="81"/>
      <c r="AQ102" s="81"/>
      <c r="AR102" s="81"/>
      <c r="AS102" s="81"/>
      <c r="AT102" s="81"/>
      <c r="AU102" s="81"/>
      <c r="AV102" s="81"/>
    </row>
    <row r="103" spans="1:48">
      <c r="A103" s="81"/>
      <c r="B103" s="81"/>
      <c r="C103" s="81"/>
      <c r="D103" s="81"/>
      <c r="E103" s="81"/>
      <c r="F103" s="81"/>
      <c r="G103" s="81"/>
      <c r="H103" s="81"/>
      <c r="I103" s="81"/>
      <c r="J103" s="81"/>
      <c r="K103" s="81"/>
      <c r="L103" s="81"/>
      <c r="M103" s="81"/>
      <c r="N103" s="81"/>
      <c r="O103" s="81"/>
      <c r="P103" s="81"/>
      <c r="Q103" s="81"/>
      <c r="R103" s="81"/>
      <c r="S103" s="81"/>
      <c r="T103" s="81"/>
      <c r="U103" s="81"/>
      <c r="V103" s="81"/>
      <c r="W103" s="81"/>
      <c r="X103" s="81"/>
      <c r="Y103" s="81"/>
      <c r="Z103" s="81"/>
      <c r="AA103" s="81"/>
      <c r="AB103" s="81"/>
      <c r="AC103" s="81"/>
      <c r="AD103" s="81"/>
      <c r="AE103" s="81"/>
      <c r="AF103" s="81"/>
      <c r="AG103" s="81"/>
      <c r="AH103" s="81"/>
      <c r="AI103" s="81"/>
      <c r="AJ103" s="81"/>
      <c r="AK103" s="81"/>
      <c r="AL103" s="81"/>
      <c r="AM103" s="81"/>
      <c r="AN103" s="81"/>
      <c r="AO103" s="81"/>
      <c r="AP103" s="81"/>
      <c r="AQ103" s="81"/>
      <c r="AR103" s="81"/>
      <c r="AS103" s="81"/>
      <c r="AT103" s="81"/>
      <c r="AU103" s="81"/>
      <c r="AV103" s="81"/>
    </row>
    <row r="104" spans="1:48">
      <c r="A104" s="81"/>
      <c r="B104" s="81"/>
      <c r="C104" s="81"/>
      <c r="D104" s="81"/>
      <c r="E104" s="81"/>
      <c r="F104" s="81"/>
      <c r="G104" s="81"/>
      <c r="H104" s="81"/>
      <c r="I104" s="81"/>
      <c r="J104" s="81"/>
      <c r="K104" s="81"/>
      <c r="L104" s="81"/>
      <c r="M104" s="81"/>
      <c r="N104" s="81"/>
      <c r="O104" s="81"/>
      <c r="P104" s="81"/>
      <c r="Q104" s="81"/>
      <c r="R104" s="81"/>
      <c r="S104" s="81"/>
      <c r="T104" s="81"/>
      <c r="U104" s="81"/>
      <c r="V104" s="81"/>
      <c r="W104" s="81"/>
      <c r="X104" s="81"/>
      <c r="Y104" s="81"/>
      <c r="Z104" s="81"/>
      <c r="AA104" s="81"/>
      <c r="AB104" s="81"/>
      <c r="AC104" s="81"/>
      <c r="AD104" s="81"/>
      <c r="AE104" s="81"/>
      <c r="AF104" s="81"/>
      <c r="AG104" s="81"/>
      <c r="AH104" s="81"/>
      <c r="AI104" s="81"/>
      <c r="AJ104" s="81"/>
      <c r="AK104" s="81"/>
      <c r="AL104" s="81"/>
      <c r="AM104" s="81"/>
      <c r="AN104" s="81"/>
      <c r="AO104" s="81"/>
      <c r="AP104" s="81"/>
      <c r="AQ104" s="81"/>
      <c r="AR104" s="81"/>
      <c r="AS104" s="81"/>
      <c r="AT104" s="81"/>
      <c r="AU104" s="81"/>
      <c r="AV104" s="81"/>
    </row>
    <row r="105" spans="1:48">
      <c r="A105" s="81"/>
      <c r="B105" s="81"/>
      <c r="C105" s="81"/>
      <c r="D105" s="81"/>
      <c r="E105" s="81"/>
      <c r="F105" s="81"/>
      <c r="G105" s="81"/>
      <c r="H105" s="81"/>
      <c r="I105" s="81"/>
      <c r="J105" s="81"/>
      <c r="K105" s="81"/>
      <c r="L105" s="81"/>
      <c r="M105" s="81"/>
      <c r="N105" s="81"/>
      <c r="O105" s="81"/>
      <c r="P105" s="81"/>
      <c r="Q105" s="81"/>
      <c r="R105" s="81"/>
      <c r="S105" s="81"/>
      <c r="T105" s="81"/>
      <c r="U105" s="81"/>
      <c r="V105" s="81"/>
      <c r="W105" s="81"/>
      <c r="X105" s="81"/>
      <c r="Y105" s="81"/>
      <c r="Z105" s="81"/>
      <c r="AA105" s="81"/>
      <c r="AB105" s="81"/>
      <c r="AC105" s="81"/>
      <c r="AD105" s="81"/>
      <c r="AE105" s="81"/>
      <c r="AF105" s="81"/>
      <c r="AG105" s="81"/>
      <c r="AH105" s="81"/>
      <c r="AI105" s="81"/>
      <c r="AJ105" s="81"/>
      <c r="AK105" s="81"/>
      <c r="AL105" s="81"/>
      <c r="AM105" s="81"/>
      <c r="AN105" s="81"/>
      <c r="AO105" s="81"/>
      <c r="AP105" s="81"/>
      <c r="AQ105" s="81"/>
      <c r="AR105" s="81"/>
      <c r="AS105" s="81"/>
      <c r="AT105" s="81"/>
      <c r="AU105" s="81"/>
      <c r="AV105" s="81"/>
    </row>
    <row r="106" spans="1:48">
      <c r="A106" s="81"/>
      <c r="B106" s="81"/>
      <c r="C106" s="81"/>
      <c r="D106" s="81"/>
      <c r="E106" s="81"/>
      <c r="F106" s="81"/>
      <c r="G106" s="81"/>
      <c r="H106" s="81"/>
      <c r="I106" s="81"/>
      <c r="J106" s="81"/>
      <c r="K106" s="81"/>
      <c r="L106" s="81"/>
      <c r="M106" s="81"/>
      <c r="N106" s="81"/>
      <c r="O106" s="81"/>
      <c r="P106" s="81"/>
      <c r="Q106" s="81"/>
      <c r="R106" s="81"/>
      <c r="S106" s="81"/>
      <c r="T106" s="81"/>
      <c r="U106" s="81"/>
      <c r="V106" s="81"/>
      <c r="W106" s="81"/>
      <c r="X106" s="81"/>
      <c r="Y106" s="81"/>
      <c r="Z106" s="81"/>
      <c r="AA106" s="81"/>
      <c r="AB106" s="81"/>
      <c r="AC106" s="81"/>
      <c r="AD106" s="81"/>
      <c r="AE106" s="81"/>
      <c r="AF106" s="81"/>
      <c r="AG106" s="81"/>
      <c r="AH106" s="81"/>
      <c r="AI106" s="81"/>
      <c r="AJ106" s="81"/>
      <c r="AK106" s="81"/>
      <c r="AL106" s="81"/>
      <c r="AM106" s="81"/>
      <c r="AN106" s="81"/>
      <c r="AO106" s="81"/>
      <c r="AP106" s="81"/>
      <c r="AQ106" s="81"/>
      <c r="AR106" s="81"/>
      <c r="AS106" s="81"/>
      <c r="AT106" s="81"/>
      <c r="AU106" s="81"/>
      <c r="AV106" s="81"/>
    </row>
    <row r="107" spans="1:48">
      <c r="A107" s="81"/>
      <c r="B107" s="81"/>
      <c r="C107" s="81"/>
      <c r="D107" s="81"/>
      <c r="E107" s="81"/>
      <c r="F107" s="81"/>
      <c r="G107" s="81"/>
      <c r="H107" s="81"/>
      <c r="I107" s="81"/>
      <c r="J107" s="81"/>
      <c r="K107" s="81"/>
      <c r="L107" s="81"/>
      <c r="M107" s="81"/>
      <c r="N107" s="81"/>
      <c r="O107" s="81"/>
      <c r="P107" s="81"/>
      <c r="Q107" s="81"/>
      <c r="R107" s="81"/>
      <c r="S107" s="81"/>
      <c r="T107" s="81"/>
      <c r="U107" s="81"/>
      <c r="V107" s="81"/>
      <c r="W107" s="81"/>
      <c r="X107" s="81"/>
      <c r="Y107" s="81"/>
      <c r="Z107" s="81"/>
      <c r="AA107" s="81"/>
      <c r="AB107" s="81"/>
      <c r="AC107" s="81"/>
      <c r="AD107" s="81"/>
      <c r="AE107" s="81"/>
      <c r="AF107" s="81"/>
      <c r="AG107" s="81"/>
      <c r="AH107" s="81"/>
      <c r="AI107" s="81"/>
      <c r="AJ107" s="81"/>
      <c r="AK107" s="81"/>
      <c r="AL107" s="81"/>
      <c r="AM107" s="81"/>
      <c r="AN107" s="81"/>
      <c r="AO107" s="81"/>
      <c r="AP107" s="81"/>
      <c r="AQ107" s="81"/>
      <c r="AR107" s="81"/>
      <c r="AS107" s="81"/>
      <c r="AT107" s="81"/>
      <c r="AU107" s="81"/>
      <c r="AV107" s="81"/>
    </row>
    <row r="108" spans="1:48">
      <c r="A108" s="81"/>
      <c r="B108" s="81"/>
      <c r="C108" s="81"/>
      <c r="D108" s="81"/>
      <c r="E108" s="81"/>
      <c r="F108" s="81"/>
      <c r="G108" s="81"/>
      <c r="H108" s="81"/>
      <c r="I108" s="81"/>
      <c r="J108" s="81"/>
      <c r="K108" s="81"/>
      <c r="L108" s="81"/>
      <c r="M108" s="81"/>
      <c r="N108" s="81"/>
      <c r="O108" s="81"/>
      <c r="P108" s="81"/>
      <c r="Q108" s="81"/>
      <c r="R108" s="81"/>
      <c r="S108" s="81"/>
      <c r="T108" s="81"/>
      <c r="U108" s="81"/>
      <c r="V108" s="81"/>
      <c r="W108" s="81"/>
      <c r="X108" s="81"/>
      <c r="Y108" s="81"/>
      <c r="Z108" s="81"/>
      <c r="AA108" s="81"/>
      <c r="AB108" s="81"/>
      <c r="AC108" s="81"/>
      <c r="AD108" s="81"/>
      <c r="AE108" s="81"/>
      <c r="AF108" s="81"/>
      <c r="AG108" s="81"/>
      <c r="AH108" s="81"/>
      <c r="AI108" s="81"/>
      <c r="AJ108" s="81"/>
      <c r="AK108" s="81"/>
      <c r="AL108" s="81"/>
      <c r="AM108" s="81"/>
      <c r="AN108" s="81"/>
      <c r="AO108" s="81"/>
      <c r="AP108" s="81"/>
      <c r="AQ108" s="81"/>
      <c r="AR108" s="81"/>
      <c r="AS108" s="81"/>
      <c r="AT108" s="81"/>
      <c r="AU108" s="81"/>
      <c r="AV108" s="81"/>
    </row>
    <row r="109" spans="1:48">
      <c r="A109" s="81"/>
      <c r="B109" s="81"/>
      <c r="C109" s="81"/>
      <c r="D109" s="81"/>
      <c r="E109" s="81"/>
      <c r="F109" s="81"/>
      <c r="G109" s="81"/>
      <c r="H109" s="81"/>
      <c r="I109" s="81"/>
      <c r="J109" s="81"/>
      <c r="K109" s="81"/>
      <c r="L109" s="81"/>
      <c r="M109" s="81"/>
      <c r="N109" s="81"/>
      <c r="O109" s="81"/>
      <c r="P109" s="81"/>
      <c r="Q109" s="81"/>
      <c r="R109" s="81"/>
      <c r="S109" s="81"/>
      <c r="T109" s="81"/>
      <c r="U109" s="81"/>
      <c r="V109" s="81"/>
      <c r="W109" s="81"/>
      <c r="X109" s="81"/>
      <c r="Y109" s="81"/>
      <c r="Z109" s="81"/>
      <c r="AA109" s="81"/>
      <c r="AB109" s="81"/>
      <c r="AC109" s="81"/>
      <c r="AD109" s="81"/>
      <c r="AE109" s="81"/>
      <c r="AF109" s="81"/>
      <c r="AG109" s="81"/>
      <c r="AH109" s="81"/>
      <c r="AI109" s="81"/>
      <c r="AJ109" s="81"/>
      <c r="AK109" s="81"/>
      <c r="AL109" s="81"/>
      <c r="AM109" s="81"/>
      <c r="AN109" s="81"/>
      <c r="AO109" s="81"/>
      <c r="AP109" s="81"/>
      <c r="AQ109" s="81"/>
      <c r="AR109" s="81"/>
      <c r="AS109" s="81"/>
      <c r="AT109" s="81"/>
      <c r="AU109" s="81"/>
      <c r="AV109" s="81"/>
    </row>
    <row r="110" spans="1:48">
      <c r="A110" s="81"/>
      <c r="B110" s="81"/>
      <c r="C110" s="81"/>
      <c r="D110" s="81"/>
      <c r="E110" s="81"/>
      <c r="F110" s="81"/>
      <c r="G110" s="81"/>
      <c r="H110" s="81"/>
      <c r="I110" s="81"/>
      <c r="J110" s="81"/>
      <c r="K110" s="81"/>
      <c r="L110" s="81"/>
      <c r="M110" s="81"/>
      <c r="N110" s="81"/>
      <c r="O110" s="81"/>
      <c r="P110" s="81"/>
      <c r="Q110" s="81"/>
      <c r="R110" s="81"/>
      <c r="S110" s="81"/>
      <c r="T110" s="81"/>
      <c r="U110" s="81"/>
      <c r="V110" s="81"/>
      <c r="W110" s="81"/>
      <c r="X110" s="81"/>
      <c r="Y110" s="81"/>
      <c r="Z110" s="81"/>
      <c r="AA110" s="81"/>
      <c r="AB110" s="81"/>
      <c r="AC110" s="81"/>
      <c r="AD110" s="81"/>
      <c r="AE110" s="81"/>
      <c r="AF110" s="81"/>
      <c r="AG110" s="81"/>
      <c r="AH110" s="81"/>
      <c r="AI110" s="81"/>
      <c r="AJ110" s="81"/>
      <c r="AK110" s="81"/>
      <c r="AL110" s="81"/>
      <c r="AM110" s="81"/>
      <c r="AN110" s="81"/>
      <c r="AO110" s="81"/>
      <c r="AP110" s="81"/>
      <c r="AQ110" s="81"/>
      <c r="AR110" s="81"/>
      <c r="AS110" s="81"/>
      <c r="AT110" s="81"/>
      <c r="AU110" s="81"/>
      <c r="AV110" s="81"/>
    </row>
    <row r="111" spans="1:48">
      <c r="A111" s="81"/>
      <c r="B111" s="81"/>
      <c r="C111" s="81"/>
      <c r="D111" s="81"/>
      <c r="E111" s="81"/>
      <c r="F111" s="81"/>
      <c r="G111" s="81"/>
      <c r="H111" s="81"/>
      <c r="I111" s="81"/>
      <c r="J111" s="81"/>
      <c r="K111" s="81"/>
      <c r="L111" s="81"/>
      <c r="M111" s="81"/>
      <c r="N111" s="81"/>
      <c r="O111" s="81"/>
      <c r="P111" s="81"/>
      <c r="Q111" s="81"/>
      <c r="R111" s="81"/>
      <c r="S111" s="81"/>
      <c r="T111" s="81"/>
      <c r="U111" s="81"/>
      <c r="V111" s="81"/>
      <c r="W111" s="81"/>
      <c r="X111" s="81"/>
      <c r="Y111" s="81"/>
      <c r="Z111" s="81"/>
      <c r="AA111" s="81"/>
      <c r="AB111" s="81"/>
      <c r="AC111" s="81"/>
      <c r="AD111" s="81"/>
      <c r="AE111" s="81"/>
      <c r="AF111" s="81"/>
      <c r="AG111" s="81"/>
      <c r="AH111" s="81"/>
      <c r="AI111" s="81"/>
      <c r="AJ111" s="81"/>
      <c r="AK111" s="81"/>
      <c r="AL111" s="81"/>
      <c r="AM111" s="81"/>
      <c r="AN111" s="81"/>
      <c r="AO111" s="81"/>
      <c r="AP111" s="81"/>
      <c r="AQ111" s="81"/>
      <c r="AR111" s="81"/>
      <c r="AS111" s="81"/>
      <c r="AT111" s="81"/>
      <c r="AU111" s="81"/>
      <c r="AV111" s="81"/>
    </row>
    <row r="112" spans="1:48">
      <c r="A112" s="81"/>
      <c r="B112" s="81"/>
      <c r="C112" s="81"/>
      <c r="D112" s="81"/>
      <c r="E112" s="81"/>
      <c r="F112" s="81"/>
      <c r="G112" s="81"/>
      <c r="H112" s="81"/>
      <c r="I112" s="81"/>
      <c r="J112" s="81"/>
      <c r="K112" s="81"/>
      <c r="L112" s="81"/>
      <c r="M112" s="81"/>
      <c r="N112" s="81"/>
      <c r="O112" s="81"/>
      <c r="P112" s="81"/>
      <c r="Q112" s="81"/>
      <c r="R112" s="81"/>
      <c r="S112" s="81"/>
      <c r="T112" s="81"/>
      <c r="U112" s="81"/>
      <c r="V112" s="81"/>
      <c r="W112" s="81"/>
      <c r="X112" s="81"/>
      <c r="Y112" s="81"/>
      <c r="Z112" s="81"/>
      <c r="AA112" s="81"/>
      <c r="AB112" s="81"/>
      <c r="AC112" s="81"/>
      <c r="AD112" s="81"/>
      <c r="AE112" s="81"/>
      <c r="AF112" s="81"/>
      <c r="AG112" s="81"/>
      <c r="AH112" s="81"/>
      <c r="AI112" s="81"/>
      <c r="AJ112" s="81"/>
      <c r="AK112" s="81"/>
      <c r="AL112" s="81"/>
      <c r="AM112" s="81"/>
      <c r="AN112" s="81"/>
      <c r="AO112" s="81"/>
      <c r="AP112" s="81"/>
      <c r="AQ112" s="81"/>
      <c r="AR112" s="81"/>
      <c r="AS112" s="81"/>
      <c r="AT112" s="81"/>
      <c r="AU112" s="81"/>
      <c r="AV112" s="81"/>
    </row>
    <row r="113" spans="1:50">
      <c r="A113" s="81"/>
      <c r="B113" s="81"/>
      <c r="C113" s="81"/>
      <c r="D113" s="81"/>
      <c r="E113" s="81"/>
      <c r="F113" s="81"/>
      <c r="G113" s="81"/>
      <c r="H113" s="81"/>
      <c r="I113" s="81"/>
      <c r="J113" s="81"/>
      <c r="K113" s="81"/>
      <c r="L113" s="81"/>
      <c r="M113" s="81"/>
      <c r="N113" s="81"/>
      <c r="O113" s="81"/>
      <c r="P113" s="81"/>
      <c r="Q113" s="81"/>
      <c r="R113" s="81"/>
      <c r="S113" s="81"/>
      <c r="T113" s="81"/>
      <c r="U113" s="81"/>
      <c r="V113" s="81"/>
      <c r="W113" s="81"/>
      <c r="X113" s="81"/>
      <c r="Y113" s="81"/>
      <c r="Z113" s="81"/>
      <c r="AA113" s="81"/>
      <c r="AB113" s="81"/>
      <c r="AC113" s="81"/>
      <c r="AD113" s="81"/>
      <c r="AE113" s="81"/>
      <c r="AF113" s="81"/>
      <c r="AG113" s="81"/>
      <c r="AH113" s="81"/>
      <c r="AI113" s="81"/>
      <c r="AJ113" s="81"/>
      <c r="AK113" s="81"/>
      <c r="AL113" s="81"/>
      <c r="AM113" s="81"/>
      <c r="AN113" s="81"/>
      <c r="AO113" s="81"/>
      <c r="AP113" s="81"/>
      <c r="AQ113" s="81"/>
      <c r="AR113" s="81"/>
      <c r="AS113" s="81"/>
      <c r="AT113" s="81"/>
      <c r="AU113" s="81"/>
      <c r="AV113" s="81"/>
    </row>
    <row r="114" spans="1:50">
      <c r="A114" s="81"/>
      <c r="B114" s="81"/>
      <c r="C114" s="81"/>
      <c r="D114" s="81"/>
      <c r="E114" s="81"/>
      <c r="F114" s="81"/>
      <c r="G114" s="81"/>
      <c r="H114" s="81"/>
      <c r="I114" s="81"/>
      <c r="J114" s="81"/>
      <c r="K114" s="81"/>
      <c r="L114" s="81"/>
      <c r="M114" s="81"/>
      <c r="N114" s="81"/>
      <c r="O114" s="81"/>
      <c r="P114" s="81"/>
      <c r="Q114" s="81"/>
      <c r="R114" s="81"/>
      <c r="S114" s="81"/>
      <c r="T114" s="81"/>
      <c r="U114" s="81"/>
      <c r="V114" s="81"/>
      <c r="W114" s="81"/>
      <c r="X114" s="81"/>
      <c r="Y114" s="81"/>
      <c r="Z114" s="81"/>
      <c r="AA114" s="81"/>
      <c r="AB114" s="81"/>
      <c r="AC114" s="81"/>
      <c r="AD114" s="81"/>
      <c r="AE114" s="81"/>
      <c r="AF114" s="81"/>
      <c r="AG114" s="81"/>
      <c r="AH114" s="81"/>
      <c r="AI114" s="81"/>
      <c r="AJ114" s="81"/>
      <c r="AK114" s="81"/>
      <c r="AL114" s="81"/>
      <c r="AM114" s="81"/>
      <c r="AN114" s="81"/>
      <c r="AO114" s="81"/>
      <c r="AP114" s="81"/>
      <c r="AQ114" s="81"/>
      <c r="AR114" s="81"/>
      <c r="AS114" s="81"/>
      <c r="AT114" s="81"/>
      <c r="AU114" s="81"/>
      <c r="AV114" s="81"/>
    </row>
    <row r="115" spans="1:50">
      <c r="A115" s="81"/>
      <c r="B115" s="81"/>
      <c r="C115" s="81"/>
      <c r="D115" s="81"/>
      <c r="E115" s="81"/>
      <c r="F115" s="81"/>
      <c r="G115" s="81"/>
      <c r="H115" s="81"/>
      <c r="I115" s="81"/>
      <c r="J115" s="81"/>
      <c r="K115" s="81"/>
      <c r="L115" s="81"/>
      <c r="M115" s="81"/>
      <c r="N115" s="81"/>
      <c r="O115" s="81"/>
      <c r="P115" s="81"/>
      <c r="Q115" s="81"/>
      <c r="R115" s="81"/>
      <c r="S115" s="81"/>
      <c r="T115" s="81"/>
      <c r="U115" s="81"/>
      <c r="V115" s="81"/>
      <c r="W115" s="81"/>
      <c r="X115" s="81"/>
      <c r="Y115" s="81"/>
      <c r="Z115" s="81"/>
      <c r="AA115" s="81"/>
      <c r="AB115" s="81"/>
      <c r="AC115" s="81"/>
      <c r="AD115" s="81"/>
      <c r="AE115" s="81"/>
      <c r="AF115" s="81"/>
      <c r="AG115" s="81"/>
      <c r="AH115" s="81"/>
      <c r="AI115" s="81"/>
      <c r="AJ115" s="81"/>
      <c r="AK115" s="81"/>
      <c r="AL115" s="81"/>
      <c r="AM115" s="81"/>
      <c r="AN115" s="81"/>
      <c r="AO115" s="81"/>
      <c r="AP115" s="81"/>
      <c r="AQ115" s="81"/>
      <c r="AR115" s="81"/>
      <c r="AS115" s="81"/>
      <c r="AT115" s="81"/>
      <c r="AU115" s="81"/>
      <c r="AV115" s="81"/>
    </row>
    <row r="116" spans="1:50">
      <c r="A116" s="81"/>
      <c r="B116" s="81"/>
      <c r="C116" s="81"/>
      <c r="D116" s="81"/>
      <c r="E116" s="81"/>
      <c r="F116" s="81"/>
      <c r="G116" s="81"/>
      <c r="H116" s="81"/>
      <c r="I116" s="81"/>
      <c r="J116" s="81"/>
      <c r="K116" s="81"/>
      <c r="L116" s="81"/>
      <c r="M116" s="81"/>
      <c r="N116" s="81"/>
      <c r="O116" s="81"/>
      <c r="P116" s="81"/>
      <c r="Q116" s="81"/>
      <c r="R116" s="81"/>
      <c r="S116" s="81"/>
      <c r="T116" s="81"/>
      <c r="U116" s="81"/>
      <c r="V116" s="81"/>
      <c r="W116" s="81"/>
      <c r="X116" s="81"/>
      <c r="Y116" s="81"/>
      <c r="Z116" s="81"/>
      <c r="AA116" s="81"/>
      <c r="AB116" s="81"/>
      <c r="AC116" s="81"/>
      <c r="AD116" s="81"/>
      <c r="AE116" s="81"/>
      <c r="AF116" s="81"/>
      <c r="AG116" s="81"/>
      <c r="AH116" s="81"/>
      <c r="AI116" s="81"/>
      <c r="AJ116" s="81"/>
      <c r="AK116" s="81"/>
      <c r="AL116" s="81"/>
      <c r="AM116" s="81"/>
      <c r="AN116" s="81"/>
      <c r="AO116" s="81"/>
      <c r="AP116" s="81"/>
      <c r="AQ116" s="81"/>
      <c r="AR116" s="81"/>
      <c r="AS116" s="81"/>
      <c r="AT116" s="81"/>
      <c r="AU116" s="81"/>
      <c r="AV116" s="81"/>
    </row>
    <row r="117" spans="1:50">
      <c r="A117" s="81"/>
      <c r="B117" s="81"/>
      <c r="C117" s="81"/>
      <c r="D117" s="81"/>
      <c r="E117" s="81"/>
      <c r="F117" s="81"/>
      <c r="G117" s="81"/>
      <c r="H117" s="81"/>
      <c r="I117" s="81"/>
      <c r="J117" s="81"/>
      <c r="K117" s="81"/>
      <c r="L117" s="81"/>
      <c r="M117" s="81"/>
      <c r="N117" s="81"/>
      <c r="O117" s="81"/>
      <c r="P117" s="81"/>
      <c r="Q117" s="81"/>
      <c r="R117" s="81"/>
      <c r="S117" s="81"/>
      <c r="T117" s="81"/>
      <c r="U117" s="81"/>
      <c r="V117" s="81"/>
      <c r="W117" s="81"/>
      <c r="X117" s="81"/>
      <c r="Y117" s="81"/>
      <c r="Z117" s="81"/>
      <c r="AA117" s="81"/>
      <c r="AB117" s="81"/>
      <c r="AC117" s="81"/>
      <c r="AD117" s="81"/>
      <c r="AE117" s="81"/>
      <c r="AF117" s="81"/>
      <c r="AG117" s="81"/>
      <c r="AH117" s="81"/>
      <c r="AI117" s="81"/>
      <c r="AJ117" s="81"/>
      <c r="AK117" s="81"/>
      <c r="AL117" s="81"/>
      <c r="AM117" s="81"/>
      <c r="AN117" s="81"/>
      <c r="AO117" s="81"/>
      <c r="AP117" s="81"/>
      <c r="AQ117" s="81"/>
      <c r="AR117" s="81"/>
      <c r="AS117" s="81"/>
      <c r="AT117" s="81"/>
      <c r="AU117" s="81"/>
      <c r="AV117" s="81"/>
    </row>
    <row r="118" spans="1:50">
      <c r="A118" s="81"/>
      <c r="B118" s="81"/>
      <c r="C118" s="81"/>
      <c r="D118" s="81"/>
      <c r="E118" s="81"/>
      <c r="F118" s="81"/>
      <c r="G118" s="81"/>
      <c r="H118" s="81"/>
      <c r="I118" s="81"/>
      <c r="J118" s="81"/>
      <c r="K118" s="81"/>
      <c r="L118" s="81"/>
      <c r="M118" s="81"/>
      <c r="N118" s="81"/>
      <c r="O118" s="81"/>
      <c r="P118" s="81"/>
      <c r="Q118" s="81"/>
      <c r="R118" s="81"/>
      <c r="S118" s="81"/>
      <c r="T118" s="81"/>
      <c r="U118" s="81"/>
      <c r="V118" s="81"/>
      <c r="W118" s="81"/>
      <c r="X118" s="81"/>
      <c r="Y118" s="81"/>
      <c r="Z118" s="81"/>
      <c r="AA118" s="81"/>
      <c r="AB118" s="81"/>
      <c r="AC118" s="81"/>
      <c r="AD118" s="81"/>
      <c r="AE118" s="81"/>
      <c r="AF118" s="81"/>
      <c r="AG118" s="81"/>
      <c r="AH118" s="81"/>
      <c r="AI118" s="81"/>
      <c r="AJ118" s="81"/>
      <c r="AK118" s="81"/>
      <c r="AL118" s="81"/>
      <c r="AM118" s="81"/>
      <c r="AN118" s="81"/>
      <c r="AO118" s="81"/>
      <c r="AP118" s="81"/>
      <c r="AQ118" s="81"/>
      <c r="AR118" s="81"/>
      <c r="AS118" s="81"/>
      <c r="AT118" s="81"/>
      <c r="AU118" s="81"/>
      <c r="AV118" s="81"/>
    </row>
    <row r="119" spans="1:50">
      <c r="A119" s="81"/>
      <c r="B119" s="81"/>
      <c r="C119" s="81"/>
      <c r="D119" s="81"/>
      <c r="E119" s="81"/>
      <c r="F119" s="81"/>
      <c r="G119" s="81"/>
      <c r="H119" s="81"/>
      <c r="I119" s="81"/>
      <c r="J119" s="81"/>
      <c r="K119" s="81"/>
      <c r="L119" s="81"/>
      <c r="M119" s="81"/>
      <c r="N119" s="81"/>
      <c r="O119" s="81"/>
      <c r="P119" s="81"/>
      <c r="Q119" s="81"/>
      <c r="R119" s="81"/>
      <c r="S119" s="81"/>
      <c r="T119" s="81"/>
      <c r="U119" s="81"/>
      <c r="V119" s="81"/>
      <c r="W119" s="81"/>
      <c r="X119" s="81"/>
      <c r="Y119" s="81"/>
      <c r="Z119" s="81"/>
      <c r="AA119" s="81"/>
      <c r="AB119" s="81"/>
      <c r="AC119" s="81"/>
      <c r="AD119" s="81"/>
      <c r="AE119" s="81"/>
      <c r="AF119" s="81"/>
      <c r="AG119" s="81"/>
      <c r="AH119" s="81"/>
      <c r="AI119" s="81"/>
      <c r="AJ119" s="81"/>
      <c r="AK119" s="81"/>
      <c r="AL119" s="81"/>
      <c r="AM119" s="81"/>
      <c r="AN119" s="81"/>
      <c r="AO119" s="81"/>
      <c r="AP119" s="81"/>
      <c r="AQ119" s="81"/>
      <c r="AR119" s="81"/>
      <c r="AS119" s="81"/>
      <c r="AT119" s="81"/>
      <c r="AU119" s="81"/>
      <c r="AV119" s="81"/>
    </row>
    <row r="120" spans="1:50">
      <c r="A120" s="81"/>
      <c r="B120" s="81"/>
      <c r="C120" s="81"/>
      <c r="D120" s="81"/>
      <c r="E120" s="81"/>
      <c r="F120" s="81"/>
      <c r="G120" s="81"/>
      <c r="H120" s="81"/>
      <c r="I120" s="81"/>
      <c r="J120" s="81"/>
      <c r="K120" s="81"/>
      <c r="L120" s="81"/>
      <c r="M120" s="81"/>
      <c r="N120" s="81"/>
      <c r="O120" s="81"/>
      <c r="P120" s="81"/>
      <c r="Q120" s="81"/>
      <c r="R120" s="81"/>
      <c r="S120" s="81"/>
      <c r="T120" s="81"/>
      <c r="U120" s="81"/>
      <c r="V120" s="81"/>
      <c r="W120" s="81"/>
      <c r="X120" s="81"/>
      <c r="Y120" s="81"/>
      <c r="Z120" s="81"/>
      <c r="AA120" s="81"/>
      <c r="AB120" s="81"/>
      <c r="AC120" s="81"/>
      <c r="AD120" s="81"/>
      <c r="AE120" s="81"/>
      <c r="AF120" s="81"/>
      <c r="AG120" s="81"/>
      <c r="AH120" s="81"/>
      <c r="AI120" s="81"/>
      <c r="AJ120" s="81"/>
      <c r="AK120" s="81"/>
      <c r="AL120" s="81"/>
      <c r="AM120" s="81"/>
      <c r="AN120" s="81"/>
      <c r="AO120" s="81"/>
      <c r="AP120" s="81"/>
      <c r="AQ120" s="81"/>
      <c r="AR120" s="81"/>
      <c r="AS120" s="81"/>
      <c r="AT120" s="81"/>
      <c r="AU120" s="81"/>
      <c r="AV120" s="81"/>
    </row>
    <row r="121" spans="1:50">
      <c r="A121" s="81"/>
      <c r="B121" s="81"/>
      <c r="C121" s="81"/>
      <c r="D121" s="81"/>
      <c r="E121" s="81"/>
      <c r="F121" s="81"/>
      <c r="G121" s="81"/>
      <c r="H121" s="81"/>
      <c r="I121" s="81"/>
      <c r="J121" s="81"/>
      <c r="K121" s="81"/>
      <c r="L121" s="81"/>
      <c r="M121" s="81"/>
      <c r="N121" s="81"/>
      <c r="O121" s="81"/>
      <c r="P121" s="81"/>
      <c r="Q121" s="81"/>
      <c r="R121" s="81"/>
      <c r="S121" s="81"/>
      <c r="T121" s="81"/>
      <c r="U121" s="81"/>
      <c r="V121" s="81"/>
      <c r="W121" s="81"/>
      <c r="X121" s="81"/>
      <c r="Y121" s="81"/>
      <c r="Z121" s="81"/>
      <c r="AA121" s="81"/>
      <c r="AB121" s="81"/>
      <c r="AC121" s="81"/>
      <c r="AD121" s="81"/>
      <c r="AE121" s="81"/>
      <c r="AF121" s="81"/>
      <c r="AG121" s="81"/>
      <c r="AH121" s="81"/>
      <c r="AI121" s="81"/>
      <c r="AJ121" s="81"/>
      <c r="AK121" s="81"/>
      <c r="AL121" s="81"/>
      <c r="AM121" s="81"/>
      <c r="AN121" s="81"/>
      <c r="AO121" s="81"/>
      <c r="AP121" s="81"/>
      <c r="AQ121" s="81"/>
      <c r="AR121" s="81"/>
      <c r="AS121" s="81"/>
      <c r="AT121" s="81"/>
      <c r="AU121" s="81"/>
      <c r="AV121" s="81"/>
      <c r="AX121" s="32">
        <v>12</v>
      </c>
    </row>
    <row r="122" spans="1:50">
      <c r="A122" s="81"/>
      <c r="B122" s="81"/>
      <c r="C122" s="81"/>
      <c r="D122" s="81"/>
      <c r="E122" s="81"/>
      <c r="F122" s="81"/>
      <c r="G122" s="81"/>
      <c r="H122" s="81"/>
      <c r="I122" s="81"/>
      <c r="J122" s="81"/>
      <c r="K122" s="81"/>
      <c r="L122" s="81"/>
      <c r="M122" s="81"/>
      <c r="N122" s="81"/>
      <c r="O122" s="81"/>
      <c r="P122" s="81"/>
      <c r="Q122" s="81"/>
      <c r="R122" s="81"/>
      <c r="S122" s="81"/>
      <c r="T122" s="81"/>
      <c r="U122" s="81"/>
      <c r="V122" s="81"/>
      <c r="W122" s="81"/>
      <c r="X122" s="81"/>
      <c r="Y122" s="81"/>
      <c r="Z122" s="81"/>
      <c r="AA122" s="81"/>
      <c r="AB122" s="81"/>
      <c r="AC122" s="81"/>
      <c r="AD122" s="81"/>
      <c r="AE122" s="81"/>
      <c r="AF122" s="81"/>
      <c r="AG122" s="81"/>
      <c r="AH122" s="81"/>
      <c r="AI122" s="81"/>
      <c r="AJ122" s="81"/>
      <c r="AK122" s="81"/>
      <c r="AL122" s="81"/>
      <c r="AM122" s="81"/>
      <c r="AN122" s="81"/>
      <c r="AO122" s="81"/>
      <c r="AP122" s="81"/>
      <c r="AQ122" s="81"/>
      <c r="AR122" s="81"/>
      <c r="AS122" s="81"/>
      <c r="AT122" s="81"/>
      <c r="AU122" s="81"/>
      <c r="AV122" s="81"/>
    </row>
    <row r="123" spans="1:50">
      <c r="A123" s="81"/>
      <c r="B123" s="81"/>
      <c r="C123" s="81"/>
      <c r="D123" s="81"/>
      <c r="E123" s="81"/>
      <c r="F123" s="81"/>
      <c r="G123" s="81"/>
      <c r="H123" s="81"/>
      <c r="I123" s="81"/>
      <c r="J123" s="81"/>
      <c r="K123" s="81"/>
      <c r="L123" s="81"/>
      <c r="M123" s="81"/>
      <c r="N123" s="81"/>
      <c r="O123" s="81"/>
      <c r="P123" s="81"/>
      <c r="Q123" s="81"/>
      <c r="R123" s="81"/>
      <c r="S123" s="81"/>
      <c r="T123" s="81"/>
      <c r="U123" s="81"/>
      <c r="V123" s="81"/>
      <c r="W123" s="81"/>
      <c r="X123" s="81"/>
      <c r="Y123" s="81"/>
      <c r="Z123" s="81"/>
      <c r="AA123" s="81"/>
      <c r="AB123" s="81"/>
      <c r="AC123" s="81"/>
      <c r="AD123" s="81"/>
      <c r="AE123" s="81"/>
      <c r="AF123" s="81"/>
      <c r="AG123" s="81"/>
      <c r="AH123" s="81"/>
      <c r="AI123" s="81"/>
      <c r="AJ123" s="81"/>
      <c r="AK123" s="81"/>
      <c r="AL123" s="81"/>
      <c r="AM123" s="81"/>
      <c r="AN123" s="81"/>
      <c r="AO123" s="81"/>
      <c r="AP123" s="81"/>
      <c r="AQ123" s="81"/>
      <c r="AR123" s="81"/>
      <c r="AS123" s="81"/>
      <c r="AT123" s="81"/>
      <c r="AU123" s="81"/>
      <c r="AV123" s="81"/>
    </row>
    <row r="124" spans="1:50">
      <c r="A124" s="81"/>
      <c r="B124" s="81"/>
      <c r="C124" s="81"/>
      <c r="D124" s="81"/>
      <c r="E124" s="81"/>
      <c r="F124" s="81"/>
      <c r="G124" s="81"/>
      <c r="H124" s="81"/>
      <c r="I124" s="81"/>
      <c r="J124" s="81"/>
      <c r="K124" s="81"/>
      <c r="L124" s="81"/>
      <c r="M124" s="81"/>
      <c r="N124" s="81"/>
      <c r="O124" s="81"/>
      <c r="P124" s="81"/>
      <c r="Q124" s="81"/>
      <c r="R124" s="81"/>
      <c r="S124" s="81"/>
      <c r="T124" s="81"/>
      <c r="U124" s="81"/>
      <c r="V124" s="81"/>
      <c r="W124" s="81"/>
      <c r="X124" s="81"/>
      <c r="Y124" s="81"/>
      <c r="Z124" s="81"/>
      <c r="AA124" s="81"/>
      <c r="AB124" s="81"/>
      <c r="AC124" s="81"/>
      <c r="AD124" s="81"/>
      <c r="AE124" s="81"/>
      <c r="AF124" s="81"/>
      <c r="AG124" s="81"/>
      <c r="AH124" s="81"/>
      <c r="AI124" s="81"/>
      <c r="AJ124" s="81"/>
      <c r="AK124" s="81"/>
      <c r="AL124" s="81"/>
      <c r="AM124" s="81"/>
      <c r="AN124" s="81"/>
      <c r="AO124" s="81"/>
      <c r="AP124" s="81"/>
      <c r="AQ124" s="81"/>
      <c r="AR124" s="81"/>
      <c r="AS124" s="81"/>
      <c r="AT124" s="81"/>
      <c r="AU124" s="81"/>
      <c r="AV124" s="81"/>
    </row>
    <row r="125" spans="1:50">
      <c r="A125" s="81"/>
      <c r="B125" s="81"/>
      <c r="C125" s="81"/>
      <c r="D125" s="81"/>
      <c r="E125" s="81"/>
      <c r="F125" s="81"/>
      <c r="G125" s="81"/>
      <c r="H125" s="81"/>
      <c r="I125" s="81"/>
      <c r="J125" s="81"/>
      <c r="K125" s="81"/>
      <c r="L125" s="81"/>
      <c r="M125" s="81"/>
      <c r="N125" s="81"/>
      <c r="O125" s="81"/>
      <c r="P125" s="81"/>
      <c r="Q125" s="81"/>
      <c r="R125" s="81"/>
      <c r="S125" s="81"/>
      <c r="T125" s="81"/>
      <c r="U125" s="81"/>
      <c r="V125" s="81"/>
      <c r="W125" s="81"/>
      <c r="X125" s="81"/>
      <c r="Y125" s="81"/>
      <c r="Z125" s="81"/>
      <c r="AA125" s="81"/>
      <c r="AB125" s="81"/>
      <c r="AC125" s="81"/>
      <c r="AD125" s="81"/>
      <c r="AE125" s="81"/>
      <c r="AF125" s="81"/>
      <c r="AG125" s="81"/>
      <c r="AH125" s="81"/>
      <c r="AI125" s="81"/>
      <c r="AJ125" s="81"/>
      <c r="AK125" s="81"/>
      <c r="AL125" s="81"/>
      <c r="AM125" s="81"/>
      <c r="AN125" s="81"/>
      <c r="AO125" s="81"/>
      <c r="AP125" s="81"/>
      <c r="AQ125" s="81"/>
      <c r="AR125" s="81"/>
      <c r="AS125" s="81"/>
      <c r="AT125" s="81"/>
      <c r="AU125" s="81"/>
      <c r="AV125" s="81"/>
    </row>
    <row r="126" spans="1:50">
      <c r="A126" s="81"/>
      <c r="B126" s="81"/>
      <c r="C126" s="81"/>
      <c r="D126" s="81"/>
      <c r="E126" s="81"/>
      <c r="F126" s="81"/>
      <c r="G126" s="81"/>
      <c r="H126" s="81"/>
      <c r="I126" s="81"/>
      <c r="J126" s="81"/>
      <c r="K126" s="81"/>
      <c r="L126" s="81"/>
      <c r="M126" s="81"/>
      <c r="N126" s="81"/>
      <c r="O126" s="81"/>
      <c r="P126" s="81"/>
      <c r="Q126" s="81"/>
      <c r="R126" s="81"/>
      <c r="S126" s="81"/>
      <c r="T126" s="81"/>
      <c r="U126" s="81"/>
      <c r="V126" s="81"/>
      <c r="W126" s="81"/>
      <c r="X126" s="81"/>
      <c r="Y126" s="81"/>
      <c r="Z126" s="81"/>
      <c r="AA126" s="81"/>
      <c r="AB126" s="81"/>
      <c r="AC126" s="81"/>
      <c r="AD126" s="81"/>
      <c r="AE126" s="81"/>
      <c r="AF126" s="81"/>
      <c r="AG126" s="81"/>
      <c r="AH126" s="81"/>
      <c r="AI126" s="81"/>
      <c r="AJ126" s="81"/>
      <c r="AK126" s="81"/>
      <c r="AL126" s="81"/>
      <c r="AM126" s="81"/>
      <c r="AN126" s="81"/>
      <c r="AO126" s="81"/>
      <c r="AP126" s="81"/>
      <c r="AQ126" s="81"/>
      <c r="AR126" s="81"/>
      <c r="AS126" s="81"/>
      <c r="AT126" s="81"/>
      <c r="AU126" s="81"/>
      <c r="AV126" s="81"/>
    </row>
    <row r="127" spans="1:50">
      <c r="A127" s="81"/>
      <c r="B127" s="81"/>
      <c r="C127" s="81"/>
      <c r="D127" s="81"/>
      <c r="E127" s="81"/>
      <c r="F127" s="81"/>
      <c r="G127" s="81"/>
      <c r="H127" s="81"/>
      <c r="I127" s="81"/>
      <c r="J127" s="81"/>
      <c r="K127" s="81"/>
      <c r="L127" s="81"/>
      <c r="M127" s="81"/>
      <c r="N127" s="81"/>
      <c r="O127" s="81"/>
      <c r="P127" s="81"/>
      <c r="Q127" s="81"/>
      <c r="R127" s="81"/>
      <c r="S127" s="81"/>
      <c r="T127" s="81"/>
      <c r="U127" s="81"/>
      <c r="V127" s="81"/>
      <c r="W127" s="81"/>
      <c r="X127" s="81"/>
      <c r="Y127" s="81"/>
      <c r="Z127" s="81"/>
      <c r="AA127" s="81"/>
      <c r="AB127" s="81"/>
      <c r="AC127" s="81"/>
      <c r="AD127" s="81"/>
      <c r="AE127" s="81"/>
      <c r="AF127" s="81"/>
      <c r="AG127" s="81"/>
      <c r="AH127" s="81"/>
      <c r="AI127" s="81"/>
      <c r="AJ127" s="81"/>
      <c r="AK127" s="81"/>
      <c r="AL127" s="81"/>
      <c r="AM127" s="81"/>
      <c r="AN127" s="81"/>
      <c r="AO127" s="81"/>
      <c r="AP127" s="81"/>
      <c r="AQ127" s="81"/>
      <c r="AR127" s="81"/>
      <c r="AS127" s="81"/>
      <c r="AT127" s="81"/>
      <c r="AU127" s="81"/>
      <c r="AV127" s="81"/>
    </row>
    <row r="128" spans="1:50">
      <c r="A128" s="81"/>
      <c r="B128" s="81"/>
      <c r="C128" s="81"/>
      <c r="D128" s="81"/>
      <c r="E128" s="81"/>
      <c r="F128" s="81"/>
      <c r="G128" s="81"/>
      <c r="H128" s="81"/>
      <c r="I128" s="81"/>
      <c r="J128" s="81"/>
      <c r="K128" s="81"/>
      <c r="L128" s="81"/>
      <c r="M128" s="81"/>
      <c r="N128" s="81"/>
      <c r="O128" s="81"/>
      <c r="P128" s="81"/>
      <c r="Q128" s="81"/>
      <c r="R128" s="81"/>
      <c r="S128" s="81"/>
      <c r="T128" s="81"/>
      <c r="U128" s="81"/>
      <c r="V128" s="81"/>
      <c r="W128" s="81"/>
      <c r="X128" s="81"/>
      <c r="Y128" s="81"/>
      <c r="Z128" s="81"/>
      <c r="AA128" s="81"/>
      <c r="AB128" s="81"/>
      <c r="AC128" s="81"/>
      <c r="AD128" s="81"/>
      <c r="AE128" s="81"/>
      <c r="AF128" s="81"/>
      <c r="AG128" s="81"/>
      <c r="AH128" s="81"/>
      <c r="AI128" s="81"/>
      <c r="AJ128" s="81"/>
      <c r="AK128" s="81"/>
      <c r="AL128" s="81"/>
      <c r="AM128" s="81"/>
      <c r="AN128" s="81"/>
      <c r="AO128" s="81"/>
      <c r="AP128" s="81"/>
      <c r="AQ128" s="81"/>
      <c r="AR128" s="81"/>
      <c r="AS128" s="81"/>
      <c r="AT128" s="81"/>
      <c r="AU128" s="81"/>
      <c r="AV128" s="81"/>
    </row>
    <row r="129" spans="1:48">
      <c r="A129" s="81"/>
      <c r="B129" s="81"/>
      <c r="C129" s="81"/>
      <c r="D129" s="81"/>
      <c r="E129" s="81"/>
      <c r="F129" s="81"/>
      <c r="G129" s="81"/>
      <c r="H129" s="81"/>
      <c r="I129" s="81"/>
      <c r="J129" s="81"/>
      <c r="K129" s="81"/>
      <c r="L129" s="81"/>
      <c r="M129" s="81"/>
      <c r="N129" s="81"/>
      <c r="O129" s="81"/>
      <c r="P129" s="81"/>
      <c r="Q129" s="81"/>
      <c r="R129" s="81"/>
      <c r="S129" s="81"/>
      <c r="T129" s="81"/>
      <c r="U129" s="81"/>
      <c r="V129" s="81"/>
      <c r="W129" s="81"/>
      <c r="X129" s="81"/>
      <c r="Y129" s="81"/>
      <c r="Z129" s="81"/>
      <c r="AA129" s="81"/>
      <c r="AB129" s="81"/>
      <c r="AC129" s="81"/>
      <c r="AD129" s="81"/>
      <c r="AE129" s="81"/>
      <c r="AF129" s="81"/>
      <c r="AG129" s="81"/>
      <c r="AH129" s="81"/>
      <c r="AI129" s="81"/>
      <c r="AJ129" s="81"/>
      <c r="AK129" s="81"/>
      <c r="AL129" s="81"/>
      <c r="AM129" s="81"/>
      <c r="AN129" s="81"/>
      <c r="AO129" s="81"/>
      <c r="AP129" s="81"/>
      <c r="AQ129" s="81"/>
      <c r="AR129" s="81"/>
      <c r="AS129" s="81"/>
      <c r="AT129" s="81"/>
      <c r="AU129" s="81"/>
      <c r="AV129" s="81"/>
    </row>
    <row r="130" spans="1:48">
      <c r="A130" s="81"/>
      <c r="B130" s="81"/>
      <c r="C130" s="81"/>
      <c r="D130" s="81"/>
      <c r="E130" s="81"/>
      <c r="F130" s="81"/>
      <c r="G130" s="81"/>
      <c r="H130" s="81"/>
      <c r="I130" s="81"/>
      <c r="J130" s="81"/>
      <c r="K130" s="81"/>
      <c r="L130" s="81"/>
      <c r="M130" s="81"/>
      <c r="N130" s="81"/>
      <c r="O130" s="81"/>
      <c r="P130" s="81"/>
      <c r="Q130" s="81"/>
      <c r="R130" s="81"/>
      <c r="S130" s="81"/>
      <c r="T130" s="81"/>
      <c r="U130" s="81"/>
      <c r="V130" s="81"/>
      <c r="W130" s="81"/>
      <c r="X130" s="81"/>
      <c r="Y130" s="81"/>
      <c r="Z130" s="81"/>
      <c r="AA130" s="81"/>
      <c r="AB130" s="81"/>
      <c r="AC130" s="81"/>
      <c r="AD130" s="81"/>
      <c r="AE130" s="81"/>
      <c r="AF130" s="81"/>
      <c r="AG130" s="81"/>
      <c r="AH130" s="81"/>
      <c r="AI130" s="81"/>
      <c r="AJ130" s="81"/>
      <c r="AK130" s="81"/>
      <c r="AL130" s="81"/>
      <c r="AM130" s="81"/>
      <c r="AN130" s="81"/>
      <c r="AO130" s="81"/>
      <c r="AP130" s="81"/>
      <c r="AQ130" s="81"/>
      <c r="AR130" s="81"/>
      <c r="AS130" s="81"/>
      <c r="AT130" s="81"/>
      <c r="AU130" s="81"/>
      <c r="AV130" s="81"/>
    </row>
    <row r="131" spans="1:48">
      <c r="A131" s="81"/>
      <c r="B131" s="81"/>
      <c r="C131" s="81"/>
      <c r="D131" s="81"/>
      <c r="E131" s="81"/>
      <c r="F131" s="81"/>
      <c r="G131" s="81"/>
      <c r="H131" s="81"/>
      <c r="I131" s="81"/>
      <c r="J131" s="81"/>
      <c r="K131" s="81"/>
      <c r="L131" s="81"/>
      <c r="M131" s="81"/>
      <c r="N131" s="81"/>
      <c r="O131" s="81"/>
      <c r="P131" s="81"/>
      <c r="Q131" s="81"/>
      <c r="R131" s="81"/>
      <c r="S131" s="81"/>
      <c r="T131" s="81"/>
      <c r="U131" s="81"/>
      <c r="V131" s="81"/>
      <c r="W131" s="81"/>
      <c r="X131" s="81"/>
      <c r="Y131" s="81"/>
      <c r="Z131" s="81"/>
      <c r="AA131" s="81"/>
      <c r="AB131" s="81"/>
      <c r="AC131" s="81"/>
      <c r="AD131" s="81"/>
      <c r="AE131" s="81"/>
      <c r="AF131" s="81"/>
      <c r="AG131" s="81"/>
      <c r="AH131" s="81"/>
      <c r="AI131" s="81"/>
      <c r="AJ131" s="81"/>
      <c r="AK131" s="81"/>
      <c r="AL131" s="81"/>
      <c r="AM131" s="81"/>
      <c r="AN131" s="81"/>
      <c r="AO131" s="81"/>
      <c r="AP131" s="81"/>
      <c r="AQ131" s="81"/>
      <c r="AR131" s="81"/>
      <c r="AS131" s="81"/>
      <c r="AT131" s="81"/>
      <c r="AU131" s="81"/>
      <c r="AV131" s="81"/>
    </row>
    <row r="132" spans="1:48">
      <c r="A132" s="81"/>
      <c r="B132" s="81"/>
      <c r="C132" s="81"/>
      <c r="D132" s="81"/>
      <c r="E132" s="81"/>
      <c r="F132" s="81"/>
      <c r="G132" s="81"/>
      <c r="H132" s="81"/>
      <c r="I132" s="81"/>
      <c r="J132" s="81"/>
      <c r="K132" s="81"/>
      <c r="L132" s="81"/>
      <c r="M132" s="81"/>
      <c r="N132" s="81"/>
      <c r="O132" s="81"/>
      <c r="P132" s="81"/>
      <c r="Q132" s="81"/>
      <c r="R132" s="81"/>
      <c r="S132" s="81"/>
      <c r="T132" s="81"/>
      <c r="U132" s="81"/>
      <c r="V132" s="81"/>
      <c r="W132" s="81"/>
      <c r="X132" s="81"/>
      <c r="Y132" s="81"/>
      <c r="Z132" s="81"/>
      <c r="AA132" s="81"/>
      <c r="AB132" s="81"/>
      <c r="AC132" s="81"/>
      <c r="AD132" s="81"/>
      <c r="AE132" s="81"/>
      <c r="AF132" s="81"/>
      <c r="AG132" s="81"/>
      <c r="AH132" s="81"/>
      <c r="AI132" s="81"/>
      <c r="AJ132" s="81"/>
      <c r="AK132" s="81"/>
      <c r="AL132" s="81"/>
      <c r="AM132" s="81"/>
      <c r="AN132" s="81"/>
      <c r="AO132" s="81"/>
      <c r="AP132" s="81"/>
      <c r="AQ132" s="81"/>
      <c r="AR132" s="81"/>
      <c r="AS132" s="81"/>
      <c r="AT132" s="81"/>
      <c r="AU132" s="81"/>
      <c r="AV132" s="81"/>
    </row>
    <row r="133" spans="1:48">
      <c r="A133" s="81"/>
      <c r="B133" s="81"/>
      <c r="C133" s="81"/>
      <c r="D133" s="81"/>
      <c r="E133" s="81"/>
      <c r="F133" s="81"/>
      <c r="G133" s="81"/>
      <c r="H133" s="81"/>
      <c r="I133" s="81"/>
      <c r="J133" s="81"/>
      <c r="K133" s="81"/>
      <c r="L133" s="81"/>
      <c r="M133" s="81"/>
      <c r="N133" s="81"/>
      <c r="O133" s="81"/>
      <c r="P133" s="81"/>
      <c r="Q133" s="81"/>
      <c r="R133" s="81"/>
      <c r="S133" s="81"/>
      <c r="T133" s="81"/>
      <c r="U133" s="81"/>
      <c r="V133" s="81"/>
      <c r="W133" s="81"/>
      <c r="X133" s="81"/>
      <c r="Y133" s="81"/>
      <c r="Z133" s="81"/>
      <c r="AA133" s="81"/>
      <c r="AB133" s="81"/>
      <c r="AC133" s="81"/>
      <c r="AD133" s="81"/>
      <c r="AE133" s="81"/>
      <c r="AF133" s="81"/>
      <c r="AG133" s="81"/>
      <c r="AH133" s="81"/>
      <c r="AI133" s="81"/>
      <c r="AJ133" s="81"/>
      <c r="AK133" s="81"/>
      <c r="AL133" s="81"/>
      <c r="AM133" s="81"/>
      <c r="AN133" s="81"/>
      <c r="AO133" s="81"/>
      <c r="AP133" s="81"/>
      <c r="AQ133" s="81"/>
      <c r="AR133" s="81"/>
      <c r="AS133" s="81"/>
      <c r="AT133" s="81"/>
      <c r="AU133" s="81"/>
      <c r="AV133" s="81"/>
    </row>
    <row r="134" spans="1:48">
      <c r="A134" s="81"/>
      <c r="B134" s="81"/>
      <c r="C134" s="81"/>
      <c r="D134" s="81"/>
      <c r="E134" s="81"/>
      <c r="F134" s="81"/>
      <c r="G134" s="81"/>
      <c r="H134" s="81"/>
      <c r="I134" s="81"/>
      <c r="J134" s="81"/>
      <c r="K134" s="81"/>
      <c r="L134" s="81"/>
      <c r="M134" s="81"/>
      <c r="N134" s="81"/>
      <c r="O134" s="81"/>
      <c r="P134" s="81"/>
      <c r="Q134" s="81"/>
      <c r="R134" s="81"/>
      <c r="S134" s="81"/>
      <c r="T134" s="81"/>
      <c r="U134" s="81"/>
      <c r="V134" s="81"/>
      <c r="W134" s="81"/>
      <c r="X134" s="81"/>
      <c r="Y134" s="81"/>
      <c r="Z134" s="81"/>
      <c r="AA134" s="81"/>
      <c r="AB134" s="81"/>
      <c r="AC134" s="81"/>
      <c r="AD134" s="81"/>
      <c r="AE134" s="81"/>
      <c r="AF134" s="81"/>
      <c r="AG134" s="81"/>
      <c r="AH134" s="81"/>
      <c r="AI134" s="81"/>
      <c r="AJ134" s="81"/>
      <c r="AK134" s="81"/>
      <c r="AL134" s="81"/>
      <c r="AM134" s="81"/>
      <c r="AN134" s="81"/>
      <c r="AO134" s="81"/>
      <c r="AP134" s="81"/>
      <c r="AQ134" s="81"/>
      <c r="AR134" s="81"/>
      <c r="AS134" s="81"/>
      <c r="AT134" s="81"/>
      <c r="AU134" s="81"/>
      <c r="AV134" s="81"/>
    </row>
    <row r="135" spans="1:48">
      <c r="A135" s="81"/>
      <c r="B135" s="81"/>
      <c r="C135" s="81"/>
      <c r="D135" s="81"/>
      <c r="E135" s="81"/>
      <c r="F135" s="81"/>
      <c r="G135" s="81"/>
      <c r="H135" s="81"/>
      <c r="I135" s="81"/>
      <c r="J135" s="81"/>
      <c r="K135" s="81"/>
      <c r="L135" s="81"/>
      <c r="M135" s="81"/>
      <c r="N135" s="81"/>
      <c r="O135" s="81"/>
      <c r="P135" s="81"/>
      <c r="Q135" s="81"/>
      <c r="R135" s="81"/>
      <c r="S135" s="81"/>
      <c r="T135" s="81"/>
      <c r="U135" s="81"/>
      <c r="V135" s="81"/>
      <c r="W135" s="81"/>
      <c r="X135" s="81"/>
      <c r="Y135" s="81"/>
      <c r="Z135" s="81"/>
      <c r="AA135" s="81"/>
      <c r="AB135" s="81"/>
      <c r="AC135" s="81"/>
      <c r="AD135" s="81"/>
      <c r="AE135" s="81"/>
      <c r="AF135" s="81"/>
      <c r="AG135" s="81"/>
      <c r="AH135" s="81"/>
      <c r="AI135" s="81"/>
      <c r="AJ135" s="81"/>
      <c r="AK135" s="81"/>
      <c r="AL135" s="81"/>
      <c r="AM135" s="81"/>
      <c r="AN135" s="81"/>
      <c r="AO135" s="81"/>
      <c r="AP135" s="81"/>
      <c r="AQ135" s="81"/>
      <c r="AR135" s="81"/>
      <c r="AS135" s="81"/>
      <c r="AT135" s="81"/>
      <c r="AU135" s="81"/>
      <c r="AV135" s="81"/>
    </row>
    <row r="136" spans="1:48">
      <c r="A136" s="81"/>
      <c r="B136" s="81"/>
      <c r="C136" s="81"/>
      <c r="D136" s="81"/>
      <c r="E136" s="81"/>
      <c r="F136" s="81"/>
      <c r="G136" s="81"/>
      <c r="H136" s="81"/>
      <c r="I136" s="81"/>
      <c r="J136" s="81"/>
      <c r="K136" s="81"/>
      <c r="L136" s="81"/>
      <c r="M136" s="81"/>
      <c r="N136" s="81"/>
      <c r="O136" s="81"/>
      <c r="P136" s="81"/>
      <c r="Q136" s="81"/>
      <c r="R136" s="81"/>
      <c r="S136" s="81"/>
      <c r="T136" s="81"/>
      <c r="U136" s="81"/>
      <c r="V136" s="81"/>
      <c r="W136" s="81"/>
      <c r="X136" s="81"/>
      <c r="Y136" s="81"/>
      <c r="Z136" s="81"/>
      <c r="AA136" s="81"/>
      <c r="AB136" s="81"/>
      <c r="AC136" s="81"/>
      <c r="AD136" s="81"/>
      <c r="AE136" s="81"/>
      <c r="AF136" s="81"/>
      <c r="AG136" s="81"/>
      <c r="AH136" s="81"/>
      <c r="AI136" s="81"/>
      <c r="AJ136" s="81"/>
      <c r="AK136" s="81"/>
      <c r="AL136" s="81"/>
      <c r="AM136" s="81"/>
      <c r="AN136" s="81"/>
      <c r="AO136" s="81"/>
      <c r="AP136" s="81"/>
      <c r="AQ136" s="81"/>
      <c r="AR136" s="81"/>
      <c r="AS136" s="81"/>
      <c r="AT136" s="81"/>
      <c r="AU136" s="81"/>
      <c r="AV136" s="81"/>
    </row>
    <row r="137" spans="1:48">
      <c r="A137" s="81"/>
      <c r="B137" s="81"/>
      <c r="C137" s="81"/>
      <c r="D137" s="81"/>
      <c r="E137" s="81"/>
      <c r="F137" s="81"/>
      <c r="G137" s="81"/>
      <c r="H137" s="81"/>
      <c r="I137" s="81"/>
      <c r="J137" s="81"/>
      <c r="K137" s="81"/>
      <c r="L137" s="81"/>
      <c r="M137" s="81"/>
      <c r="N137" s="81"/>
      <c r="O137" s="81"/>
      <c r="P137" s="81"/>
      <c r="Q137" s="81"/>
      <c r="R137" s="81"/>
      <c r="S137" s="81"/>
      <c r="T137" s="81"/>
      <c r="U137" s="81"/>
      <c r="V137" s="81"/>
      <c r="W137" s="81"/>
      <c r="X137" s="81"/>
      <c r="Y137" s="81"/>
      <c r="Z137" s="81"/>
      <c r="AA137" s="81"/>
      <c r="AB137" s="81"/>
      <c r="AC137" s="81"/>
      <c r="AD137" s="81"/>
      <c r="AE137" s="81"/>
      <c r="AF137" s="81"/>
      <c r="AG137" s="81"/>
      <c r="AH137" s="81"/>
      <c r="AI137" s="81"/>
      <c r="AJ137" s="81"/>
      <c r="AK137" s="81"/>
      <c r="AL137" s="81"/>
      <c r="AM137" s="81"/>
      <c r="AN137" s="81"/>
      <c r="AO137" s="81"/>
      <c r="AP137" s="81"/>
      <c r="AQ137" s="81"/>
      <c r="AR137" s="81"/>
      <c r="AS137" s="81"/>
      <c r="AT137" s="81"/>
      <c r="AU137" s="81"/>
      <c r="AV137" s="81"/>
    </row>
    <row r="138" spans="1:48">
      <c r="A138" s="81"/>
      <c r="B138" s="81"/>
      <c r="C138" s="81"/>
      <c r="D138" s="81"/>
      <c r="E138" s="81"/>
      <c r="F138" s="81"/>
      <c r="G138" s="81"/>
      <c r="H138" s="81"/>
      <c r="I138" s="81"/>
      <c r="J138" s="81"/>
      <c r="K138" s="81"/>
      <c r="L138" s="81"/>
      <c r="M138" s="81"/>
      <c r="N138" s="81"/>
      <c r="O138" s="81"/>
      <c r="P138" s="81"/>
      <c r="Q138" s="81"/>
      <c r="R138" s="81"/>
      <c r="S138" s="81"/>
      <c r="T138" s="81"/>
      <c r="U138" s="81"/>
      <c r="V138" s="81"/>
      <c r="W138" s="81"/>
      <c r="X138" s="81"/>
      <c r="Y138" s="81"/>
      <c r="Z138" s="81"/>
      <c r="AA138" s="81"/>
      <c r="AB138" s="81"/>
      <c r="AC138" s="81"/>
      <c r="AD138" s="81"/>
      <c r="AE138" s="81"/>
      <c r="AF138" s="81"/>
      <c r="AG138" s="81"/>
      <c r="AH138" s="81"/>
      <c r="AI138" s="81"/>
      <c r="AJ138" s="81"/>
      <c r="AK138" s="81"/>
      <c r="AL138" s="81"/>
      <c r="AM138" s="81"/>
      <c r="AN138" s="81"/>
      <c r="AO138" s="81"/>
      <c r="AP138" s="81"/>
      <c r="AQ138" s="81"/>
      <c r="AR138" s="81"/>
      <c r="AS138" s="81"/>
      <c r="AT138" s="81"/>
      <c r="AU138" s="81"/>
      <c r="AV138" s="81"/>
    </row>
    <row r="139" spans="1:48">
      <c r="A139" s="81"/>
      <c r="B139" s="81"/>
      <c r="C139" s="81"/>
      <c r="D139" s="81"/>
      <c r="E139" s="81"/>
      <c r="F139" s="81"/>
      <c r="G139" s="81"/>
      <c r="H139" s="81"/>
      <c r="I139" s="81"/>
      <c r="J139" s="81"/>
      <c r="K139" s="81"/>
      <c r="L139" s="81"/>
      <c r="M139" s="81"/>
      <c r="N139" s="81"/>
      <c r="O139" s="81"/>
      <c r="P139" s="81"/>
      <c r="Q139" s="81"/>
      <c r="R139" s="81"/>
      <c r="S139" s="81"/>
      <c r="T139" s="81"/>
      <c r="U139" s="81"/>
      <c r="V139" s="81"/>
      <c r="W139" s="81"/>
      <c r="X139" s="81"/>
      <c r="Y139" s="81"/>
      <c r="Z139" s="81"/>
      <c r="AA139" s="81"/>
      <c r="AB139" s="81"/>
      <c r="AC139" s="81"/>
      <c r="AD139" s="81"/>
      <c r="AE139" s="81"/>
      <c r="AF139" s="81"/>
      <c r="AG139" s="81"/>
      <c r="AH139" s="81"/>
      <c r="AI139" s="81"/>
      <c r="AJ139" s="81"/>
      <c r="AK139" s="81"/>
      <c r="AL139" s="81"/>
      <c r="AM139" s="81"/>
      <c r="AN139" s="81"/>
      <c r="AO139" s="81"/>
      <c r="AP139" s="81"/>
      <c r="AQ139" s="81"/>
      <c r="AR139" s="81"/>
      <c r="AS139" s="81"/>
      <c r="AT139" s="81"/>
      <c r="AU139" s="81"/>
      <c r="AV139" s="81"/>
    </row>
    <row r="140" spans="1:48">
      <c r="A140" s="81"/>
      <c r="B140" s="81"/>
      <c r="C140" s="81"/>
      <c r="D140" s="81"/>
      <c r="E140" s="81"/>
      <c r="F140" s="81"/>
      <c r="G140" s="81"/>
      <c r="H140" s="81"/>
      <c r="I140" s="81"/>
      <c r="J140" s="81"/>
      <c r="K140" s="81"/>
      <c r="L140" s="81"/>
      <c r="M140" s="81"/>
      <c r="N140" s="81"/>
      <c r="O140" s="81"/>
      <c r="P140" s="81"/>
      <c r="Q140" s="81"/>
      <c r="R140" s="81"/>
      <c r="S140" s="81"/>
      <c r="T140" s="81"/>
      <c r="U140" s="81"/>
      <c r="V140" s="81"/>
      <c r="W140" s="81"/>
      <c r="X140" s="81"/>
      <c r="Y140" s="81"/>
      <c r="Z140" s="81"/>
      <c r="AA140" s="81"/>
      <c r="AB140" s="81"/>
      <c r="AC140" s="81"/>
      <c r="AD140" s="81"/>
      <c r="AE140" s="81"/>
      <c r="AF140" s="81"/>
      <c r="AG140" s="81"/>
      <c r="AH140" s="81"/>
      <c r="AI140" s="81"/>
      <c r="AJ140" s="81"/>
      <c r="AK140" s="81"/>
      <c r="AL140" s="81"/>
      <c r="AM140" s="81"/>
      <c r="AN140" s="81"/>
      <c r="AO140" s="81"/>
      <c r="AP140" s="81"/>
      <c r="AQ140" s="81"/>
      <c r="AR140" s="81"/>
      <c r="AS140" s="81"/>
      <c r="AT140" s="81"/>
      <c r="AU140" s="81"/>
      <c r="AV140" s="81"/>
    </row>
    <row r="141" spans="1:48">
      <c r="A141" s="81"/>
      <c r="B141" s="81"/>
      <c r="C141" s="81"/>
      <c r="D141" s="81"/>
      <c r="E141" s="81"/>
      <c r="F141" s="81"/>
      <c r="G141" s="81"/>
      <c r="H141" s="81"/>
      <c r="I141" s="81"/>
      <c r="J141" s="81"/>
      <c r="K141" s="81"/>
      <c r="L141" s="81"/>
      <c r="M141" s="81"/>
      <c r="N141" s="81"/>
      <c r="O141" s="81"/>
      <c r="P141" s="81"/>
      <c r="Q141" s="81"/>
      <c r="R141" s="81"/>
      <c r="S141" s="81"/>
      <c r="T141" s="81"/>
      <c r="U141" s="81"/>
      <c r="V141" s="81"/>
      <c r="W141" s="81"/>
      <c r="X141" s="81"/>
      <c r="Y141" s="81"/>
      <c r="Z141" s="81"/>
      <c r="AA141" s="81"/>
      <c r="AB141" s="81"/>
      <c r="AC141" s="81"/>
      <c r="AD141" s="81"/>
      <c r="AE141" s="81"/>
      <c r="AF141" s="81"/>
      <c r="AG141" s="81"/>
      <c r="AH141" s="81"/>
      <c r="AI141" s="81"/>
      <c r="AJ141" s="81"/>
      <c r="AK141" s="81"/>
      <c r="AL141" s="81"/>
      <c r="AM141" s="81"/>
      <c r="AN141" s="81"/>
      <c r="AO141" s="81"/>
      <c r="AP141" s="81"/>
      <c r="AQ141" s="81"/>
      <c r="AR141" s="81"/>
      <c r="AS141" s="81"/>
      <c r="AT141" s="81"/>
      <c r="AU141" s="81"/>
      <c r="AV141" s="81"/>
    </row>
    <row r="142" spans="1:48">
      <c r="A142" s="81"/>
      <c r="B142" s="81"/>
      <c r="C142" s="81"/>
      <c r="D142" s="81"/>
      <c r="E142" s="81"/>
      <c r="F142" s="81"/>
      <c r="G142" s="81"/>
      <c r="H142" s="81"/>
      <c r="I142" s="81"/>
      <c r="J142" s="81"/>
      <c r="K142" s="81"/>
      <c r="L142" s="81"/>
      <c r="M142" s="81"/>
      <c r="N142" s="81"/>
      <c r="O142" s="81"/>
      <c r="P142" s="81"/>
      <c r="Q142" s="81"/>
      <c r="R142" s="81"/>
      <c r="S142" s="81"/>
      <c r="T142" s="81"/>
      <c r="U142" s="81"/>
      <c r="V142" s="81"/>
      <c r="W142" s="81"/>
      <c r="X142" s="81"/>
      <c r="Y142" s="81"/>
      <c r="Z142" s="81"/>
      <c r="AA142" s="81"/>
      <c r="AB142" s="81"/>
      <c r="AC142" s="81"/>
      <c r="AD142" s="81"/>
      <c r="AE142" s="81"/>
      <c r="AF142" s="81"/>
      <c r="AG142" s="81"/>
      <c r="AH142" s="81"/>
      <c r="AI142" s="81"/>
      <c r="AJ142" s="81"/>
      <c r="AK142" s="81"/>
      <c r="AL142" s="81"/>
      <c r="AM142" s="81"/>
      <c r="AN142" s="81"/>
      <c r="AO142" s="81"/>
      <c r="AP142" s="81"/>
      <c r="AQ142" s="81"/>
      <c r="AR142" s="81"/>
      <c r="AS142" s="81"/>
      <c r="AT142" s="81"/>
      <c r="AU142" s="81"/>
      <c r="AV142" s="81"/>
    </row>
    <row r="143" spans="1:48">
      <c r="A143" s="81"/>
      <c r="B143" s="81"/>
      <c r="C143" s="81"/>
      <c r="D143" s="81"/>
      <c r="E143" s="81"/>
      <c r="F143" s="81"/>
      <c r="G143" s="81"/>
      <c r="H143" s="81"/>
      <c r="I143" s="81"/>
      <c r="J143" s="81"/>
      <c r="K143" s="81"/>
      <c r="L143" s="81"/>
      <c r="M143" s="81"/>
      <c r="N143" s="81"/>
      <c r="O143" s="81"/>
      <c r="P143" s="81"/>
      <c r="Q143" s="81"/>
      <c r="R143" s="81"/>
      <c r="S143" s="81"/>
      <c r="T143" s="81"/>
      <c r="U143" s="81"/>
      <c r="V143" s="81"/>
      <c r="W143" s="81"/>
      <c r="X143" s="81"/>
      <c r="Y143" s="81"/>
      <c r="Z143" s="81"/>
      <c r="AA143" s="81"/>
      <c r="AB143" s="81"/>
      <c r="AC143" s="81"/>
      <c r="AD143" s="81"/>
      <c r="AE143" s="81"/>
      <c r="AF143" s="81"/>
      <c r="AG143" s="81"/>
      <c r="AH143" s="81"/>
      <c r="AI143" s="81"/>
      <c r="AJ143" s="81"/>
      <c r="AK143" s="81"/>
      <c r="AL143" s="81"/>
      <c r="AM143" s="81"/>
      <c r="AN143" s="81"/>
      <c r="AO143" s="81"/>
      <c r="AP143" s="81"/>
      <c r="AQ143" s="81"/>
      <c r="AR143" s="81"/>
      <c r="AS143" s="81"/>
      <c r="AT143" s="81"/>
      <c r="AU143" s="81"/>
      <c r="AV143" s="81"/>
    </row>
    <row r="144" spans="1:48">
      <c r="A144" s="81"/>
      <c r="B144" s="81"/>
      <c r="C144" s="81"/>
      <c r="D144" s="81"/>
      <c r="E144" s="81"/>
      <c r="F144" s="81"/>
      <c r="G144" s="81"/>
      <c r="H144" s="81"/>
      <c r="I144" s="81"/>
      <c r="J144" s="81"/>
      <c r="K144" s="81"/>
      <c r="L144" s="81"/>
      <c r="M144" s="81"/>
      <c r="N144" s="81"/>
      <c r="O144" s="81"/>
      <c r="P144" s="81"/>
      <c r="Q144" s="81"/>
      <c r="R144" s="81"/>
      <c r="S144" s="81"/>
      <c r="T144" s="81"/>
      <c r="U144" s="81"/>
      <c r="V144" s="81"/>
      <c r="W144" s="81"/>
      <c r="X144" s="81"/>
      <c r="Y144" s="81"/>
      <c r="Z144" s="81"/>
      <c r="AA144" s="81"/>
      <c r="AB144" s="81"/>
      <c r="AC144" s="81"/>
      <c r="AD144" s="81"/>
      <c r="AE144" s="81"/>
      <c r="AF144" s="81"/>
      <c r="AG144" s="81"/>
      <c r="AH144" s="81"/>
      <c r="AI144" s="81"/>
      <c r="AJ144" s="81"/>
      <c r="AK144" s="81"/>
      <c r="AL144" s="81"/>
      <c r="AM144" s="81"/>
      <c r="AN144" s="81"/>
      <c r="AO144" s="81"/>
      <c r="AP144" s="81"/>
      <c r="AQ144" s="81"/>
      <c r="AR144" s="81"/>
      <c r="AS144" s="81"/>
      <c r="AT144" s="81"/>
      <c r="AU144" s="81"/>
      <c r="AV144" s="81"/>
    </row>
    <row r="145" spans="1:48">
      <c r="A145" s="81"/>
      <c r="B145" s="81"/>
      <c r="C145" s="81"/>
      <c r="D145" s="81"/>
      <c r="E145" s="81"/>
      <c r="F145" s="81"/>
      <c r="G145" s="81"/>
      <c r="H145" s="81"/>
      <c r="I145" s="81"/>
      <c r="J145" s="81"/>
      <c r="K145" s="81"/>
      <c r="L145" s="81"/>
      <c r="M145" s="81"/>
      <c r="N145" s="81"/>
      <c r="O145" s="81"/>
      <c r="P145" s="81"/>
      <c r="Q145" s="81"/>
      <c r="R145" s="81"/>
      <c r="S145" s="81"/>
      <c r="T145" s="81"/>
      <c r="U145" s="81"/>
      <c r="V145" s="81"/>
      <c r="W145" s="81"/>
      <c r="X145" s="81"/>
      <c r="Y145" s="81"/>
      <c r="Z145" s="81"/>
      <c r="AA145" s="81"/>
      <c r="AB145" s="81"/>
      <c r="AC145" s="81"/>
      <c r="AD145" s="81"/>
      <c r="AE145" s="81"/>
      <c r="AF145" s="81"/>
      <c r="AG145" s="81"/>
      <c r="AH145" s="81"/>
      <c r="AI145" s="81"/>
      <c r="AJ145" s="81"/>
      <c r="AK145" s="81"/>
      <c r="AL145" s="81"/>
      <c r="AM145" s="81"/>
      <c r="AN145" s="81"/>
      <c r="AO145" s="81"/>
      <c r="AP145" s="81"/>
      <c r="AQ145" s="81"/>
      <c r="AR145" s="81"/>
      <c r="AS145" s="81"/>
      <c r="AT145" s="81"/>
      <c r="AU145" s="81"/>
      <c r="AV145" s="81"/>
    </row>
    <row r="146" spans="1:48">
      <c r="A146" s="81"/>
      <c r="B146" s="81"/>
      <c r="C146" s="81"/>
      <c r="D146" s="81"/>
      <c r="E146" s="81"/>
      <c r="F146" s="81"/>
      <c r="G146" s="81"/>
      <c r="H146" s="81"/>
      <c r="I146" s="81"/>
      <c r="J146" s="81"/>
      <c r="K146" s="81"/>
      <c r="L146" s="81"/>
      <c r="M146" s="81"/>
      <c r="N146" s="81"/>
      <c r="O146" s="81"/>
      <c r="P146" s="81"/>
      <c r="Q146" s="81"/>
      <c r="R146" s="81"/>
      <c r="S146" s="81"/>
      <c r="T146" s="81"/>
      <c r="U146" s="81"/>
      <c r="V146" s="81"/>
      <c r="W146" s="81"/>
      <c r="X146" s="81"/>
      <c r="Y146" s="81"/>
      <c r="Z146" s="81"/>
      <c r="AA146" s="81"/>
      <c r="AB146" s="81"/>
      <c r="AC146" s="81"/>
      <c r="AD146" s="81"/>
      <c r="AE146" s="81"/>
      <c r="AF146" s="81"/>
      <c r="AG146" s="81"/>
      <c r="AH146" s="81"/>
      <c r="AI146" s="81"/>
      <c r="AJ146" s="81"/>
      <c r="AK146" s="81"/>
      <c r="AL146" s="81"/>
      <c r="AM146" s="81"/>
      <c r="AN146" s="81"/>
      <c r="AO146" s="81"/>
      <c r="AP146" s="81"/>
      <c r="AQ146" s="81"/>
      <c r="AR146" s="81"/>
      <c r="AS146" s="81"/>
      <c r="AT146" s="81"/>
      <c r="AU146" s="81"/>
      <c r="AV146" s="81"/>
    </row>
    <row r="147" spans="1:48">
      <c r="A147" s="81"/>
      <c r="B147" s="81"/>
      <c r="C147" s="81"/>
      <c r="D147" s="81"/>
      <c r="E147" s="81"/>
      <c r="F147" s="81"/>
      <c r="G147" s="81"/>
      <c r="H147" s="81"/>
      <c r="I147" s="81"/>
      <c r="J147" s="81"/>
      <c r="K147" s="81"/>
      <c r="L147" s="81"/>
      <c r="M147" s="81"/>
      <c r="N147" s="81"/>
      <c r="O147" s="81"/>
      <c r="P147" s="81"/>
      <c r="Q147" s="81"/>
      <c r="R147" s="81"/>
      <c r="S147" s="81"/>
      <c r="T147" s="81"/>
      <c r="U147" s="81"/>
      <c r="V147" s="81"/>
      <c r="W147" s="81"/>
      <c r="X147" s="81"/>
      <c r="Y147" s="81"/>
      <c r="Z147" s="81"/>
      <c r="AA147" s="81"/>
      <c r="AB147" s="81"/>
      <c r="AC147" s="81"/>
      <c r="AD147" s="81"/>
      <c r="AE147" s="81"/>
      <c r="AF147" s="81"/>
      <c r="AG147" s="81"/>
      <c r="AH147" s="81"/>
      <c r="AI147" s="81"/>
      <c r="AJ147" s="81"/>
      <c r="AK147" s="81"/>
      <c r="AL147" s="81"/>
      <c r="AM147" s="81"/>
      <c r="AN147" s="81"/>
      <c r="AO147" s="81"/>
      <c r="AP147" s="81"/>
      <c r="AQ147" s="81"/>
      <c r="AR147" s="81"/>
      <c r="AS147" s="81"/>
      <c r="AT147" s="81"/>
      <c r="AU147" s="81"/>
      <c r="AV147" s="81"/>
    </row>
    <row r="148" spans="1:48">
      <c r="A148" s="81"/>
      <c r="B148" s="81"/>
      <c r="C148" s="81"/>
      <c r="D148" s="81"/>
      <c r="E148" s="81"/>
      <c r="F148" s="81"/>
      <c r="G148" s="81"/>
      <c r="H148" s="81"/>
      <c r="I148" s="81"/>
      <c r="J148" s="81"/>
      <c r="K148" s="81"/>
      <c r="L148" s="81"/>
      <c r="M148" s="81"/>
      <c r="N148" s="81"/>
      <c r="O148" s="81"/>
      <c r="P148" s="81"/>
      <c r="Q148" s="81"/>
      <c r="R148" s="81"/>
      <c r="S148" s="81"/>
      <c r="T148" s="81"/>
      <c r="U148" s="81"/>
      <c r="V148" s="81"/>
      <c r="W148" s="81"/>
      <c r="X148" s="81"/>
      <c r="Y148" s="81"/>
      <c r="Z148" s="81"/>
      <c r="AA148" s="81"/>
      <c r="AB148" s="81"/>
      <c r="AC148" s="81"/>
      <c r="AD148" s="81"/>
      <c r="AE148" s="81"/>
      <c r="AF148" s="81"/>
      <c r="AG148" s="81"/>
      <c r="AH148" s="81"/>
      <c r="AI148" s="81"/>
      <c r="AJ148" s="81"/>
      <c r="AK148" s="81"/>
      <c r="AL148" s="81"/>
      <c r="AM148" s="81"/>
      <c r="AN148" s="81"/>
      <c r="AO148" s="81"/>
      <c r="AP148" s="81"/>
      <c r="AQ148" s="81"/>
      <c r="AR148" s="81"/>
      <c r="AS148" s="81"/>
      <c r="AT148" s="81"/>
      <c r="AU148" s="81"/>
      <c r="AV148" s="81"/>
    </row>
    <row r="149" spans="1:48">
      <c r="A149" s="81"/>
      <c r="B149" s="81"/>
      <c r="C149" s="81"/>
      <c r="D149" s="81"/>
      <c r="E149" s="81"/>
      <c r="F149" s="81"/>
      <c r="G149" s="81"/>
      <c r="H149" s="81"/>
      <c r="I149" s="81"/>
      <c r="J149" s="81"/>
      <c r="K149" s="81"/>
      <c r="L149" s="81"/>
      <c r="M149" s="81"/>
      <c r="N149" s="81"/>
      <c r="O149" s="81"/>
      <c r="P149" s="81"/>
      <c r="Q149" s="81"/>
      <c r="R149" s="81"/>
      <c r="S149" s="81"/>
      <c r="T149" s="81"/>
      <c r="U149" s="81"/>
      <c r="V149" s="81"/>
      <c r="W149" s="81"/>
      <c r="X149" s="81"/>
      <c r="Y149" s="81"/>
      <c r="Z149" s="81"/>
      <c r="AA149" s="81"/>
      <c r="AB149" s="81"/>
      <c r="AC149" s="81"/>
      <c r="AD149" s="81"/>
      <c r="AE149" s="81"/>
      <c r="AF149" s="81"/>
      <c r="AG149" s="81"/>
      <c r="AH149" s="81"/>
      <c r="AI149" s="81"/>
      <c r="AJ149" s="81"/>
      <c r="AK149" s="81"/>
      <c r="AL149" s="81"/>
      <c r="AM149" s="81"/>
      <c r="AN149" s="81"/>
      <c r="AO149" s="81"/>
      <c r="AP149" s="81"/>
      <c r="AQ149" s="81"/>
      <c r="AR149" s="81"/>
      <c r="AS149" s="81"/>
      <c r="AT149" s="81"/>
      <c r="AU149" s="81"/>
      <c r="AV149" s="81"/>
    </row>
    <row r="150" spans="1:48">
      <c r="A150" s="81"/>
      <c r="B150" s="81"/>
      <c r="C150" s="81"/>
      <c r="D150" s="81"/>
      <c r="E150" s="81"/>
      <c r="F150" s="81"/>
      <c r="G150" s="81"/>
      <c r="H150" s="81"/>
      <c r="I150" s="81"/>
      <c r="J150" s="81"/>
      <c r="K150" s="81"/>
      <c r="L150" s="81"/>
      <c r="M150" s="81"/>
      <c r="N150" s="81"/>
      <c r="O150" s="81"/>
      <c r="P150" s="81"/>
      <c r="Q150" s="81"/>
      <c r="R150" s="81"/>
      <c r="S150" s="81"/>
      <c r="T150" s="81"/>
      <c r="U150" s="81"/>
      <c r="V150" s="81"/>
      <c r="W150" s="81"/>
      <c r="X150" s="81"/>
      <c r="Y150" s="81"/>
      <c r="Z150" s="81"/>
      <c r="AA150" s="81"/>
      <c r="AB150" s="81"/>
      <c r="AC150" s="81"/>
      <c r="AD150" s="81"/>
      <c r="AE150" s="81"/>
      <c r="AF150" s="81"/>
      <c r="AG150" s="81"/>
      <c r="AH150" s="81"/>
      <c r="AI150" s="81"/>
      <c r="AJ150" s="81"/>
      <c r="AK150" s="81"/>
      <c r="AL150" s="81"/>
      <c r="AM150" s="81"/>
      <c r="AN150" s="81"/>
      <c r="AO150" s="81"/>
      <c r="AP150" s="81"/>
      <c r="AQ150" s="81"/>
      <c r="AR150" s="81"/>
      <c r="AS150" s="81"/>
      <c r="AT150" s="81"/>
      <c r="AU150" s="81"/>
      <c r="AV150" s="81"/>
    </row>
    <row r="151" spans="1:48">
      <c r="A151" s="81"/>
      <c r="B151" s="81"/>
      <c r="C151" s="81"/>
      <c r="D151" s="81"/>
      <c r="E151" s="81"/>
      <c r="F151" s="81"/>
      <c r="G151" s="81"/>
      <c r="H151" s="81"/>
      <c r="I151" s="81"/>
      <c r="J151" s="81"/>
      <c r="K151" s="81"/>
      <c r="L151" s="81"/>
      <c r="M151" s="81"/>
      <c r="N151" s="81"/>
      <c r="O151" s="81"/>
      <c r="P151" s="81"/>
      <c r="Q151" s="81"/>
      <c r="R151" s="81"/>
      <c r="S151" s="81"/>
      <c r="T151" s="81"/>
      <c r="U151" s="81"/>
      <c r="V151" s="81"/>
      <c r="W151" s="81"/>
      <c r="X151" s="81"/>
      <c r="Y151" s="81"/>
      <c r="Z151" s="81"/>
      <c r="AA151" s="81"/>
      <c r="AB151" s="81"/>
      <c r="AC151" s="81"/>
      <c r="AD151" s="81"/>
      <c r="AE151" s="81"/>
      <c r="AF151" s="81"/>
      <c r="AG151" s="81"/>
      <c r="AH151" s="81"/>
      <c r="AI151" s="81"/>
      <c r="AJ151" s="81"/>
      <c r="AK151" s="81"/>
      <c r="AL151" s="81"/>
      <c r="AM151" s="81"/>
      <c r="AN151" s="81"/>
      <c r="AO151" s="81"/>
      <c r="AP151" s="81"/>
      <c r="AQ151" s="81"/>
      <c r="AR151" s="81"/>
      <c r="AS151" s="81"/>
      <c r="AT151" s="81"/>
      <c r="AU151" s="81"/>
      <c r="AV151" s="81"/>
    </row>
    <row r="152" spans="1:48">
      <c r="A152" s="81"/>
      <c r="B152" s="81"/>
      <c r="C152" s="81"/>
      <c r="D152" s="81"/>
      <c r="E152" s="81"/>
      <c r="F152" s="81"/>
      <c r="G152" s="81"/>
      <c r="H152" s="81"/>
      <c r="I152" s="81"/>
      <c r="J152" s="81"/>
      <c r="K152" s="81"/>
      <c r="L152" s="81"/>
      <c r="M152" s="81"/>
      <c r="N152" s="81"/>
      <c r="O152" s="81"/>
      <c r="P152" s="81"/>
      <c r="Q152" s="81"/>
      <c r="R152" s="81"/>
      <c r="S152" s="81"/>
      <c r="T152" s="81"/>
      <c r="U152" s="81"/>
      <c r="V152" s="81"/>
      <c r="W152" s="81"/>
      <c r="X152" s="81"/>
      <c r="Y152" s="81"/>
      <c r="Z152" s="81"/>
      <c r="AA152" s="81"/>
      <c r="AB152" s="81"/>
      <c r="AC152" s="81"/>
      <c r="AD152" s="81"/>
      <c r="AE152" s="81"/>
      <c r="AF152" s="81"/>
      <c r="AG152" s="81"/>
      <c r="AH152" s="81"/>
      <c r="AI152" s="81"/>
      <c r="AJ152" s="81"/>
      <c r="AK152" s="81"/>
      <c r="AL152" s="81"/>
      <c r="AM152" s="81"/>
      <c r="AN152" s="81"/>
      <c r="AO152" s="81"/>
      <c r="AP152" s="81"/>
      <c r="AQ152" s="81"/>
      <c r="AR152" s="81"/>
      <c r="AS152" s="81"/>
      <c r="AT152" s="81"/>
      <c r="AU152" s="81"/>
      <c r="AV152" s="81"/>
    </row>
    <row r="153" spans="1:48">
      <c r="A153" s="81"/>
      <c r="B153" s="81"/>
      <c r="C153" s="81"/>
      <c r="D153" s="81"/>
      <c r="E153" s="81"/>
      <c r="F153" s="81"/>
      <c r="G153" s="81"/>
      <c r="H153" s="81"/>
      <c r="I153" s="81"/>
      <c r="J153" s="81"/>
      <c r="K153" s="81"/>
      <c r="L153" s="81"/>
      <c r="M153" s="81"/>
      <c r="N153" s="81"/>
      <c r="O153" s="81"/>
      <c r="P153" s="81"/>
      <c r="Q153" s="81"/>
      <c r="R153" s="81"/>
      <c r="S153" s="81"/>
      <c r="T153" s="81"/>
      <c r="U153" s="81"/>
      <c r="V153" s="81"/>
      <c r="W153" s="81"/>
      <c r="X153" s="81"/>
      <c r="Y153" s="81"/>
      <c r="Z153" s="81"/>
      <c r="AA153" s="81"/>
      <c r="AB153" s="81"/>
      <c r="AC153" s="81"/>
      <c r="AD153" s="81"/>
      <c r="AE153" s="81"/>
      <c r="AF153" s="81"/>
      <c r="AG153" s="81"/>
      <c r="AH153" s="81"/>
      <c r="AI153" s="81"/>
      <c r="AJ153" s="81"/>
      <c r="AK153" s="81"/>
      <c r="AL153" s="81"/>
      <c r="AM153" s="81"/>
      <c r="AN153" s="81"/>
      <c r="AO153" s="81"/>
      <c r="AP153" s="81"/>
      <c r="AQ153" s="81"/>
      <c r="AR153" s="81"/>
      <c r="AS153" s="81"/>
      <c r="AT153" s="81"/>
      <c r="AU153" s="81"/>
      <c r="AV153" s="81"/>
    </row>
    <row r="154" spans="1:48">
      <c r="A154" s="81"/>
      <c r="B154" s="81"/>
      <c r="C154" s="81"/>
      <c r="D154" s="81"/>
      <c r="E154" s="81"/>
      <c r="F154" s="81"/>
      <c r="G154" s="81"/>
      <c r="H154" s="81"/>
      <c r="I154" s="81"/>
      <c r="J154" s="81"/>
      <c r="K154" s="81"/>
      <c r="L154" s="81"/>
      <c r="M154" s="81"/>
      <c r="N154" s="81"/>
      <c r="O154" s="81"/>
      <c r="P154" s="81"/>
      <c r="Q154" s="81"/>
      <c r="R154" s="81"/>
      <c r="S154" s="81"/>
      <c r="T154" s="81"/>
      <c r="U154" s="81"/>
      <c r="V154" s="81"/>
      <c r="W154" s="81"/>
      <c r="X154" s="81"/>
      <c r="Y154" s="81"/>
      <c r="Z154" s="81"/>
      <c r="AA154" s="81"/>
      <c r="AB154" s="81"/>
      <c r="AC154" s="81"/>
      <c r="AD154" s="81"/>
      <c r="AE154" s="81"/>
      <c r="AF154" s="81"/>
      <c r="AG154" s="81"/>
      <c r="AH154" s="81"/>
      <c r="AI154" s="81"/>
      <c r="AJ154" s="81"/>
      <c r="AK154" s="81"/>
      <c r="AL154" s="81"/>
      <c r="AM154" s="81"/>
      <c r="AN154" s="81"/>
      <c r="AO154" s="81"/>
      <c r="AP154" s="81"/>
      <c r="AQ154" s="81"/>
      <c r="AR154" s="81"/>
      <c r="AS154" s="81"/>
      <c r="AT154" s="81"/>
      <c r="AU154" s="81"/>
      <c r="AV154" s="81"/>
    </row>
    <row r="155" spans="1:48">
      <c r="A155" s="81"/>
      <c r="B155" s="81"/>
      <c r="C155" s="81"/>
      <c r="D155" s="81"/>
      <c r="E155" s="81"/>
      <c r="F155" s="81"/>
      <c r="G155" s="81"/>
      <c r="H155" s="81"/>
      <c r="I155" s="81"/>
      <c r="J155" s="81"/>
      <c r="K155" s="81"/>
      <c r="L155" s="81"/>
      <c r="M155" s="81"/>
      <c r="N155" s="81"/>
      <c r="O155" s="81"/>
      <c r="P155" s="81"/>
      <c r="Q155" s="81"/>
      <c r="R155" s="81"/>
      <c r="S155" s="81"/>
      <c r="T155" s="81"/>
      <c r="U155" s="81"/>
      <c r="V155" s="81"/>
      <c r="W155" s="81"/>
      <c r="X155" s="81"/>
      <c r="Y155" s="81"/>
      <c r="Z155" s="81"/>
      <c r="AA155" s="81"/>
      <c r="AB155" s="81"/>
      <c r="AC155" s="81"/>
      <c r="AD155" s="81"/>
      <c r="AE155" s="81"/>
      <c r="AF155" s="81"/>
      <c r="AG155" s="81"/>
      <c r="AH155" s="81"/>
      <c r="AI155" s="81"/>
      <c r="AJ155" s="81"/>
      <c r="AK155" s="81"/>
      <c r="AL155" s="81"/>
      <c r="AM155" s="81"/>
      <c r="AN155" s="81"/>
      <c r="AO155" s="81"/>
      <c r="AP155" s="81"/>
      <c r="AQ155" s="81"/>
      <c r="AR155" s="81"/>
      <c r="AS155" s="81"/>
      <c r="AT155" s="81"/>
      <c r="AU155" s="81"/>
      <c r="AV155" s="81"/>
    </row>
    <row r="156" spans="1:48">
      <c r="A156" s="81"/>
      <c r="B156" s="81"/>
      <c r="C156" s="81"/>
      <c r="D156" s="81"/>
      <c r="E156" s="81"/>
      <c r="F156" s="81"/>
      <c r="G156" s="81"/>
      <c r="H156" s="81"/>
      <c r="I156" s="81"/>
      <c r="J156" s="81"/>
      <c r="K156" s="81"/>
      <c r="L156" s="81"/>
      <c r="M156" s="81"/>
      <c r="N156" s="81"/>
      <c r="O156" s="81"/>
      <c r="P156" s="81"/>
      <c r="Q156" s="81"/>
      <c r="R156" s="81"/>
      <c r="S156" s="81"/>
      <c r="T156" s="81"/>
      <c r="U156" s="81"/>
      <c r="V156" s="81"/>
      <c r="W156" s="81"/>
      <c r="X156" s="81"/>
      <c r="Y156" s="81"/>
      <c r="Z156" s="81"/>
      <c r="AA156" s="81"/>
      <c r="AB156" s="81"/>
      <c r="AC156" s="81"/>
      <c r="AD156" s="81"/>
      <c r="AE156" s="81"/>
      <c r="AF156" s="81"/>
      <c r="AG156" s="81"/>
      <c r="AH156" s="81"/>
      <c r="AI156" s="81"/>
      <c r="AJ156" s="81"/>
      <c r="AK156" s="81"/>
      <c r="AL156" s="81"/>
      <c r="AM156" s="81"/>
      <c r="AN156" s="81"/>
      <c r="AO156" s="81"/>
      <c r="AP156" s="81"/>
      <c r="AQ156" s="81"/>
      <c r="AR156" s="81"/>
      <c r="AS156" s="81"/>
      <c r="AT156" s="81"/>
      <c r="AU156" s="81"/>
      <c r="AV156" s="81"/>
    </row>
    <row r="157" spans="1:48">
      <c r="A157" s="81"/>
      <c r="B157" s="81"/>
      <c r="C157" s="81"/>
      <c r="D157" s="81"/>
      <c r="E157" s="81"/>
      <c r="F157" s="81"/>
      <c r="G157" s="81"/>
      <c r="H157" s="81"/>
      <c r="I157" s="81"/>
      <c r="J157" s="81"/>
      <c r="K157" s="81"/>
      <c r="L157" s="81"/>
      <c r="M157" s="81"/>
      <c r="N157" s="81"/>
      <c r="O157" s="81"/>
      <c r="P157" s="81"/>
      <c r="Q157" s="81"/>
      <c r="R157" s="81"/>
      <c r="S157" s="81"/>
      <c r="T157" s="81"/>
      <c r="U157" s="81"/>
      <c r="V157" s="81"/>
      <c r="W157" s="81"/>
      <c r="X157" s="81"/>
      <c r="Y157" s="81"/>
      <c r="Z157" s="81"/>
      <c r="AA157" s="81"/>
      <c r="AB157" s="81"/>
      <c r="AC157" s="81"/>
      <c r="AD157" s="81"/>
      <c r="AE157" s="81"/>
      <c r="AF157" s="81"/>
      <c r="AG157" s="81"/>
      <c r="AH157" s="81"/>
      <c r="AI157" s="81"/>
      <c r="AJ157" s="81"/>
      <c r="AK157" s="81"/>
      <c r="AL157" s="81"/>
      <c r="AM157" s="81"/>
      <c r="AN157" s="81"/>
      <c r="AO157" s="81"/>
      <c r="AP157" s="81"/>
      <c r="AQ157" s="81"/>
      <c r="AR157" s="81"/>
      <c r="AS157" s="81"/>
      <c r="AT157" s="81"/>
      <c r="AU157" s="81"/>
      <c r="AV157" s="81"/>
    </row>
    <row r="158" spans="1:48">
      <c r="A158" s="81"/>
      <c r="B158" s="81"/>
      <c r="C158" s="81"/>
      <c r="D158" s="81"/>
      <c r="E158" s="81"/>
      <c r="F158" s="81"/>
      <c r="G158" s="81"/>
      <c r="H158" s="81"/>
      <c r="I158" s="81"/>
      <c r="J158" s="81"/>
      <c r="K158" s="81"/>
      <c r="L158" s="81"/>
      <c r="M158" s="81"/>
      <c r="N158" s="81"/>
      <c r="O158" s="81"/>
      <c r="P158" s="81"/>
      <c r="Q158" s="81"/>
      <c r="R158" s="81"/>
      <c r="S158" s="81"/>
      <c r="T158" s="81"/>
      <c r="U158" s="81"/>
      <c r="V158" s="81"/>
      <c r="W158" s="81"/>
      <c r="X158" s="81"/>
      <c r="Y158" s="81"/>
      <c r="Z158" s="81"/>
      <c r="AA158" s="81"/>
      <c r="AB158" s="81"/>
      <c r="AC158" s="81"/>
      <c r="AD158" s="81"/>
      <c r="AE158" s="81"/>
      <c r="AF158" s="81"/>
      <c r="AG158" s="81"/>
      <c r="AH158" s="81"/>
      <c r="AI158" s="81"/>
      <c r="AJ158" s="81"/>
      <c r="AK158" s="81"/>
      <c r="AL158" s="81"/>
      <c r="AM158" s="81"/>
      <c r="AN158" s="81"/>
      <c r="AO158" s="81"/>
      <c r="AP158" s="81"/>
      <c r="AQ158" s="81"/>
      <c r="AR158" s="81"/>
      <c r="AS158" s="81"/>
      <c r="AT158" s="81"/>
      <c r="AU158" s="81"/>
      <c r="AV158" s="81"/>
    </row>
    <row r="159" spans="1:48">
      <c r="A159" s="81"/>
      <c r="B159" s="81"/>
      <c r="C159" s="81"/>
      <c r="D159" s="81"/>
      <c r="E159" s="81"/>
      <c r="F159" s="81"/>
      <c r="G159" s="81"/>
      <c r="H159" s="81"/>
      <c r="I159" s="81"/>
      <c r="J159" s="81"/>
      <c r="K159" s="81"/>
      <c r="L159" s="81"/>
      <c r="M159" s="81"/>
      <c r="N159" s="81"/>
      <c r="O159" s="81"/>
      <c r="P159" s="81"/>
      <c r="Q159" s="81"/>
      <c r="R159" s="81"/>
      <c r="S159" s="81"/>
      <c r="T159" s="81"/>
      <c r="U159" s="81"/>
      <c r="V159" s="81"/>
      <c r="W159" s="81"/>
      <c r="X159" s="81"/>
      <c r="Y159" s="81"/>
      <c r="Z159" s="81"/>
      <c r="AA159" s="81"/>
      <c r="AB159" s="81"/>
      <c r="AC159" s="81"/>
      <c r="AD159" s="81"/>
      <c r="AE159" s="81"/>
      <c r="AF159" s="81"/>
      <c r="AG159" s="81"/>
      <c r="AH159" s="81"/>
      <c r="AI159" s="81"/>
      <c r="AJ159" s="81"/>
      <c r="AK159" s="81"/>
      <c r="AL159" s="81"/>
      <c r="AM159" s="81"/>
      <c r="AN159" s="81"/>
      <c r="AO159" s="81"/>
      <c r="AP159" s="81"/>
      <c r="AQ159" s="81"/>
      <c r="AR159" s="81"/>
      <c r="AS159" s="81"/>
      <c r="AT159" s="81"/>
      <c r="AU159" s="81"/>
      <c r="AV159" s="81"/>
    </row>
    <row r="160" spans="1:48">
      <c r="A160" s="81"/>
      <c r="B160" s="81"/>
      <c r="C160" s="81"/>
      <c r="D160" s="81"/>
      <c r="E160" s="81"/>
      <c r="F160" s="81"/>
      <c r="G160" s="81"/>
      <c r="H160" s="81"/>
      <c r="I160" s="81"/>
      <c r="J160" s="81"/>
      <c r="K160" s="81"/>
      <c r="L160" s="81"/>
      <c r="M160" s="81"/>
      <c r="N160" s="81"/>
      <c r="O160" s="81"/>
      <c r="P160" s="81"/>
      <c r="Q160" s="81"/>
      <c r="R160" s="81"/>
      <c r="S160" s="81"/>
      <c r="T160" s="81"/>
      <c r="U160" s="81"/>
      <c r="V160" s="81"/>
      <c r="W160" s="81"/>
      <c r="X160" s="81"/>
      <c r="Y160" s="81"/>
      <c r="Z160" s="81"/>
      <c r="AA160" s="81"/>
      <c r="AB160" s="81"/>
      <c r="AC160" s="81"/>
      <c r="AD160" s="81"/>
      <c r="AE160" s="81"/>
      <c r="AF160" s="81"/>
      <c r="AG160" s="81"/>
      <c r="AH160" s="81"/>
      <c r="AI160" s="81"/>
      <c r="AJ160" s="81"/>
      <c r="AK160" s="81"/>
      <c r="AL160" s="81"/>
      <c r="AM160" s="81"/>
      <c r="AN160" s="81"/>
      <c r="AO160" s="81"/>
      <c r="AP160" s="81"/>
      <c r="AQ160" s="81"/>
      <c r="AR160" s="81"/>
      <c r="AS160" s="81"/>
      <c r="AT160" s="81"/>
      <c r="AU160" s="81"/>
      <c r="AV160" s="81"/>
    </row>
    <row r="161" spans="1:48">
      <c r="A161" s="81"/>
      <c r="B161" s="81"/>
      <c r="C161" s="81"/>
      <c r="D161" s="81"/>
      <c r="E161" s="81"/>
      <c r="F161" s="81"/>
      <c r="G161" s="81"/>
      <c r="H161" s="81"/>
      <c r="I161" s="81"/>
      <c r="J161" s="81"/>
      <c r="K161" s="81"/>
      <c r="L161" s="81"/>
      <c r="M161" s="81"/>
      <c r="N161" s="81"/>
      <c r="O161" s="81"/>
      <c r="P161" s="81"/>
      <c r="Q161" s="81"/>
      <c r="R161" s="81"/>
      <c r="S161" s="81"/>
      <c r="T161" s="81"/>
      <c r="U161" s="81"/>
      <c r="V161" s="81"/>
      <c r="W161" s="81"/>
      <c r="X161" s="81"/>
      <c r="Y161" s="81"/>
      <c r="Z161" s="81"/>
      <c r="AA161" s="81"/>
      <c r="AB161" s="81"/>
      <c r="AC161" s="81"/>
      <c r="AD161" s="81"/>
      <c r="AE161" s="81"/>
      <c r="AF161" s="81"/>
      <c r="AG161" s="81"/>
      <c r="AH161" s="81"/>
      <c r="AI161" s="81"/>
      <c r="AJ161" s="81"/>
      <c r="AK161" s="81"/>
      <c r="AL161" s="81"/>
      <c r="AM161" s="81"/>
      <c r="AN161" s="81"/>
      <c r="AO161" s="81"/>
      <c r="AP161" s="81"/>
      <c r="AQ161" s="81"/>
      <c r="AR161" s="81"/>
      <c r="AS161" s="81"/>
      <c r="AT161" s="81"/>
      <c r="AU161" s="81"/>
      <c r="AV161" s="81"/>
    </row>
    <row r="162" spans="1:48">
      <c r="A162" s="81"/>
      <c r="B162" s="81"/>
      <c r="C162" s="81"/>
      <c r="D162" s="81"/>
      <c r="E162" s="81"/>
      <c r="F162" s="81"/>
      <c r="G162" s="81"/>
      <c r="H162" s="81"/>
      <c r="I162" s="81"/>
      <c r="J162" s="81"/>
      <c r="K162" s="81"/>
      <c r="L162" s="81"/>
      <c r="M162" s="81"/>
      <c r="N162" s="81"/>
      <c r="O162" s="81"/>
      <c r="P162" s="81"/>
      <c r="Q162" s="81"/>
      <c r="R162" s="81"/>
      <c r="S162" s="81"/>
      <c r="T162" s="81"/>
      <c r="U162" s="81"/>
      <c r="V162" s="81"/>
      <c r="W162" s="81"/>
      <c r="X162" s="81"/>
      <c r="Y162" s="81"/>
      <c r="Z162" s="81"/>
      <c r="AA162" s="81"/>
      <c r="AB162" s="81"/>
      <c r="AC162" s="81"/>
      <c r="AD162" s="81"/>
      <c r="AE162" s="81"/>
      <c r="AF162" s="81"/>
      <c r="AG162" s="81"/>
      <c r="AH162" s="81"/>
      <c r="AI162" s="81"/>
      <c r="AJ162" s="81"/>
      <c r="AK162" s="81"/>
      <c r="AL162" s="81"/>
      <c r="AM162" s="81"/>
      <c r="AN162" s="81"/>
      <c r="AO162" s="81"/>
      <c r="AP162" s="81"/>
      <c r="AQ162" s="81"/>
      <c r="AR162" s="81"/>
      <c r="AS162" s="81"/>
      <c r="AT162" s="81"/>
      <c r="AU162" s="81"/>
      <c r="AV162" s="81"/>
    </row>
    <row r="163" spans="1:48">
      <c r="A163" s="81"/>
      <c r="B163" s="81"/>
      <c r="C163" s="81"/>
      <c r="D163" s="81"/>
      <c r="E163" s="81"/>
      <c r="F163" s="81"/>
      <c r="G163" s="81"/>
      <c r="H163" s="81"/>
      <c r="I163" s="81"/>
      <c r="J163" s="81"/>
      <c r="K163" s="81"/>
      <c r="L163" s="81"/>
      <c r="M163" s="81"/>
      <c r="N163" s="81"/>
      <c r="O163" s="81"/>
      <c r="P163" s="81"/>
      <c r="Q163" s="81"/>
      <c r="R163" s="81"/>
      <c r="S163" s="81"/>
      <c r="T163" s="81"/>
      <c r="U163" s="81"/>
      <c r="V163" s="81"/>
      <c r="W163" s="81"/>
      <c r="X163" s="81"/>
      <c r="Y163" s="81"/>
      <c r="Z163" s="81"/>
      <c r="AA163" s="81"/>
      <c r="AB163" s="81"/>
      <c r="AC163" s="81"/>
      <c r="AD163" s="81"/>
      <c r="AE163" s="81"/>
      <c r="AF163" s="81"/>
      <c r="AG163" s="81"/>
      <c r="AH163" s="81"/>
      <c r="AI163" s="81"/>
      <c r="AJ163" s="81"/>
      <c r="AK163" s="81"/>
      <c r="AL163" s="81"/>
      <c r="AM163" s="81"/>
      <c r="AN163" s="81"/>
      <c r="AO163" s="81"/>
      <c r="AP163" s="81"/>
      <c r="AQ163" s="81"/>
      <c r="AR163" s="81"/>
      <c r="AS163" s="81"/>
      <c r="AT163" s="81"/>
      <c r="AU163" s="81"/>
      <c r="AV163" s="81"/>
    </row>
    <row r="164" spans="1:48">
      <c r="A164" s="81"/>
      <c r="B164" s="81"/>
      <c r="C164" s="81"/>
      <c r="D164" s="81"/>
      <c r="E164" s="81"/>
      <c r="F164" s="81"/>
      <c r="G164" s="81"/>
      <c r="H164" s="81"/>
      <c r="I164" s="81"/>
      <c r="J164" s="81"/>
      <c r="K164" s="81"/>
      <c r="L164" s="81"/>
      <c r="M164" s="81"/>
      <c r="N164" s="81"/>
      <c r="O164" s="81"/>
      <c r="P164" s="81"/>
      <c r="Q164" s="81"/>
      <c r="R164" s="81"/>
      <c r="S164" s="81"/>
      <c r="T164" s="81"/>
      <c r="U164" s="81"/>
      <c r="V164" s="81"/>
      <c r="W164" s="81"/>
      <c r="X164" s="81"/>
      <c r="Y164" s="81"/>
      <c r="Z164" s="81"/>
      <c r="AA164" s="81"/>
      <c r="AB164" s="81"/>
      <c r="AC164" s="81"/>
      <c r="AD164" s="81"/>
      <c r="AE164" s="81"/>
      <c r="AF164" s="81"/>
      <c r="AG164" s="81"/>
      <c r="AH164" s="81"/>
      <c r="AI164" s="81"/>
      <c r="AJ164" s="81"/>
      <c r="AK164" s="81"/>
      <c r="AL164" s="81"/>
      <c r="AM164" s="81"/>
      <c r="AN164" s="81"/>
      <c r="AO164" s="81"/>
      <c r="AP164" s="81"/>
      <c r="AQ164" s="81"/>
      <c r="AR164" s="81"/>
      <c r="AS164" s="81"/>
      <c r="AT164" s="81"/>
      <c r="AU164" s="81"/>
      <c r="AV164" s="81"/>
    </row>
    <row r="165" spans="1:48">
      <c r="A165" s="81"/>
      <c r="B165" s="81"/>
      <c r="C165" s="81"/>
      <c r="D165" s="81"/>
      <c r="E165" s="81"/>
      <c r="F165" s="81"/>
      <c r="G165" s="81"/>
      <c r="H165" s="81"/>
      <c r="I165" s="81"/>
      <c r="J165" s="81"/>
      <c r="K165" s="81"/>
      <c r="L165" s="81"/>
      <c r="M165" s="81"/>
      <c r="N165" s="81"/>
      <c r="O165" s="81"/>
      <c r="P165" s="81"/>
      <c r="Q165" s="81"/>
      <c r="R165" s="81"/>
      <c r="S165" s="81"/>
      <c r="T165" s="81"/>
      <c r="U165" s="81"/>
      <c r="V165" s="81"/>
      <c r="W165" s="81"/>
      <c r="X165" s="81"/>
      <c r="Y165" s="81"/>
      <c r="Z165" s="81"/>
      <c r="AA165" s="81"/>
      <c r="AB165" s="81"/>
      <c r="AC165" s="81"/>
      <c r="AD165" s="81"/>
      <c r="AE165" s="81"/>
      <c r="AF165" s="81"/>
      <c r="AG165" s="81"/>
      <c r="AH165" s="81"/>
      <c r="AI165" s="81"/>
      <c r="AJ165" s="81"/>
      <c r="AK165" s="81"/>
      <c r="AL165" s="81"/>
      <c r="AM165" s="81"/>
      <c r="AN165" s="81"/>
      <c r="AO165" s="81"/>
      <c r="AP165" s="81"/>
      <c r="AQ165" s="81"/>
      <c r="AR165" s="81"/>
      <c r="AS165" s="81"/>
      <c r="AT165" s="81"/>
      <c r="AU165" s="81"/>
      <c r="AV165" s="81"/>
    </row>
    <row r="166" spans="1:48">
      <c r="A166" s="81"/>
      <c r="B166" s="81"/>
      <c r="C166" s="81"/>
      <c r="D166" s="81"/>
      <c r="E166" s="81"/>
      <c r="F166" s="81"/>
      <c r="G166" s="81"/>
      <c r="H166" s="81"/>
      <c r="I166" s="81"/>
      <c r="J166" s="81"/>
      <c r="K166" s="81"/>
      <c r="L166" s="81"/>
      <c r="M166" s="81"/>
      <c r="N166" s="81"/>
      <c r="O166" s="81"/>
      <c r="P166" s="81"/>
      <c r="Q166" s="81"/>
      <c r="R166" s="81"/>
      <c r="S166" s="81"/>
      <c r="T166" s="81"/>
      <c r="U166" s="81"/>
      <c r="V166" s="81"/>
      <c r="W166" s="81"/>
      <c r="X166" s="81"/>
      <c r="Y166" s="81"/>
      <c r="Z166" s="81"/>
      <c r="AA166" s="81"/>
      <c r="AB166" s="81"/>
      <c r="AC166" s="81"/>
      <c r="AD166" s="81"/>
      <c r="AE166" s="81"/>
      <c r="AF166" s="81"/>
      <c r="AG166" s="81"/>
      <c r="AH166" s="81"/>
      <c r="AI166" s="81"/>
      <c r="AJ166" s="81"/>
      <c r="AK166" s="81"/>
      <c r="AL166" s="81"/>
      <c r="AM166" s="81"/>
      <c r="AN166" s="81"/>
      <c r="AO166" s="81"/>
      <c r="AP166" s="81"/>
      <c r="AQ166" s="81"/>
      <c r="AR166" s="81"/>
      <c r="AS166" s="81"/>
      <c r="AT166" s="81"/>
      <c r="AU166" s="81"/>
      <c r="AV166" s="81"/>
    </row>
    <row r="167" spans="1:48">
      <c r="A167" s="81"/>
      <c r="B167" s="81"/>
      <c r="C167" s="81"/>
      <c r="D167" s="81"/>
      <c r="E167" s="81"/>
      <c r="F167" s="81"/>
      <c r="G167" s="81"/>
      <c r="H167" s="81"/>
      <c r="I167" s="81"/>
      <c r="J167" s="81"/>
      <c r="K167" s="81"/>
      <c r="L167" s="81"/>
      <c r="M167" s="81"/>
      <c r="N167" s="81"/>
      <c r="O167" s="81"/>
      <c r="P167" s="81"/>
      <c r="Q167" s="81"/>
      <c r="R167" s="81"/>
      <c r="S167" s="81"/>
      <c r="T167" s="81"/>
      <c r="U167" s="81"/>
      <c r="V167" s="81"/>
      <c r="W167" s="81"/>
      <c r="X167" s="81"/>
      <c r="Y167" s="81"/>
      <c r="Z167" s="81"/>
      <c r="AA167" s="81"/>
      <c r="AB167" s="81"/>
      <c r="AC167" s="81"/>
      <c r="AD167" s="81"/>
      <c r="AE167" s="81"/>
      <c r="AF167" s="81"/>
      <c r="AG167" s="81"/>
      <c r="AH167" s="81"/>
      <c r="AI167" s="81"/>
      <c r="AJ167" s="81"/>
      <c r="AK167" s="81"/>
      <c r="AL167" s="81"/>
      <c r="AM167" s="81"/>
      <c r="AN167" s="81"/>
      <c r="AO167" s="81"/>
      <c r="AP167" s="81"/>
      <c r="AQ167" s="81"/>
      <c r="AR167" s="81"/>
      <c r="AS167" s="81"/>
      <c r="AT167" s="81"/>
      <c r="AU167" s="81"/>
      <c r="AV167" s="81"/>
    </row>
    <row r="168" spans="1:48">
      <c r="A168" s="81"/>
      <c r="B168" s="81"/>
      <c r="C168" s="81"/>
      <c r="D168" s="81"/>
      <c r="E168" s="81"/>
      <c r="F168" s="81"/>
      <c r="G168" s="81"/>
      <c r="H168" s="81"/>
      <c r="I168" s="81"/>
      <c r="J168" s="81"/>
      <c r="K168" s="81"/>
      <c r="L168" s="81"/>
      <c r="M168" s="81"/>
      <c r="N168" s="81"/>
      <c r="O168" s="81"/>
      <c r="P168" s="81"/>
      <c r="Q168" s="81"/>
      <c r="R168" s="81"/>
      <c r="S168" s="81"/>
      <c r="T168" s="81"/>
      <c r="U168" s="81"/>
      <c r="V168" s="81"/>
      <c r="W168" s="81"/>
      <c r="X168" s="81"/>
      <c r="Y168" s="81"/>
      <c r="Z168" s="81"/>
      <c r="AA168" s="81"/>
      <c r="AB168" s="81"/>
      <c r="AC168" s="81"/>
      <c r="AD168" s="81"/>
      <c r="AE168" s="81"/>
      <c r="AF168" s="81"/>
      <c r="AG168" s="81"/>
      <c r="AH168" s="81"/>
      <c r="AI168" s="81"/>
      <c r="AJ168" s="81"/>
      <c r="AK168" s="81"/>
      <c r="AL168" s="81"/>
      <c r="AM168" s="81"/>
      <c r="AN168" s="81"/>
      <c r="AO168" s="81"/>
      <c r="AP168" s="81"/>
      <c r="AQ168" s="81"/>
      <c r="AR168" s="81"/>
      <c r="AS168" s="81"/>
      <c r="AT168" s="81"/>
      <c r="AU168" s="81"/>
      <c r="AV168" s="81"/>
    </row>
    <row r="169" spans="1:48">
      <c r="A169" s="81"/>
      <c r="B169" s="81"/>
      <c r="C169" s="81"/>
      <c r="D169" s="81"/>
      <c r="E169" s="81"/>
      <c r="F169" s="81"/>
      <c r="G169" s="81"/>
      <c r="H169" s="81"/>
      <c r="I169" s="81"/>
      <c r="J169" s="81"/>
      <c r="K169" s="81"/>
      <c r="L169" s="81"/>
      <c r="M169" s="81"/>
      <c r="N169" s="81"/>
      <c r="O169" s="81"/>
      <c r="P169" s="81"/>
      <c r="Q169" s="81"/>
      <c r="R169" s="81"/>
      <c r="S169" s="81"/>
      <c r="T169" s="81"/>
      <c r="U169" s="81"/>
      <c r="V169" s="81"/>
      <c r="W169" s="81"/>
      <c r="X169" s="81"/>
      <c r="Y169" s="81"/>
      <c r="Z169" s="81"/>
      <c r="AA169" s="81"/>
      <c r="AB169" s="81"/>
      <c r="AC169" s="81"/>
      <c r="AD169" s="81"/>
      <c r="AE169" s="81"/>
      <c r="AF169" s="81"/>
      <c r="AG169" s="81"/>
      <c r="AH169" s="81"/>
      <c r="AI169" s="81"/>
      <c r="AJ169" s="81"/>
      <c r="AK169" s="81"/>
      <c r="AL169" s="81"/>
      <c r="AM169" s="81"/>
      <c r="AN169" s="81"/>
      <c r="AO169" s="81"/>
      <c r="AP169" s="81"/>
      <c r="AQ169" s="81"/>
      <c r="AR169" s="81"/>
      <c r="AS169" s="81"/>
      <c r="AT169" s="81"/>
      <c r="AU169" s="81"/>
      <c r="AV169" s="81"/>
    </row>
    <row r="170" spans="1:48">
      <c r="A170" s="81"/>
      <c r="B170" s="81"/>
      <c r="C170" s="81"/>
      <c r="D170" s="81"/>
      <c r="E170" s="81"/>
      <c r="F170" s="81"/>
      <c r="G170" s="81"/>
      <c r="H170" s="81"/>
      <c r="I170" s="81"/>
      <c r="J170" s="81"/>
      <c r="K170" s="81"/>
      <c r="L170" s="81"/>
      <c r="M170" s="81"/>
      <c r="N170" s="81"/>
      <c r="O170" s="81"/>
      <c r="P170" s="81"/>
      <c r="Q170" s="81"/>
      <c r="R170" s="81"/>
      <c r="S170" s="81"/>
      <c r="T170" s="81"/>
      <c r="U170" s="81"/>
      <c r="V170" s="81"/>
      <c r="W170" s="81"/>
      <c r="X170" s="81"/>
      <c r="Y170" s="81"/>
      <c r="Z170" s="81"/>
      <c r="AA170" s="81"/>
      <c r="AB170" s="81"/>
      <c r="AC170" s="81"/>
      <c r="AD170" s="81"/>
      <c r="AE170" s="81"/>
      <c r="AF170" s="81"/>
      <c r="AG170" s="81"/>
      <c r="AH170" s="81"/>
      <c r="AI170" s="81"/>
      <c r="AJ170" s="81"/>
      <c r="AK170" s="81"/>
      <c r="AL170" s="81"/>
      <c r="AM170" s="81"/>
      <c r="AN170" s="81"/>
      <c r="AO170" s="81"/>
      <c r="AP170" s="81"/>
      <c r="AQ170" s="81"/>
      <c r="AR170" s="81"/>
      <c r="AS170" s="81"/>
      <c r="AT170" s="81"/>
      <c r="AU170" s="81"/>
      <c r="AV170" s="81"/>
    </row>
    <row r="171" spans="1:48">
      <c r="A171" s="81"/>
      <c r="B171" s="81"/>
      <c r="C171" s="81"/>
      <c r="D171" s="81"/>
      <c r="E171" s="81"/>
      <c r="F171" s="81"/>
      <c r="G171" s="81"/>
      <c r="H171" s="81"/>
      <c r="I171" s="81"/>
      <c r="J171" s="81"/>
      <c r="K171" s="81"/>
      <c r="L171" s="81"/>
      <c r="M171" s="81"/>
      <c r="N171" s="81"/>
      <c r="O171" s="81"/>
      <c r="P171" s="81"/>
      <c r="Q171" s="81"/>
      <c r="R171" s="81"/>
      <c r="S171" s="81"/>
      <c r="T171" s="81"/>
      <c r="U171" s="81"/>
      <c r="V171" s="81"/>
      <c r="W171" s="81"/>
      <c r="X171" s="81"/>
      <c r="Y171" s="81"/>
      <c r="Z171" s="81"/>
      <c r="AA171" s="81"/>
      <c r="AB171" s="81"/>
      <c r="AC171" s="81"/>
      <c r="AD171" s="81"/>
      <c r="AE171" s="81"/>
      <c r="AF171" s="81"/>
      <c r="AG171" s="81"/>
      <c r="AH171" s="81"/>
      <c r="AI171" s="81"/>
      <c r="AJ171" s="81"/>
      <c r="AK171" s="81"/>
      <c r="AL171" s="81"/>
      <c r="AM171" s="81"/>
      <c r="AN171" s="81"/>
      <c r="AO171" s="81"/>
      <c r="AP171" s="81"/>
      <c r="AQ171" s="81"/>
      <c r="AR171" s="81"/>
      <c r="AS171" s="81"/>
      <c r="AT171" s="81"/>
      <c r="AU171" s="81"/>
      <c r="AV171" s="81"/>
    </row>
    <row r="172" spans="1:48">
      <c r="A172" s="81"/>
      <c r="B172" s="81"/>
      <c r="C172" s="81"/>
      <c r="D172" s="81"/>
      <c r="E172" s="81"/>
      <c r="F172" s="81"/>
      <c r="G172" s="81"/>
      <c r="H172" s="81"/>
      <c r="I172" s="81"/>
      <c r="J172" s="81"/>
      <c r="K172" s="81"/>
      <c r="L172" s="81"/>
      <c r="M172" s="81"/>
      <c r="N172" s="81"/>
      <c r="O172" s="81"/>
      <c r="P172" s="81"/>
      <c r="Q172" s="81"/>
      <c r="R172" s="81"/>
      <c r="S172" s="81"/>
      <c r="T172" s="81"/>
      <c r="U172" s="81"/>
      <c r="V172" s="81"/>
      <c r="W172" s="81"/>
      <c r="X172" s="81"/>
      <c r="Y172" s="81"/>
      <c r="Z172" s="81"/>
      <c r="AA172" s="81"/>
      <c r="AB172" s="81"/>
      <c r="AC172" s="81"/>
      <c r="AD172" s="81"/>
      <c r="AE172" s="81"/>
      <c r="AF172" s="81"/>
      <c r="AG172" s="81"/>
      <c r="AH172" s="81"/>
      <c r="AI172" s="81"/>
      <c r="AJ172" s="81"/>
      <c r="AK172" s="81"/>
      <c r="AL172" s="81"/>
      <c r="AM172" s="81"/>
      <c r="AN172" s="81"/>
      <c r="AO172" s="81"/>
      <c r="AP172" s="81"/>
      <c r="AQ172" s="81"/>
      <c r="AR172" s="81"/>
      <c r="AS172" s="81"/>
      <c r="AT172" s="81"/>
      <c r="AU172" s="81"/>
      <c r="AV172" s="81"/>
    </row>
    <row r="173" spans="1:48">
      <c r="A173" s="81"/>
      <c r="B173" s="81"/>
      <c r="C173" s="81"/>
      <c r="D173" s="81"/>
      <c r="E173" s="81"/>
      <c r="F173" s="81"/>
      <c r="G173" s="81"/>
      <c r="H173" s="81"/>
      <c r="I173" s="81"/>
      <c r="J173" s="81"/>
      <c r="K173" s="81"/>
      <c r="L173" s="81"/>
      <c r="M173" s="81"/>
      <c r="N173" s="81"/>
      <c r="O173" s="81"/>
      <c r="P173" s="81"/>
      <c r="Q173" s="81"/>
      <c r="R173" s="81"/>
      <c r="S173" s="81"/>
      <c r="T173" s="81"/>
      <c r="U173" s="81"/>
      <c r="V173" s="81"/>
      <c r="W173" s="81"/>
      <c r="X173" s="81"/>
      <c r="Y173" s="81"/>
      <c r="Z173" s="81"/>
      <c r="AA173" s="81"/>
      <c r="AB173" s="81"/>
      <c r="AC173" s="81"/>
      <c r="AD173" s="81"/>
      <c r="AE173" s="81"/>
      <c r="AF173" s="81"/>
      <c r="AG173" s="81"/>
      <c r="AH173" s="81"/>
      <c r="AI173" s="81"/>
      <c r="AJ173" s="81"/>
      <c r="AK173" s="81"/>
      <c r="AL173" s="81"/>
      <c r="AM173" s="81"/>
      <c r="AN173" s="81"/>
      <c r="AO173" s="81"/>
      <c r="AP173" s="81"/>
      <c r="AQ173" s="81"/>
      <c r="AR173" s="81"/>
      <c r="AS173" s="81"/>
      <c r="AT173" s="81"/>
      <c r="AU173" s="81"/>
      <c r="AV173" s="81"/>
    </row>
    <row r="174" spans="1:48">
      <c r="A174" s="81"/>
      <c r="B174" s="81"/>
      <c r="C174" s="81"/>
      <c r="D174" s="81"/>
      <c r="E174" s="81"/>
      <c r="F174" s="81"/>
      <c r="G174" s="81"/>
      <c r="H174" s="81"/>
      <c r="I174" s="81"/>
      <c r="J174" s="81"/>
      <c r="K174" s="81"/>
      <c r="L174" s="81"/>
      <c r="M174" s="81"/>
      <c r="N174" s="81"/>
      <c r="O174" s="81"/>
      <c r="P174" s="81"/>
      <c r="Q174" s="81"/>
      <c r="R174" s="81"/>
      <c r="S174" s="81"/>
      <c r="T174" s="81"/>
      <c r="U174" s="81"/>
      <c r="V174" s="81"/>
      <c r="W174" s="81"/>
      <c r="X174" s="81"/>
      <c r="Y174" s="81"/>
      <c r="Z174" s="81"/>
      <c r="AA174" s="81"/>
      <c r="AB174" s="81"/>
      <c r="AC174" s="81"/>
      <c r="AD174" s="81"/>
      <c r="AE174" s="81"/>
      <c r="AF174" s="81"/>
      <c r="AG174" s="81"/>
      <c r="AH174" s="81"/>
      <c r="AI174" s="81"/>
      <c r="AJ174" s="81"/>
      <c r="AK174" s="81"/>
      <c r="AL174" s="81"/>
      <c r="AM174" s="81"/>
      <c r="AN174" s="81"/>
      <c r="AO174" s="81"/>
      <c r="AP174" s="81"/>
      <c r="AQ174" s="81"/>
      <c r="AR174" s="81"/>
      <c r="AS174" s="81"/>
      <c r="AT174" s="81"/>
      <c r="AU174" s="81"/>
      <c r="AV174" s="81"/>
    </row>
    <row r="175" spans="1:48">
      <c r="A175" s="81"/>
      <c r="B175" s="81"/>
      <c r="C175" s="81"/>
      <c r="D175" s="81"/>
      <c r="E175" s="81"/>
      <c r="F175" s="81"/>
      <c r="G175" s="81"/>
      <c r="H175" s="81"/>
      <c r="I175" s="81"/>
      <c r="J175" s="81"/>
      <c r="K175" s="81"/>
      <c r="L175" s="81"/>
      <c r="M175" s="81"/>
      <c r="N175" s="81"/>
      <c r="O175" s="81"/>
      <c r="P175" s="81"/>
      <c r="Q175" s="81"/>
      <c r="R175" s="81"/>
      <c r="S175" s="81"/>
      <c r="T175" s="81"/>
      <c r="U175" s="81"/>
      <c r="V175" s="81"/>
      <c r="W175" s="81"/>
      <c r="X175" s="81"/>
      <c r="Y175" s="81"/>
      <c r="Z175" s="81"/>
      <c r="AA175" s="81"/>
      <c r="AB175" s="81"/>
      <c r="AC175" s="81"/>
      <c r="AD175" s="81"/>
      <c r="AE175" s="81"/>
      <c r="AF175" s="81"/>
      <c r="AG175" s="81"/>
      <c r="AH175" s="81"/>
      <c r="AI175" s="81"/>
      <c r="AJ175" s="81"/>
      <c r="AK175" s="81"/>
      <c r="AL175" s="81"/>
      <c r="AM175" s="81"/>
      <c r="AN175" s="81"/>
      <c r="AO175" s="81"/>
      <c r="AP175" s="81"/>
      <c r="AQ175" s="81"/>
      <c r="AR175" s="81"/>
      <c r="AS175" s="81"/>
      <c r="AT175" s="81"/>
      <c r="AU175" s="81"/>
      <c r="AV175" s="81"/>
    </row>
    <row r="176" spans="1:48">
      <c r="A176" s="81"/>
      <c r="B176" s="81"/>
      <c r="C176" s="81"/>
      <c r="D176" s="81"/>
      <c r="E176" s="81"/>
      <c r="F176" s="81"/>
      <c r="G176" s="81"/>
      <c r="H176" s="81"/>
      <c r="I176" s="81"/>
      <c r="J176" s="81"/>
      <c r="K176" s="81"/>
      <c r="L176" s="81"/>
      <c r="M176" s="81"/>
      <c r="N176" s="81"/>
      <c r="O176" s="81"/>
      <c r="P176" s="81"/>
      <c r="Q176" s="81"/>
      <c r="R176" s="81"/>
      <c r="S176" s="81"/>
      <c r="T176" s="81"/>
      <c r="U176" s="81"/>
      <c r="V176" s="81"/>
      <c r="W176" s="81"/>
      <c r="X176" s="81"/>
      <c r="Y176" s="81"/>
      <c r="Z176" s="81"/>
      <c r="AA176" s="81"/>
      <c r="AB176" s="81"/>
      <c r="AC176" s="81"/>
      <c r="AD176" s="81"/>
      <c r="AE176" s="81"/>
      <c r="AF176" s="81"/>
      <c r="AG176" s="81"/>
      <c r="AH176" s="81"/>
      <c r="AI176" s="81"/>
      <c r="AJ176" s="81"/>
      <c r="AK176" s="81"/>
      <c r="AL176" s="81"/>
      <c r="AM176" s="81"/>
      <c r="AN176" s="81"/>
      <c r="AO176" s="81"/>
      <c r="AP176" s="81"/>
      <c r="AQ176" s="81"/>
      <c r="AR176" s="81"/>
      <c r="AS176" s="81"/>
      <c r="AT176" s="81"/>
      <c r="AU176" s="81"/>
      <c r="AV176" s="81"/>
    </row>
    <row r="177" spans="1:48">
      <c r="A177" s="81"/>
      <c r="B177" s="81"/>
      <c r="C177" s="81"/>
      <c r="D177" s="81"/>
      <c r="E177" s="81"/>
      <c r="F177" s="81"/>
      <c r="G177" s="81"/>
      <c r="H177" s="81"/>
      <c r="I177" s="81"/>
      <c r="J177" s="81"/>
      <c r="K177" s="81"/>
      <c r="L177" s="81"/>
      <c r="M177" s="81"/>
      <c r="N177" s="81"/>
      <c r="O177" s="81"/>
      <c r="P177" s="81"/>
      <c r="Q177" s="81"/>
      <c r="R177" s="81"/>
      <c r="S177" s="81"/>
      <c r="T177" s="81"/>
      <c r="U177" s="81"/>
      <c r="V177" s="81"/>
      <c r="W177" s="81"/>
      <c r="X177" s="81"/>
      <c r="Y177" s="81"/>
      <c r="Z177" s="81"/>
      <c r="AA177" s="81"/>
      <c r="AB177" s="81"/>
      <c r="AC177" s="81"/>
      <c r="AD177" s="81"/>
      <c r="AE177" s="81"/>
      <c r="AF177" s="81"/>
      <c r="AG177" s="81"/>
      <c r="AH177" s="81"/>
      <c r="AI177" s="81"/>
      <c r="AJ177" s="81"/>
      <c r="AK177" s="81"/>
      <c r="AL177" s="81"/>
      <c r="AM177" s="81"/>
      <c r="AN177" s="81"/>
      <c r="AO177" s="81"/>
      <c r="AP177" s="81"/>
      <c r="AQ177" s="81"/>
      <c r="AR177" s="81"/>
      <c r="AS177" s="81"/>
      <c r="AT177" s="81"/>
      <c r="AU177" s="81"/>
      <c r="AV177" s="81"/>
    </row>
    <row r="178" spans="1:48">
      <c r="A178" s="81"/>
      <c r="B178" s="81"/>
      <c r="C178" s="81"/>
      <c r="D178" s="81"/>
      <c r="E178" s="81"/>
      <c r="F178" s="81"/>
      <c r="G178" s="81"/>
      <c r="H178" s="81"/>
      <c r="I178" s="81"/>
      <c r="J178" s="81"/>
      <c r="K178" s="81"/>
      <c r="L178" s="81"/>
      <c r="M178" s="81"/>
      <c r="N178" s="81"/>
      <c r="O178" s="81"/>
      <c r="P178" s="81"/>
      <c r="Q178" s="81"/>
      <c r="R178" s="81"/>
      <c r="S178" s="81"/>
      <c r="T178" s="81"/>
      <c r="U178" s="81"/>
      <c r="V178" s="81"/>
      <c r="W178" s="81"/>
      <c r="X178" s="81"/>
      <c r="Y178" s="81"/>
      <c r="Z178" s="81"/>
      <c r="AA178" s="81"/>
      <c r="AB178" s="81"/>
      <c r="AC178" s="81"/>
      <c r="AD178" s="81"/>
      <c r="AE178" s="81"/>
      <c r="AF178" s="81"/>
      <c r="AG178" s="81"/>
      <c r="AH178" s="81"/>
      <c r="AI178" s="81"/>
      <c r="AJ178" s="81"/>
      <c r="AK178" s="81"/>
      <c r="AL178" s="81"/>
      <c r="AM178" s="81"/>
      <c r="AN178" s="81"/>
      <c r="AO178" s="81"/>
      <c r="AP178" s="81"/>
      <c r="AQ178" s="81"/>
      <c r="AR178" s="81"/>
      <c r="AS178" s="81"/>
      <c r="AT178" s="81"/>
      <c r="AU178" s="81"/>
      <c r="AV178" s="81"/>
    </row>
    <row r="179" spans="1:48">
      <c r="A179" s="81"/>
      <c r="B179" s="81"/>
      <c r="C179" s="81"/>
      <c r="D179" s="81"/>
      <c r="E179" s="81"/>
      <c r="F179" s="81"/>
      <c r="G179" s="81"/>
      <c r="H179" s="81"/>
      <c r="I179" s="81"/>
      <c r="J179" s="81"/>
      <c r="K179" s="81"/>
      <c r="L179" s="81"/>
      <c r="M179" s="81"/>
      <c r="N179" s="81"/>
      <c r="O179" s="81"/>
      <c r="P179" s="81"/>
      <c r="Q179" s="81"/>
      <c r="R179" s="81"/>
      <c r="S179" s="81"/>
      <c r="T179" s="81"/>
      <c r="U179" s="81"/>
      <c r="V179" s="81"/>
      <c r="W179" s="81"/>
      <c r="X179" s="81"/>
      <c r="Y179" s="81"/>
      <c r="Z179" s="81"/>
      <c r="AA179" s="81"/>
      <c r="AB179" s="81"/>
      <c r="AC179" s="81"/>
      <c r="AD179" s="81"/>
      <c r="AE179" s="81"/>
      <c r="AF179" s="81"/>
      <c r="AG179" s="81"/>
      <c r="AH179" s="81"/>
      <c r="AI179" s="81"/>
      <c r="AJ179" s="81"/>
      <c r="AK179" s="81"/>
      <c r="AL179" s="81"/>
      <c r="AM179" s="81"/>
      <c r="AN179" s="81"/>
      <c r="AO179" s="81"/>
      <c r="AP179" s="81"/>
      <c r="AQ179" s="81"/>
      <c r="AR179" s="81"/>
      <c r="AS179" s="81"/>
      <c r="AT179" s="81"/>
      <c r="AU179" s="81"/>
      <c r="AV179" s="81"/>
    </row>
    <row r="180" spans="1:48">
      <c r="A180" s="81"/>
      <c r="B180" s="81"/>
      <c r="C180" s="81"/>
      <c r="D180" s="81"/>
      <c r="E180" s="81"/>
      <c r="F180" s="81"/>
      <c r="G180" s="81"/>
      <c r="H180" s="81"/>
      <c r="I180" s="81"/>
      <c r="J180" s="81"/>
      <c r="K180" s="81"/>
      <c r="L180" s="81"/>
      <c r="M180" s="81"/>
      <c r="N180" s="81"/>
      <c r="O180" s="81"/>
      <c r="P180" s="81"/>
      <c r="Q180" s="81"/>
      <c r="R180" s="81"/>
      <c r="S180" s="81"/>
      <c r="T180" s="81"/>
      <c r="U180" s="81"/>
      <c r="V180" s="81"/>
      <c r="W180" s="81"/>
      <c r="X180" s="81"/>
      <c r="Y180" s="81"/>
      <c r="Z180" s="81"/>
      <c r="AA180" s="81"/>
      <c r="AB180" s="81"/>
      <c r="AC180" s="81"/>
      <c r="AD180" s="81"/>
      <c r="AE180" s="81"/>
      <c r="AF180" s="81"/>
      <c r="AG180" s="81"/>
      <c r="AH180" s="81"/>
      <c r="AI180" s="81"/>
      <c r="AJ180" s="81"/>
      <c r="AK180" s="81"/>
      <c r="AL180" s="81"/>
      <c r="AM180" s="81"/>
      <c r="AN180" s="81"/>
      <c r="AO180" s="81"/>
      <c r="AP180" s="81"/>
      <c r="AQ180" s="81"/>
      <c r="AR180" s="81"/>
      <c r="AS180" s="81"/>
      <c r="AT180" s="81"/>
      <c r="AU180" s="81"/>
      <c r="AV180" s="81"/>
    </row>
    <row r="181" spans="1:48">
      <c r="A181" s="81"/>
      <c r="B181" s="81"/>
      <c r="C181" s="81"/>
      <c r="D181" s="81"/>
      <c r="E181" s="81"/>
      <c r="F181" s="81"/>
      <c r="G181" s="81"/>
      <c r="H181" s="81"/>
      <c r="I181" s="81"/>
      <c r="J181" s="81"/>
      <c r="K181" s="81"/>
      <c r="L181" s="81"/>
      <c r="M181" s="81"/>
      <c r="N181" s="81"/>
      <c r="O181" s="81"/>
      <c r="P181" s="81"/>
      <c r="Q181" s="81"/>
      <c r="R181" s="81"/>
      <c r="S181" s="81"/>
      <c r="T181" s="81"/>
      <c r="U181" s="81"/>
      <c r="V181" s="81"/>
      <c r="W181" s="81"/>
      <c r="X181" s="81"/>
      <c r="Y181" s="81"/>
      <c r="Z181" s="81"/>
      <c r="AA181" s="81"/>
      <c r="AB181" s="81"/>
      <c r="AC181" s="81"/>
      <c r="AD181" s="81"/>
      <c r="AE181" s="81"/>
      <c r="AF181" s="81"/>
      <c r="AG181" s="81"/>
      <c r="AH181" s="81"/>
      <c r="AI181" s="81"/>
      <c r="AJ181" s="81"/>
      <c r="AK181" s="81"/>
      <c r="AL181" s="81"/>
      <c r="AM181" s="81"/>
      <c r="AN181" s="81"/>
      <c r="AO181" s="81"/>
      <c r="AP181" s="81"/>
      <c r="AQ181" s="81"/>
      <c r="AR181" s="81"/>
      <c r="AS181" s="81"/>
      <c r="AT181" s="81"/>
      <c r="AU181" s="81"/>
      <c r="AV181" s="81"/>
    </row>
    <row r="182" spans="1:48">
      <c r="A182" s="81"/>
      <c r="B182" s="81"/>
      <c r="C182" s="81"/>
      <c r="D182" s="81"/>
      <c r="E182" s="81"/>
      <c r="F182" s="81"/>
      <c r="G182" s="81"/>
      <c r="H182" s="81"/>
      <c r="I182" s="81"/>
      <c r="J182" s="81"/>
      <c r="K182" s="81"/>
      <c r="L182" s="81"/>
      <c r="M182" s="81"/>
      <c r="N182" s="81"/>
      <c r="O182" s="81"/>
      <c r="P182" s="81"/>
      <c r="Q182" s="81"/>
      <c r="R182" s="81"/>
      <c r="S182" s="81"/>
      <c r="T182" s="81"/>
      <c r="U182" s="81"/>
      <c r="V182" s="81"/>
      <c r="W182" s="81"/>
      <c r="X182" s="81"/>
      <c r="Y182" s="81"/>
      <c r="Z182" s="81"/>
      <c r="AA182" s="81"/>
      <c r="AB182" s="81"/>
      <c r="AC182" s="81"/>
      <c r="AD182" s="81"/>
      <c r="AE182" s="81"/>
      <c r="AF182" s="81"/>
      <c r="AG182" s="81"/>
      <c r="AH182" s="81"/>
      <c r="AI182" s="81"/>
      <c r="AJ182" s="81"/>
      <c r="AK182" s="81"/>
      <c r="AL182" s="81"/>
      <c r="AM182" s="81"/>
      <c r="AN182" s="81"/>
      <c r="AO182" s="81"/>
      <c r="AP182" s="81"/>
      <c r="AQ182" s="81"/>
      <c r="AR182" s="81"/>
      <c r="AS182" s="81"/>
      <c r="AT182" s="81"/>
      <c r="AU182" s="81"/>
      <c r="AV182" s="81"/>
    </row>
    <row r="183" spans="1:48">
      <c r="A183" s="81"/>
      <c r="B183" s="81"/>
      <c r="C183" s="81"/>
      <c r="D183" s="81"/>
      <c r="E183" s="81"/>
      <c r="F183" s="81"/>
      <c r="G183" s="81"/>
      <c r="H183" s="81"/>
      <c r="I183" s="81"/>
      <c r="J183" s="81"/>
      <c r="K183" s="81"/>
      <c r="L183" s="81"/>
      <c r="M183" s="81"/>
      <c r="N183" s="81"/>
      <c r="O183" s="81"/>
      <c r="P183" s="81"/>
      <c r="Q183" s="81"/>
      <c r="R183" s="81"/>
      <c r="S183" s="81"/>
      <c r="T183" s="81"/>
      <c r="U183" s="81"/>
      <c r="V183" s="81"/>
      <c r="W183" s="81"/>
      <c r="X183" s="81"/>
      <c r="Y183" s="81"/>
      <c r="Z183" s="81"/>
      <c r="AA183" s="81"/>
      <c r="AB183" s="81"/>
      <c r="AC183" s="81"/>
      <c r="AD183" s="81"/>
      <c r="AE183" s="81"/>
      <c r="AF183" s="81"/>
      <c r="AG183" s="81"/>
      <c r="AH183" s="81"/>
      <c r="AI183" s="81"/>
      <c r="AJ183" s="81"/>
      <c r="AK183" s="81"/>
      <c r="AL183" s="81"/>
      <c r="AM183" s="81"/>
      <c r="AN183" s="81"/>
      <c r="AO183" s="81"/>
      <c r="AP183" s="81"/>
      <c r="AQ183" s="81"/>
      <c r="AR183" s="81"/>
      <c r="AS183" s="81"/>
      <c r="AT183" s="81"/>
      <c r="AU183" s="81"/>
      <c r="AV183" s="81"/>
    </row>
    <row r="184" spans="1:48">
      <c r="A184" s="81"/>
      <c r="B184" s="81"/>
      <c r="C184" s="81"/>
      <c r="D184" s="81"/>
      <c r="E184" s="81"/>
      <c r="F184" s="81"/>
      <c r="G184" s="81"/>
      <c r="H184" s="81"/>
      <c r="I184" s="81"/>
      <c r="J184" s="81"/>
      <c r="K184" s="81"/>
      <c r="L184" s="81"/>
      <c r="M184" s="81"/>
      <c r="N184" s="81"/>
      <c r="O184" s="81"/>
      <c r="P184" s="81"/>
      <c r="Q184" s="81"/>
      <c r="R184" s="81"/>
      <c r="S184" s="81"/>
      <c r="T184" s="81"/>
      <c r="U184" s="81"/>
      <c r="V184" s="81"/>
      <c r="W184" s="81"/>
      <c r="X184" s="81"/>
      <c r="Y184" s="81"/>
      <c r="Z184" s="81"/>
      <c r="AA184" s="81"/>
      <c r="AB184" s="81"/>
      <c r="AC184" s="81"/>
      <c r="AD184" s="81"/>
      <c r="AE184" s="81"/>
      <c r="AF184" s="81"/>
      <c r="AG184" s="81"/>
      <c r="AH184" s="81"/>
      <c r="AI184" s="81"/>
      <c r="AJ184" s="81"/>
      <c r="AK184" s="81"/>
      <c r="AL184" s="81"/>
      <c r="AM184" s="81"/>
      <c r="AN184" s="81"/>
      <c r="AO184" s="81"/>
      <c r="AP184" s="81"/>
      <c r="AQ184" s="81"/>
      <c r="AR184" s="81"/>
      <c r="AS184" s="81"/>
      <c r="AT184" s="81"/>
      <c r="AU184" s="81"/>
      <c r="AV184" s="81"/>
    </row>
    <row r="185" spans="1:48">
      <c r="A185" s="81"/>
      <c r="B185" s="81"/>
      <c r="C185" s="81"/>
      <c r="D185" s="81"/>
      <c r="E185" s="81"/>
      <c r="F185" s="81"/>
      <c r="G185" s="81"/>
      <c r="H185" s="81"/>
      <c r="I185" s="81"/>
      <c r="J185" s="81"/>
      <c r="K185" s="81"/>
      <c r="L185" s="81"/>
      <c r="M185" s="81"/>
      <c r="N185" s="81"/>
      <c r="O185" s="81"/>
      <c r="P185" s="81"/>
      <c r="Q185" s="81"/>
      <c r="R185" s="81"/>
      <c r="S185" s="81"/>
      <c r="T185" s="81"/>
      <c r="U185" s="81"/>
      <c r="V185" s="81"/>
      <c r="W185" s="81"/>
      <c r="X185" s="81"/>
      <c r="Y185" s="81"/>
      <c r="Z185" s="81"/>
      <c r="AA185" s="81"/>
      <c r="AB185" s="81"/>
      <c r="AC185" s="81"/>
      <c r="AD185" s="81"/>
      <c r="AE185" s="81"/>
      <c r="AF185" s="81"/>
      <c r="AG185" s="81"/>
      <c r="AH185" s="81"/>
      <c r="AI185" s="81"/>
      <c r="AJ185" s="81"/>
      <c r="AK185" s="81"/>
      <c r="AL185" s="81"/>
      <c r="AM185" s="81"/>
      <c r="AN185" s="81"/>
      <c r="AO185" s="81"/>
      <c r="AP185" s="81"/>
      <c r="AQ185" s="81"/>
      <c r="AR185" s="81"/>
      <c r="AS185" s="81"/>
      <c r="AT185" s="81"/>
      <c r="AU185" s="81"/>
      <c r="AV185" s="81"/>
    </row>
    <row r="186" spans="1:48">
      <c r="A186" s="81"/>
      <c r="B186" s="81"/>
      <c r="C186" s="81"/>
      <c r="D186" s="81"/>
      <c r="E186" s="81"/>
      <c r="F186" s="81"/>
      <c r="G186" s="81"/>
      <c r="H186" s="81"/>
      <c r="I186" s="81"/>
      <c r="J186" s="81"/>
      <c r="K186" s="81"/>
      <c r="L186" s="81"/>
      <c r="M186" s="81"/>
      <c r="N186" s="81"/>
      <c r="O186" s="81"/>
      <c r="P186" s="81"/>
      <c r="Q186" s="81"/>
      <c r="R186" s="81"/>
      <c r="S186" s="81"/>
      <c r="T186" s="81"/>
      <c r="U186" s="81"/>
      <c r="V186" s="81"/>
      <c r="W186" s="81"/>
      <c r="X186" s="81"/>
      <c r="Y186" s="81"/>
      <c r="Z186" s="81"/>
      <c r="AA186" s="81"/>
      <c r="AB186" s="81"/>
      <c r="AC186" s="81"/>
      <c r="AD186" s="81"/>
      <c r="AE186" s="81"/>
      <c r="AF186" s="81"/>
      <c r="AG186" s="81"/>
      <c r="AH186" s="81"/>
      <c r="AI186" s="81"/>
      <c r="AJ186" s="81"/>
      <c r="AK186" s="81"/>
      <c r="AL186" s="81"/>
      <c r="AM186" s="81"/>
      <c r="AN186" s="81"/>
      <c r="AO186" s="81"/>
      <c r="AP186" s="81"/>
      <c r="AQ186" s="81"/>
      <c r="AR186" s="81"/>
      <c r="AS186" s="81"/>
      <c r="AT186" s="81"/>
      <c r="AU186" s="81"/>
      <c r="AV186" s="81"/>
    </row>
    <row r="187" spans="1:48">
      <c r="A187" s="81"/>
      <c r="B187" s="81"/>
      <c r="C187" s="81"/>
      <c r="D187" s="81"/>
      <c r="E187" s="81"/>
      <c r="F187" s="81"/>
      <c r="G187" s="81"/>
      <c r="H187" s="81"/>
      <c r="I187" s="81"/>
      <c r="J187" s="81"/>
      <c r="K187" s="81"/>
      <c r="L187" s="81"/>
      <c r="M187" s="81"/>
      <c r="N187" s="81"/>
      <c r="O187" s="81"/>
      <c r="P187" s="81"/>
      <c r="Q187" s="81"/>
      <c r="R187" s="81"/>
      <c r="S187" s="81"/>
      <c r="T187" s="81"/>
      <c r="U187" s="81"/>
      <c r="V187" s="81"/>
      <c r="W187" s="81"/>
      <c r="X187" s="81"/>
      <c r="Y187" s="81"/>
      <c r="Z187" s="81"/>
      <c r="AA187" s="81"/>
      <c r="AB187" s="81"/>
      <c r="AC187" s="81"/>
      <c r="AD187" s="81"/>
      <c r="AE187" s="81"/>
      <c r="AF187" s="81"/>
      <c r="AG187" s="81"/>
      <c r="AH187" s="81"/>
      <c r="AI187" s="81"/>
      <c r="AJ187" s="81"/>
      <c r="AK187" s="81"/>
      <c r="AL187" s="81"/>
      <c r="AM187" s="81"/>
      <c r="AN187" s="81"/>
      <c r="AO187" s="81"/>
      <c r="AP187" s="81"/>
      <c r="AQ187" s="81"/>
      <c r="AR187" s="81"/>
      <c r="AS187" s="81"/>
      <c r="AT187" s="81"/>
      <c r="AU187" s="81"/>
      <c r="AV187" s="81"/>
    </row>
    <row r="188" spans="1:48">
      <c r="A188" s="81"/>
      <c r="B188" s="81"/>
      <c r="C188" s="81"/>
      <c r="D188" s="81"/>
      <c r="E188" s="81"/>
      <c r="F188" s="81"/>
      <c r="G188" s="81"/>
      <c r="H188" s="81"/>
      <c r="I188" s="81"/>
      <c r="J188" s="81"/>
      <c r="K188" s="81"/>
      <c r="L188" s="81"/>
      <c r="M188" s="81"/>
      <c r="N188" s="81"/>
      <c r="O188" s="81"/>
      <c r="P188" s="81"/>
      <c r="Q188" s="81"/>
      <c r="R188" s="81"/>
      <c r="S188" s="81"/>
      <c r="T188" s="81"/>
      <c r="U188" s="81"/>
      <c r="V188" s="81"/>
      <c r="W188" s="81"/>
      <c r="X188" s="81"/>
      <c r="Y188" s="81"/>
      <c r="Z188" s="81"/>
      <c r="AA188" s="81"/>
      <c r="AB188" s="81"/>
      <c r="AC188" s="81"/>
      <c r="AD188" s="81"/>
      <c r="AE188" s="81"/>
      <c r="AF188" s="81"/>
      <c r="AG188" s="81"/>
      <c r="AH188" s="81"/>
      <c r="AI188" s="81"/>
      <c r="AJ188" s="81"/>
      <c r="AK188" s="81"/>
      <c r="AL188" s="81"/>
      <c r="AM188" s="81"/>
      <c r="AN188" s="81"/>
      <c r="AO188" s="81"/>
      <c r="AP188" s="81"/>
      <c r="AQ188" s="81"/>
      <c r="AR188" s="81"/>
      <c r="AS188" s="81"/>
      <c r="AT188" s="81"/>
      <c r="AU188" s="81"/>
      <c r="AV188" s="81"/>
    </row>
    <row r="189" spans="1:48">
      <c r="A189" s="81"/>
      <c r="B189" s="81"/>
      <c r="C189" s="81"/>
      <c r="D189" s="81"/>
      <c r="E189" s="81"/>
      <c r="F189" s="81"/>
      <c r="G189" s="81"/>
      <c r="H189" s="81"/>
      <c r="I189" s="81"/>
      <c r="J189" s="81"/>
      <c r="K189" s="81"/>
      <c r="L189" s="81"/>
      <c r="M189" s="81"/>
      <c r="N189" s="81"/>
      <c r="O189" s="81"/>
      <c r="P189" s="81"/>
      <c r="Q189" s="81"/>
      <c r="R189" s="81"/>
      <c r="S189" s="81"/>
      <c r="T189" s="81"/>
      <c r="U189" s="81"/>
      <c r="V189" s="81"/>
      <c r="W189" s="81"/>
      <c r="X189" s="81"/>
      <c r="Y189" s="81"/>
      <c r="Z189" s="81"/>
      <c r="AA189" s="81"/>
      <c r="AB189" s="81"/>
      <c r="AC189" s="81"/>
      <c r="AD189" s="81"/>
      <c r="AE189" s="81"/>
      <c r="AF189" s="81"/>
      <c r="AG189" s="81"/>
      <c r="AH189" s="81"/>
      <c r="AI189" s="81"/>
      <c r="AJ189" s="81"/>
      <c r="AK189" s="81"/>
      <c r="AL189" s="81"/>
      <c r="AM189" s="81"/>
      <c r="AN189" s="81"/>
      <c r="AO189" s="81"/>
      <c r="AP189" s="81"/>
      <c r="AQ189" s="81"/>
      <c r="AR189" s="81"/>
      <c r="AS189" s="81"/>
      <c r="AT189" s="81"/>
      <c r="AU189" s="81"/>
      <c r="AV189" s="81"/>
    </row>
    <row r="190" spans="1:48">
      <c r="A190" s="81"/>
      <c r="B190" s="81"/>
      <c r="C190" s="81"/>
      <c r="D190" s="81"/>
      <c r="E190" s="81"/>
      <c r="F190" s="81"/>
      <c r="G190" s="81"/>
      <c r="H190" s="81"/>
      <c r="I190" s="81"/>
      <c r="J190" s="81"/>
      <c r="K190" s="81"/>
      <c r="L190" s="81"/>
      <c r="M190" s="81"/>
      <c r="N190" s="81"/>
      <c r="O190" s="81"/>
      <c r="P190" s="81"/>
      <c r="Q190" s="81"/>
      <c r="R190" s="81"/>
      <c r="S190" s="81"/>
      <c r="T190" s="81"/>
      <c r="U190" s="81"/>
      <c r="V190" s="81"/>
      <c r="W190" s="81"/>
      <c r="X190" s="81"/>
      <c r="Y190" s="81"/>
      <c r="Z190" s="81"/>
      <c r="AA190" s="81"/>
      <c r="AB190" s="81"/>
      <c r="AC190" s="81"/>
      <c r="AD190" s="81"/>
      <c r="AE190" s="81"/>
      <c r="AF190" s="81"/>
      <c r="AG190" s="81"/>
      <c r="AH190" s="81"/>
      <c r="AI190" s="81"/>
      <c r="AJ190" s="81"/>
      <c r="AK190" s="81"/>
      <c r="AL190" s="81"/>
      <c r="AM190" s="81"/>
      <c r="AN190" s="81"/>
      <c r="AO190" s="81"/>
      <c r="AP190" s="81"/>
      <c r="AQ190" s="81"/>
      <c r="AR190" s="81"/>
      <c r="AS190" s="81"/>
      <c r="AT190" s="81"/>
      <c r="AU190" s="81"/>
      <c r="AV190" s="81"/>
    </row>
    <row r="191" spans="1:48">
      <c r="A191" s="81"/>
      <c r="B191" s="81"/>
      <c r="C191" s="81"/>
      <c r="D191" s="81"/>
      <c r="E191" s="81"/>
      <c r="F191" s="81"/>
      <c r="G191" s="81"/>
      <c r="H191" s="81"/>
      <c r="I191" s="81"/>
      <c r="J191" s="81"/>
      <c r="K191" s="81"/>
      <c r="L191" s="81"/>
      <c r="M191" s="81"/>
      <c r="N191" s="81"/>
      <c r="O191" s="81"/>
      <c r="P191" s="81"/>
      <c r="Q191" s="81"/>
      <c r="R191" s="81"/>
      <c r="S191" s="81"/>
      <c r="T191" s="81"/>
      <c r="U191" s="81"/>
      <c r="V191" s="81"/>
      <c r="W191" s="81"/>
      <c r="X191" s="81"/>
      <c r="Y191" s="81"/>
      <c r="Z191" s="81"/>
      <c r="AA191" s="81"/>
      <c r="AB191" s="81"/>
      <c r="AC191" s="81"/>
      <c r="AD191" s="81"/>
      <c r="AE191" s="81"/>
      <c r="AF191" s="81"/>
      <c r="AG191" s="81"/>
      <c r="AH191" s="81"/>
      <c r="AI191" s="81"/>
      <c r="AJ191" s="81"/>
      <c r="AK191" s="81"/>
      <c r="AL191" s="81"/>
      <c r="AM191" s="81"/>
      <c r="AN191" s="81"/>
      <c r="AO191" s="81"/>
      <c r="AP191" s="81"/>
      <c r="AQ191" s="81"/>
      <c r="AR191" s="81"/>
      <c r="AS191" s="81"/>
      <c r="AT191" s="81"/>
      <c r="AU191" s="81"/>
      <c r="AV191" s="81"/>
    </row>
    <row r="192" spans="1:48">
      <c r="A192" s="81"/>
      <c r="B192" s="81"/>
      <c r="C192" s="81"/>
      <c r="D192" s="81"/>
      <c r="E192" s="81"/>
      <c r="F192" s="81"/>
      <c r="G192" s="81"/>
      <c r="H192" s="81"/>
      <c r="I192" s="81"/>
      <c r="J192" s="81"/>
      <c r="K192" s="81"/>
      <c r="L192" s="81"/>
      <c r="M192" s="81"/>
      <c r="N192" s="81"/>
      <c r="O192" s="81"/>
      <c r="P192" s="81"/>
      <c r="Q192" s="81"/>
      <c r="R192" s="81"/>
      <c r="S192" s="81"/>
      <c r="T192" s="81"/>
      <c r="U192" s="81"/>
      <c r="V192" s="81"/>
      <c r="W192" s="81"/>
      <c r="X192" s="81"/>
      <c r="Y192" s="81"/>
      <c r="Z192" s="81"/>
      <c r="AA192" s="81"/>
      <c r="AB192" s="81"/>
      <c r="AC192" s="81"/>
      <c r="AD192" s="81"/>
      <c r="AE192" s="81"/>
      <c r="AF192" s="81"/>
      <c r="AG192" s="81"/>
      <c r="AH192" s="81"/>
      <c r="AI192" s="81"/>
      <c r="AJ192" s="81"/>
      <c r="AK192" s="81"/>
      <c r="AL192" s="81"/>
      <c r="AM192" s="81"/>
      <c r="AN192" s="81"/>
      <c r="AO192" s="81"/>
      <c r="AP192" s="81"/>
      <c r="AQ192" s="81"/>
      <c r="AR192" s="81"/>
      <c r="AS192" s="81"/>
      <c r="AT192" s="81"/>
      <c r="AU192" s="81"/>
      <c r="AV192" s="81"/>
    </row>
    <row r="193" spans="1:48">
      <c r="A193" s="81"/>
      <c r="B193" s="81"/>
      <c r="C193" s="81"/>
      <c r="D193" s="81"/>
      <c r="E193" s="81"/>
      <c r="F193" s="81"/>
      <c r="G193" s="81"/>
      <c r="H193" s="81"/>
      <c r="I193" s="81"/>
      <c r="J193" s="81"/>
      <c r="K193" s="81"/>
      <c r="L193" s="81"/>
      <c r="M193" s="81"/>
      <c r="N193" s="81"/>
      <c r="O193" s="81"/>
      <c r="P193" s="81"/>
      <c r="Q193" s="81"/>
      <c r="R193" s="81"/>
      <c r="S193" s="81"/>
      <c r="T193" s="81"/>
      <c r="U193" s="81"/>
      <c r="V193" s="81"/>
      <c r="W193" s="81"/>
      <c r="X193" s="81"/>
      <c r="Y193" s="81"/>
      <c r="Z193" s="81"/>
      <c r="AA193" s="81"/>
      <c r="AB193" s="81"/>
      <c r="AC193" s="81"/>
      <c r="AD193" s="81"/>
      <c r="AE193" s="81"/>
      <c r="AF193" s="81"/>
      <c r="AG193" s="81"/>
      <c r="AH193" s="81"/>
      <c r="AI193" s="81"/>
      <c r="AJ193" s="81"/>
      <c r="AK193" s="81"/>
      <c r="AL193" s="81"/>
      <c r="AM193" s="81"/>
      <c r="AN193" s="81"/>
      <c r="AO193" s="81"/>
      <c r="AP193" s="81"/>
      <c r="AQ193" s="81"/>
      <c r="AR193" s="81"/>
      <c r="AS193" s="81"/>
      <c r="AT193" s="81"/>
      <c r="AU193" s="81"/>
      <c r="AV193" s="81"/>
    </row>
    <row r="194" spans="1:48">
      <c r="A194" s="81"/>
      <c r="B194" s="81"/>
      <c r="C194" s="81"/>
      <c r="D194" s="81"/>
      <c r="E194" s="81"/>
      <c r="F194" s="81"/>
      <c r="G194" s="81"/>
      <c r="H194" s="81"/>
      <c r="I194" s="81"/>
      <c r="J194" s="81"/>
      <c r="K194" s="81"/>
      <c r="L194" s="81"/>
      <c r="M194" s="81"/>
      <c r="N194" s="81"/>
      <c r="O194" s="81"/>
      <c r="P194" s="81"/>
      <c r="Q194" s="81"/>
      <c r="R194" s="81"/>
      <c r="S194" s="81"/>
      <c r="T194" s="81"/>
      <c r="U194" s="81"/>
      <c r="V194" s="81"/>
      <c r="W194" s="81"/>
      <c r="X194" s="81"/>
      <c r="Y194" s="81"/>
      <c r="Z194" s="81"/>
      <c r="AA194" s="81"/>
      <c r="AB194" s="81"/>
      <c r="AC194" s="81"/>
      <c r="AD194" s="81"/>
      <c r="AE194" s="81"/>
      <c r="AF194" s="81"/>
      <c r="AG194" s="81"/>
      <c r="AH194" s="81"/>
      <c r="AI194" s="81"/>
      <c r="AJ194" s="81"/>
      <c r="AK194" s="81"/>
      <c r="AL194" s="81"/>
      <c r="AM194" s="81"/>
      <c r="AN194" s="81"/>
      <c r="AO194" s="81"/>
      <c r="AP194" s="81"/>
      <c r="AQ194" s="81"/>
      <c r="AR194" s="81"/>
      <c r="AS194" s="81"/>
      <c r="AT194" s="81"/>
      <c r="AU194" s="81"/>
      <c r="AV194" s="81"/>
    </row>
    <row r="195" spans="1:48">
      <c r="A195" s="81"/>
      <c r="B195" s="81"/>
      <c r="C195" s="81"/>
      <c r="D195" s="81"/>
      <c r="E195" s="81"/>
      <c r="F195" s="81"/>
      <c r="G195" s="81"/>
      <c r="H195" s="81"/>
      <c r="I195" s="81"/>
      <c r="J195" s="81"/>
      <c r="K195" s="81"/>
      <c r="L195" s="81"/>
      <c r="M195" s="81"/>
      <c r="N195" s="81"/>
      <c r="O195" s="81"/>
      <c r="P195" s="81"/>
      <c r="Q195" s="81"/>
      <c r="R195" s="81"/>
      <c r="S195" s="81"/>
      <c r="T195" s="81"/>
      <c r="U195" s="81"/>
      <c r="V195" s="81"/>
      <c r="W195" s="81"/>
      <c r="X195" s="81"/>
      <c r="Y195" s="81"/>
      <c r="Z195" s="81"/>
      <c r="AA195" s="81"/>
      <c r="AB195" s="81"/>
      <c r="AC195" s="81"/>
      <c r="AD195" s="81"/>
      <c r="AE195" s="81"/>
      <c r="AF195" s="81"/>
      <c r="AG195" s="81"/>
      <c r="AH195" s="81"/>
      <c r="AI195" s="81"/>
      <c r="AJ195" s="81"/>
      <c r="AK195" s="81"/>
      <c r="AL195" s="81"/>
      <c r="AM195" s="81"/>
      <c r="AN195" s="81"/>
      <c r="AO195" s="81"/>
      <c r="AP195" s="81"/>
      <c r="AQ195" s="81"/>
      <c r="AR195" s="81"/>
      <c r="AS195" s="81"/>
      <c r="AT195" s="81"/>
      <c r="AU195" s="81"/>
      <c r="AV195" s="81"/>
    </row>
    <row r="196" spans="1:48">
      <c r="A196" s="81"/>
      <c r="B196" s="81"/>
      <c r="C196" s="81"/>
      <c r="D196" s="81"/>
      <c r="E196" s="81"/>
      <c r="F196" s="81"/>
      <c r="G196" s="81"/>
      <c r="H196" s="81"/>
      <c r="I196" s="81"/>
      <c r="J196" s="81"/>
      <c r="K196" s="81"/>
      <c r="L196" s="81"/>
      <c r="M196" s="81"/>
      <c r="N196" s="81"/>
      <c r="O196" s="81"/>
      <c r="P196" s="81"/>
      <c r="Q196" s="81"/>
      <c r="R196" s="81"/>
      <c r="S196" s="81"/>
      <c r="T196" s="81"/>
      <c r="U196" s="81"/>
      <c r="V196" s="81"/>
      <c r="W196" s="81"/>
      <c r="X196" s="81"/>
      <c r="Y196" s="81"/>
      <c r="Z196" s="81"/>
      <c r="AA196" s="81"/>
      <c r="AB196" s="81"/>
      <c r="AC196" s="81"/>
      <c r="AD196" s="81"/>
      <c r="AE196" s="81"/>
      <c r="AF196" s="81"/>
      <c r="AG196" s="81"/>
      <c r="AH196" s="81"/>
      <c r="AI196" s="81"/>
      <c r="AJ196" s="81"/>
      <c r="AK196" s="81"/>
      <c r="AL196" s="81"/>
      <c r="AM196" s="81"/>
      <c r="AN196" s="81"/>
      <c r="AO196" s="81"/>
      <c r="AP196" s="81"/>
      <c r="AQ196" s="81"/>
      <c r="AR196" s="81"/>
      <c r="AS196" s="81"/>
      <c r="AT196" s="81"/>
      <c r="AU196" s="81"/>
      <c r="AV196" s="81"/>
    </row>
    <row r="197" spans="1:48">
      <c r="A197" s="81"/>
      <c r="B197" s="81"/>
      <c r="C197" s="81"/>
      <c r="D197" s="81"/>
      <c r="E197" s="81"/>
      <c r="F197" s="81"/>
      <c r="G197" s="81"/>
      <c r="H197" s="81"/>
      <c r="I197" s="81"/>
      <c r="J197" s="81"/>
      <c r="K197" s="81"/>
      <c r="L197" s="81"/>
      <c r="M197" s="81"/>
      <c r="N197" s="81"/>
      <c r="O197" s="81"/>
      <c r="P197" s="81"/>
      <c r="Q197" s="81"/>
      <c r="R197" s="81"/>
      <c r="S197" s="81"/>
      <c r="T197" s="81"/>
      <c r="U197" s="81"/>
      <c r="V197" s="81"/>
      <c r="W197" s="81"/>
      <c r="X197" s="81"/>
      <c r="Y197" s="81"/>
      <c r="Z197" s="81"/>
      <c r="AA197" s="81"/>
      <c r="AB197" s="81"/>
      <c r="AC197" s="81"/>
      <c r="AD197" s="81"/>
      <c r="AE197" s="81"/>
      <c r="AF197" s="81"/>
      <c r="AG197" s="81"/>
      <c r="AH197" s="81"/>
      <c r="AI197" s="81"/>
      <c r="AJ197" s="81"/>
      <c r="AK197" s="81"/>
      <c r="AL197" s="81"/>
      <c r="AM197" s="81"/>
      <c r="AN197" s="81"/>
      <c r="AO197" s="81"/>
      <c r="AP197" s="81"/>
      <c r="AQ197" s="81"/>
      <c r="AR197" s="81"/>
      <c r="AS197" s="81"/>
      <c r="AT197" s="81"/>
      <c r="AU197" s="81"/>
      <c r="AV197" s="81"/>
    </row>
    <row r="198" spans="1:48">
      <c r="A198" s="81"/>
      <c r="B198" s="81"/>
      <c r="C198" s="81"/>
      <c r="D198" s="81"/>
      <c r="E198" s="81"/>
      <c r="F198" s="81"/>
      <c r="G198" s="81"/>
      <c r="H198" s="81"/>
      <c r="I198" s="81"/>
      <c r="J198" s="81"/>
      <c r="K198" s="81"/>
      <c r="L198" s="81"/>
      <c r="M198" s="81"/>
      <c r="N198" s="81"/>
      <c r="O198" s="81"/>
      <c r="P198" s="81"/>
      <c r="Q198" s="81"/>
      <c r="R198" s="81"/>
      <c r="S198" s="81"/>
      <c r="T198" s="81"/>
      <c r="U198" s="81"/>
      <c r="V198" s="81"/>
      <c r="W198" s="81"/>
      <c r="X198" s="81"/>
      <c r="Y198" s="81"/>
      <c r="Z198" s="81"/>
      <c r="AA198" s="81"/>
      <c r="AB198" s="81"/>
      <c r="AC198" s="81"/>
      <c r="AD198" s="81"/>
      <c r="AE198" s="81"/>
      <c r="AF198" s="81"/>
      <c r="AG198" s="81"/>
      <c r="AH198" s="81"/>
      <c r="AI198" s="81"/>
      <c r="AJ198" s="81"/>
      <c r="AK198" s="81"/>
      <c r="AL198" s="81"/>
      <c r="AM198" s="81"/>
      <c r="AN198" s="81"/>
      <c r="AO198" s="81"/>
      <c r="AP198" s="81"/>
      <c r="AQ198" s="81"/>
      <c r="AR198" s="81"/>
      <c r="AS198" s="81"/>
      <c r="AT198" s="81"/>
      <c r="AU198" s="81"/>
      <c r="AV198" s="81"/>
    </row>
    <row r="199" spans="1:48">
      <c r="A199" s="81"/>
      <c r="B199" s="81"/>
      <c r="C199" s="81"/>
      <c r="D199" s="81"/>
      <c r="E199" s="81"/>
      <c r="F199" s="81"/>
      <c r="G199" s="81"/>
      <c r="H199" s="81"/>
      <c r="I199" s="81"/>
      <c r="J199" s="81"/>
      <c r="K199" s="81"/>
      <c r="L199" s="81"/>
      <c r="M199" s="81"/>
      <c r="N199" s="81"/>
      <c r="O199" s="81"/>
      <c r="P199" s="81"/>
      <c r="Q199" s="81"/>
      <c r="R199" s="81"/>
      <c r="S199" s="81"/>
      <c r="T199" s="81"/>
      <c r="U199" s="81"/>
      <c r="V199" s="81"/>
      <c r="W199" s="81"/>
      <c r="X199" s="81"/>
      <c r="Y199" s="81"/>
      <c r="Z199" s="81"/>
      <c r="AA199" s="81"/>
      <c r="AB199" s="81"/>
      <c r="AC199" s="81"/>
      <c r="AD199" s="81"/>
      <c r="AE199" s="81"/>
      <c r="AF199" s="81"/>
      <c r="AG199" s="81"/>
      <c r="AH199" s="81"/>
      <c r="AI199" s="81"/>
      <c r="AJ199" s="81"/>
      <c r="AK199" s="81"/>
      <c r="AL199" s="81"/>
      <c r="AM199" s="81"/>
      <c r="AN199" s="81"/>
      <c r="AO199" s="81"/>
      <c r="AP199" s="81"/>
      <c r="AQ199" s="81"/>
      <c r="AR199" s="81"/>
      <c r="AS199" s="81"/>
      <c r="AT199" s="81"/>
      <c r="AU199" s="81"/>
      <c r="AV199" s="81"/>
    </row>
    <row r="200" spans="1:48">
      <c r="A200" s="81"/>
      <c r="B200" s="81"/>
      <c r="C200" s="81"/>
      <c r="D200" s="81"/>
      <c r="E200" s="81"/>
      <c r="F200" s="81"/>
      <c r="G200" s="81"/>
      <c r="H200" s="81"/>
      <c r="I200" s="81"/>
      <c r="J200" s="81"/>
      <c r="K200" s="81"/>
      <c r="L200" s="81"/>
      <c r="M200" s="81"/>
      <c r="N200" s="81"/>
      <c r="O200" s="81"/>
      <c r="P200" s="81"/>
      <c r="Q200" s="81"/>
      <c r="R200" s="81"/>
      <c r="S200" s="81"/>
      <c r="T200" s="81"/>
      <c r="U200" s="81"/>
      <c r="V200" s="81"/>
      <c r="W200" s="81"/>
      <c r="X200" s="81"/>
      <c r="Y200" s="81"/>
      <c r="Z200" s="81"/>
      <c r="AA200" s="81"/>
      <c r="AB200" s="81"/>
      <c r="AC200" s="81"/>
      <c r="AD200" s="81"/>
      <c r="AE200" s="81"/>
      <c r="AF200" s="81"/>
      <c r="AG200" s="81"/>
      <c r="AH200" s="81"/>
      <c r="AI200" s="81"/>
      <c r="AJ200" s="81"/>
      <c r="AK200" s="81"/>
      <c r="AL200" s="81"/>
      <c r="AM200" s="81"/>
      <c r="AN200" s="81"/>
      <c r="AO200" s="81"/>
      <c r="AP200" s="81"/>
      <c r="AQ200" s="81"/>
      <c r="AR200" s="81"/>
      <c r="AS200" s="81"/>
      <c r="AT200" s="81"/>
      <c r="AU200" s="81"/>
      <c r="AV200" s="81"/>
    </row>
    <row r="201" spans="1:48">
      <c r="A201" s="81"/>
      <c r="B201" s="81"/>
      <c r="C201" s="81"/>
      <c r="D201" s="81"/>
      <c r="E201" s="81"/>
      <c r="F201" s="81"/>
      <c r="G201" s="81"/>
      <c r="H201" s="81"/>
      <c r="I201" s="81"/>
      <c r="J201" s="81"/>
      <c r="K201" s="81"/>
      <c r="L201" s="81"/>
      <c r="M201" s="81"/>
      <c r="N201" s="81"/>
      <c r="O201" s="81"/>
      <c r="P201" s="81"/>
      <c r="Q201" s="81"/>
      <c r="R201" s="81"/>
      <c r="S201" s="81"/>
      <c r="T201" s="81"/>
      <c r="U201" s="81"/>
      <c r="V201" s="81"/>
      <c r="W201" s="81"/>
      <c r="X201" s="81"/>
      <c r="Y201" s="81"/>
      <c r="Z201" s="81"/>
      <c r="AA201" s="81"/>
      <c r="AB201" s="81"/>
      <c r="AC201" s="81"/>
      <c r="AD201" s="81"/>
      <c r="AE201" s="81"/>
      <c r="AF201" s="81"/>
      <c r="AG201" s="81"/>
      <c r="AH201" s="81"/>
      <c r="AI201" s="81"/>
      <c r="AJ201" s="81"/>
      <c r="AK201" s="81"/>
      <c r="AL201" s="81"/>
      <c r="AM201" s="81"/>
      <c r="AN201" s="81"/>
      <c r="AO201" s="81"/>
      <c r="AP201" s="81"/>
      <c r="AQ201" s="81"/>
      <c r="AR201" s="81"/>
      <c r="AS201" s="81"/>
      <c r="AT201" s="81"/>
      <c r="AU201" s="81"/>
      <c r="AV201" s="81"/>
    </row>
    <row r="202" spans="1:48">
      <c r="A202" s="81"/>
      <c r="B202" s="81"/>
      <c r="C202" s="81"/>
      <c r="D202" s="81"/>
      <c r="E202" s="81"/>
      <c r="F202" s="81"/>
      <c r="G202" s="81"/>
      <c r="H202" s="81"/>
      <c r="I202" s="81"/>
      <c r="J202" s="81"/>
      <c r="K202" s="81"/>
      <c r="L202" s="81"/>
      <c r="M202" s="81"/>
      <c r="N202" s="81"/>
      <c r="O202" s="81"/>
      <c r="P202" s="81"/>
      <c r="Q202" s="81"/>
      <c r="R202" s="81"/>
      <c r="S202" s="81"/>
      <c r="T202" s="81"/>
      <c r="U202" s="81"/>
      <c r="V202" s="81"/>
      <c r="W202" s="81"/>
      <c r="X202" s="81"/>
      <c r="Y202" s="81"/>
      <c r="Z202" s="81"/>
      <c r="AA202" s="81"/>
      <c r="AB202" s="81"/>
      <c r="AC202" s="81"/>
      <c r="AD202" s="81"/>
      <c r="AE202" s="81"/>
      <c r="AF202" s="81"/>
      <c r="AG202" s="81"/>
      <c r="AH202" s="81"/>
      <c r="AI202" s="81"/>
      <c r="AJ202" s="81"/>
      <c r="AK202" s="81"/>
      <c r="AL202" s="81"/>
      <c r="AM202" s="81"/>
      <c r="AN202" s="81"/>
      <c r="AO202" s="81"/>
      <c r="AP202" s="81"/>
      <c r="AQ202" s="81"/>
      <c r="AR202" s="81"/>
      <c r="AS202" s="81"/>
      <c r="AT202" s="81"/>
      <c r="AU202" s="81"/>
      <c r="AV202" s="81"/>
    </row>
    <row r="203" spans="1:48">
      <c r="A203" s="81"/>
      <c r="B203" s="81"/>
      <c r="C203" s="81"/>
      <c r="D203" s="81"/>
      <c r="E203" s="81"/>
      <c r="F203" s="81"/>
      <c r="G203" s="81"/>
      <c r="H203" s="81"/>
      <c r="I203" s="81"/>
      <c r="J203" s="81"/>
      <c r="K203" s="81"/>
      <c r="L203" s="81"/>
      <c r="M203" s="81"/>
      <c r="N203" s="81"/>
      <c r="O203" s="81"/>
      <c r="P203" s="81"/>
      <c r="Q203" s="81"/>
      <c r="R203" s="81"/>
      <c r="S203" s="81"/>
      <c r="T203" s="81"/>
      <c r="U203" s="81"/>
      <c r="V203" s="81"/>
      <c r="W203" s="81"/>
      <c r="X203" s="81"/>
      <c r="Y203" s="81"/>
      <c r="Z203" s="81"/>
      <c r="AA203" s="81"/>
      <c r="AB203" s="81"/>
      <c r="AC203" s="81"/>
      <c r="AD203" s="81"/>
      <c r="AE203" s="81"/>
      <c r="AF203" s="81"/>
      <c r="AG203" s="81"/>
      <c r="AH203" s="81"/>
      <c r="AI203" s="81"/>
      <c r="AJ203" s="81"/>
      <c r="AK203" s="81"/>
      <c r="AL203" s="81"/>
      <c r="AM203" s="81"/>
      <c r="AN203" s="81"/>
      <c r="AO203" s="81"/>
      <c r="AP203" s="81"/>
      <c r="AQ203" s="81"/>
      <c r="AR203" s="81"/>
      <c r="AS203" s="81"/>
      <c r="AT203" s="81"/>
      <c r="AU203" s="81"/>
      <c r="AV203" s="81"/>
    </row>
    <row r="204" spans="1:48">
      <c r="A204" s="81"/>
      <c r="B204" s="81"/>
      <c r="C204" s="81"/>
      <c r="D204" s="81"/>
      <c r="E204" s="81"/>
      <c r="F204" s="81"/>
      <c r="G204" s="81"/>
      <c r="H204" s="81"/>
      <c r="I204" s="81"/>
      <c r="J204" s="81"/>
      <c r="K204" s="81"/>
      <c r="L204" s="81"/>
      <c r="M204" s="81"/>
      <c r="N204" s="81"/>
      <c r="O204" s="81"/>
      <c r="P204" s="81"/>
      <c r="Q204" s="81"/>
      <c r="R204" s="81"/>
      <c r="S204" s="81"/>
      <c r="T204" s="81"/>
      <c r="U204" s="81"/>
      <c r="V204" s="81"/>
      <c r="W204" s="81"/>
      <c r="X204" s="81"/>
      <c r="Y204" s="81"/>
      <c r="Z204" s="81"/>
      <c r="AA204" s="81"/>
      <c r="AB204" s="81"/>
      <c r="AC204" s="81"/>
      <c r="AD204" s="81"/>
      <c r="AE204" s="81"/>
      <c r="AF204" s="81"/>
      <c r="AG204" s="81"/>
      <c r="AH204" s="81"/>
      <c r="AI204" s="81"/>
      <c r="AJ204" s="81"/>
      <c r="AK204" s="81"/>
      <c r="AL204" s="81"/>
      <c r="AM204" s="81"/>
      <c r="AN204" s="81"/>
      <c r="AO204" s="81"/>
      <c r="AP204" s="81"/>
      <c r="AQ204" s="81"/>
      <c r="AR204" s="81"/>
      <c r="AS204" s="81"/>
      <c r="AT204" s="81"/>
      <c r="AU204" s="81"/>
      <c r="AV204" s="81"/>
    </row>
    <row r="205" spans="1:48">
      <c r="A205" s="81"/>
      <c r="B205" s="81"/>
      <c r="C205" s="81"/>
      <c r="D205" s="81"/>
      <c r="E205" s="81"/>
      <c r="F205" s="81"/>
      <c r="G205" s="81"/>
      <c r="H205" s="81"/>
      <c r="I205" s="81"/>
      <c r="J205" s="81"/>
      <c r="K205" s="81"/>
      <c r="L205" s="81"/>
      <c r="M205" s="81"/>
      <c r="N205" s="81"/>
      <c r="O205" s="81"/>
      <c r="P205" s="81"/>
      <c r="Q205" s="81"/>
      <c r="R205" s="81"/>
      <c r="S205" s="81"/>
      <c r="T205" s="81"/>
      <c r="U205" s="81"/>
      <c r="V205" s="81"/>
      <c r="W205" s="81"/>
      <c r="X205" s="81"/>
      <c r="Y205" s="81"/>
      <c r="Z205" s="81"/>
      <c r="AA205" s="81"/>
      <c r="AB205" s="81"/>
      <c r="AC205" s="81"/>
      <c r="AD205" s="81"/>
      <c r="AE205" s="81"/>
      <c r="AF205" s="81"/>
      <c r="AG205" s="81"/>
      <c r="AH205" s="81"/>
      <c r="AI205" s="81"/>
      <c r="AJ205" s="81"/>
      <c r="AK205" s="81"/>
      <c r="AL205" s="81"/>
      <c r="AM205" s="81"/>
      <c r="AN205" s="81"/>
      <c r="AO205" s="81"/>
      <c r="AP205" s="81"/>
      <c r="AQ205" s="81"/>
      <c r="AR205" s="81"/>
      <c r="AS205" s="81"/>
      <c r="AT205" s="81"/>
      <c r="AU205" s="81"/>
      <c r="AV205" s="81"/>
    </row>
    <row r="206" spans="1:48">
      <c r="A206" s="81"/>
      <c r="B206" s="81"/>
      <c r="C206" s="81"/>
      <c r="D206" s="81"/>
      <c r="E206" s="81"/>
      <c r="F206" s="81"/>
      <c r="G206" s="81"/>
      <c r="H206" s="81"/>
      <c r="I206" s="81"/>
      <c r="J206" s="81"/>
      <c r="K206" s="81"/>
      <c r="L206" s="81"/>
      <c r="M206" s="81"/>
      <c r="N206" s="81"/>
      <c r="O206" s="81"/>
      <c r="P206" s="81"/>
      <c r="Q206" s="81"/>
      <c r="R206" s="81"/>
      <c r="S206" s="81"/>
      <c r="T206" s="81"/>
      <c r="U206" s="81"/>
      <c r="V206" s="81"/>
      <c r="W206" s="81"/>
      <c r="X206" s="81"/>
      <c r="Y206" s="81"/>
      <c r="Z206" s="81"/>
      <c r="AA206" s="81"/>
      <c r="AB206" s="81"/>
      <c r="AC206" s="81"/>
      <c r="AD206" s="81"/>
      <c r="AE206" s="81"/>
      <c r="AF206" s="81"/>
      <c r="AG206" s="81"/>
      <c r="AH206" s="81"/>
      <c r="AI206" s="81"/>
      <c r="AJ206" s="81"/>
      <c r="AK206" s="81"/>
      <c r="AL206" s="81"/>
      <c r="AM206" s="81"/>
      <c r="AN206" s="81"/>
      <c r="AO206" s="81"/>
      <c r="AP206" s="81"/>
      <c r="AQ206" s="81"/>
      <c r="AR206" s="81"/>
      <c r="AS206" s="81"/>
      <c r="AT206" s="81"/>
      <c r="AU206" s="81"/>
      <c r="AV206" s="81"/>
    </row>
    <row r="207" spans="1:48">
      <c r="A207" s="81"/>
      <c r="B207" s="81"/>
      <c r="C207" s="81"/>
      <c r="D207" s="81"/>
      <c r="E207" s="81"/>
      <c r="F207" s="81"/>
      <c r="G207" s="81"/>
      <c r="H207" s="81"/>
      <c r="I207" s="81"/>
      <c r="J207" s="81"/>
      <c r="K207" s="81"/>
      <c r="L207" s="81"/>
      <c r="M207" s="81"/>
      <c r="N207" s="81"/>
      <c r="O207" s="81"/>
      <c r="P207" s="81"/>
      <c r="Q207" s="81"/>
      <c r="R207" s="81"/>
      <c r="S207" s="81"/>
      <c r="T207" s="81"/>
      <c r="U207" s="81"/>
      <c r="V207" s="81"/>
      <c r="W207" s="81"/>
      <c r="X207" s="81"/>
      <c r="Y207" s="81"/>
      <c r="Z207" s="81"/>
      <c r="AA207" s="81"/>
      <c r="AB207" s="81"/>
      <c r="AC207" s="81"/>
      <c r="AD207" s="81"/>
      <c r="AE207" s="81"/>
      <c r="AF207" s="81"/>
      <c r="AG207" s="81"/>
      <c r="AH207" s="81"/>
      <c r="AI207" s="81"/>
      <c r="AJ207" s="81"/>
      <c r="AK207" s="81"/>
      <c r="AL207" s="81"/>
      <c r="AM207" s="81"/>
      <c r="AN207" s="81"/>
      <c r="AO207" s="81"/>
      <c r="AP207" s="81"/>
      <c r="AQ207" s="81"/>
      <c r="AR207" s="81"/>
      <c r="AS207" s="81"/>
      <c r="AT207" s="81"/>
      <c r="AU207" s="81"/>
      <c r="AV207" s="81"/>
    </row>
    <row r="208" spans="1:48">
      <c r="A208" s="81"/>
      <c r="B208" s="81"/>
      <c r="C208" s="81"/>
      <c r="D208" s="81"/>
      <c r="E208" s="81"/>
      <c r="F208" s="81"/>
      <c r="G208" s="81"/>
      <c r="H208" s="81"/>
      <c r="I208" s="81"/>
      <c r="J208" s="81"/>
      <c r="K208" s="81"/>
      <c r="L208" s="81"/>
      <c r="M208" s="81"/>
      <c r="N208" s="81"/>
      <c r="O208" s="81"/>
      <c r="P208" s="81"/>
      <c r="Q208" s="81"/>
      <c r="R208" s="81"/>
      <c r="S208" s="81"/>
      <c r="T208" s="81"/>
      <c r="U208" s="81"/>
      <c r="V208" s="81"/>
      <c r="W208" s="81"/>
      <c r="X208" s="81"/>
      <c r="Y208" s="81"/>
      <c r="Z208" s="81"/>
      <c r="AA208" s="81"/>
      <c r="AB208" s="81"/>
      <c r="AC208" s="81"/>
      <c r="AD208" s="81"/>
      <c r="AE208" s="81"/>
      <c r="AF208" s="81"/>
      <c r="AG208" s="81"/>
      <c r="AH208" s="81"/>
      <c r="AI208" s="81"/>
      <c r="AJ208" s="81"/>
      <c r="AK208" s="81"/>
      <c r="AL208" s="81"/>
      <c r="AM208" s="81"/>
      <c r="AN208" s="81"/>
      <c r="AO208" s="81"/>
      <c r="AP208" s="81"/>
      <c r="AQ208" s="81"/>
      <c r="AR208" s="81"/>
      <c r="AS208" s="81"/>
      <c r="AT208" s="81"/>
      <c r="AU208" s="81"/>
      <c r="AV208" s="81"/>
    </row>
    <row r="209" spans="1:48">
      <c r="A209" s="81"/>
      <c r="B209" s="81"/>
      <c r="C209" s="81"/>
      <c r="D209" s="81"/>
      <c r="E209" s="81"/>
      <c r="F209" s="81"/>
      <c r="G209" s="81"/>
      <c r="H209" s="81"/>
      <c r="I209" s="81"/>
      <c r="J209" s="81"/>
      <c r="K209" s="81"/>
      <c r="L209" s="81"/>
      <c r="M209" s="81"/>
      <c r="N209" s="81"/>
      <c r="O209" s="81"/>
      <c r="P209" s="81"/>
      <c r="Q209" s="81"/>
      <c r="R209" s="81"/>
      <c r="S209" s="81"/>
      <c r="T209" s="81"/>
      <c r="U209" s="81"/>
      <c r="V209" s="81"/>
      <c r="W209" s="81"/>
      <c r="X209" s="81"/>
      <c r="Y209" s="81"/>
      <c r="Z209" s="81"/>
      <c r="AA209" s="81"/>
      <c r="AB209" s="81"/>
      <c r="AC209" s="81"/>
      <c r="AD209" s="81"/>
      <c r="AE209" s="81"/>
      <c r="AF209" s="81"/>
      <c r="AG209" s="81"/>
      <c r="AH209" s="81"/>
      <c r="AI209" s="81"/>
      <c r="AJ209" s="81"/>
      <c r="AK209" s="81"/>
      <c r="AL209" s="81"/>
      <c r="AM209" s="81"/>
      <c r="AN209" s="81"/>
      <c r="AO209" s="81"/>
      <c r="AP209" s="81"/>
      <c r="AQ209" s="81"/>
      <c r="AR209" s="81"/>
      <c r="AS209" s="81"/>
      <c r="AT209" s="81"/>
      <c r="AU209" s="81"/>
      <c r="AV209" s="81"/>
    </row>
    <row r="210" spans="1:48">
      <c r="A210" s="81"/>
      <c r="B210" s="81"/>
      <c r="C210" s="81"/>
      <c r="D210" s="81"/>
      <c r="E210" s="81"/>
      <c r="F210" s="81"/>
      <c r="G210" s="81"/>
      <c r="H210" s="81"/>
      <c r="I210" s="81"/>
      <c r="J210" s="81"/>
      <c r="K210" s="81"/>
      <c r="L210" s="81"/>
      <c r="M210" s="81"/>
      <c r="N210" s="81"/>
      <c r="O210" s="81"/>
      <c r="P210" s="81"/>
      <c r="Q210" s="81"/>
      <c r="R210" s="81"/>
      <c r="S210" s="81"/>
      <c r="T210" s="81"/>
      <c r="U210" s="81"/>
      <c r="V210" s="81"/>
      <c r="W210" s="81"/>
      <c r="X210" s="81"/>
      <c r="Y210" s="81"/>
      <c r="Z210" s="81"/>
      <c r="AA210" s="81"/>
      <c r="AB210" s="81"/>
      <c r="AC210" s="81"/>
      <c r="AD210" s="81"/>
      <c r="AE210" s="81"/>
      <c r="AF210" s="81"/>
      <c r="AG210" s="81"/>
      <c r="AH210" s="81"/>
      <c r="AI210" s="81"/>
      <c r="AJ210" s="81"/>
      <c r="AK210" s="81"/>
      <c r="AL210" s="81"/>
      <c r="AM210" s="81"/>
      <c r="AN210" s="81"/>
      <c r="AO210" s="81"/>
      <c r="AP210" s="81"/>
      <c r="AQ210" s="81"/>
      <c r="AR210" s="81"/>
      <c r="AS210" s="81"/>
      <c r="AT210" s="81"/>
      <c r="AU210" s="81"/>
      <c r="AV210" s="81"/>
    </row>
    <row r="211" spans="1:48">
      <c r="A211" s="81"/>
      <c r="B211" s="81"/>
      <c r="C211" s="81"/>
      <c r="D211" s="81"/>
      <c r="E211" s="81"/>
      <c r="F211" s="81"/>
      <c r="G211" s="81"/>
      <c r="H211" s="81"/>
      <c r="I211" s="81"/>
      <c r="J211" s="81"/>
      <c r="K211" s="81"/>
      <c r="L211" s="81"/>
      <c r="M211" s="81"/>
      <c r="N211" s="81"/>
      <c r="O211" s="81"/>
      <c r="P211" s="81"/>
      <c r="Q211" s="81"/>
      <c r="R211" s="81"/>
      <c r="S211" s="81"/>
      <c r="T211" s="81"/>
      <c r="U211" s="81"/>
      <c r="V211" s="81"/>
      <c r="W211" s="81"/>
      <c r="X211" s="81"/>
      <c r="Y211" s="81"/>
      <c r="Z211" s="81"/>
      <c r="AA211" s="81"/>
      <c r="AB211" s="81"/>
      <c r="AC211" s="81"/>
      <c r="AD211" s="81"/>
      <c r="AE211" s="81"/>
      <c r="AF211" s="81"/>
      <c r="AG211" s="81"/>
      <c r="AH211" s="81"/>
      <c r="AI211" s="81"/>
      <c r="AJ211" s="81"/>
      <c r="AK211" s="81"/>
      <c r="AL211" s="81"/>
      <c r="AM211" s="81"/>
      <c r="AN211" s="81"/>
      <c r="AO211" s="81"/>
      <c r="AP211" s="81"/>
      <c r="AQ211" s="81"/>
      <c r="AR211" s="81"/>
      <c r="AS211" s="81"/>
      <c r="AT211" s="81"/>
      <c r="AU211" s="81"/>
      <c r="AV211" s="81"/>
    </row>
    <row r="212" spans="1:48">
      <c r="A212" s="81"/>
      <c r="B212" s="81"/>
      <c r="C212" s="81"/>
      <c r="D212" s="81"/>
      <c r="E212" s="81"/>
      <c r="F212" s="81"/>
      <c r="G212" s="81"/>
      <c r="H212" s="81"/>
      <c r="I212" s="81"/>
      <c r="J212" s="81"/>
      <c r="K212" s="81"/>
      <c r="L212" s="81"/>
      <c r="M212" s="81"/>
      <c r="N212" s="81"/>
      <c r="O212" s="81"/>
      <c r="P212" s="81"/>
      <c r="Q212" s="81"/>
      <c r="R212" s="81"/>
      <c r="S212" s="81"/>
      <c r="T212" s="81"/>
      <c r="U212" s="81"/>
      <c r="V212" s="81"/>
      <c r="W212" s="81"/>
      <c r="X212" s="81"/>
      <c r="Y212" s="81"/>
      <c r="Z212" s="81"/>
      <c r="AA212" s="81"/>
      <c r="AB212" s="81"/>
      <c r="AC212" s="81"/>
      <c r="AD212" s="81"/>
      <c r="AE212" s="81"/>
      <c r="AF212" s="81"/>
      <c r="AG212" s="81"/>
      <c r="AH212" s="81"/>
      <c r="AI212" s="81"/>
      <c r="AJ212" s="81"/>
      <c r="AK212" s="81"/>
      <c r="AL212" s="81"/>
      <c r="AM212" s="81"/>
      <c r="AN212" s="81"/>
      <c r="AO212" s="81"/>
      <c r="AP212" s="81"/>
      <c r="AQ212" s="81"/>
      <c r="AR212" s="81"/>
      <c r="AS212" s="81"/>
      <c r="AT212" s="81"/>
      <c r="AU212" s="81"/>
      <c r="AV212" s="81"/>
    </row>
    <row r="213" spans="1:48">
      <c r="A213" s="81"/>
      <c r="B213" s="81"/>
      <c r="C213" s="81"/>
      <c r="D213" s="81"/>
      <c r="E213" s="81"/>
      <c r="F213" s="81"/>
      <c r="G213" s="81"/>
      <c r="H213" s="81"/>
      <c r="I213" s="81"/>
      <c r="J213" s="81"/>
      <c r="K213" s="81"/>
      <c r="L213" s="81"/>
      <c r="M213" s="81"/>
      <c r="N213" s="81"/>
      <c r="O213" s="81"/>
      <c r="P213" s="81"/>
      <c r="Q213" s="81"/>
      <c r="R213" s="81"/>
      <c r="S213" s="81"/>
      <c r="T213" s="81"/>
      <c r="U213" s="81"/>
      <c r="V213" s="81"/>
      <c r="W213" s="81"/>
      <c r="X213" s="81"/>
      <c r="Y213" s="81"/>
      <c r="Z213" s="81"/>
      <c r="AA213" s="81"/>
      <c r="AB213" s="81"/>
      <c r="AC213" s="81"/>
      <c r="AD213" s="81"/>
      <c r="AE213" s="81"/>
      <c r="AF213" s="81"/>
      <c r="AG213" s="81"/>
      <c r="AH213" s="81"/>
      <c r="AI213" s="81"/>
      <c r="AJ213" s="81"/>
      <c r="AK213" s="81"/>
      <c r="AL213" s="81"/>
      <c r="AM213" s="81"/>
      <c r="AN213" s="81"/>
      <c r="AO213" s="81"/>
      <c r="AP213" s="81"/>
      <c r="AQ213" s="81"/>
      <c r="AR213" s="81"/>
      <c r="AS213" s="81"/>
      <c r="AT213" s="81"/>
      <c r="AU213" s="81"/>
      <c r="AV213" s="81"/>
    </row>
    <row r="214" spans="1:48">
      <c r="A214" s="81"/>
      <c r="B214" s="81"/>
      <c r="C214" s="81"/>
      <c r="D214" s="81"/>
      <c r="E214" s="81"/>
      <c r="F214" s="81"/>
      <c r="G214" s="81"/>
      <c r="H214" s="81"/>
      <c r="I214" s="81"/>
      <c r="J214" s="81"/>
      <c r="K214" s="81"/>
      <c r="L214" s="81"/>
      <c r="M214" s="81"/>
      <c r="N214" s="81"/>
      <c r="O214" s="81"/>
      <c r="P214" s="81"/>
      <c r="Q214" s="81"/>
      <c r="R214" s="81"/>
      <c r="S214" s="81"/>
      <c r="T214" s="81"/>
      <c r="U214" s="81"/>
      <c r="V214" s="81"/>
      <c r="W214" s="81"/>
      <c r="X214" s="81"/>
      <c r="Y214" s="81"/>
      <c r="Z214" s="81"/>
      <c r="AA214" s="81"/>
      <c r="AB214" s="81"/>
      <c r="AC214" s="81"/>
      <c r="AD214" s="81"/>
      <c r="AE214" s="81"/>
      <c r="AF214" s="81"/>
      <c r="AG214" s="81"/>
      <c r="AH214" s="81"/>
      <c r="AI214" s="81"/>
      <c r="AJ214" s="81"/>
      <c r="AK214" s="81"/>
      <c r="AL214" s="81"/>
      <c r="AM214" s="81"/>
      <c r="AN214" s="81"/>
      <c r="AO214" s="81"/>
      <c r="AP214" s="81"/>
      <c r="AQ214" s="81"/>
      <c r="AR214" s="81"/>
      <c r="AS214" s="81"/>
      <c r="AT214" s="81"/>
      <c r="AU214" s="81"/>
      <c r="AV214" s="81"/>
    </row>
    <row r="215" spans="1:48">
      <c r="A215" s="81"/>
      <c r="B215" s="81"/>
      <c r="C215" s="81"/>
      <c r="D215" s="81"/>
      <c r="E215" s="81"/>
      <c r="F215" s="81"/>
      <c r="G215" s="81"/>
      <c r="H215" s="81"/>
      <c r="I215" s="81"/>
      <c r="J215" s="81"/>
      <c r="K215" s="81"/>
      <c r="L215" s="81"/>
      <c r="M215" s="81"/>
      <c r="N215" s="81"/>
      <c r="O215" s="81"/>
      <c r="P215" s="81"/>
      <c r="Q215" s="81"/>
      <c r="R215" s="81"/>
      <c r="S215" s="81"/>
      <c r="T215" s="81"/>
      <c r="U215" s="81"/>
      <c r="V215" s="81"/>
      <c r="W215" s="81"/>
      <c r="X215" s="81"/>
      <c r="Y215" s="81"/>
      <c r="Z215" s="81"/>
      <c r="AA215" s="81"/>
      <c r="AB215" s="81"/>
      <c r="AC215" s="81"/>
      <c r="AD215" s="81"/>
      <c r="AE215" s="81"/>
      <c r="AF215" s="81"/>
      <c r="AG215" s="81"/>
      <c r="AH215" s="81"/>
      <c r="AI215" s="81"/>
      <c r="AJ215" s="81"/>
      <c r="AK215" s="81"/>
      <c r="AL215" s="81"/>
      <c r="AM215" s="81"/>
      <c r="AN215" s="81"/>
      <c r="AO215" s="81"/>
      <c r="AP215" s="81"/>
      <c r="AQ215" s="81"/>
      <c r="AR215" s="81"/>
      <c r="AS215" s="81"/>
      <c r="AT215" s="81"/>
      <c r="AU215" s="81"/>
      <c r="AV215" s="81"/>
    </row>
    <row r="216" spans="1:48">
      <c r="A216" s="81"/>
      <c r="B216" s="81"/>
      <c r="C216" s="81"/>
      <c r="D216" s="81"/>
      <c r="E216" s="81"/>
      <c r="F216" s="81"/>
      <c r="G216" s="81"/>
      <c r="H216" s="81"/>
      <c r="I216" s="81"/>
      <c r="J216" s="81"/>
      <c r="K216" s="81"/>
      <c r="L216" s="81"/>
      <c r="M216" s="81"/>
      <c r="N216" s="81"/>
      <c r="O216" s="81"/>
      <c r="P216" s="81"/>
      <c r="Q216" s="81"/>
      <c r="R216" s="81"/>
      <c r="S216" s="81"/>
      <c r="T216" s="81"/>
      <c r="U216" s="81"/>
      <c r="V216" s="81"/>
      <c r="W216" s="81"/>
      <c r="X216" s="81"/>
      <c r="Y216" s="81"/>
      <c r="Z216" s="81"/>
      <c r="AA216" s="81"/>
      <c r="AB216" s="81"/>
      <c r="AC216" s="81"/>
      <c r="AD216" s="81"/>
      <c r="AE216" s="81"/>
      <c r="AF216" s="81"/>
      <c r="AG216" s="81"/>
      <c r="AH216" s="81"/>
      <c r="AI216" s="81"/>
      <c r="AJ216" s="81"/>
      <c r="AK216" s="81"/>
      <c r="AL216" s="81"/>
      <c r="AM216" s="81"/>
      <c r="AN216" s="81"/>
      <c r="AO216" s="81"/>
      <c r="AP216" s="81"/>
      <c r="AQ216" s="81"/>
      <c r="AR216" s="81"/>
      <c r="AS216" s="81"/>
      <c r="AT216" s="81"/>
      <c r="AU216" s="81"/>
      <c r="AV216" s="81"/>
    </row>
    <row r="217" spans="1:48">
      <c r="A217" s="81"/>
      <c r="B217" s="81"/>
      <c r="C217" s="81"/>
      <c r="D217" s="81"/>
      <c r="E217" s="81"/>
      <c r="F217" s="81"/>
      <c r="G217" s="81"/>
      <c r="H217" s="81"/>
      <c r="I217" s="81"/>
      <c r="J217" s="81"/>
      <c r="K217" s="81"/>
      <c r="L217" s="81"/>
      <c r="M217" s="81"/>
      <c r="N217" s="81"/>
      <c r="O217" s="81"/>
      <c r="P217" s="81"/>
      <c r="Q217" s="81"/>
      <c r="R217" s="81"/>
      <c r="S217" s="81"/>
      <c r="T217" s="81"/>
      <c r="U217" s="81"/>
      <c r="V217" s="81"/>
      <c r="W217" s="81"/>
      <c r="X217" s="81"/>
      <c r="Y217" s="81"/>
      <c r="Z217" s="81"/>
      <c r="AA217" s="81"/>
      <c r="AB217" s="81"/>
      <c r="AC217" s="81"/>
      <c r="AD217" s="81"/>
      <c r="AE217" s="81"/>
      <c r="AF217" s="81"/>
      <c r="AG217" s="81"/>
      <c r="AH217" s="81"/>
      <c r="AI217" s="81"/>
      <c r="AJ217" s="81"/>
      <c r="AK217" s="81"/>
      <c r="AL217" s="81"/>
      <c r="AM217" s="81"/>
      <c r="AN217" s="81"/>
      <c r="AO217" s="81"/>
      <c r="AP217" s="81"/>
      <c r="AQ217" s="81"/>
      <c r="AR217" s="81"/>
      <c r="AS217" s="81"/>
      <c r="AT217" s="81"/>
      <c r="AU217" s="81"/>
      <c r="AV217" s="81"/>
    </row>
    <row r="218" spans="1:48">
      <c r="A218" s="81"/>
      <c r="B218" s="81"/>
      <c r="C218" s="81"/>
      <c r="D218" s="81"/>
      <c r="E218" s="81"/>
      <c r="F218" s="81"/>
      <c r="G218" s="81"/>
      <c r="H218" s="81"/>
      <c r="I218" s="81"/>
      <c r="J218" s="81"/>
      <c r="K218" s="81"/>
      <c r="L218" s="81"/>
      <c r="M218" s="81"/>
      <c r="N218" s="81"/>
      <c r="O218" s="81"/>
      <c r="P218" s="81"/>
      <c r="Q218" s="81"/>
      <c r="R218" s="81"/>
      <c r="S218" s="81"/>
      <c r="T218" s="81"/>
      <c r="U218" s="81"/>
      <c r="V218" s="81"/>
      <c r="W218" s="81"/>
      <c r="X218" s="81"/>
      <c r="Y218" s="81"/>
      <c r="Z218" s="81"/>
      <c r="AA218" s="81"/>
      <c r="AB218" s="81"/>
      <c r="AC218" s="81"/>
      <c r="AD218" s="81"/>
      <c r="AE218" s="81"/>
      <c r="AF218" s="81"/>
      <c r="AG218" s="81"/>
      <c r="AH218" s="81"/>
      <c r="AI218" s="81"/>
      <c r="AJ218" s="81"/>
      <c r="AK218" s="81"/>
      <c r="AL218" s="81"/>
      <c r="AM218" s="81"/>
      <c r="AN218" s="81"/>
      <c r="AO218" s="81"/>
      <c r="AP218" s="81"/>
      <c r="AQ218" s="81"/>
      <c r="AR218" s="81"/>
      <c r="AS218" s="81"/>
      <c r="AT218" s="81"/>
      <c r="AU218" s="81"/>
      <c r="AV218" s="81"/>
    </row>
    <row r="219" spans="1:48">
      <c r="A219" s="81"/>
      <c r="B219" s="81"/>
      <c r="C219" s="81"/>
      <c r="D219" s="81"/>
      <c r="E219" s="81"/>
      <c r="F219" s="81"/>
      <c r="G219" s="81"/>
      <c r="H219" s="81"/>
      <c r="I219" s="81"/>
      <c r="J219" s="81"/>
      <c r="K219" s="81"/>
      <c r="L219" s="81"/>
      <c r="M219" s="81"/>
      <c r="N219" s="81"/>
      <c r="O219" s="81"/>
      <c r="P219" s="81"/>
      <c r="Q219" s="81"/>
      <c r="R219" s="81"/>
      <c r="S219" s="81"/>
      <c r="T219" s="81"/>
      <c r="U219" s="81"/>
      <c r="V219" s="81"/>
      <c r="W219" s="81"/>
      <c r="X219" s="81"/>
      <c r="Y219" s="81"/>
      <c r="Z219" s="81"/>
      <c r="AA219" s="81"/>
      <c r="AB219" s="81"/>
      <c r="AC219" s="81"/>
      <c r="AD219" s="81"/>
      <c r="AE219" s="81"/>
      <c r="AF219" s="81"/>
      <c r="AG219" s="81"/>
      <c r="AH219" s="81"/>
      <c r="AI219" s="81"/>
      <c r="AJ219" s="81"/>
      <c r="AK219" s="81"/>
      <c r="AL219" s="81"/>
      <c r="AM219" s="81"/>
      <c r="AN219" s="81"/>
      <c r="AO219" s="81"/>
      <c r="AP219" s="81"/>
      <c r="AQ219" s="81"/>
      <c r="AR219" s="81"/>
      <c r="AS219" s="81"/>
      <c r="AT219" s="81"/>
      <c r="AU219" s="81"/>
      <c r="AV219" s="81"/>
    </row>
    <row r="220" spans="1:48">
      <c r="A220" s="81"/>
      <c r="B220" s="81"/>
      <c r="C220" s="81"/>
      <c r="D220" s="81"/>
      <c r="E220" s="81"/>
      <c r="F220" s="81"/>
      <c r="G220" s="81"/>
      <c r="H220" s="81"/>
      <c r="I220" s="81"/>
      <c r="J220" s="81"/>
      <c r="K220" s="81"/>
      <c r="L220" s="81"/>
      <c r="M220" s="81"/>
      <c r="N220" s="81"/>
      <c r="O220" s="81"/>
      <c r="P220" s="81"/>
      <c r="Q220" s="81"/>
      <c r="R220" s="81"/>
      <c r="S220" s="81"/>
      <c r="T220" s="81"/>
      <c r="U220" s="81"/>
      <c r="V220" s="81"/>
      <c r="W220" s="81"/>
      <c r="X220" s="81"/>
      <c r="Y220" s="81"/>
      <c r="Z220" s="81"/>
      <c r="AA220" s="81"/>
      <c r="AB220" s="81"/>
      <c r="AC220" s="81"/>
      <c r="AD220" s="81"/>
      <c r="AE220" s="81"/>
      <c r="AF220" s="81"/>
      <c r="AG220" s="81"/>
      <c r="AH220" s="81"/>
      <c r="AI220" s="81"/>
      <c r="AJ220" s="81"/>
      <c r="AK220" s="81"/>
      <c r="AL220" s="81"/>
      <c r="AM220" s="81"/>
      <c r="AN220" s="81"/>
      <c r="AO220" s="81"/>
      <c r="AP220" s="81"/>
      <c r="AQ220" s="81"/>
      <c r="AR220" s="81"/>
      <c r="AS220" s="81"/>
      <c r="AT220" s="81"/>
      <c r="AU220" s="81"/>
      <c r="AV220" s="81"/>
    </row>
    <row r="221" spans="1:48">
      <c r="A221" s="81"/>
      <c r="B221" s="81"/>
      <c r="C221" s="81"/>
      <c r="D221" s="81"/>
      <c r="E221" s="81"/>
      <c r="F221" s="81"/>
      <c r="G221" s="81"/>
      <c r="H221" s="81"/>
      <c r="I221" s="81"/>
      <c r="J221" s="81"/>
      <c r="K221" s="81"/>
      <c r="L221" s="81"/>
      <c r="M221" s="81"/>
      <c r="N221" s="81"/>
      <c r="O221" s="81"/>
      <c r="P221" s="81"/>
      <c r="Q221" s="81"/>
      <c r="R221" s="81"/>
      <c r="S221" s="81"/>
      <c r="T221" s="81"/>
      <c r="U221" s="81"/>
      <c r="V221" s="81"/>
      <c r="W221" s="81"/>
      <c r="X221" s="81"/>
      <c r="Y221" s="81"/>
      <c r="Z221" s="81"/>
      <c r="AA221" s="81"/>
      <c r="AB221" s="81"/>
      <c r="AC221" s="81"/>
      <c r="AD221" s="81"/>
      <c r="AE221" s="81"/>
      <c r="AF221" s="81"/>
      <c r="AG221" s="81"/>
      <c r="AH221" s="81"/>
      <c r="AI221" s="81"/>
      <c r="AJ221" s="81"/>
      <c r="AK221" s="81"/>
      <c r="AL221" s="81"/>
      <c r="AM221" s="81"/>
      <c r="AN221" s="81"/>
      <c r="AO221" s="81"/>
      <c r="AP221" s="81"/>
      <c r="AQ221" s="81"/>
      <c r="AR221" s="81"/>
      <c r="AS221" s="81"/>
      <c r="AT221" s="81"/>
      <c r="AU221" s="81"/>
      <c r="AV221" s="81"/>
    </row>
    <row r="222" spans="1:48">
      <c r="A222" s="81"/>
      <c r="B222" s="81"/>
      <c r="C222" s="81"/>
      <c r="D222" s="81"/>
      <c r="E222" s="81"/>
      <c r="F222" s="81"/>
      <c r="G222" s="81"/>
      <c r="H222" s="81"/>
      <c r="I222" s="81"/>
      <c r="J222" s="81"/>
      <c r="K222" s="81"/>
      <c r="L222" s="81"/>
      <c r="M222" s="81"/>
      <c r="N222" s="81"/>
      <c r="O222" s="81"/>
      <c r="P222" s="81"/>
      <c r="Q222" s="81"/>
      <c r="R222" s="81"/>
      <c r="S222" s="81"/>
      <c r="T222" s="81"/>
      <c r="U222" s="81"/>
      <c r="V222" s="81"/>
      <c r="W222" s="81"/>
      <c r="X222" s="81"/>
      <c r="Y222" s="81"/>
      <c r="Z222" s="81"/>
      <c r="AA222" s="81"/>
      <c r="AB222" s="81"/>
      <c r="AC222" s="81"/>
      <c r="AD222" s="81"/>
      <c r="AE222" s="81"/>
      <c r="AF222" s="81"/>
      <c r="AG222" s="81"/>
      <c r="AH222" s="81"/>
      <c r="AI222" s="81"/>
      <c r="AJ222" s="81"/>
      <c r="AK222" s="81"/>
      <c r="AL222" s="81"/>
      <c r="AM222" s="81"/>
      <c r="AN222" s="81"/>
      <c r="AO222" s="81"/>
      <c r="AP222" s="81"/>
      <c r="AQ222" s="81"/>
      <c r="AR222" s="81"/>
      <c r="AS222" s="81"/>
      <c r="AT222" s="81"/>
      <c r="AU222" s="81"/>
      <c r="AV222" s="81"/>
    </row>
    <row r="223" spans="1:48">
      <c r="A223" s="81"/>
      <c r="B223" s="81"/>
      <c r="C223" s="81"/>
      <c r="D223" s="81"/>
      <c r="E223" s="81"/>
      <c r="F223" s="81"/>
      <c r="G223" s="81"/>
      <c r="H223" s="81"/>
      <c r="I223" s="81"/>
      <c r="J223" s="81"/>
      <c r="K223" s="81"/>
      <c r="L223" s="81"/>
      <c r="M223" s="81"/>
      <c r="N223" s="81"/>
      <c r="O223" s="81"/>
      <c r="P223" s="81"/>
      <c r="Q223" s="81"/>
      <c r="R223" s="81"/>
      <c r="S223" s="81"/>
      <c r="T223" s="81"/>
      <c r="U223" s="81"/>
      <c r="V223" s="81"/>
      <c r="W223" s="81"/>
      <c r="X223" s="81"/>
      <c r="Y223" s="81"/>
      <c r="Z223" s="81"/>
      <c r="AA223" s="81"/>
      <c r="AB223" s="81"/>
      <c r="AC223" s="81"/>
      <c r="AD223" s="81"/>
      <c r="AE223" s="81"/>
      <c r="AF223" s="81"/>
      <c r="AG223" s="81"/>
      <c r="AH223" s="81"/>
      <c r="AI223" s="81"/>
      <c r="AJ223" s="81"/>
      <c r="AK223" s="81"/>
      <c r="AL223" s="81"/>
      <c r="AM223" s="81"/>
      <c r="AN223" s="81"/>
      <c r="AO223" s="81"/>
      <c r="AP223" s="81"/>
      <c r="AQ223" s="81"/>
      <c r="AR223" s="81"/>
      <c r="AS223" s="81"/>
      <c r="AT223" s="81"/>
      <c r="AU223" s="81"/>
      <c r="AV223" s="81"/>
    </row>
    <row r="224" spans="1:48">
      <c r="A224" s="81"/>
      <c r="B224" s="81"/>
      <c r="C224" s="81"/>
      <c r="D224" s="81"/>
      <c r="E224" s="81"/>
      <c r="F224" s="81"/>
      <c r="G224" s="81"/>
      <c r="H224" s="81"/>
      <c r="I224" s="81"/>
      <c r="J224" s="81"/>
      <c r="K224" s="81"/>
      <c r="L224" s="81"/>
      <c r="M224" s="81"/>
      <c r="N224" s="81"/>
      <c r="O224" s="81"/>
      <c r="P224" s="81"/>
      <c r="Q224" s="81"/>
      <c r="R224" s="81"/>
      <c r="S224" s="81"/>
      <c r="T224" s="81"/>
      <c r="U224" s="81"/>
      <c r="V224" s="81"/>
      <c r="W224" s="81"/>
      <c r="X224" s="81"/>
      <c r="Y224" s="81"/>
      <c r="Z224" s="81"/>
      <c r="AA224" s="81"/>
      <c r="AB224" s="81"/>
      <c r="AC224" s="81"/>
      <c r="AD224" s="81"/>
      <c r="AE224" s="81"/>
      <c r="AF224" s="81"/>
      <c r="AG224" s="81"/>
      <c r="AH224" s="81"/>
      <c r="AI224" s="81"/>
      <c r="AJ224" s="81"/>
      <c r="AK224" s="81"/>
      <c r="AL224" s="81"/>
      <c r="AM224" s="81"/>
      <c r="AN224" s="81"/>
      <c r="AO224" s="81"/>
      <c r="AP224" s="81"/>
      <c r="AQ224" s="81"/>
      <c r="AR224" s="81"/>
      <c r="AS224" s="81"/>
      <c r="AT224" s="81"/>
      <c r="AU224" s="81"/>
      <c r="AV224" s="81"/>
    </row>
    <row r="225" spans="1:48">
      <c r="A225" s="81"/>
      <c r="B225" s="81"/>
      <c r="C225" s="81"/>
      <c r="D225" s="81"/>
      <c r="E225" s="81"/>
      <c r="F225" s="81"/>
      <c r="G225" s="81"/>
      <c r="H225" s="81"/>
      <c r="I225" s="81"/>
      <c r="J225" s="81"/>
      <c r="K225" s="81"/>
      <c r="L225" s="81"/>
      <c r="M225" s="81"/>
      <c r="N225" s="81"/>
      <c r="O225" s="81"/>
      <c r="P225" s="81"/>
      <c r="Q225" s="81"/>
      <c r="R225" s="81"/>
      <c r="S225" s="81"/>
      <c r="T225" s="81"/>
      <c r="U225" s="81"/>
      <c r="V225" s="81"/>
      <c r="W225" s="81"/>
      <c r="X225" s="81"/>
      <c r="Y225" s="81"/>
      <c r="Z225" s="81"/>
      <c r="AA225" s="81"/>
      <c r="AB225" s="81"/>
      <c r="AC225" s="81"/>
      <c r="AD225" s="81"/>
      <c r="AE225" s="81"/>
      <c r="AF225" s="81"/>
      <c r="AG225" s="81"/>
      <c r="AH225" s="81"/>
      <c r="AI225" s="81"/>
      <c r="AJ225" s="81"/>
      <c r="AK225" s="81"/>
      <c r="AL225" s="81"/>
      <c r="AM225" s="81"/>
      <c r="AN225" s="81"/>
      <c r="AO225" s="81"/>
      <c r="AP225" s="81"/>
      <c r="AQ225" s="81"/>
      <c r="AR225" s="81"/>
      <c r="AS225" s="81"/>
      <c r="AT225" s="81"/>
      <c r="AU225" s="81"/>
      <c r="AV225" s="81"/>
    </row>
    <row r="226" spans="1:48">
      <c r="A226" s="81"/>
      <c r="B226" s="81"/>
      <c r="C226" s="81"/>
      <c r="D226" s="81"/>
      <c r="E226" s="81"/>
      <c r="F226" s="81"/>
      <c r="G226" s="81"/>
      <c r="H226" s="81"/>
      <c r="I226" s="81"/>
      <c r="J226" s="81"/>
      <c r="K226" s="81"/>
      <c r="L226" s="81"/>
      <c r="M226" s="81"/>
      <c r="N226" s="81"/>
      <c r="O226" s="81"/>
      <c r="P226" s="81"/>
      <c r="Q226" s="81"/>
      <c r="R226" s="81"/>
      <c r="S226" s="81"/>
      <c r="T226" s="81"/>
      <c r="U226" s="81"/>
      <c r="V226" s="81"/>
      <c r="W226" s="81"/>
      <c r="X226" s="81"/>
      <c r="Y226" s="81"/>
      <c r="Z226" s="81"/>
      <c r="AA226" s="81"/>
      <c r="AB226" s="81"/>
      <c r="AC226" s="81"/>
      <c r="AD226" s="81"/>
      <c r="AE226" s="81"/>
      <c r="AF226" s="81"/>
      <c r="AG226" s="81"/>
      <c r="AH226" s="81"/>
      <c r="AI226" s="81"/>
      <c r="AJ226" s="81"/>
      <c r="AK226" s="81"/>
      <c r="AL226" s="81"/>
      <c r="AM226" s="81"/>
      <c r="AN226" s="81"/>
      <c r="AO226" s="81"/>
      <c r="AP226" s="81"/>
      <c r="AQ226" s="81"/>
      <c r="AR226" s="81"/>
      <c r="AS226" s="81"/>
      <c r="AT226" s="81"/>
      <c r="AU226" s="81"/>
      <c r="AV226" s="81"/>
    </row>
    <row r="227" spans="1:48">
      <c r="A227" s="81"/>
      <c r="B227" s="81"/>
      <c r="C227" s="81"/>
      <c r="D227" s="81"/>
      <c r="E227" s="81"/>
      <c r="F227" s="81"/>
      <c r="G227" s="81"/>
      <c r="H227" s="81"/>
      <c r="I227" s="81"/>
      <c r="J227" s="81"/>
      <c r="K227" s="81"/>
      <c r="L227" s="81"/>
      <c r="M227" s="81"/>
      <c r="N227" s="81"/>
      <c r="O227" s="81"/>
      <c r="P227" s="81"/>
      <c r="Q227" s="81"/>
      <c r="R227" s="81"/>
      <c r="S227" s="81"/>
      <c r="T227" s="81"/>
      <c r="U227" s="81"/>
      <c r="V227" s="81"/>
      <c r="W227" s="81"/>
      <c r="X227" s="81"/>
      <c r="Y227" s="81"/>
      <c r="Z227" s="81"/>
      <c r="AA227" s="81"/>
      <c r="AB227" s="81"/>
      <c r="AC227" s="81"/>
      <c r="AD227" s="81"/>
      <c r="AE227" s="81"/>
      <c r="AF227" s="81"/>
      <c r="AG227" s="81"/>
      <c r="AH227" s="81"/>
      <c r="AI227" s="81"/>
      <c r="AJ227" s="81"/>
      <c r="AK227" s="81"/>
      <c r="AL227" s="81"/>
      <c r="AM227" s="81"/>
      <c r="AN227" s="81"/>
      <c r="AO227" s="81"/>
      <c r="AP227" s="81"/>
      <c r="AQ227" s="81"/>
      <c r="AR227" s="81"/>
      <c r="AS227" s="81"/>
      <c r="AT227" s="81"/>
      <c r="AU227" s="81"/>
      <c r="AV227" s="81"/>
    </row>
    <row r="228" spans="1:48">
      <c r="A228" s="81"/>
      <c r="B228" s="81"/>
      <c r="C228" s="81"/>
      <c r="D228" s="81"/>
      <c r="E228" s="81"/>
      <c r="F228" s="81"/>
      <c r="G228" s="81"/>
      <c r="H228" s="81"/>
      <c r="I228" s="81"/>
      <c r="J228" s="81"/>
      <c r="K228" s="81"/>
      <c r="L228" s="81"/>
      <c r="M228" s="81"/>
      <c r="N228" s="81"/>
      <c r="O228" s="81"/>
      <c r="P228" s="81"/>
      <c r="Q228" s="81"/>
      <c r="R228" s="81"/>
      <c r="S228" s="81"/>
      <c r="T228" s="81"/>
      <c r="U228" s="81"/>
      <c r="V228" s="81"/>
      <c r="W228" s="81"/>
      <c r="X228" s="81"/>
      <c r="Y228" s="81"/>
      <c r="Z228" s="81"/>
      <c r="AA228" s="81"/>
      <c r="AB228" s="81"/>
      <c r="AC228" s="81"/>
      <c r="AD228" s="81"/>
      <c r="AE228" s="81"/>
      <c r="AF228" s="81"/>
      <c r="AG228" s="81"/>
      <c r="AH228" s="81"/>
      <c r="AI228" s="81"/>
      <c r="AJ228" s="81"/>
      <c r="AK228" s="81"/>
      <c r="AL228" s="81"/>
      <c r="AM228" s="81"/>
      <c r="AN228" s="81"/>
      <c r="AO228" s="81"/>
      <c r="AP228" s="81"/>
      <c r="AQ228" s="81"/>
      <c r="AR228" s="81"/>
      <c r="AS228" s="81"/>
      <c r="AT228" s="81"/>
      <c r="AU228" s="81"/>
      <c r="AV228" s="81"/>
    </row>
    <row r="229" spans="1:48">
      <c r="A229" s="81"/>
      <c r="B229" s="81"/>
      <c r="C229" s="81"/>
      <c r="D229" s="81"/>
      <c r="E229" s="81"/>
      <c r="F229" s="81"/>
      <c r="G229" s="81"/>
      <c r="H229" s="81"/>
      <c r="I229" s="81"/>
      <c r="J229" s="81"/>
      <c r="K229" s="81"/>
      <c r="L229" s="81"/>
      <c r="M229" s="81"/>
      <c r="N229" s="81"/>
      <c r="O229" s="81"/>
      <c r="P229" s="81"/>
      <c r="Q229" s="81"/>
      <c r="R229" s="81"/>
      <c r="S229" s="81"/>
      <c r="T229" s="81"/>
      <c r="U229" s="81"/>
      <c r="V229" s="81"/>
      <c r="W229" s="81"/>
      <c r="X229" s="81"/>
      <c r="Y229" s="81"/>
      <c r="Z229" s="81"/>
      <c r="AA229" s="81"/>
      <c r="AB229" s="81"/>
      <c r="AC229" s="81"/>
      <c r="AD229" s="81"/>
      <c r="AE229" s="81"/>
      <c r="AF229" s="81"/>
      <c r="AG229" s="81"/>
      <c r="AH229" s="81"/>
      <c r="AI229" s="81"/>
      <c r="AJ229" s="81"/>
      <c r="AK229" s="81"/>
      <c r="AL229" s="81"/>
      <c r="AM229" s="81"/>
      <c r="AN229" s="81"/>
      <c r="AO229" s="81"/>
      <c r="AP229" s="81"/>
      <c r="AQ229" s="81"/>
      <c r="AR229" s="81"/>
      <c r="AS229" s="81"/>
      <c r="AT229" s="81"/>
      <c r="AU229" s="81"/>
      <c r="AV229" s="81"/>
    </row>
    <row r="230" spans="1:48">
      <c r="A230" s="81"/>
      <c r="B230" s="81"/>
      <c r="C230" s="81"/>
      <c r="D230" s="81"/>
      <c r="E230" s="81"/>
      <c r="F230" s="81"/>
      <c r="G230" s="81"/>
      <c r="H230" s="81"/>
      <c r="I230" s="81"/>
      <c r="J230" s="81"/>
      <c r="K230" s="81"/>
      <c r="L230" s="81"/>
      <c r="M230" s="81"/>
      <c r="N230" s="81"/>
      <c r="O230" s="81"/>
      <c r="P230" s="81"/>
      <c r="Q230" s="81"/>
      <c r="R230" s="81"/>
      <c r="S230" s="81"/>
      <c r="T230" s="81"/>
      <c r="U230" s="81"/>
      <c r="V230" s="81"/>
      <c r="W230" s="81"/>
      <c r="X230" s="81"/>
      <c r="Y230" s="81"/>
      <c r="Z230" s="81"/>
      <c r="AA230" s="81"/>
      <c r="AB230" s="81"/>
      <c r="AC230" s="81"/>
      <c r="AD230" s="81"/>
      <c r="AE230" s="81"/>
      <c r="AF230" s="81"/>
      <c r="AG230" s="81"/>
      <c r="AH230" s="81"/>
      <c r="AI230" s="81"/>
      <c r="AJ230" s="81"/>
      <c r="AK230" s="81"/>
      <c r="AL230" s="81"/>
      <c r="AM230" s="81"/>
      <c r="AN230" s="81"/>
      <c r="AO230" s="81"/>
      <c r="AP230" s="81"/>
      <c r="AQ230" s="81"/>
      <c r="AR230" s="81"/>
      <c r="AS230" s="81"/>
      <c r="AT230" s="81"/>
      <c r="AU230" s="81"/>
      <c r="AV230" s="81"/>
    </row>
    <row r="231" spans="1:48">
      <c r="A231" s="81"/>
      <c r="B231" s="81"/>
      <c r="C231" s="81"/>
      <c r="D231" s="81"/>
      <c r="E231" s="81"/>
      <c r="F231" s="81"/>
      <c r="G231" s="81"/>
      <c r="H231" s="81"/>
      <c r="I231" s="81"/>
      <c r="J231" s="81"/>
      <c r="K231" s="81"/>
      <c r="L231" s="81"/>
      <c r="M231" s="81"/>
      <c r="N231" s="81"/>
      <c r="O231" s="81"/>
      <c r="P231" s="81"/>
      <c r="Q231" s="81"/>
      <c r="R231" s="81"/>
      <c r="S231" s="81"/>
      <c r="T231" s="81"/>
      <c r="U231" s="81"/>
      <c r="V231" s="81"/>
      <c r="W231" s="81"/>
      <c r="X231" s="81"/>
      <c r="Y231" s="81"/>
      <c r="Z231" s="81"/>
      <c r="AA231" s="81"/>
      <c r="AB231" s="81"/>
      <c r="AC231" s="81"/>
      <c r="AD231" s="81"/>
      <c r="AE231" s="81"/>
      <c r="AF231" s="81"/>
      <c r="AG231" s="81"/>
      <c r="AH231" s="81"/>
      <c r="AI231" s="81"/>
      <c r="AJ231" s="81"/>
      <c r="AK231" s="81"/>
      <c r="AL231" s="81"/>
      <c r="AM231" s="81"/>
      <c r="AN231" s="81"/>
      <c r="AO231" s="81"/>
      <c r="AP231" s="81"/>
      <c r="AQ231" s="81"/>
      <c r="AR231" s="81"/>
      <c r="AS231" s="81"/>
      <c r="AT231" s="81"/>
      <c r="AU231" s="81"/>
      <c r="AV231" s="81"/>
    </row>
    <row r="232" spans="1:48">
      <c r="A232" s="81"/>
      <c r="B232" s="81"/>
      <c r="C232" s="81"/>
      <c r="D232" s="81"/>
      <c r="E232" s="81"/>
      <c r="F232" s="81"/>
      <c r="G232" s="81"/>
      <c r="H232" s="81"/>
      <c r="I232" s="81"/>
      <c r="J232" s="81"/>
      <c r="K232" s="81"/>
      <c r="L232" s="81"/>
      <c r="M232" s="81"/>
      <c r="N232" s="81"/>
      <c r="O232" s="81"/>
      <c r="P232" s="81"/>
      <c r="Q232" s="81"/>
      <c r="R232" s="81"/>
      <c r="S232" s="81"/>
      <c r="T232" s="81"/>
      <c r="U232" s="81"/>
      <c r="V232" s="81"/>
      <c r="W232" s="81"/>
      <c r="X232" s="81"/>
      <c r="Y232" s="81"/>
      <c r="Z232" s="81"/>
      <c r="AA232" s="81"/>
      <c r="AB232" s="81"/>
      <c r="AC232" s="81"/>
      <c r="AD232" s="81"/>
      <c r="AE232" s="81"/>
      <c r="AF232" s="81"/>
      <c r="AG232" s="81"/>
      <c r="AH232" s="81"/>
      <c r="AI232" s="81"/>
      <c r="AJ232" s="81"/>
      <c r="AK232" s="81"/>
      <c r="AL232" s="81"/>
      <c r="AM232" s="81"/>
      <c r="AN232" s="81"/>
      <c r="AO232" s="81"/>
      <c r="AP232" s="81"/>
      <c r="AQ232" s="81"/>
      <c r="AR232" s="81"/>
      <c r="AS232" s="81"/>
      <c r="AT232" s="81"/>
      <c r="AU232" s="81"/>
      <c r="AV232" s="81"/>
    </row>
    <row r="233" spans="1:48">
      <c r="A233" s="81"/>
      <c r="B233" s="81"/>
      <c r="C233" s="81"/>
      <c r="D233" s="81"/>
      <c r="E233" s="81"/>
      <c r="F233" s="81"/>
      <c r="G233" s="81"/>
      <c r="H233" s="81"/>
      <c r="I233" s="81"/>
      <c r="J233" s="81"/>
      <c r="K233" s="81"/>
      <c r="L233" s="81"/>
      <c r="M233" s="81"/>
      <c r="N233" s="81"/>
      <c r="O233" s="81"/>
      <c r="P233" s="81"/>
      <c r="Q233" s="81"/>
      <c r="R233" s="81"/>
      <c r="S233" s="81"/>
      <c r="T233" s="81"/>
      <c r="U233" s="81"/>
      <c r="V233" s="81"/>
      <c r="W233" s="81"/>
      <c r="X233" s="81"/>
      <c r="Y233" s="81"/>
      <c r="Z233" s="81"/>
      <c r="AA233" s="81"/>
      <c r="AB233" s="81"/>
      <c r="AC233" s="81"/>
      <c r="AD233" s="81"/>
      <c r="AE233" s="81"/>
      <c r="AF233" s="81"/>
      <c r="AG233" s="81"/>
      <c r="AH233" s="81"/>
      <c r="AI233" s="81"/>
      <c r="AJ233" s="81"/>
      <c r="AK233" s="81"/>
      <c r="AL233" s="81"/>
      <c r="AM233" s="81"/>
      <c r="AN233" s="81"/>
      <c r="AO233" s="81"/>
      <c r="AP233" s="81"/>
      <c r="AQ233" s="81"/>
      <c r="AR233" s="81"/>
      <c r="AS233" s="81"/>
      <c r="AT233" s="81"/>
      <c r="AU233" s="81"/>
      <c r="AV233" s="81"/>
    </row>
    <row r="234" spans="1:48">
      <c r="A234" s="81"/>
      <c r="B234" s="81"/>
      <c r="C234" s="81"/>
      <c r="D234" s="81"/>
      <c r="E234" s="81"/>
      <c r="F234" s="81"/>
      <c r="G234" s="81"/>
      <c r="H234" s="81"/>
      <c r="I234" s="81"/>
      <c r="J234" s="81"/>
      <c r="K234" s="81"/>
      <c r="L234" s="81"/>
      <c r="M234" s="81"/>
      <c r="N234" s="81"/>
      <c r="O234" s="81"/>
      <c r="P234" s="81"/>
      <c r="Q234" s="81"/>
      <c r="R234" s="81"/>
      <c r="S234" s="81"/>
      <c r="T234" s="81"/>
      <c r="U234" s="81"/>
      <c r="V234" s="81"/>
      <c r="W234" s="81"/>
      <c r="X234" s="81"/>
      <c r="Y234" s="81"/>
      <c r="Z234" s="81"/>
      <c r="AA234" s="81"/>
      <c r="AB234" s="81"/>
      <c r="AC234" s="81"/>
      <c r="AD234" s="81"/>
      <c r="AE234" s="81"/>
      <c r="AF234" s="81"/>
      <c r="AG234" s="81"/>
      <c r="AH234" s="81"/>
      <c r="AI234" s="81"/>
      <c r="AJ234" s="81"/>
      <c r="AK234" s="81"/>
      <c r="AL234" s="81"/>
      <c r="AM234" s="81"/>
      <c r="AN234" s="81"/>
      <c r="AO234" s="81"/>
      <c r="AP234" s="81"/>
      <c r="AQ234" s="81"/>
      <c r="AR234" s="81"/>
      <c r="AS234" s="81"/>
      <c r="AT234" s="81"/>
      <c r="AU234" s="81"/>
      <c r="AV234" s="81"/>
    </row>
    <row r="235" spans="1:48">
      <c r="A235" s="81"/>
      <c r="B235" s="81"/>
      <c r="C235" s="81"/>
      <c r="D235" s="81"/>
      <c r="E235" s="81"/>
      <c r="F235" s="81"/>
      <c r="G235" s="81"/>
      <c r="H235" s="81"/>
      <c r="I235" s="81"/>
      <c r="J235" s="81"/>
      <c r="K235" s="81"/>
      <c r="L235" s="81"/>
      <c r="M235" s="81"/>
      <c r="N235" s="81"/>
      <c r="O235" s="81"/>
      <c r="P235" s="81"/>
      <c r="Q235" s="81"/>
      <c r="R235" s="81"/>
      <c r="S235" s="81"/>
      <c r="T235" s="81"/>
      <c r="U235" s="81"/>
      <c r="V235" s="81"/>
      <c r="W235" s="81"/>
      <c r="X235" s="81"/>
      <c r="Y235" s="81"/>
      <c r="Z235" s="81"/>
      <c r="AA235" s="81"/>
      <c r="AB235" s="81"/>
      <c r="AC235" s="81"/>
      <c r="AD235" s="81"/>
      <c r="AE235" s="81"/>
      <c r="AF235" s="81"/>
      <c r="AG235" s="81"/>
      <c r="AH235" s="81"/>
      <c r="AI235" s="81"/>
      <c r="AJ235" s="81"/>
      <c r="AK235" s="81"/>
      <c r="AL235" s="81"/>
      <c r="AM235" s="81"/>
      <c r="AN235" s="81"/>
      <c r="AO235" s="81"/>
      <c r="AP235" s="81"/>
      <c r="AQ235" s="81"/>
      <c r="AR235" s="81"/>
      <c r="AS235" s="81"/>
      <c r="AT235" s="81"/>
      <c r="AU235" s="81"/>
      <c r="AV235" s="81"/>
    </row>
    <row r="236" spans="1:48">
      <c r="A236" s="81"/>
      <c r="B236" s="81"/>
      <c r="C236" s="81"/>
      <c r="D236" s="81"/>
      <c r="E236" s="81"/>
      <c r="F236" s="81"/>
      <c r="G236" s="81"/>
      <c r="H236" s="81"/>
      <c r="I236" s="81"/>
      <c r="J236" s="81"/>
      <c r="K236" s="81"/>
      <c r="L236" s="81"/>
      <c r="M236" s="81"/>
      <c r="N236" s="81"/>
      <c r="O236" s="81"/>
      <c r="P236" s="81"/>
      <c r="Q236" s="81"/>
      <c r="R236" s="81"/>
      <c r="S236" s="81"/>
      <c r="T236" s="81"/>
      <c r="U236" s="81"/>
      <c r="V236" s="81"/>
      <c r="W236" s="81"/>
      <c r="X236" s="81"/>
      <c r="Y236" s="81"/>
      <c r="Z236" s="81"/>
      <c r="AA236" s="81"/>
      <c r="AB236" s="81"/>
      <c r="AC236" s="81"/>
      <c r="AD236" s="81"/>
      <c r="AE236" s="81"/>
      <c r="AF236" s="81"/>
      <c r="AG236" s="81"/>
      <c r="AH236" s="81"/>
      <c r="AI236" s="81"/>
      <c r="AJ236" s="81"/>
      <c r="AK236" s="81"/>
      <c r="AL236" s="81"/>
      <c r="AM236" s="81"/>
      <c r="AN236" s="81"/>
      <c r="AO236" s="81"/>
      <c r="AP236" s="81"/>
      <c r="AQ236" s="81"/>
      <c r="AR236" s="81"/>
      <c r="AS236" s="81"/>
      <c r="AT236" s="81"/>
      <c r="AU236" s="81"/>
      <c r="AV236" s="81"/>
    </row>
    <row r="237" spans="1:48">
      <c r="A237" s="81"/>
      <c r="B237" s="81"/>
      <c r="C237" s="81"/>
      <c r="D237" s="81"/>
      <c r="E237" s="81"/>
      <c r="F237" s="81"/>
      <c r="G237" s="81"/>
      <c r="H237" s="81"/>
      <c r="I237" s="81"/>
      <c r="J237" s="81"/>
      <c r="K237" s="81"/>
      <c r="L237" s="81"/>
      <c r="M237" s="81"/>
      <c r="N237" s="81"/>
      <c r="O237" s="81"/>
      <c r="P237" s="81"/>
      <c r="Q237" s="81"/>
      <c r="R237" s="81"/>
      <c r="S237" s="81"/>
      <c r="T237" s="81"/>
      <c r="U237" s="81"/>
      <c r="V237" s="81"/>
      <c r="W237" s="81"/>
      <c r="X237" s="81"/>
      <c r="Y237" s="81"/>
      <c r="Z237" s="81"/>
      <c r="AA237" s="81"/>
      <c r="AB237" s="81"/>
      <c r="AC237" s="81"/>
      <c r="AD237" s="81"/>
      <c r="AE237" s="81"/>
      <c r="AF237" s="81"/>
      <c r="AG237" s="81"/>
      <c r="AH237" s="81"/>
      <c r="AI237" s="81"/>
      <c r="AJ237" s="81"/>
      <c r="AK237" s="81"/>
      <c r="AL237" s="81"/>
      <c r="AM237" s="81"/>
      <c r="AN237" s="81"/>
      <c r="AO237" s="81"/>
      <c r="AP237" s="81"/>
      <c r="AQ237" s="81"/>
      <c r="AR237" s="81"/>
      <c r="AS237" s="81"/>
      <c r="AT237" s="81"/>
      <c r="AU237" s="81"/>
      <c r="AV237" s="81"/>
    </row>
    <row r="238" spans="1:48">
      <c r="A238" s="81"/>
      <c r="B238" s="81"/>
      <c r="C238" s="81"/>
      <c r="D238" s="81"/>
      <c r="E238" s="81"/>
      <c r="F238" s="81"/>
      <c r="G238" s="81"/>
      <c r="H238" s="81"/>
      <c r="I238" s="81"/>
      <c r="J238" s="81"/>
      <c r="K238" s="81"/>
      <c r="L238" s="81"/>
      <c r="M238" s="81"/>
      <c r="N238" s="81"/>
      <c r="O238" s="81"/>
      <c r="P238" s="81"/>
      <c r="Q238" s="81"/>
      <c r="R238" s="81"/>
      <c r="S238" s="81"/>
      <c r="T238" s="81"/>
      <c r="U238" s="81"/>
      <c r="V238" s="81"/>
      <c r="W238" s="81"/>
      <c r="X238" s="81"/>
      <c r="Y238" s="81"/>
      <c r="Z238" s="81"/>
      <c r="AA238" s="81"/>
      <c r="AB238" s="81"/>
      <c r="AC238" s="81"/>
      <c r="AD238" s="81"/>
      <c r="AE238" s="81"/>
      <c r="AF238" s="81"/>
      <c r="AG238" s="81"/>
      <c r="AH238" s="81"/>
      <c r="AI238" s="81"/>
      <c r="AJ238" s="81"/>
      <c r="AK238" s="81"/>
      <c r="AL238" s="81"/>
      <c r="AM238" s="81"/>
      <c r="AN238" s="81"/>
      <c r="AO238" s="81"/>
      <c r="AP238" s="81"/>
      <c r="AQ238" s="81"/>
      <c r="AR238" s="81"/>
      <c r="AS238" s="81"/>
      <c r="AT238" s="81"/>
      <c r="AU238" s="81"/>
      <c r="AV238" s="81"/>
    </row>
    <row r="239" spans="1:48">
      <c r="A239" s="81"/>
      <c r="B239" s="81"/>
      <c r="C239" s="81"/>
      <c r="D239" s="81"/>
      <c r="E239" s="81"/>
      <c r="F239" s="81"/>
      <c r="G239" s="81"/>
      <c r="H239" s="81"/>
      <c r="I239" s="81"/>
      <c r="J239" s="81"/>
      <c r="K239" s="81"/>
      <c r="L239" s="81"/>
      <c r="M239" s="81"/>
      <c r="N239" s="81"/>
      <c r="O239" s="81"/>
      <c r="P239" s="81"/>
      <c r="Q239" s="81"/>
      <c r="R239" s="81"/>
      <c r="S239" s="81"/>
      <c r="T239" s="81"/>
      <c r="U239" s="81"/>
      <c r="V239" s="81"/>
      <c r="W239" s="81"/>
      <c r="X239" s="81"/>
      <c r="Y239" s="81"/>
      <c r="Z239" s="81"/>
      <c r="AA239" s="81"/>
      <c r="AB239" s="81"/>
      <c r="AC239" s="81"/>
      <c r="AD239" s="81"/>
      <c r="AE239" s="81"/>
      <c r="AF239" s="81"/>
      <c r="AG239" s="81"/>
      <c r="AH239" s="81"/>
      <c r="AI239" s="81"/>
      <c r="AJ239" s="81"/>
      <c r="AK239" s="81"/>
      <c r="AL239" s="81"/>
      <c r="AM239" s="81"/>
      <c r="AN239" s="81"/>
      <c r="AO239" s="81"/>
      <c r="AP239" s="81"/>
      <c r="AQ239" s="81"/>
      <c r="AR239" s="81"/>
      <c r="AS239" s="81"/>
      <c r="AT239" s="81"/>
      <c r="AU239" s="81"/>
      <c r="AV239" s="81"/>
    </row>
    <row r="240" spans="1:48">
      <c r="A240" s="81"/>
      <c r="B240" s="81"/>
      <c r="C240" s="81"/>
      <c r="D240" s="81"/>
      <c r="E240" s="81"/>
      <c r="F240" s="81"/>
      <c r="G240" s="81"/>
      <c r="H240" s="81"/>
      <c r="I240" s="81"/>
      <c r="J240" s="81"/>
      <c r="K240" s="81"/>
      <c r="L240" s="81"/>
      <c r="M240" s="81"/>
      <c r="N240" s="81"/>
      <c r="O240" s="81"/>
      <c r="P240" s="81"/>
      <c r="Q240" s="81"/>
      <c r="R240" s="81"/>
      <c r="S240" s="81"/>
      <c r="T240" s="81"/>
      <c r="U240" s="81"/>
      <c r="V240" s="81"/>
      <c r="W240" s="81"/>
      <c r="X240" s="81"/>
      <c r="Y240" s="81"/>
      <c r="Z240" s="81"/>
      <c r="AA240" s="81"/>
      <c r="AB240" s="81"/>
      <c r="AC240" s="81"/>
      <c r="AD240" s="81"/>
      <c r="AE240" s="81"/>
      <c r="AF240" s="81"/>
      <c r="AG240" s="81"/>
      <c r="AH240" s="81"/>
      <c r="AI240" s="81"/>
      <c r="AJ240" s="81"/>
      <c r="AK240" s="81"/>
      <c r="AL240" s="81"/>
      <c r="AM240" s="81"/>
      <c r="AN240" s="81"/>
      <c r="AO240" s="81"/>
      <c r="AP240" s="81"/>
      <c r="AQ240" s="81"/>
      <c r="AR240" s="81"/>
      <c r="AS240" s="81"/>
      <c r="AT240" s="81"/>
      <c r="AU240" s="81"/>
      <c r="AV240" s="81"/>
    </row>
    <row r="241" spans="1:48">
      <c r="A241" s="81"/>
      <c r="B241" s="81"/>
      <c r="C241" s="81"/>
      <c r="D241" s="81"/>
      <c r="E241" s="81"/>
      <c r="F241" s="81"/>
      <c r="G241" s="81"/>
      <c r="H241" s="81"/>
      <c r="I241" s="81"/>
      <c r="J241" s="81"/>
      <c r="K241" s="81"/>
      <c r="L241" s="81"/>
      <c r="M241" s="81"/>
      <c r="N241" s="81"/>
      <c r="O241" s="81"/>
      <c r="P241" s="81"/>
      <c r="Q241" s="81"/>
      <c r="R241" s="81"/>
      <c r="S241" s="81"/>
      <c r="T241" s="81"/>
      <c r="U241" s="81"/>
      <c r="V241" s="81"/>
      <c r="W241" s="81"/>
      <c r="X241" s="81"/>
      <c r="Y241" s="81"/>
      <c r="Z241" s="81"/>
      <c r="AA241" s="81"/>
      <c r="AB241" s="81"/>
      <c r="AC241" s="81"/>
      <c r="AD241" s="81"/>
      <c r="AE241" s="81"/>
      <c r="AF241" s="81"/>
      <c r="AG241" s="81"/>
      <c r="AH241" s="81"/>
      <c r="AI241" s="81"/>
      <c r="AJ241" s="81"/>
      <c r="AK241" s="81"/>
      <c r="AL241" s="81"/>
      <c r="AM241" s="81"/>
      <c r="AN241" s="81"/>
      <c r="AO241" s="81"/>
      <c r="AP241" s="81"/>
      <c r="AQ241" s="81"/>
      <c r="AR241" s="81"/>
      <c r="AS241" s="81"/>
      <c r="AT241" s="81"/>
      <c r="AU241" s="81"/>
      <c r="AV241" s="81"/>
    </row>
    <row r="242" spans="1:48">
      <c r="A242" s="81"/>
      <c r="B242" s="81"/>
      <c r="C242" s="81"/>
      <c r="D242" s="81"/>
      <c r="E242" s="81"/>
      <c r="F242" s="81"/>
      <c r="G242" s="81"/>
      <c r="H242" s="81"/>
      <c r="I242" s="81"/>
      <c r="J242" s="81"/>
      <c r="K242" s="81"/>
      <c r="L242" s="81"/>
      <c r="M242" s="81"/>
      <c r="N242" s="81"/>
      <c r="O242" s="81"/>
      <c r="P242" s="81"/>
      <c r="Q242" s="81"/>
      <c r="R242" s="81"/>
      <c r="S242" s="81"/>
      <c r="T242" s="81"/>
      <c r="U242" s="81"/>
      <c r="V242" s="81"/>
      <c r="W242" s="81"/>
      <c r="X242" s="81"/>
      <c r="Y242" s="81"/>
      <c r="Z242" s="81"/>
      <c r="AA242" s="81"/>
      <c r="AB242" s="81"/>
      <c r="AC242" s="81"/>
      <c r="AD242" s="81"/>
      <c r="AE242" s="81"/>
      <c r="AF242" s="81"/>
      <c r="AG242" s="81"/>
      <c r="AH242" s="81"/>
      <c r="AI242" s="81"/>
      <c r="AJ242" s="81"/>
      <c r="AK242" s="81"/>
      <c r="AL242" s="81"/>
      <c r="AM242" s="81"/>
      <c r="AN242" s="81"/>
      <c r="AO242" s="81"/>
      <c r="AP242" s="81"/>
      <c r="AQ242" s="81"/>
      <c r="AR242" s="81"/>
      <c r="AS242" s="81"/>
      <c r="AT242" s="81"/>
      <c r="AU242" s="81"/>
      <c r="AV242" s="81"/>
    </row>
    <row r="243" spans="1:48">
      <c r="A243" s="81"/>
      <c r="B243" s="81"/>
      <c r="C243" s="81"/>
      <c r="D243" s="81"/>
      <c r="E243" s="81"/>
      <c r="F243" s="81"/>
      <c r="G243" s="81"/>
      <c r="H243" s="81"/>
      <c r="I243" s="81"/>
      <c r="J243" s="81"/>
      <c r="K243" s="81"/>
      <c r="L243" s="81"/>
      <c r="M243" s="81"/>
      <c r="N243" s="81"/>
      <c r="O243" s="81"/>
      <c r="P243" s="81"/>
      <c r="Q243" s="81"/>
      <c r="R243" s="81"/>
      <c r="S243" s="81"/>
      <c r="T243" s="81"/>
      <c r="U243" s="81"/>
      <c r="V243" s="81"/>
      <c r="W243" s="81"/>
      <c r="X243" s="81"/>
      <c r="Y243" s="81"/>
      <c r="Z243" s="81"/>
      <c r="AA243" s="81"/>
      <c r="AB243" s="81"/>
      <c r="AC243" s="81"/>
      <c r="AD243" s="81"/>
      <c r="AE243" s="81"/>
      <c r="AF243" s="81"/>
      <c r="AG243" s="81"/>
      <c r="AH243" s="81"/>
      <c r="AI243" s="81"/>
      <c r="AJ243" s="81"/>
      <c r="AK243" s="81"/>
      <c r="AL243" s="81"/>
      <c r="AM243" s="81"/>
      <c r="AN243" s="81"/>
      <c r="AO243" s="81"/>
      <c r="AP243" s="81"/>
      <c r="AQ243" s="81"/>
      <c r="AR243" s="81"/>
      <c r="AS243" s="81"/>
      <c r="AT243" s="81"/>
      <c r="AU243" s="81"/>
      <c r="AV243" s="81"/>
    </row>
    <row r="244" spans="1:48">
      <c r="A244" s="81"/>
      <c r="B244" s="81"/>
      <c r="C244" s="81"/>
      <c r="D244" s="81"/>
      <c r="E244" s="81"/>
      <c r="F244" s="81"/>
      <c r="G244" s="81"/>
      <c r="H244" s="81"/>
      <c r="I244" s="81"/>
      <c r="J244" s="81"/>
      <c r="K244" s="81"/>
      <c r="L244" s="81"/>
      <c r="M244" s="81"/>
      <c r="N244" s="81"/>
      <c r="O244" s="81"/>
      <c r="P244" s="81"/>
      <c r="Q244" s="81"/>
      <c r="R244" s="81"/>
      <c r="S244" s="81"/>
      <c r="T244" s="81"/>
      <c r="U244" s="81"/>
      <c r="V244" s="81"/>
      <c r="W244" s="81"/>
      <c r="X244" s="81"/>
      <c r="Y244" s="81"/>
      <c r="Z244" s="81"/>
      <c r="AA244" s="81"/>
      <c r="AB244" s="81"/>
      <c r="AC244" s="81"/>
      <c r="AD244" s="81"/>
      <c r="AE244" s="81"/>
      <c r="AF244" s="81"/>
      <c r="AG244" s="81"/>
      <c r="AH244" s="81"/>
      <c r="AI244" s="81"/>
      <c r="AJ244" s="81"/>
      <c r="AK244" s="81"/>
      <c r="AL244" s="81"/>
      <c r="AM244" s="81"/>
      <c r="AN244" s="81"/>
      <c r="AO244" s="81"/>
      <c r="AP244" s="81"/>
      <c r="AQ244" s="81"/>
      <c r="AR244" s="81"/>
      <c r="AS244" s="81"/>
      <c r="AT244" s="81"/>
      <c r="AU244" s="81"/>
      <c r="AV244" s="81"/>
    </row>
    <row r="245" spans="1:48">
      <c r="A245" s="81"/>
      <c r="B245" s="81"/>
      <c r="C245" s="81"/>
      <c r="D245" s="81"/>
      <c r="E245" s="81"/>
      <c r="F245" s="81"/>
      <c r="G245" s="81"/>
      <c r="H245" s="81"/>
      <c r="I245" s="81"/>
      <c r="J245" s="81"/>
      <c r="K245" s="81"/>
      <c r="L245" s="81"/>
      <c r="M245" s="81"/>
      <c r="N245" s="81"/>
      <c r="O245" s="81"/>
      <c r="P245" s="81"/>
      <c r="Q245" s="81"/>
      <c r="R245" s="81"/>
      <c r="S245" s="81"/>
      <c r="T245" s="81"/>
      <c r="U245" s="81"/>
      <c r="V245" s="81"/>
      <c r="W245" s="81"/>
      <c r="X245" s="81"/>
      <c r="Y245" s="81"/>
      <c r="Z245" s="81"/>
      <c r="AA245" s="81"/>
      <c r="AB245" s="81"/>
      <c r="AC245" s="81"/>
      <c r="AD245" s="81"/>
      <c r="AE245" s="81"/>
      <c r="AF245" s="81"/>
      <c r="AG245" s="81"/>
      <c r="AH245" s="81"/>
      <c r="AI245" s="81"/>
      <c r="AJ245" s="81"/>
      <c r="AK245" s="81"/>
      <c r="AL245" s="81"/>
      <c r="AM245" s="81"/>
      <c r="AN245" s="81"/>
      <c r="AO245" s="81"/>
      <c r="AP245" s="81"/>
      <c r="AQ245" s="81"/>
      <c r="AR245" s="81"/>
      <c r="AS245" s="81"/>
      <c r="AT245" s="81"/>
      <c r="AU245" s="81"/>
      <c r="AV245" s="81"/>
    </row>
    <row r="246" spans="1:48">
      <c r="A246" s="81"/>
      <c r="B246" s="81"/>
      <c r="C246" s="81"/>
      <c r="D246" s="81"/>
      <c r="E246" s="81"/>
      <c r="F246" s="81"/>
      <c r="G246" s="81"/>
      <c r="H246" s="81"/>
      <c r="I246" s="81"/>
      <c r="J246" s="81"/>
      <c r="K246" s="81"/>
      <c r="L246" s="81"/>
      <c r="M246" s="81"/>
      <c r="N246" s="81"/>
      <c r="O246" s="81"/>
      <c r="P246" s="81"/>
      <c r="Q246" s="81"/>
      <c r="R246" s="81"/>
      <c r="S246" s="81"/>
      <c r="T246" s="81"/>
      <c r="U246" s="81"/>
      <c r="V246" s="81"/>
      <c r="W246" s="81"/>
      <c r="X246" s="81"/>
      <c r="Y246" s="81"/>
      <c r="Z246" s="81"/>
      <c r="AA246" s="81"/>
      <c r="AB246" s="81"/>
      <c r="AC246" s="81"/>
      <c r="AD246" s="81"/>
      <c r="AE246" s="81"/>
      <c r="AF246" s="81"/>
      <c r="AG246" s="81"/>
      <c r="AH246" s="81"/>
      <c r="AI246" s="81"/>
      <c r="AJ246" s="81"/>
      <c r="AK246" s="81"/>
      <c r="AL246" s="81"/>
      <c r="AM246" s="81"/>
      <c r="AN246" s="81"/>
      <c r="AO246" s="81"/>
      <c r="AP246" s="81"/>
      <c r="AQ246" s="81"/>
      <c r="AR246" s="81"/>
      <c r="AS246" s="81"/>
      <c r="AT246" s="81"/>
      <c r="AU246" s="81"/>
      <c r="AV246" s="81"/>
    </row>
    <row r="247" spans="1:48">
      <c r="A247" s="81"/>
      <c r="B247" s="81"/>
      <c r="C247" s="81"/>
      <c r="D247" s="81"/>
      <c r="E247" s="81"/>
      <c r="F247" s="81"/>
      <c r="G247" s="81"/>
      <c r="H247" s="81"/>
      <c r="I247" s="81"/>
      <c r="J247" s="81"/>
      <c r="K247" s="81"/>
      <c r="L247" s="81"/>
      <c r="M247" s="81"/>
      <c r="N247" s="81"/>
      <c r="O247" s="81"/>
      <c r="P247" s="81"/>
      <c r="Q247" s="81"/>
      <c r="R247" s="81"/>
      <c r="S247" s="81"/>
      <c r="T247" s="81"/>
      <c r="U247" s="81"/>
      <c r="V247" s="81"/>
      <c r="W247" s="81"/>
      <c r="X247" s="81"/>
      <c r="Y247" s="81"/>
      <c r="Z247" s="81"/>
      <c r="AA247" s="81"/>
      <c r="AB247" s="81"/>
      <c r="AC247" s="81"/>
      <c r="AD247" s="81"/>
      <c r="AE247" s="81"/>
      <c r="AF247" s="81"/>
      <c r="AG247" s="81"/>
      <c r="AH247" s="81"/>
      <c r="AI247" s="81"/>
      <c r="AJ247" s="81"/>
      <c r="AK247" s="81"/>
      <c r="AL247" s="81"/>
      <c r="AM247" s="81"/>
      <c r="AN247" s="81"/>
      <c r="AO247" s="81"/>
      <c r="AP247" s="81"/>
      <c r="AQ247" s="81"/>
      <c r="AR247" s="81"/>
      <c r="AS247" s="81"/>
      <c r="AT247" s="81"/>
      <c r="AU247" s="81"/>
      <c r="AV247" s="81"/>
    </row>
    <row r="248" spans="1:48">
      <c r="A248" s="81"/>
      <c r="B248" s="81"/>
      <c r="C248" s="81"/>
      <c r="D248" s="81"/>
      <c r="E248" s="81"/>
      <c r="F248" s="81"/>
      <c r="G248" s="81"/>
      <c r="H248" s="81"/>
      <c r="I248" s="81"/>
      <c r="J248" s="81"/>
      <c r="K248" s="81"/>
      <c r="L248" s="81"/>
      <c r="M248" s="81"/>
      <c r="N248" s="81"/>
      <c r="O248" s="81"/>
      <c r="P248" s="81"/>
      <c r="Q248" s="81"/>
      <c r="R248" s="81"/>
      <c r="S248" s="81"/>
      <c r="T248" s="81"/>
      <c r="U248" s="81"/>
      <c r="V248" s="81"/>
      <c r="W248" s="81"/>
      <c r="X248" s="81"/>
      <c r="Y248" s="81"/>
      <c r="Z248" s="81"/>
      <c r="AA248" s="81"/>
      <c r="AB248" s="81"/>
      <c r="AC248" s="81"/>
      <c r="AD248" s="81"/>
      <c r="AE248" s="81"/>
      <c r="AF248" s="81"/>
      <c r="AG248" s="81"/>
      <c r="AH248" s="81"/>
      <c r="AI248" s="81"/>
      <c r="AJ248" s="81"/>
      <c r="AK248" s="81"/>
      <c r="AL248" s="81"/>
      <c r="AM248" s="81"/>
      <c r="AN248" s="81"/>
      <c r="AO248" s="81"/>
      <c r="AP248" s="81"/>
      <c r="AQ248" s="81"/>
      <c r="AR248" s="81"/>
      <c r="AS248" s="81"/>
      <c r="AT248" s="81"/>
      <c r="AU248" s="81"/>
      <c r="AV248" s="81"/>
    </row>
    <row r="249" spans="1:48">
      <c r="A249" s="81"/>
      <c r="B249" s="81"/>
      <c r="C249" s="81"/>
      <c r="D249" s="81"/>
      <c r="E249" s="81"/>
      <c r="F249" s="81"/>
      <c r="G249" s="81"/>
      <c r="H249" s="81"/>
      <c r="I249" s="81"/>
      <c r="J249" s="81"/>
      <c r="K249" s="81"/>
      <c r="L249" s="81"/>
      <c r="M249" s="81"/>
      <c r="N249" s="81"/>
      <c r="O249" s="81"/>
      <c r="P249" s="81"/>
      <c r="Q249" s="81"/>
      <c r="R249" s="81"/>
      <c r="S249" s="81"/>
      <c r="T249" s="81"/>
      <c r="U249" s="81"/>
      <c r="V249" s="81"/>
      <c r="W249" s="81"/>
      <c r="X249" s="81"/>
      <c r="Y249" s="81"/>
      <c r="Z249" s="81"/>
      <c r="AA249" s="81"/>
      <c r="AB249" s="81"/>
      <c r="AC249" s="81"/>
      <c r="AD249" s="81"/>
      <c r="AE249" s="81"/>
      <c r="AF249" s="81"/>
      <c r="AG249" s="81"/>
      <c r="AH249" s="81"/>
      <c r="AI249" s="81"/>
      <c r="AJ249" s="81"/>
      <c r="AK249" s="81"/>
      <c r="AL249" s="81"/>
      <c r="AM249" s="81"/>
      <c r="AN249" s="81"/>
      <c r="AO249" s="81"/>
      <c r="AP249" s="81"/>
      <c r="AQ249" s="81"/>
      <c r="AR249" s="81"/>
      <c r="AS249" s="81"/>
      <c r="AT249" s="81"/>
      <c r="AU249" s="81"/>
      <c r="AV249" s="81"/>
    </row>
    <row r="250" spans="1:48">
      <c r="A250" s="81"/>
      <c r="B250" s="81"/>
      <c r="C250" s="81"/>
      <c r="D250" s="81"/>
      <c r="E250" s="81"/>
      <c r="F250" s="81"/>
      <c r="G250" s="81"/>
      <c r="H250" s="81"/>
      <c r="I250" s="81"/>
      <c r="J250" s="81"/>
      <c r="K250" s="81"/>
      <c r="L250" s="81"/>
      <c r="M250" s="81"/>
      <c r="N250" s="81"/>
      <c r="O250" s="81"/>
      <c r="P250" s="81"/>
      <c r="Q250" s="81"/>
      <c r="R250" s="81"/>
      <c r="S250" s="81"/>
      <c r="T250" s="81"/>
      <c r="U250" s="81"/>
      <c r="V250" s="81"/>
      <c r="W250" s="81"/>
      <c r="X250" s="81"/>
      <c r="Y250" s="81"/>
      <c r="Z250" s="81"/>
      <c r="AA250" s="81"/>
      <c r="AB250" s="81"/>
      <c r="AC250" s="81"/>
      <c r="AD250" s="81"/>
      <c r="AE250" s="81"/>
      <c r="AF250" s="81"/>
      <c r="AG250" s="81"/>
      <c r="AH250" s="81"/>
      <c r="AI250" s="81"/>
      <c r="AJ250" s="81"/>
      <c r="AK250" s="81"/>
      <c r="AL250" s="81"/>
      <c r="AM250" s="81"/>
      <c r="AN250" s="81"/>
      <c r="AO250" s="81"/>
      <c r="AP250" s="81"/>
      <c r="AQ250" s="81"/>
      <c r="AR250" s="81"/>
      <c r="AS250" s="81"/>
      <c r="AT250" s="81"/>
      <c r="AU250" s="81"/>
      <c r="AV250" s="81"/>
    </row>
    <row r="251" spans="1:48">
      <c r="A251" s="81"/>
      <c r="B251" s="81"/>
      <c r="C251" s="81"/>
      <c r="D251" s="81"/>
      <c r="E251" s="81"/>
      <c r="F251" s="81"/>
      <c r="G251" s="81"/>
      <c r="H251" s="81"/>
      <c r="I251" s="81"/>
      <c r="J251" s="81"/>
      <c r="K251" s="81"/>
      <c r="L251" s="81"/>
      <c r="M251" s="81"/>
      <c r="N251" s="81"/>
      <c r="O251" s="81"/>
      <c r="P251" s="81"/>
      <c r="Q251" s="81"/>
      <c r="R251" s="81"/>
      <c r="S251" s="81"/>
      <c r="T251" s="81"/>
      <c r="U251" s="81"/>
      <c r="V251" s="81"/>
      <c r="W251" s="81"/>
      <c r="X251" s="81"/>
      <c r="Y251" s="81"/>
      <c r="Z251" s="81"/>
      <c r="AA251" s="81"/>
      <c r="AB251" s="81"/>
      <c r="AC251" s="81"/>
      <c r="AD251" s="81"/>
      <c r="AE251" s="81"/>
      <c r="AF251" s="81"/>
      <c r="AG251" s="81"/>
      <c r="AH251" s="81"/>
      <c r="AI251" s="81"/>
      <c r="AJ251" s="81"/>
      <c r="AK251" s="81"/>
      <c r="AL251" s="81"/>
      <c r="AM251" s="81"/>
      <c r="AN251" s="81"/>
      <c r="AO251" s="81"/>
      <c r="AP251" s="81"/>
      <c r="AQ251" s="81"/>
      <c r="AR251" s="81"/>
      <c r="AS251" s="81"/>
      <c r="AT251" s="81"/>
      <c r="AU251" s="81"/>
      <c r="AV251" s="81"/>
    </row>
    <row r="252" spans="1:48">
      <c r="A252" s="81"/>
      <c r="B252" s="81"/>
      <c r="C252" s="81"/>
      <c r="D252" s="81"/>
      <c r="E252" s="81"/>
      <c r="F252" s="81"/>
      <c r="G252" s="81"/>
      <c r="H252" s="81"/>
      <c r="I252" s="81"/>
      <c r="J252" s="81"/>
      <c r="K252" s="81"/>
      <c r="L252" s="81"/>
      <c r="M252" s="81"/>
      <c r="N252" s="81"/>
      <c r="O252" s="81"/>
      <c r="P252" s="81"/>
      <c r="Q252" s="81"/>
      <c r="R252" s="81"/>
      <c r="S252" s="81"/>
      <c r="T252" s="81"/>
      <c r="U252" s="81"/>
      <c r="V252" s="81"/>
      <c r="W252" s="81"/>
      <c r="X252" s="81"/>
      <c r="Y252" s="81"/>
      <c r="Z252" s="81"/>
      <c r="AA252" s="81"/>
      <c r="AB252" s="81"/>
      <c r="AC252" s="81"/>
      <c r="AD252" s="81"/>
      <c r="AE252" s="81"/>
      <c r="AF252" s="81"/>
      <c r="AG252" s="81"/>
      <c r="AH252" s="81"/>
      <c r="AI252" s="81"/>
      <c r="AJ252" s="81"/>
      <c r="AK252" s="81"/>
      <c r="AL252" s="81"/>
      <c r="AM252" s="81"/>
      <c r="AN252" s="81"/>
      <c r="AO252" s="81"/>
      <c r="AP252" s="81"/>
      <c r="AQ252" s="81"/>
      <c r="AR252" s="81"/>
      <c r="AS252" s="81"/>
      <c r="AT252" s="81"/>
      <c r="AU252" s="81"/>
      <c r="AV252" s="81"/>
    </row>
    <row r="253" spans="1:48">
      <c r="A253" s="81"/>
      <c r="B253" s="81"/>
      <c r="C253" s="81"/>
      <c r="D253" s="81"/>
      <c r="E253" s="81"/>
      <c r="F253" s="81"/>
      <c r="G253" s="81"/>
      <c r="H253" s="81"/>
      <c r="I253" s="81"/>
      <c r="J253" s="81"/>
      <c r="K253" s="81"/>
      <c r="L253" s="81"/>
      <c r="M253" s="81"/>
      <c r="N253" s="81"/>
      <c r="O253" s="81"/>
      <c r="P253" s="81"/>
      <c r="Q253" s="81"/>
      <c r="R253" s="81"/>
      <c r="S253" s="81"/>
      <c r="T253" s="81"/>
      <c r="U253" s="81"/>
      <c r="V253" s="81"/>
      <c r="W253" s="81"/>
      <c r="X253" s="81"/>
      <c r="Y253" s="81"/>
      <c r="Z253" s="81"/>
      <c r="AA253" s="81"/>
      <c r="AB253" s="81"/>
      <c r="AC253" s="81"/>
      <c r="AD253" s="81"/>
      <c r="AE253" s="81"/>
      <c r="AF253" s="81"/>
      <c r="AG253" s="81"/>
      <c r="AH253" s="81"/>
      <c r="AI253" s="81"/>
      <c r="AJ253" s="81"/>
      <c r="AK253" s="81"/>
      <c r="AL253" s="81"/>
      <c r="AM253" s="81"/>
      <c r="AN253" s="81"/>
      <c r="AO253" s="81"/>
      <c r="AP253" s="81"/>
      <c r="AQ253" s="81"/>
      <c r="AR253" s="81"/>
      <c r="AS253" s="81"/>
      <c r="AT253" s="81"/>
      <c r="AU253" s="81"/>
      <c r="AV253" s="81"/>
    </row>
    <row r="254" spans="1:48">
      <c r="A254" s="81"/>
      <c r="B254" s="81"/>
      <c r="C254" s="81"/>
      <c r="D254" s="81"/>
      <c r="E254" s="81"/>
      <c r="F254" s="81"/>
      <c r="G254" s="81"/>
      <c r="H254" s="81"/>
      <c r="I254" s="81"/>
      <c r="J254" s="81"/>
      <c r="K254" s="81"/>
      <c r="L254" s="81"/>
      <c r="M254" s="81"/>
      <c r="N254" s="81"/>
      <c r="O254" s="81"/>
      <c r="P254" s="81"/>
      <c r="Q254" s="81"/>
      <c r="R254" s="81"/>
      <c r="S254" s="81"/>
      <c r="T254" s="81"/>
      <c r="U254" s="81"/>
      <c r="V254" s="81"/>
      <c r="W254" s="81"/>
      <c r="X254" s="81"/>
      <c r="Y254" s="81"/>
      <c r="Z254" s="81"/>
      <c r="AA254" s="81"/>
      <c r="AB254" s="81"/>
      <c r="AC254" s="81"/>
      <c r="AD254" s="81"/>
      <c r="AE254" s="81"/>
      <c r="AF254" s="81"/>
      <c r="AG254" s="81"/>
      <c r="AH254" s="81"/>
      <c r="AI254" s="81"/>
      <c r="AJ254" s="81"/>
      <c r="AK254" s="81"/>
      <c r="AL254" s="81"/>
      <c r="AM254" s="81"/>
      <c r="AN254" s="81"/>
      <c r="AO254" s="81"/>
      <c r="AP254" s="81"/>
      <c r="AQ254" s="81"/>
      <c r="AR254" s="81"/>
      <c r="AS254" s="81"/>
      <c r="AT254" s="81"/>
      <c r="AU254" s="81"/>
      <c r="AV254" s="81"/>
    </row>
    <row r="255" spans="1:48">
      <c r="A255" s="81"/>
      <c r="B255" s="81"/>
      <c r="C255" s="81"/>
      <c r="D255" s="81"/>
      <c r="E255" s="81"/>
      <c r="F255" s="81"/>
      <c r="G255" s="81"/>
      <c r="H255" s="81"/>
      <c r="I255" s="81"/>
      <c r="J255" s="81"/>
      <c r="K255" s="81"/>
      <c r="L255" s="81"/>
      <c r="M255" s="81"/>
      <c r="N255" s="81"/>
      <c r="O255" s="81"/>
      <c r="P255" s="81"/>
      <c r="Q255" s="81"/>
      <c r="R255" s="81"/>
      <c r="S255" s="81"/>
      <c r="T255" s="81"/>
      <c r="U255" s="81"/>
      <c r="V255" s="81"/>
      <c r="W255" s="81"/>
      <c r="X255" s="81"/>
      <c r="Y255" s="81"/>
      <c r="Z255" s="81"/>
      <c r="AA255" s="81"/>
      <c r="AB255" s="81"/>
      <c r="AC255" s="81"/>
      <c r="AD255" s="81"/>
      <c r="AE255" s="81"/>
      <c r="AF255" s="81"/>
      <c r="AG255" s="81"/>
      <c r="AH255" s="81"/>
      <c r="AI255" s="81"/>
      <c r="AJ255" s="81"/>
      <c r="AK255" s="81"/>
      <c r="AL255" s="81"/>
      <c r="AM255" s="81"/>
      <c r="AN255" s="81"/>
      <c r="AO255" s="81"/>
      <c r="AP255" s="81"/>
      <c r="AQ255" s="81"/>
      <c r="AR255" s="81"/>
      <c r="AS255" s="81"/>
      <c r="AT255" s="81"/>
      <c r="AU255" s="81"/>
      <c r="AV255" s="81"/>
    </row>
    <row r="256" spans="1:48">
      <c r="A256" s="81"/>
      <c r="B256" s="81"/>
      <c r="C256" s="81"/>
      <c r="D256" s="81"/>
      <c r="E256" s="81"/>
      <c r="F256" s="81"/>
      <c r="G256" s="81"/>
      <c r="H256" s="81"/>
      <c r="I256" s="81"/>
      <c r="J256" s="81"/>
      <c r="K256" s="81"/>
      <c r="L256" s="81"/>
      <c r="M256" s="81"/>
      <c r="N256" s="81"/>
      <c r="O256" s="81"/>
      <c r="P256" s="81"/>
      <c r="Q256" s="81"/>
      <c r="R256" s="81"/>
      <c r="S256" s="81"/>
      <c r="T256" s="81"/>
      <c r="U256" s="81"/>
      <c r="V256" s="81"/>
      <c r="W256" s="81"/>
      <c r="X256" s="81"/>
      <c r="Y256" s="81"/>
      <c r="Z256" s="81"/>
      <c r="AA256" s="81"/>
      <c r="AB256" s="81"/>
      <c r="AC256" s="81"/>
      <c r="AD256" s="81"/>
      <c r="AE256" s="81"/>
      <c r="AF256" s="81"/>
      <c r="AG256" s="81"/>
      <c r="AH256" s="81"/>
      <c r="AI256" s="81"/>
      <c r="AJ256" s="81"/>
      <c r="AK256" s="81"/>
      <c r="AL256" s="81"/>
      <c r="AM256" s="81"/>
      <c r="AN256" s="81"/>
      <c r="AO256" s="81"/>
      <c r="AP256" s="81"/>
      <c r="AQ256" s="81"/>
      <c r="AR256" s="81"/>
      <c r="AS256" s="81"/>
      <c r="AT256" s="81"/>
      <c r="AU256" s="81"/>
      <c r="AV256" s="81"/>
    </row>
    <row r="257" spans="1:48">
      <c r="A257" s="81"/>
      <c r="B257" s="81"/>
      <c r="C257" s="81"/>
      <c r="D257" s="81"/>
      <c r="E257" s="81"/>
      <c r="F257" s="81"/>
      <c r="G257" s="81"/>
      <c r="H257" s="81"/>
      <c r="I257" s="81"/>
      <c r="J257" s="81"/>
      <c r="K257" s="81"/>
      <c r="L257" s="81"/>
      <c r="M257" s="81"/>
      <c r="N257" s="81"/>
      <c r="O257" s="81"/>
      <c r="P257" s="81"/>
      <c r="Q257" s="81"/>
      <c r="R257" s="81"/>
      <c r="S257" s="81"/>
      <c r="T257" s="81"/>
      <c r="U257" s="81"/>
      <c r="V257" s="81"/>
      <c r="W257" s="81"/>
      <c r="X257" s="81"/>
      <c r="Y257" s="81"/>
      <c r="Z257" s="81"/>
      <c r="AA257" s="81"/>
      <c r="AB257" s="81"/>
      <c r="AC257" s="81"/>
      <c r="AD257" s="81"/>
      <c r="AE257" s="81"/>
      <c r="AF257" s="81"/>
      <c r="AG257" s="81"/>
      <c r="AH257" s="81"/>
      <c r="AI257" s="81"/>
      <c r="AJ257" s="81"/>
      <c r="AK257" s="81"/>
      <c r="AL257" s="81"/>
      <c r="AM257" s="81"/>
      <c r="AN257" s="81"/>
      <c r="AO257" s="81"/>
      <c r="AP257" s="81"/>
      <c r="AQ257" s="81"/>
      <c r="AR257" s="81"/>
      <c r="AS257" s="81"/>
      <c r="AT257" s="81"/>
      <c r="AU257" s="81"/>
      <c r="AV257" s="81"/>
    </row>
    <row r="258" spans="1:48">
      <c r="A258" s="81"/>
      <c r="B258" s="81"/>
      <c r="C258" s="81"/>
      <c r="D258" s="81"/>
      <c r="E258" s="81"/>
      <c r="F258" s="81"/>
      <c r="G258" s="81"/>
      <c r="H258" s="81"/>
      <c r="I258" s="81"/>
      <c r="J258" s="81"/>
      <c r="K258" s="81"/>
      <c r="L258" s="81"/>
      <c r="M258" s="81"/>
      <c r="N258" s="81"/>
      <c r="O258" s="81"/>
      <c r="P258" s="81"/>
      <c r="Q258" s="81"/>
      <c r="R258" s="81"/>
      <c r="S258" s="81"/>
      <c r="T258" s="81"/>
      <c r="U258" s="81"/>
      <c r="V258" s="81"/>
      <c r="W258" s="81"/>
      <c r="X258" s="81"/>
      <c r="Y258" s="81"/>
      <c r="Z258" s="81"/>
      <c r="AA258" s="81"/>
      <c r="AB258" s="81"/>
      <c r="AC258" s="81"/>
      <c r="AD258" s="81"/>
      <c r="AE258" s="81"/>
      <c r="AF258" s="81"/>
      <c r="AG258" s="81"/>
      <c r="AH258" s="81"/>
      <c r="AI258" s="81"/>
      <c r="AJ258" s="81"/>
      <c r="AK258" s="81"/>
      <c r="AL258" s="81"/>
      <c r="AM258" s="81"/>
      <c r="AN258" s="81"/>
      <c r="AO258" s="81"/>
      <c r="AP258" s="81"/>
      <c r="AQ258" s="81"/>
      <c r="AR258" s="81"/>
      <c r="AS258" s="81"/>
      <c r="AT258" s="81"/>
      <c r="AU258" s="81"/>
      <c r="AV258" s="81"/>
    </row>
    <row r="259" spans="1:48">
      <c r="A259" s="81"/>
      <c r="B259" s="81"/>
      <c r="C259" s="81"/>
      <c r="D259" s="81"/>
      <c r="E259" s="81"/>
      <c r="F259" s="81"/>
      <c r="G259" s="81"/>
      <c r="H259" s="81"/>
      <c r="I259" s="81"/>
      <c r="J259" s="81"/>
      <c r="K259" s="81"/>
      <c r="L259" s="81"/>
      <c r="M259" s="81"/>
      <c r="N259" s="81"/>
      <c r="O259" s="81"/>
      <c r="P259" s="81"/>
      <c r="Q259" s="81"/>
      <c r="R259" s="81"/>
      <c r="S259" s="81"/>
      <c r="T259" s="81"/>
      <c r="U259" s="81"/>
      <c r="V259" s="81"/>
      <c r="W259" s="81"/>
      <c r="X259" s="81"/>
      <c r="Y259" s="81"/>
      <c r="Z259" s="81"/>
      <c r="AA259" s="81"/>
      <c r="AB259" s="81"/>
      <c r="AC259" s="81"/>
      <c r="AD259" s="81"/>
      <c r="AE259" s="81"/>
      <c r="AF259" s="81"/>
      <c r="AG259" s="81"/>
      <c r="AH259" s="81"/>
      <c r="AI259" s="81"/>
      <c r="AJ259" s="81"/>
      <c r="AK259" s="81"/>
      <c r="AL259" s="81"/>
      <c r="AM259" s="81"/>
      <c r="AN259" s="81"/>
      <c r="AO259" s="81"/>
      <c r="AP259" s="81"/>
      <c r="AQ259" s="81"/>
      <c r="AR259" s="81"/>
      <c r="AS259" s="81"/>
      <c r="AT259" s="81"/>
      <c r="AU259" s="81"/>
      <c r="AV259" s="81"/>
    </row>
    <row r="260" spans="1:48">
      <c r="A260" s="81"/>
      <c r="B260" s="81"/>
      <c r="C260" s="81"/>
      <c r="D260" s="81"/>
      <c r="E260" s="81"/>
      <c r="F260" s="81"/>
      <c r="G260" s="81"/>
      <c r="H260" s="81"/>
      <c r="I260" s="81"/>
      <c r="J260" s="81"/>
      <c r="K260" s="81"/>
      <c r="L260" s="81"/>
      <c r="M260" s="81"/>
      <c r="N260" s="81"/>
      <c r="O260" s="81"/>
      <c r="P260" s="81"/>
      <c r="Q260" s="81"/>
      <c r="R260" s="81"/>
      <c r="S260" s="81"/>
      <c r="T260" s="81"/>
      <c r="U260" s="81"/>
      <c r="V260" s="81"/>
      <c r="W260" s="81"/>
      <c r="X260" s="81"/>
      <c r="Y260" s="81"/>
      <c r="Z260" s="81"/>
      <c r="AA260" s="81"/>
      <c r="AB260" s="81"/>
      <c r="AC260" s="81"/>
      <c r="AD260" s="81"/>
      <c r="AE260" s="81"/>
      <c r="AF260" s="81"/>
      <c r="AG260" s="81"/>
      <c r="AH260" s="81"/>
      <c r="AI260" s="81"/>
      <c r="AJ260" s="81"/>
      <c r="AK260" s="81"/>
      <c r="AL260" s="81"/>
      <c r="AM260" s="81"/>
      <c r="AN260" s="81"/>
      <c r="AO260" s="81"/>
      <c r="AP260" s="81"/>
      <c r="AQ260" s="81"/>
      <c r="AR260" s="81"/>
      <c r="AS260" s="81"/>
      <c r="AT260" s="81"/>
      <c r="AU260" s="81"/>
      <c r="AV260" s="81"/>
    </row>
    <row r="261" spans="1:48">
      <c r="A261" s="81"/>
      <c r="B261" s="81"/>
      <c r="C261" s="81"/>
      <c r="D261" s="81"/>
      <c r="E261" s="81"/>
      <c r="F261" s="81"/>
      <c r="G261" s="81"/>
      <c r="H261" s="81"/>
      <c r="I261" s="81"/>
      <c r="J261" s="81"/>
      <c r="K261" s="81"/>
      <c r="L261" s="81"/>
      <c r="M261" s="81"/>
      <c r="N261" s="81"/>
      <c r="O261" s="81"/>
      <c r="P261" s="81"/>
      <c r="Q261" s="81"/>
      <c r="R261" s="81"/>
      <c r="S261" s="81"/>
      <c r="T261" s="81"/>
      <c r="U261" s="81"/>
      <c r="V261" s="81"/>
      <c r="W261" s="81"/>
      <c r="X261" s="81"/>
      <c r="Y261" s="81"/>
      <c r="Z261" s="81"/>
      <c r="AA261" s="81"/>
      <c r="AB261" s="81"/>
      <c r="AC261" s="81"/>
      <c r="AD261" s="81"/>
      <c r="AE261" s="81"/>
      <c r="AF261" s="81"/>
      <c r="AG261" s="81"/>
      <c r="AH261" s="81"/>
      <c r="AI261" s="81"/>
      <c r="AJ261" s="81"/>
      <c r="AK261" s="81"/>
      <c r="AL261" s="81"/>
      <c r="AM261" s="81"/>
      <c r="AN261" s="81"/>
      <c r="AO261" s="81"/>
      <c r="AP261" s="81"/>
      <c r="AQ261" s="81"/>
      <c r="AR261" s="81"/>
      <c r="AS261" s="81"/>
      <c r="AT261" s="81"/>
      <c r="AU261" s="81"/>
      <c r="AV261" s="81"/>
    </row>
    <row r="262" spans="1:48">
      <c r="A262" s="81"/>
      <c r="B262" s="81"/>
      <c r="C262" s="81"/>
      <c r="D262" s="81"/>
      <c r="E262" s="81"/>
      <c r="F262" s="81"/>
      <c r="G262" s="81"/>
      <c r="H262" s="81"/>
      <c r="I262" s="81"/>
      <c r="J262" s="81"/>
      <c r="K262" s="81"/>
      <c r="L262" s="81"/>
      <c r="M262" s="81"/>
      <c r="N262" s="81"/>
      <c r="O262" s="81"/>
      <c r="P262" s="81"/>
      <c r="Q262" s="81"/>
      <c r="R262" s="81"/>
      <c r="S262" s="81"/>
      <c r="T262" s="81"/>
      <c r="U262" s="81"/>
      <c r="V262" s="81"/>
      <c r="W262" s="81"/>
      <c r="X262" s="81"/>
      <c r="Y262" s="81"/>
      <c r="Z262" s="81"/>
      <c r="AA262" s="81"/>
      <c r="AB262" s="81"/>
      <c r="AC262" s="81"/>
      <c r="AD262" s="81"/>
      <c r="AE262" s="81"/>
      <c r="AF262" s="81"/>
      <c r="AG262" s="81"/>
      <c r="AH262" s="81"/>
      <c r="AI262" s="81"/>
      <c r="AJ262" s="81"/>
      <c r="AK262" s="81"/>
      <c r="AL262" s="81"/>
      <c r="AM262" s="81"/>
      <c r="AN262" s="81"/>
      <c r="AO262" s="81"/>
      <c r="AP262" s="81"/>
      <c r="AQ262" s="81"/>
      <c r="AR262" s="81"/>
      <c r="AS262" s="81"/>
      <c r="AT262" s="81"/>
      <c r="AU262" s="81"/>
      <c r="AV262" s="81"/>
    </row>
    <row r="263" spans="1:48">
      <c r="A263" s="81"/>
      <c r="B263" s="81"/>
      <c r="C263" s="81"/>
      <c r="D263" s="81"/>
      <c r="E263" s="81"/>
      <c r="F263" s="81"/>
      <c r="G263" s="81"/>
      <c r="H263" s="81"/>
      <c r="I263" s="81"/>
      <c r="J263" s="81"/>
      <c r="K263" s="81"/>
      <c r="L263" s="81"/>
      <c r="M263" s="81"/>
      <c r="N263" s="81"/>
      <c r="O263" s="81"/>
      <c r="P263" s="81"/>
      <c r="Q263" s="81"/>
      <c r="R263" s="81"/>
      <c r="S263" s="81"/>
      <c r="T263" s="81"/>
      <c r="U263" s="81"/>
      <c r="V263" s="81"/>
      <c r="W263" s="81"/>
      <c r="X263" s="81"/>
      <c r="Y263" s="81"/>
      <c r="Z263" s="81"/>
      <c r="AA263" s="81"/>
      <c r="AB263" s="81"/>
      <c r="AC263" s="81"/>
      <c r="AD263" s="81"/>
      <c r="AE263" s="81"/>
      <c r="AF263" s="81"/>
      <c r="AG263" s="81"/>
      <c r="AH263" s="81"/>
      <c r="AI263" s="81"/>
      <c r="AJ263" s="81"/>
      <c r="AK263" s="81"/>
      <c r="AL263" s="81"/>
      <c r="AM263" s="81"/>
      <c r="AN263" s="81"/>
      <c r="AO263" s="81"/>
      <c r="AP263" s="81"/>
      <c r="AQ263" s="81"/>
      <c r="AR263" s="81"/>
      <c r="AS263" s="81"/>
      <c r="AT263" s="81"/>
      <c r="AU263" s="81"/>
      <c r="AV263" s="81"/>
    </row>
    <row r="264" spans="1:48">
      <c r="A264" s="81"/>
      <c r="B264" s="81"/>
      <c r="C264" s="81"/>
      <c r="D264" s="81"/>
      <c r="E264" s="81"/>
      <c r="F264" s="81"/>
      <c r="G264" s="81"/>
      <c r="H264" s="81"/>
      <c r="I264" s="81"/>
      <c r="J264" s="81"/>
      <c r="K264" s="81"/>
      <c r="L264" s="81"/>
      <c r="M264" s="81"/>
      <c r="N264" s="81"/>
      <c r="O264" s="81"/>
      <c r="P264" s="81"/>
      <c r="Q264" s="81"/>
      <c r="R264" s="81"/>
      <c r="S264" s="81"/>
      <c r="T264" s="81"/>
      <c r="U264" s="81"/>
      <c r="V264" s="81"/>
      <c r="W264" s="81"/>
      <c r="X264" s="81"/>
      <c r="Y264" s="81"/>
      <c r="Z264" s="81"/>
      <c r="AA264" s="81"/>
      <c r="AB264" s="81"/>
      <c r="AC264" s="81"/>
      <c r="AD264" s="81"/>
      <c r="AE264" s="81"/>
      <c r="AF264" s="81"/>
      <c r="AG264" s="81"/>
      <c r="AH264" s="81"/>
      <c r="AI264" s="81"/>
      <c r="AJ264" s="81"/>
      <c r="AK264" s="81"/>
      <c r="AL264" s="81"/>
      <c r="AM264" s="81"/>
      <c r="AN264" s="81"/>
      <c r="AO264" s="81"/>
      <c r="AP264" s="81"/>
      <c r="AQ264" s="81"/>
      <c r="AR264" s="81"/>
      <c r="AS264" s="81"/>
      <c r="AT264" s="81"/>
      <c r="AU264" s="81"/>
      <c r="AV264" s="81"/>
    </row>
  </sheetData>
  <mergeCells count="121">
    <mergeCell ref="AB23:AC23"/>
    <mergeCell ref="AB24:AC24"/>
    <mergeCell ref="AB25:AC25"/>
    <mergeCell ref="AB26:AC26"/>
    <mergeCell ref="AB27:AC27"/>
    <mergeCell ref="L6:N6"/>
    <mergeCell ref="O6:T6"/>
    <mergeCell ref="U6:W6"/>
    <mergeCell ref="X6:AC6"/>
    <mergeCell ref="A22:AC22"/>
    <mergeCell ref="L25:M25"/>
    <mergeCell ref="F12:G12"/>
    <mergeCell ref="F13:G13"/>
    <mergeCell ref="R23:S23"/>
    <mergeCell ref="T23:U23"/>
    <mergeCell ref="F6:G6"/>
    <mergeCell ref="H6:I6"/>
    <mergeCell ref="H7:I7"/>
    <mergeCell ref="F15:G15"/>
    <mergeCell ref="A15:E15"/>
    <mergeCell ref="A8:E8"/>
    <mergeCell ref="A9:E9"/>
    <mergeCell ref="A14:E14"/>
    <mergeCell ref="F14:G14"/>
    <mergeCell ref="AN17:AQ18"/>
    <mergeCell ref="AB17:AB18"/>
    <mergeCell ref="W17:Z17"/>
    <mergeCell ref="AD17:AF18"/>
    <mergeCell ref="W18:Z18"/>
    <mergeCell ref="T18:V19"/>
    <mergeCell ref="H19:P19"/>
    <mergeCell ref="AG17:AJ17"/>
    <mergeCell ref="AL17:AL18"/>
    <mergeCell ref="AG18:AJ18"/>
    <mergeCell ref="R17:R20"/>
    <mergeCell ref="M17:P17"/>
    <mergeCell ref="M18:P18"/>
    <mergeCell ref="L20:P20"/>
    <mergeCell ref="B5:C5"/>
    <mergeCell ref="B6:C6"/>
    <mergeCell ref="D5:E5"/>
    <mergeCell ref="D6:E6"/>
    <mergeCell ref="F5:G5"/>
    <mergeCell ref="J6:K6"/>
    <mergeCell ref="AD6:AR6"/>
    <mergeCell ref="A2:AV2"/>
    <mergeCell ref="A1:AV1"/>
    <mergeCell ref="AS6:AV6"/>
    <mergeCell ref="B4:C4"/>
    <mergeCell ref="D4:E4"/>
    <mergeCell ref="F4:G4"/>
    <mergeCell ref="Q3:AE3"/>
    <mergeCell ref="A23:E23"/>
    <mergeCell ref="H8:I8"/>
    <mergeCell ref="H9:I9"/>
    <mergeCell ref="H10:I10"/>
    <mergeCell ref="H11:I11"/>
    <mergeCell ref="A24:E24"/>
    <mergeCell ref="A25:E25"/>
    <mergeCell ref="A26:E26"/>
    <mergeCell ref="H25:I25"/>
    <mergeCell ref="A10:E10"/>
    <mergeCell ref="A11:E11"/>
    <mergeCell ref="F8:G8"/>
    <mergeCell ref="F9:G9"/>
    <mergeCell ref="F10:G10"/>
    <mergeCell ref="F11:G11"/>
    <mergeCell ref="A12:E12"/>
    <mergeCell ref="A13:E13"/>
    <mergeCell ref="F23:G23"/>
    <mergeCell ref="R25:S25"/>
    <mergeCell ref="R26:S26"/>
    <mergeCell ref="A27:E27"/>
    <mergeCell ref="V25:W25"/>
    <mergeCell ref="L26:M26"/>
    <mergeCell ref="T26:U26"/>
    <mergeCell ref="V26:W26"/>
    <mergeCell ref="F24:G24"/>
    <mergeCell ref="F25:G25"/>
    <mergeCell ref="F26:G26"/>
    <mergeCell ref="F27:G27"/>
    <mergeCell ref="X25:Y25"/>
    <mergeCell ref="Z25:AA25"/>
    <mergeCell ref="V23:W23"/>
    <mergeCell ref="X23:Y23"/>
    <mergeCell ref="Z23:AA23"/>
    <mergeCell ref="H23:I23"/>
    <mergeCell ref="J23:K23"/>
    <mergeCell ref="L23:M23"/>
    <mergeCell ref="N23:O23"/>
    <mergeCell ref="P23:Q23"/>
    <mergeCell ref="Z24:AA24"/>
    <mergeCell ref="H24:I24"/>
    <mergeCell ref="J24:K24"/>
    <mergeCell ref="L24:M24"/>
    <mergeCell ref="N24:O24"/>
    <mergeCell ref="P24:Q24"/>
    <mergeCell ref="T24:U24"/>
    <mergeCell ref="V24:W24"/>
    <mergeCell ref="X24:Y24"/>
    <mergeCell ref="T25:U25"/>
    <mergeCell ref="J25:K25"/>
    <mergeCell ref="N25:O25"/>
    <mergeCell ref="P25:Q25"/>
    <mergeCell ref="R24:S24"/>
    <mergeCell ref="X26:Y26"/>
    <mergeCell ref="Z26:AA26"/>
    <mergeCell ref="H26:I26"/>
    <mergeCell ref="R27:S27"/>
    <mergeCell ref="T27:U27"/>
    <mergeCell ref="V27:W27"/>
    <mergeCell ref="X27:Y27"/>
    <mergeCell ref="Z27:AA27"/>
    <mergeCell ref="H27:I27"/>
    <mergeCell ref="J27:K27"/>
    <mergeCell ref="L27:M27"/>
    <mergeCell ref="N27:O27"/>
    <mergeCell ref="P27:Q27"/>
    <mergeCell ref="J26:K26"/>
    <mergeCell ref="N26:O26"/>
    <mergeCell ref="P26:Q26"/>
  </mergeCells>
  <phoneticPr fontId="12" type="noConversion"/>
  <conditionalFormatting sqref="F24:AC33">
    <cfRule type="containsText" dxfId="4" priority="33" operator="containsText" text="HT tốt">
      <formula>NOT(ISERROR(SEARCH("HT tốt",F24)))</formula>
    </cfRule>
  </conditionalFormatting>
  <conditionalFormatting sqref="H8:I14">
    <cfRule type="containsText" dxfId="3" priority="34" operator="containsText" text="Hoàn thành tốt">
      <formula>NOT(ISERROR(SEARCH("Hoàn thành tốt",H8)))</formula>
    </cfRule>
  </conditionalFormatting>
  <conditionalFormatting sqref="L8:AV14">
    <cfRule type="containsText" dxfId="2" priority="1" operator="containsText" text="NG">
      <formula>NOT(ISERROR(SEARCH("NG",L8)))</formula>
    </cfRule>
    <cfRule type="containsText" dxfId="1" priority="2" operator="containsText" text="Good">
      <formula>NOT(ISERROR(SEARCH("Good",L8)))</formula>
    </cfRule>
    <cfRule type="containsText" dxfId="0" priority="3" operator="containsText" text="OK">
      <formula>NOT(ISERROR(SEARCH("OK",L8)))</formula>
    </cfRule>
  </conditionalFormatting>
  <conditionalFormatting sqref="AD26">
    <cfRule type="iconSet" priority="21">
      <iconSet iconSet="3Flags" showValue="0">
        <cfvo type="percent" val="0"/>
        <cfvo type="percent" val="33"/>
        <cfvo type="percent" val="67"/>
      </iconSet>
    </cfRule>
    <cfRule type="iconSet" priority="22">
      <iconSet showValue="0">
        <cfvo type="percent" val="0"/>
        <cfvo type="percent" val="33"/>
        <cfvo type="percent" val="67"/>
      </iconSet>
    </cfRule>
    <cfRule type="iconSet" priority="23">
      <iconSet iconSet="3Flags">
        <cfvo type="percent" val="0"/>
        <cfvo type="percent" val="33"/>
        <cfvo type="percent" val="67"/>
      </iconSet>
    </cfRule>
  </conditionalFormatting>
  <conditionalFormatting sqref="AD23:AG23">
    <cfRule type="iconSet" priority="4">
      <iconSet iconSet="3Flags" showValue="0">
        <cfvo type="percent" val="0"/>
        <cfvo type="percent" val="33"/>
        <cfvo type="percent" val="67"/>
      </iconSet>
    </cfRule>
    <cfRule type="iconSet" priority="5">
      <iconSet showValue="0">
        <cfvo type="percent" val="0"/>
        <cfvo type="percent" val="33"/>
        <cfvo type="percent" val="67"/>
      </iconSet>
    </cfRule>
    <cfRule type="iconSet" priority="6">
      <iconSet iconSet="3Flags">
        <cfvo type="percent" val="0"/>
        <cfvo type="percent" val="33"/>
        <cfvo type="percent" val="67"/>
      </iconSet>
    </cfRule>
  </conditionalFormatting>
  <conditionalFormatting sqref="AD27:AH33">
    <cfRule type="iconSet" priority="17">
      <iconSet iconSet="3Flags" showValue="0">
        <cfvo type="percent" val="0"/>
        <cfvo type="percent" val="33"/>
        <cfvo type="percent" val="67"/>
      </iconSet>
    </cfRule>
    <cfRule type="iconSet" priority="18">
      <iconSet showValue="0">
        <cfvo type="percent" val="0"/>
        <cfvo type="percent" val="33"/>
        <cfvo type="percent" val="67"/>
      </iconSet>
    </cfRule>
    <cfRule type="iconSet" priority="19">
      <iconSet iconSet="3Flags">
        <cfvo type="percent" val="0"/>
        <cfvo type="percent" val="33"/>
        <cfvo type="percent" val="67"/>
      </iconSet>
    </cfRule>
  </conditionalFormatting>
  <conditionalFormatting sqref="AD25:AK25">
    <cfRule type="iconSet" priority="25">
      <iconSet iconSet="3Flags" showValue="0">
        <cfvo type="percent" val="0"/>
        <cfvo type="percent" val="33"/>
        <cfvo type="percent" val="67"/>
      </iconSet>
    </cfRule>
    <cfRule type="iconSet" priority="26">
      <iconSet showValue="0">
        <cfvo type="percent" val="0"/>
        <cfvo type="percent" val="33"/>
        <cfvo type="percent" val="67"/>
      </iconSet>
    </cfRule>
    <cfRule type="iconSet" priority="27">
      <iconSet iconSet="3Flags">
        <cfvo type="percent" val="0"/>
        <cfvo type="percent" val="33"/>
        <cfvo type="percent" val="67"/>
      </iconSet>
    </cfRule>
  </conditionalFormatting>
  <dataValidations count="2">
    <dataValidation type="list" allowBlank="1" showInputMessage="1" showErrorMessage="1" sqref="L9:L10 AR8:AV14 AF8:AG11 AA12:AC14 AD8:AE10 AH8:AQ10 Z8:AC11 X8:X11 Y8:Y10 M8:O10 R8:W10 P8:Q11 AP11" xr:uid="{86B21C20-0AEC-4B80-AA7E-490C41B8B33C}">
      <formula1>"#N/A,OK, GOOD"</formula1>
    </dataValidation>
    <dataValidation type="list" allowBlank="1" showInputMessage="1" showErrorMessage="1" sqref="L8 Z12:Z14 AF12:AG14 AD11:AE14 P12:Q14 X12:X14 Y11:Y14 L11:O14 R11:W14 AH11:AO14 AQ11:AQ14 AP12:AP14" xr:uid="{9EC0F441-7E1E-418A-94C3-70437E4C1476}">
      <formula1>"#N/A,OK, GOOD, NG"</formula1>
    </dataValidation>
  </dataValidations>
  <pageMargins left="0.7" right="0.7" top="0.75" bottom="0.75" header="0.3" footer="0.3"/>
  <pageSetup paperSize="9" scale="19" orientation="portrait" r:id="rId1"/>
  <drawing r:id="rId2"/>
  <extLst>
    <ext xmlns:x14="http://schemas.microsoft.com/office/spreadsheetml/2009/9/main" uri="{78C0D931-6437-407d-A8EE-F0AAD7539E65}">
      <x14:conditionalFormattings>
        <x14:conditionalFormatting xmlns:xm="http://schemas.microsoft.com/office/excel/2006/main">
          <x14:cfRule type="iconSet" priority="24" id="{8EE59F09-AC95-4AFC-B889-BEFD9813113C}">
            <x14:iconSet iconSet="3Stars">
              <x14:cfvo type="percent">
                <xm:f>0</xm:f>
              </x14:cfvo>
              <x14:cfvo type="percent">
                <xm:f>33</xm:f>
              </x14:cfvo>
              <x14:cfvo type="percent">
                <xm:f>67</xm:f>
              </x14:cfvo>
            </x14:iconSet>
          </x14:cfRule>
          <xm:sqref>AD26</xm:sqref>
        </x14:conditionalFormatting>
        <x14:conditionalFormatting xmlns:xm="http://schemas.microsoft.com/office/excel/2006/main">
          <x14:cfRule type="iconSet" priority="7" id="{625776CD-B2F6-49A6-92B8-90CDC77DC37C}">
            <x14:iconSet iconSet="3Stars">
              <x14:cfvo type="percent">
                <xm:f>0</xm:f>
              </x14:cfvo>
              <x14:cfvo type="percent">
                <xm:f>33</xm:f>
              </x14:cfvo>
              <x14:cfvo type="percent">
                <xm:f>67</xm:f>
              </x14:cfvo>
            </x14:iconSet>
          </x14:cfRule>
          <xm:sqref>AD23:AG23</xm:sqref>
        </x14:conditionalFormatting>
        <x14:conditionalFormatting xmlns:xm="http://schemas.microsoft.com/office/excel/2006/main">
          <x14:cfRule type="iconSet" priority="20" id="{F7E57BCC-72C4-4F15-9279-272F4F4AD682}">
            <x14:iconSet iconSet="3Stars">
              <x14:cfvo type="percent">
                <xm:f>0</xm:f>
              </x14:cfvo>
              <x14:cfvo type="percent">
                <xm:f>33</xm:f>
              </x14:cfvo>
              <x14:cfvo type="percent">
                <xm:f>67</xm:f>
              </x14:cfvo>
            </x14:iconSet>
          </x14:cfRule>
          <xm:sqref>AD27:AH33</xm:sqref>
        </x14:conditionalFormatting>
        <x14:conditionalFormatting xmlns:xm="http://schemas.microsoft.com/office/excel/2006/main">
          <x14:cfRule type="iconSet" priority="28" id="{D2B7DDB2-597E-48CA-8C33-37B67E8E3D0E}">
            <x14:iconSet iconSet="3Stars">
              <x14:cfvo type="percent">
                <xm:f>0</xm:f>
              </x14:cfvo>
              <x14:cfvo type="percent">
                <xm:f>33</xm:f>
              </x14:cfvo>
              <x14:cfvo type="percent">
                <xm:f>67</xm:f>
              </x14:cfvo>
            </x14:iconSet>
          </x14:cfRule>
          <xm:sqref>AD25:AK25</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3AA6B-7741-4DD0-8B0E-74F5F15AAB6D}">
  <sheetPr codeName="Sheet2"/>
  <dimension ref="A1:P130"/>
  <sheetViews>
    <sheetView workbookViewId="0">
      <selection activeCell="H11" sqref="H11"/>
    </sheetView>
  </sheetViews>
  <sheetFormatPr defaultRowHeight="15"/>
  <cols>
    <col min="1" max="1" width="29.85546875" bestFit="1" customWidth="1"/>
    <col min="2" max="2" width="10.28515625" customWidth="1"/>
    <col min="3" max="3" width="12.140625" customWidth="1"/>
    <col min="4" max="4" width="17.140625" customWidth="1"/>
    <col min="10" max="10" width="11" bestFit="1" customWidth="1"/>
    <col min="13" max="13" width="11" bestFit="1" customWidth="1"/>
    <col min="16" max="16" width="11" bestFit="1" customWidth="1"/>
  </cols>
  <sheetData>
    <row r="1" spans="1:16">
      <c r="B1" s="423" t="s">
        <v>33</v>
      </c>
      <c r="C1" s="423"/>
      <c r="D1" s="423"/>
      <c r="E1" s="423"/>
      <c r="F1" s="423"/>
      <c r="G1" s="423"/>
      <c r="H1" s="423"/>
      <c r="I1" s="423"/>
      <c r="J1" s="423"/>
      <c r="K1" s="423"/>
      <c r="L1" s="423"/>
      <c r="M1" s="423"/>
    </row>
    <row r="2" spans="1:16">
      <c r="B2" t="s">
        <v>33</v>
      </c>
      <c r="E2" s="423"/>
      <c r="F2" s="423"/>
      <c r="G2" s="423"/>
      <c r="H2" s="423"/>
      <c r="I2" s="423"/>
      <c r="J2" s="423"/>
      <c r="K2" s="423"/>
      <c r="L2" s="423"/>
      <c r="M2" s="423"/>
      <c r="N2" s="423"/>
      <c r="O2" s="423"/>
      <c r="P2" s="423"/>
    </row>
    <row r="3" spans="1:16">
      <c r="A3" t="s">
        <v>223</v>
      </c>
      <c r="B3">
        <v>1302</v>
      </c>
      <c r="C3">
        <v>1495</v>
      </c>
      <c r="D3" s="211">
        <f t="shared" ref="D3:D4" si="0">B3/C3</f>
        <v>0.87090301003344484</v>
      </c>
      <c r="E3" s="36">
        <v>0.98</v>
      </c>
      <c r="F3" s="34"/>
      <c r="G3" s="34"/>
      <c r="H3" s="34"/>
      <c r="I3" s="34"/>
      <c r="J3" s="34"/>
      <c r="K3" s="34"/>
      <c r="L3" s="34"/>
      <c r="M3" s="34"/>
      <c r="N3" s="34"/>
      <c r="O3" s="34"/>
      <c r="P3" s="34"/>
    </row>
    <row r="4" spans="1:16">
      <c r="A4" t="s">
        <v>212</v>
      </c>
      <c r="B4">
        <f>SUM(B16:B18)</f>
        <v>1026</v>
      </c>
      <c r="C4">
        <f>SUM(C16:C18)</f>
        <v>1077</v>
      </c>
      <c r="D4" s="211">
        <f t="shared" si="0"/>
        <v>0.9526462395543176</v>
      </c>
      <c r="E4" s="36">
        <v>0.98</v>
      </c>
      <c r="F4" s="34"/>
      <c r="G4" s="34"/>
      <c r="H4" s="34"/>
      <c r="I4" s="34"/>
      <c r="J4" s="34"/>
      <c r="K4" s="34"/>
      <c r="L4" s="34"/>
      <c r="M4" s="34"/>
      <c r="N4" s="34"/>
      <c r="O4" s="34"/>
      <c r="P4" s="34"/>
    </row>
    <row r="5" spans="1:16">
      <c r="A5" t="s">
        <v>213</v>
      </c>
      <c r="D5" s="211">
        <v>0</v>
      </c>
      <c r="E5" s="36">
        <v>0.98</v>
      </c>
      <c r="F5" s="34"/>
      <c r="G5" s="34"/>
      <c r="H5" s="34"/>
      <c r="I5" s="34"/>
      <c r="J5" s="34"/>
      <c r="K5" s="34"/>
      <c r="L5" s="34"/>
      <c r="M5" s="34"/>
      <c r="N5" s="34"/>
      <c r="O5" s="34"/>
      <c r="P5" s="34"/>
    </row>
    <row r="6" spans="1:16">
      <c r="A6" t="s">
        <v>214</v>
      </c>
      <c r="D6" s="211">
        <v>0</v>
      </c>
      <c r="E6" s="36">
        <v>0.98</v>
      </c>
      <c r="G6" s="30"/>
    </row>
    <row r="7" spans="1:16">
      <c r="A7" t="s">
        <v>215</v>
      </c>
      <c r="D7" s="211">
        <v>0</v>
      </c>
      <c r="E7" s="36">
        <v>0.98</v>
      </c>
      <c r="G7" s="30"/>
      <c r="J7">
        <v>11214</v>
      </c>
      <c r="K7">
        <f>J7/0.981</f>
        <v>11431.19266055046</v>
      </c>
    </row>
    <row r="8" spans="1:16">
      <c r="A8" t="s">
        <v>216</v>
      </c>
      <c r="D8" s="211">
        <v>0</v>
      </c>
      <c r="E8" s="36">
        <v>0.98</v>
      </c>
      <c r="G8" s="30"/>
    </row>
    <row r="9" spans="1:16">
      <c r="A9" t="s">
        <v>217</v>
      </c>
      <c r="D9" s="211">
        <v>0</v>
      </c>
      <c r="E9" s="36">
        <v>0.98</v>
      </c>
      <c r="G9" s="30"/>
    </row>
    <row r="10" spans="1:16">
      <c r="A10" t="s">
        <v>218</v>
      </c>
      <c r="D10" s="211">
        <v>0</v>
      </c>
      <c r="E10" s="36">
        <v>0.98</v>
      </c>
      <c r="G10" s="30"/>
    </row>
    <row r="11" spans="1:16">
      <c r="A11" t="s">
        <v>219</v>
      </c>
      <c r="D11" s="211">
        <v>0</v>
      </c>
      <c r="E11" s="36">
        <v>0.98</v>
      </c>
      <c r="G11" s="30"/>
    </row>
    <row r="12" spans="1:16">
      <c r="A12" t="s">
        <v>220</v>
      </c>
      <c r="D12" s="211">
        <v>0</v>
      </c>
      <c r="E12" s="36">
        <v>0.98</v>
      </c>
    </row>
    <row r="13" spans="1:16">
      <c r="A13" t="s">
        <v>221</v>
      </c>
      <c r="D13" s="211">
        <v>0</v>
      </c>
      <c r="E13" s="36">
        <v>0.98</v>
      </c>
      <c r="G13" s="30"/>
    </row>
    <row r="14" spans="1:16">
      <c r="A14" t="s">
        <v>222</v>
      </c>
      <c r="D14" s="211">
        <v>0</v>
      </c>
      <c r="E14" s="36">
        <v>0.98</v>
      </c>
      <c r="G14" s="30"/>
    </row>
    <row r="15" spans="1:16">
      <c r="A15" s="108" t="s">
        <v>428</v>
      </c>
      <c r="B15" s="108">
        <f>SUM(B3:B14)</f>
        <v>2328</v>
      </c>
      <c r="C15" s="108">
        <f>SUM(C3:C14)</f>
        <v>2572</v>
      </c>
      <c r="D15" s="212">
        <f>B15/C15</f>
        <v>0.90513219284603419</v>
      </c>
      <c r="E15" s="121">
        <v>0.98</v>
      </c>
    </row>
    <row r="16" spans="1:16">
      <c r="A16" t="s">
        <v>42</v>
      </c>
      <c r="B16">
        <v>237</v>
      </c>
      <c r="C16">
        <v>237</v>
      </c>
      <c r="D16" s="31">
        <f>B16/C16</f>
        <v>1</v>
      </c>
      <c r="E16" s="30">
        <v>0.98</v>
      </c>
    </row>
    <row r="17" spans="1:11">
      <c r="A17" t="s">
        <v>45</v>
      </c>
      <c r="B17">
        <v>535</v>
      </c>
      <c r="C17">
        <v>578</v>
      </c>
      <c r="D17" s="31">
        <f>B17/C17</f>
        <v>0.9256055363321799</v>
      </c>
      <c r="E17" s="30">
        <v>0.98</v>
      </c>
    </row>
    <row r="18" spans="1:11">
      <c r="A18" t="s">
        <v>44</v>
      </c>
      <c r="B18">
        <v>254</v>
      </c>
      <c r="C18">
        <v>262</v>
      </c>
      <c r="D18" s="31">
        <f>B18/C18</f>
        <v>0.96946564885496178</v>
      </c>
      <c r="E18" s="30">
        <v>0.98</v>
      </c>
    </row>
    <row r="19" spans="1:11">
      <c r="D19" s="88"/>
    </row>
    <row r="20" spans="1:11">
      <c r="D20" s="88"/>
    </row>
    <row r="21" spans="1:11">
      <c r="A21" t="s">
        <v>46</v>
      </c>
      <c r="B21">
        <v>185</v>
      </c>
      <c r="C21">
        <v>187</v>
      </c>
      <c r="D21" s="31">
        <f>B21/C21</f>
        <v>0.98930481283422456</v>
      </c>
      <c r="E21" s="30">
        <v>0.99</v>
      </c>
    </row>
    <row r="22" spans="1:11">
      <c r="D22" s="88"/>
    </row>
    <row r="23" spans="1:11">
      <c r="A23" t="s">
        <v>223</v>
      </c>
      <c r="B23">
        <v>224</v>
      </c>
      <c r="C23">
        <v>230</v>
      </c>
      <c r="D23" s="211">
        <f>B23/C23</f>
        <v>0.97391304347826091</v>
      </c>
      <c r="E23" s="36">
        <v>0.99</v>
      </c>
      <c r="J23">
        <v>2990</v>
      </c>
      <c r="K23">
        <f>J23/0.982</f>
        <v>3044.8065173116088</v>
      </c>
    </row>
    <row r="24" spans="1:11">
      <c r="A24" t="s">
        <v>212</v>
      </c>
      <c r="B24">
        <v>185</v>
      </c>
      <c r="C24">
        <v>187</v>
      </c>
      <c r="D24" s="211">
        <f>B24/C24</f>
        <v>0.98930481283422456</v>
      </c>
      <c r="E24" s="36">
        <v>0.99</v>
      </c>
    </row>
    <row r="25" spans="1:11">
      <c r="A25" t="s">
        <v>213</v>
      </c>
      <c r="D25" s="35">
        <v>0</v>
      </c>
      <c r="E25" s="36">
        <v>0.99</v>
      </c>
      <c r="J25">
        <f>3044-2990</f>
        <v>54</v>
      </c>
    </row>
    <row r="26" spans="1:11">
      <c r="A26" t="s">
        <v>214</v>
      </c>
      <c r="D26" s="35">
        <v>0</v>
      </c>
      <c r="E26" s="36">
        <v>0.99</v>
      </c>
    </row>
    <row r="27" spans="1:11">
      <c r="A27" t="s">
        <v>215</v>
      </c>
      <c r="D27" s="35">
        <v>0</v>
      </c>
      <c r="E27" s="36">
        <v>0.99</v>
      </c>
    </row>
    <row r="28" spans="1:11">
      <c r="A28" t="s">
        <v>216</v>
      </c>
      <c r="D28" s="35">
        <v>0</v>
      </c>
      <c r="E28" s="36">
        <v>0.99</v>
      </c>
    </row>
    <row r="29" spans="1:11">
      <c r="A29" t="s">
        <v>217</v>
      </c>
      <c r="D29" s="35">
        <v>0</v>
      </c>
      <c r="E29" s="36">
        <v>0.99</v>
      </c>
    </row>
    <row r="30" spans="1:11">
      <c r="A30" t="s">
        <v>218</v>
      </c>
      <c r="D30" s="35">
        <v>0</v>
      </c>
      <c r="E30" s="36">
        <v>0.99</v>
      </c>
    </row>
    <row r="31" spans="1:11">
      <c r="A31" t="s">
        <v>219</v>
      </c>
      <c r="D31" s="35">
        <v>0</v>
      </c>
      <c r="E31" s="36">
        <v>0.99</v>
      </c>
    </row>
    <row r="32" spans="1:11">
      <c r="A32" t="s">
        <v>220</v>
      </c>
      <c r="D32" s="35">
        <v>0</v>
      </c>
      <c r="E32" s="36">
        <v>0.99</v>
      </c>
    </row>
    <row r="33" spans="1:5">
      <c r="A33" t="s">
        <v>221</v>
      </c>
      <c r="D33" s="35">
        <v>0</v>
      </c>
      <c r="E33" s="36">
        <v>0.99</v>
      </c>
    </row>
    <row r="34" spans="1:5">
      <c r="A34" t="s">
        <v>222</v>
      </c>
      <c r="D34" s="35">
        <v>0</v>
      </c>
      <c r="E34" s="36">
        <v>0.99</v>
      </c>
    </row>
    <row r="35" spans="1:5">
      <c r="A35" s="108" t="s">
        <v>428</v>
      </c>
      <c r="B35" s="108">
        <f>SUM(B23:B34)</f>
        <v>409</v>
      </c>
      <c r="C35" s="108">
        <f>SUM(C23:C34)</f>
        <v>417</v>
      </c>
      <c r="D35" s="120">
        <f>B35/C35</f>
        <v>0.98081534772182255</v>
      </c>
      <c r="E35" s="108"/>
    </row>
    <row r="37" spans="1:5">
      <c r="A37" t="s">
        <v>47</v>
      </c>
      <c r="B37">
        <v>38</v>
      </c>
      <c r="C37">
        <v>38</v>
      </c>
      <c r="D37" s="31">
        <f>B37/C37</f>
        <v>1</v>
      </c>
      <c r="E37" s="30">
        <v>0.95</v>
      </c>
    </row>
    <row r="38" spans="1:5">
      <c r="A38" t="s">
        <v>48</v>
      </c>
      <c r="B38">
        <v>14</v>
      </c>
      <c r="C38">
        <v>14</v>
      </c>
      <c r="D38" s="31">
        <f>B38/C38</f>
        <v>1</v>
      </c>
      <c r="E38" s="30">
        <v>0.95</v>
      </c>
    </row>
    <row r="39" spans="1:5">
      <c r="A39" t="s">
        <v>232</v>
      </c>
      <c r="B39">
        <v>12</v>
      </c>
      <c r="C39">
        <v>12</v>
      </c>
      <c r="D39" s="31">
        <v>1</v>
      </c>
      <c r="E39" s="30">
        <v>0.95</v>
      </c>
    </row>
    <row r="40" spans="1:5">
      <c r="A40" t="s">
        <v>50</v>
      </c>
      <c r="B40">
        <v>230</v>
      </c>
      <c r="C40">
        <v>230</v>
      </c>
      <c r="D40" s="31">
        <f t="shared" ref="D40:D41" si="1">B40/C40</f>
        <v>1</v>
      </c>
      <c r="E40" s="30">
        <v>0.95</v>
      </c>
    </row>
    <row r="41" spans="1:5">
      <c r="A41" t="s">
        <v>49</v>
      </c>
      <c r="B41">
        <v>1</v>
      </c>
      <c r="C41">
        <v>1</v>
      </c>
      <c r="D41" s="31">
        <f t="shared" si="1"/>
        <v>1</v>
      </c>
      <c r="E41" s="30">
        <v>0.95</v>
      </c>
    </row>
    <row r="43" spans="1:5" s="33" customFormat="1">
      <c r="A43" s="33" t="s">
        <v>51</v>
      </c>
    </row>
    <row r="45" spans="1:5">
      <c r="A45" t="s">
        <v>42</v>
      </c>
      <c r="B45">
        <v>0</v>
      </c>
      <c r="C45">
        <v>0</v>
      </c>
      <c r="D45" s="88"/>
      <c r="E45" s="36">
        <v>0.98</v>
      </c>
    </row>
    <row r="46" spans="1:5">
      <c r="A46" t="s">
        <v>52</v>
      </c>
      <c r="B46">
        <v>0</v>
      </c>
      <c r="C46">
        <v>0</v>
      </c>
      <c r="D46" s="88"/>
      <c r="E46" s="30">
        <v>0.98</v>
      </c>
    </row>
    <row r="47" spans="1:5">
      <c r="A47" t="s">
        <v>43</v>
      </c>
      <c r="B47">
        <v>30</v>
      </c>
      <c r="C47">
        <v>30</v>
      </c>
      <c r="D47" s="88">
        <f t="shared" ref="D47" si="2">B47/C47</f>
        <v>1</v>
      </c>
      <c r="E47" s="30">
        <v>0.98</v>
      </c>
    </row>
    <row r="51" spans="1:5">
      <c r="A51" t="s">
        <v>223</v>
      </c>
      <c r="B51">
        <v>102</v>
      </c>
      <c r="C51">
        <v>102</v>
      </c>
      <c r="D51" s="31">
        <f t="shared" ref="D51:D62" si="3">B51/C51</f>
        <v>1</v>
      </c>
      <c r="E51" s="31">
        <v>0.98</v>
      </c>
    </row>
    <row r="52" spans="1:5">
      <c r="A52" t="s">
        <v>212</v>
      </c>
      <c r="B52">
        <v>23</v>
      </c>
      <c r="C52">
        <v>23</v>
      </c>
      <c r="D52" s="31">
        <f t="shared" si="3"/>
        <v>1</v>
      </c>
      <c r="E52" s="31">
        <v>0.98</v>
      </c>
    </row>
    <row r="53" spans="1:5">
      <c r="A53" t="s">
        <v>213</v>
      </c>
      <c r="B53">
        <v>76</v>
      </c>
      <c r="C53">
        <v>76</v>
      </c>
      <c r="D53" s="31">
        <f t="shared" si="3"/>
        <v>1</v>
      </c>
      <c r="E53" s="31">
        <v>0.98</v>
      </c>
    </row>
    <row r="54" spans="1:5">
      <c r="A54" t="s">
        <v>214</v>
      </c>
      <c r="B54">
        <v>221</v>
      </c>
      <c r="C54">
        <v>221</v>
      </c>
      <c r="D54" s="31">
        <f t="shared" si="3"/>
        <v>1</v>
      </c>
      <c r="E54" s="31">
        <v>0.98</v>
      </c>
    </row>
    <row r="55" spans="1:5">
      <c r="A55" t="s">
        <v>215</v>
      </c>
      <c r="B55">
        <v>28</v>
      </c>
      <c r="C55">
        <v>28</v>
      </c>
      <c r="D55" s="31">
        <f t="shared" si="3"/>
        <v>1</v>
      </c>
      <c r="E55" s="31">
        <v>0.98</v>
      </c>
    </row>
    <row r="56" spans="1:5">
      <c r="A56" t="s">
        <v>216</v>
      </c>
      <c r="B56">
        <v>74</v>
      </c>
      <c r="C56">
        <v>74</v>
      </c>
      <c r="D56" s="31">
        <f t="shared" si="3"/>
        <v>1</v>
      </c>
      <c r="E56" s="31">
        <v>0.98</v>
      </c>
    </row>
    <row r="57" spans="1:5">
      <c r="A57" t="s">
        <v>217</v>
      </c>
      <c r="B57">
        <v>120</v>
      </c>
      <c r="C57">
        <v>120</v>
      </c>
      <c r="D57" s="31">
        <f t="shared" si="3"/>
        <v>1</v>
      </c>
      <c r="E57" s="31">
        <v>0.98</v>
      </c>
    </row>
    <row r="58" spans="1:5">
      <c r="A58" t="s">
        <v>218</v>
      </c>
      <c r="B58">
        <v>87</v>
      </c>
      <c r="C58">
        <v>87</v>
      </c>
      <c r="D58" s="31">
        <f t="shared" si="3"/>
        <v>1</v>
      </c>
      <c r="E58" s="31">
        <v>0.98</v>
      </c>
    </row>
    <row r="59" spans="1:5">
      <c r="A59" t="s">
        <v>219</v>
      </c>
      <c r="D59" s="31"/>
      <c r="E59" s="31">
        <v>0.98</v>
      </c>
    </row>
    <row r="60" spans="1:5">
      <c r="A60" t="s">
        <v>220</v>
      </c>
      <c r="B60">
        <v>186</v>
      </c>
      <c r="C60">
        <v>186</v>
      </c>
      <c r="D60" s="31">
        <f t="shared" si="3"/>
        <v>1</v>
      </c>
      <c r="E60" s="31">
        <v>0.98</v>
      </c>
    </row>
    <row r="61" spans="1:5">
      <c r="A61" t="s">
        <v>221</v>
      </c>
      <c r="B61">
        <v>30</v>
      </c>
      <c r="C61">
        <v>30</v>
      </c>
      <c r="D61" s="31">
        <f t="shared" si="3"/>
        <v>1</v>
      </c>
      <c r="E61" s="31">
        <v>0.98</v>
      </c>
    </row>
    <row r="62" spans="1:5">
      <c r="A62" t="s">
        <v>222</v>
      </c>
      <c r="B62">
        <v>30</v>
      </c>
      <c r="C62">
        <v>30</v>
      </c>
      <c r="D62" s="31">
        <f t="shared" si="3"/>
        <v>1</v>
      </c>
      <c r="E62" s="31">
        <v>0.98</v>
      </c>
    </row>
    <row r="63" spans="1:5">
      <c r="B63">
        <f>SUM(B51:B62)</f>
        <v>977</v>
      </c>
    </row>
    <row r="65" spans="1:5" s="33" customFormat="1">
      <c r="A65" s="33" t="s">
        <v>53</v>
      </c>
    </row>
    <row r="67" spans="1:5">
      <c r="A67" t="s">
        <v>42</v>
      </c>
      <c r="B67">
        <v>14</v>
      </c>
      <c r="C67">
        <v>10</v>
      </c>
      <c r="D67" s="31">
        <f>B67/C67</f>
        <v>1.4</v>
      </c>
      <c r="E67" s="30">
        <v>0.5</v>
      </c>
    </row>
    <row r="68" spans="1:5">
      <c r="A68" t="s">
        <v>45</v>
      </c>
      <c r="B68">
        <v>12</v>
      </c>
      <c r="C68">
        <v>14</v>
      </c>
      <c r="D68" s="31">
        <f>B68/C68</f>
        <v>0.8571428571428571</v>
      </c>
      <c r="E68" s="30">
        <v>0.5</v>
      </c>
    </row>
    <row r="69" spans="1:5">
      <c r="A69" t="s">
        <v>44</v>
      </c>
      <c r="B69">
        <v>12</v>
      </c>
      <c r="C69">
        <v>12</v>
      </c>
      <c r="D69" s="31">
        <f>B69/C69</f>
        <v>1</v>
      </c>
      <c r="E69" s="30">
        <v>0.5</v>
      </c>
    </row>
    <row r="70" spans="1:5">
      <c r="A70" t="s">
        <v>46</v>
      </c>
      <c r="B70">
        <v>21</v>
      </c>
      <c r="C70">
        <v>14</v>
      </c>
      <c r="D70" s="31">
        <f>B70/C70</f>
        <v>1.5</v>
      </c>
      <c r="E70" s="30">
        <v>0.5</v>
      </c>
    </row>
    <row r="72" spans="1:5">
      <c r="A72" t="s">
        <v>223</v>
      </c>
      <c r="B72">
        <v>51</v>
      </c>
    </row>
    <row r="73" spans="1:5">
      <c r="A73" t="s">
        <v>212</v>
      </c>
      <c r="B73">
        <f>SUM(B67:B70)</f>
        <v>59</v>
      </c>
    </row>
    <row r="74" spans="1:5">
      <c r="A74" t="s">
        <v>213</v>
      </c>
    </row>
    <row r="75" spans="1:5">
      <c r="A75" t="s">
        <v>214</v>
      </c>
    </row>
    <row r="76" spans="1:5">
      <c r="A76" t="s">
        <v>215</v>
      </c>
    </row>
    <row r="77" spans="1:5">
      <c r="A77" t="s">
        <v>216</v>
      </c>
    </row>
    <row r="78" spans="1:5">
      <c r="A78" t="s">
        <v>217</v>
      </c>
    </row>
    <row r="79" spans="1:5">
      <c r="A79" t="s">
        <v>218</v>
      </c>
    </row>
    <row r="80" spans="1:5">
      <c r="A80" t="s">
        <v>219</v>
      </c>
    </row>
    <row r="81" spans="1:9">
      <c r="A81" t="s">
        <v>220</v>
      </c>
    </row>
    <row r="82" spans="1:9">
      <c r="A82" t="s">
        <v>221</v>
      </c>
    </row>
    <row r="83" spans="1:9">
      <c r="A83" t="s">
        <v>222</v>
      </c>
    </row>
    <row r="84" spans="1:9">
      <c r="B84">
        <f>SUM(B72:B83)</f>
        <v>110</v>
      </c>
      <c r="C84">
        <v>200</v>
      </c>
      <c r="D84" s="88">
        <f>B84/C84</f>
        <v>0.55000000000000004</v>
      </c>
    </row>
    <row r="85" spans="1:9" s="33" customFormat="1">
      <c r="A85" s="33" t="s">
        <v>30</v>
      </c>
    </row>
    <row r="86" spans="1:9">
      <c r="A86" t="s">
        <v>42</v>
      </c>
      <c r="B86">
        <v>4</v>
      </c>
      <c r="C86">
        <v>8</v>
      </c>
      <c r="D86" s="31">
        <f>B86/C86</f>
        <v>0.5</v>
      </c>
      <c r="E86" s="30">
        <v>0.5</v>
      </c>
    </row>
    <row r="87" spans="1:9">
      <c r="A87" t="s">
        <v>45</v>
      </c>
      <c r="B87">
        <v>5</v>
      </c>
      <c r="C87">
        <v>8</v>
      </c>
      <c r="D87" s="31">
        <f>B87/C87</f>
        <v>0.625</v>
      </c>
      <c r="E87" s="30">
        <v>0.5</v>
      </c>
      <c r="H87">
        <v>1</v>
      </c>
      <c r="I87">
        <v>20</v>
      </c>
    </row>
    <row r="88" spans="1:9">
      <c r="A88" t="s">
        <v>44</v>
      </c>
      <c r="B88">
        <v>6</v>
      </c>
      <c r="C88">
        <v>8</v>
      </c>
      <c r="D88" s="31">
        <f>B88/C88</f>
        <v>0.75</v>
      </c>
      <c r="E88" s="30">
        <v>0.5</v>
      </c>
    </row>
    <row r="89" spans="1:9">
      <c r="A89" t="s">
        <v>46</v>
      </c>
      <c r="B89">
        <v>5</v>
      </c>
      <c r="C89">
        <v>7</v>
      </c>
      <c r="D89" s="31">
        <f>B89/C89</f>
        <v>0.7142857142857143</v>
      </c>
      <c r="E89" s="30">
        <v>0.5</v>
      </c>
    </row>
    <row r="90" spans="1:9" ht="36" customHeight="1">
      <c r="A90" s="108" t="s">
        <v>1049</v>
      </c>
      <c r="D90" s="31"/>
      <c r="E90" s="30"/>
    </row>
    <row r="91" spans="1:9">
      <c r="A91" t="s">
        <v>42</v>
      </c>
      <c r="B91">
        <v>8</v>
      </c>
      <c r="C91">
        <v>9</v>
      </c>
      <c r="D91" s="31">
        <f>B91/C91</f>
        <v>0.88888888888888884</v>
      </c>
      <c r="E91" s="30">
        <v>0.5</v>
      </c>
      <c r="H91">
        <v>0</v>
      </c>
      <c r="I91">
        <v>4</v>
      </c>
    </row>
    <row r="92" spans="1:9">
      <c r="A92" t="s">
        <v>45</v>
      </c>
      <c r="B92">
        <v>8</v>
      </c>
      <c r="C92">
        <v>13</v>
      </c>
      <c r="D92" s="31">
        <f>B92/C92</f>
        <v>0.61538461538461542</v>
      </c>
      <c r="E92" s="30">
        <v>0.5</v>
      </c>
    </row>
    <row r="93" spans="1:9">
      <c r="A93" t="s">
        <v>44</v>
      </c>
      <c r="B93">
        <v>6</v>
      </c>
      <c r="C93">
        <v>12</v>
      </c>
      <c r="D93" s="31">
        <f>B93/C93</f>
        <v>0.5</v>
      </c>
      <c r="E93" s="30">
        <v>0.5</v>
      </c>
    </row>
    <row r="94" spans="1:9">
      <c r="A94" t="s">
        <v>46</v>
      </c>
      <c r="B94">
        <v>9</v>
      </c>
      <c r="C94">
        <v>7</v>
      </c>
      <c r="D94" s="31">
        <f>B94/C94</f>
        <v>1.2857142857142858</v>
      </c>
      <c r="E94" s="30">
        <v>0.5</v>
      </c>
    </row>
    <row r="95" spans="1:9">
      <c r="D95" s="31"/>
      <c r="E95" s="30"/>
    </row>
    <row r="98" spans="1:14" s="33" customFormat="1">
      <c r="A98" s="33" t="s">
        <v>211</v>
      </c>
      <c r="B98" s="33" t="s">
        <v>223</v>
      </c>
      <c r="C98" s="82" t="s">
        <v>212</v>
      </c>
      <c r="D98" s="82" t="s">
        <v>213</v>
      </c>
      <c r="E98" s="82" t="s">
        <v>214</v>
      </c>
      <c r="F98" s="82" t="s">
        <v>215</v>
      </c>
      <c r="G98" s="82" t="s">
        <v>216</v>
      </c>
      <c r="H98" s="82" t="s">
        <v>217</v>
      </c>
      <c r="I98" s="82" t="s">
        <v>218</v>
      </c>
      <c r="J98" s="82" t="s">
        <v>219</v>
      </c>
      <c r="K98" s="82" t="s">
        <v>220</v>
      </c>
      <c r="L98" s="82" t="s">
        <v>221</v>
      </c>
      <c r="M98"/>
    </row>
    <row r="99" spans="1:14">
      <c r="A99" t="s">
        <v>42</v>
      </c>
      <c r="B99" s="210">
        <v>0</v>
      </c>
      <c r="C99" s="210">
        <v>32</v>
      </c>
      <c r="D99" s="210">
        <v>32</v>
      </c>
      <c r="E99" s="210">
        <v>32</v>
      </c>
      <c r="F99" s="210">
        <v>24</v>
      </c>
      <c r="G99" s="210">
        <v>24</v>
      </c>
      <c r="H99" s="210">
        <v>40</v>
      </c>
      <c r="I99" s="210"/>
      <c r="J99" s="210">
        <v>0</v>
      </c>
      <c r="K99" s="210">
        <v>48</v>
      </c>
      <c r="L99" s="210">
        <v>48</v>
      </c>
    </row>
    <row r="100" spans="1:14">
      <c r="A100" t="s">
        <v>45</v>
      </c>
      <c r="B100" s="210">
        <v>0</v>
      </c>
      <c r="C100" s="210">
        <v>15</v>
      </c>
      <c r="D100" s="210">
        <v>30</v>
      </c>
      <c r="E100" s="210">
        <v>30</v>
      </c>
      <c r="F100" s="210">
        <v>30</v>
      </c>
      <c r="G100" s="210">
        <v>27</v>
      </c>
      <c r="H100" s="210">
        <v>30</v>
      </c>
      <c r="I100" s="210"/>
      <c r="J100" s="210">
        <v>42</v>
      </c>
      <c r="K100" s="210">
        <v>33</v>
      </c>
      <c r="L100" s="210">
        <v>45</v>
      </c>
    </row>
    <row r="101" spans="1:14">
      <c r="A101" t="s">
        <v>44</v>
      </c>
      <c r="B101" s="119">
        <v>24</v>
      </c>
      <c r="C101" s="210">
        <v>0</v>
      </c>
      <c r="D101" s="210">
        <v>44</v>
      </c>
      <c r="E101" s="210"/>
      <c r="F101" s="210">
        <v>80</v>
      </c>
      <c r="G101" s="210">
        <v>0</v>
      </c>
      <c r="H101" s="210">
        <v>40</v>
      </c>
      <c r="I101" s="210"/>
      <c r="J101" s="210">
        <v>0</v>
      </c>
      <c r="K101" s="210">
        <v>80</v>
      </c>
      <c r="L101" s="210">
        <v>0</v>
      </c>
    </row>
    <row r="102" spans="1:14">
      <c r="A102" t="s">
        <v>46</v>
      </c>
      <c r="B102" s="210">
        <v>0</v>
      </c>
      <c r="C102" s="210">
        <v>0</v>
      </c>
      <c r="D102" s="210">
        <v>0</v>
      </c>
      <c r="E102" s="210">
        <v>104</v>
      </c>
      <c r="F102" s="210">
        <v>0</v>
      </c>
      <c r="G102" s="210">
        <v>0</v>
      </c>
      <c r="H102" s="210">
        <v>96</v>
      </c>
      <c r="I102" s="210"/>
      <c r="J102" s="210">
        <v>0</v>
      </c>
      <c r="K102" s="210">
        <v>96</v>
      </c>
      <c r="L102" s="210">
        <v>0</v>
      </c>
    </row>
    <row r="103" spans="1:14">
      <c r="A103" s="208" t="s">
        <v>234</v>
      </c>
      <c r="B103" s="209">
        <f>SUM(B99:B102)</f>
        <v>24</v>
      </c>
      <c r="C103" s="209">
        <f t="shared" ref="C103:L103" si="4">SUM(C99:C102)</f>
        <v>47</v>
      </c>
      <c r="D103" s="209">
        <f t="shared" si="4"/>
        <v>106</v>
      </c>
      <c r="E103" s="209">
        <f t="shared" si="4"/>
        <v>166</v>
      </c>
      <c r="F103" s="209">
        <f t="shared" si="4"/>
        <v>134</v>
      </c>
      <c r="G103" s="209">
        <f t="shared" si="4"/>
        <v>51</v>
      </c>
      <c r="H103" s="209">
        <f t="shared" si="4"/>
        <v>206</v>
      </c>
      <c r="I103" s="209">
        <f t="shared" si="4"/>
        <v>0</v>
      </c>
      <c r="J103" s="209">
        <f t="shared" si="4"/>
        <v>42</v>
      </c>
      <c r="K103" s="209">
        <f t="shared" si="4"/>
        <v>257</v>
      </c>
      <c r="L103" s="209">
        <f t="shared" si="4"/>
        <v>93</v>
      </c>
      <c r="N103">
        <f>SUM(B103:M103)</f>
        <v>1126</v>
      </c>
    </row>
    <row r="104" spans="1:14">
      <c r="A104" s="208" t="s">
        <v>235</v>
      </c>
      <c r="B104" s="209">
        <v>24</v>
      </c>
      <c r="C104" s="209">
        <v>47</v>
      </c>
      <c r="D104" s="209">
        <v>0</v>
      </c>
      <c r="E104" s="209">
        <v>0</v>
      </c>
      <c r="F104" s="209">
        <v>0</v>
      </c>
      <c r="G104" s="209">
        <v>0</v>
      </c>
      <c r="H104" s="209">
        <v>0</v>
      </c>
      <c r="I104" s="209">
        <v>0</v>
      </c>
      <c r="J104" s="209">
        <v>0</v>
      </c>
      <c r="K104" s="209">
        <v>0</v>
      </c>
      <c r="L104" s="209">
        <v>0</v>
      </c>
      <c r="N104">
        <f>SUM(B104:M104)</f>
        <v>71</v>
      </c>
    </row>
    <row r="106" spans="1:14">
      <c r="D106" t="s">
        <v>141</v>
      </c>
    </row>
    <row r="107" spans="1:14">
      <c r="D107" s="83">
        <f>SUM(B104:M104)/SUM(B103:M103)</f>
        <v>6.3055062166962703E-2</v>
      </c>
    </row>
    <row r="110" spans="1:14" s="33" customFormat="1">
      <c r="A110" s="33" t="s">
        <v>233</v>
      </c>
    </row>
    <row r="111" spans="1:14">
      <c r="A111" t="s">
        <v>42</v>
      </c>
      <c r="B111">
        <v>2</v>
      </c>
      <c r="D111" s="31"/>
      <c r="E111" s="30"/>
    </row>
    <row r="112" spans="1:14">
      <c r="A112" t="s">
        <v>45</v>
      </c>
      <c r="B112">
        <v>4</v>
      </c>
      <c r="D112" s="31"/>
      <c r="E112" s="30"/>
    </row>
    <row r="113" spans="1:5">
      <c r="A113" t="s">
        <v>44</v>
      </c>
      <c r="B113">
        <v>3</v>
      </c>
      <c r="D113" s="31"/>
      <c r="E113" s="30"/>
    </row>
    <row r="114" spans="1:5">
      <c r="A114" t="s">
        <v>46</v>
      </c>
      <c r="B114">
        <v>6</v>
      </c>
      <c r="D114" s="31"/>
      <c r="E114" s="30"/>
    </row>
    <row r="117" spans="1:5">
      <c r="A117" s="16"/>
      <c r="B117" s="16"/>
      <c r="C117" s="16" t="s">
        <v>226</v>
      </c>
      <c r="D117" s="16" t="s">
        <v>419</v>
      </c>
    </row>
    <row r="118" spans="1:5">
      <c r="A118" s="16" t="s">
        <v>418</v>
      </c>
      <c r="B118" s="16">
        <v>19</v>
      </c>
      <c r="C118" s="16">
        <v>8</v>
      </c>
      <c r="D118" s="16">
        <f>B118-C118</f>
        <v>11</v>
      </c>
    </row>
    <row r="119" spans="1:5">
      <c r="A119" s="16" t="s">
        <v>420</v>
      </c>
      <c r="B119" s="16">
        <v>25</v>
      </c>
      <c r="C119" s="16">
        <v>17</v>
      </c>
      <c r="D119" s="16">
        <f t="shared" ref="D119:D126" si="5">B119-C119</f>
        <v>8</v>
      </c>
    </row>
    <row r="120" spans="1:5">
      <c r="A120" s="16" t="s">
        <v>421</v>
      </c>
      <c r="B120" s="16">
        <v>25</v>
      </c>
      <c r="C120" s="16">
        <v>17</v>
      </c>
      <c r="D120" s="16">
        <f t="shared" si="5"/>
        <v>8</v>
      </c>
    </row>
    <row r="121" spans="1:5">
      <c r="A121" s="16" t="s">
        <v>422</v>
      </c>
      <c r="B121" s="16">
        <v>32</v>
      </c>
      <c r="C121" s="16">
        <v>19</v>
      </c>
      <c r="D121" s="16">
        <f t="shared" si="5"/>
        <v>13</v>
      </c>
    </row>
    <row r="122" spans="1:5">
      <c r="A122" s="16" t="s">
        <v>423</v>
      </c>
      <c r="B122" s="16">
        <v>41</v>
      </c>
      <c r="C122" s="16">
        <v>28</v>
      </c>
      <c r="D122" s="16">
        <f t="shared" si="5"/>
        <v>13</v>
      </c>
    </row>
    <row r="123" spans="1:5">
      <c r="A123" s="16" t="s">
        <v>424</v>
      </c>
      <c r="B123" s="16">
        <v>41</v>
      </c>
      <c r="C123" s="16">
        <v>29</v>
      </c>
      <c r="D123" s="16">
        <f t="shared" si="5"/>
        <v>12</v>
      </c>
    </row>
    <row r="124" spans="1:5">
      <c r="A124" s="16" t="s">
        <v>425</v>
      </c>
      <c r="B124" s="16">
        <v>41</v>
      </c>
      <c r="C124" s="16">
        <v>29</v>
      </c>
      <c r="D124" s="16">
        <f t="shared" si="5"/>
        <v>12</v>
      </c>
    </row>
    <row r="125" spans="1:5">
      <c r="A125" s="16" t="s">
        <v>426</v>
      </c>
      <c r="B125" s="16">
        <v>42</v>
      </c>
      <c r="C125" s="16">
        <v>29</v>
      </c>
      <c r="D125" s="16">
        <f t="shared" si="5"/>
        <v>13</v>
      </c>
    </row>
    <row r="126" spans="1:5">
      <c r="A126" s="16" t="s">
        <v>427</v>
      </c>
      <c r="B126" s="16">
        <v>42</v>
      </c>
      <c r="C126" s="16">
        <v>34</v>
      </c>
      <c r="D126" s="16">
        <f t="shared" si="5"/>
        <v>8</v>
      </c>
    </row>
    <row r="127" spans="1:5">
      <c r="A127" s="16"/>
      <c r="B127" s="16">
        <f>SUM(B118:B126)</f>
        <v>308</v>
      </c>
      <c r="C127" s="16">
        <f t="shared" ref="C127:D127" si="6">SUM(C118:C126)</f>
        <v>210</v>
      </c>
      <c r="D127" s="16">
        <f t="shared" si="6"/>
        <v>98</v>
      </c>
    </row>
    <row r="128" spans="1:5">
      <c r="A128" s="16"/>
      <c r="B128" s="16"/>
      <c r="C128" s="16"/>
      <c r="D128" s="16"/>
    </row>
    <row r="129" spans="1:4">
      <c r="A129" s="16"/>
      <c r="B129" s="16"/>
      <c r="C129" s="16"/>
      <c r="D129" s="16"/>
    </row>
    <row r="130" spans="1:4">
      <c r="A130" s="16"/>
      <c r="B130" s="16"/>
      <c r="C130" s="16"/>
      <c r="D130" s="16"/>
    </row>
  </sheetData>
  <mergeCells count="5">
    <mergeCell ref="N2:P2"/>
    <mergeCell ref="B1:M1"/>
    <mergeCell ref="E2:G2"/>
    <mergeCell ref="H2:J2"/>
    <mergeCell ref="K2:M2"/>
  </mergeCells>
  <phoneticPr fontId="12" type="noConversion"/>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ADDB8-416B-4D1F-A52F-EBA45215FFF1}">
  <sheetPr>
    <tabColor rgb="FF92D050"/>
  </sheetPr>
  <dimension ref="A1:S807"/>
  <sheetViews>
    <sheetView view="pageBreakPreview" zoomScale="55" zoomScaleNormal="55" zoomScaleSheetLayoutView="55" workbookViewId="0">
      <pane xSplit="7" ySplit="2" topLeftCell="H30" activePane="bottomRight" state="frozen"/>
      <selection pane="topRight" activeCell="H1" sqref="H1"/>
      <selection pane="bottomLeft" activeCell="A3" sqref="A3"/>
      <selection pane="bottomRight" activeCell="P36" sqref="P36"/>
    </sheetView>
  </sheetViews>
  <sheetFormatPr defaultColWidth="9" defaultRowHeight="18.75"/>
  <cols>
    <col min="1" max="1" width="7.85546875" style="125" customWidth="1"/>
    <col min="2" max="2" width="32.140625" style="125" customWidth="1"/>
    <col min="3" max="3" width="38.85546875" style="202" customWidth="1"/>
    <col min="4" max="4" width="29.28515625" style="201" customWidth="1"/>
    <col min="5" max="5" width="13" style="201" customWidth="1"/>
    <col min="6" max="6" width="14.28515625" style="201" customWidth="1"/>
    <col min="7" max="7" width="9.7109375" style="200" bestFit="1" customWidth="1"/>
    <col min="8" max="8" width="76.140625" style="200" customWidth="1"/>
    <col min="9" max="9" width="22.85546875" style="125" customWidth="1"/>
    <col min="10" max="10" width="18.28515625" style="125" customWidth="1"/>
    <col min="11" max="11" width="12.140625" style="125" customWidth="1"/>
    <col min="12" max="12" width="9.5703125" style="125" customWidth="1"/>
    <col min="13" max="13" width="35.28515625" style="249" customWidth="1"/>
    <col min="14" max="14" width="17.85546875" style="250" customWidth="1"/>
    <col min="15" max="15" width="15.42578125" style="251" customWidth="1"/>
    <col min="16" max="16" width="35.28515625" style="249" customWidth="1"/>
    <col min="17" max="17" width="17.85546875" style="250" customWidth="1"/>
    <col min="18" max="19" width="15.42578125" style="251" customWidth="1"/>
    <col min="20" max="20" width="9.42578125" style="125" customWidth="1"/>
    <col min="21" max="21" width="9" style="125" customWidth="1"/>
    <col min="22" max="16384" width="9" style="125"/>
  </cols>
  <sheetData>
    <row r="1" spans="1:19" s="216" customFormat="1" ht="43.9" customHeight="1">
      <c r="A1" s="424" t="s">
        <v>624</v>
      </c>
      <c r="B1" s="424"/>
      <c r="C1" s="424"/>
      <c r="D1" s="424"/>
      <c r="E1" s="424"/>
      <c r="F1" s="424"/>
      <c r="G1" s="424"/>
      <c r="H1" s="424"/>
      <c r="I1" s="424"/>
      <c r="J1" s="424"/>
      <c r="K1" s="424"/>
      <c r="L1" s="424"/>
      <c r="M1" s="424"/>
      <c r="N1" s="424"/>
      <c r="O1" s="424"/>
      <c r="P1" s="424"/>
      <c r="Q1" s="424"/>
      <c r="R1" s="424"/>
      <c r="S1" s="315"/>
    </row>
    <row r="2" spans="1:19" ht="75">
      <c r="A2" s="217" t="s">
        <v>0</v>
      </c>
      <c r="B2" s="126" t="s">
        <v>625</v>
      </c>
      <c r="C2" s="126" t="s">
        <v>242</v>
      </c>
      <c r="D2" s="126" t="s">
        <v>75</v>
      </c>
      <c r="E2" s="126" t="s">
        <v>244</v>
      </c>
      <c r="F2" s="126" t="s">
        <v>77</v>
      </c>
      <c r="G2" s="127" t="s">
        <v>435</v>
      </c>
      <c r="H2" s="127" t="s">
        <v>78</v>
      </c>
      <c r="I2" s="126" t="s">
        <v>1</v>
      </c>
      <c r="J2" s="126" t="s">
        <v>2</v>
      </c>
      <c r="K2" s="126" t="s">
        <v>436</v>
      </c>
      <c r="L2" s="126" t="s">
        <v>437</v>
      </c>
      <c r="M2" s="425" t="s">
        <v>626</v>
      </c>
      <c r="N2" s="425"/>
      <c r="O2" s="425"/>
      <c r="P2" s="425" t="s">
        <v>64</v>
      </c>
      <c r="Q2" s="425"/>
      <c r="R2" s="425"/>
      <c r="S2" s="352"/>
    </row>
    <row r="3" spans="1:19" s="135" customFormat="1" ht="60.6" customHeight="1">
      <c r="A3" s="219">
        <v>1</v>
      </c>
      <c r="B3" s="136" t="s">
        <v>627</v>
      </c>
      <c r="C3" s="137" t="s">
        <v>441</v>
      </c>
      <c r="D3" s="139" t="s">
        <v>443</v>
      </c>
      <c r="E3" s="139">
        <v>0</v>
      </c>
      <c r="F3" s="139" t="s">
        <v>201</v>
      </c>
      <c r="G3" s="140">
        <v>0.15</v>
      </c>
      <c r="H3" s="141"/>
      <c r="I3" s="142"/>
      <c r="J3" s="142"/>
      <c r="K3" s="136"/>
      <c r="L3" s="136"/>
      <c r="M3" s="220" t="s">
        <v>250</v>
      </c>
      <c r="N3" s="220" t="s">
        <v>206</v>
      </c>
      <c r="O3" s="218" t="s">
        <v>31</v>
      </c>
      <c r="P3" s="220" t="s">
        <v>250</v>
      </c>
      <c r="Q3" s="220" t="s">
        <v>206</v>
      </c>
      <c r="R3" s="218" t="s">
        <v>31</v>
      </c>
      <c r="S3" s="352"/>
    </row>
    <row r="4" spans="1:19" ht="118.9" customHeight="1">
      <c r="A4" s="221">
        <v>2</v>
      </c>
      <c r="B4" s="148" t="s">
        <v>628</v>
      </c>
      <c r="C4" s="149" t="s">
        <v>629</v>
      </c>
      <c r="D4" s="149" t="s">
        <v>446</v>
      </c>
      <c r="E4" s="151">
        <v>1</v>
      </c>
      <c r="F4" s="150" t="s">
        <v>91</v>
      </c>
      <c r="G4" s="151">
        <v>0.1</v>
      </c>
      <c r="H4" s="152" t="s">
        <v>630</v>
      </c>
      <c r="I4" s="153">
        <v>46023</v>
      </c>
      <c r="J4" s="154" t="s">
        <v>631</v>
      </c>
      <c r="K4" s="157" t="s">
        <v>632</v>
      </c>
      <c r="L4" s="222" t="s">
        <v>377</v>
      </c>
      <c r="M4" s="152" t="s">
        <v>633</v>
      </c>
      <c r="N4" s="152" t="s">
        <v>226</v>
      </c>
      <c r="O4" s="152"/>
      <c r="P4" s="152" t="s">
        <v>633</v>
      </c>
      <c r="Q4" s="152" t="s">
        <v>226</v>
      </c>
      <c r="R4" s="152"/>
      <c r="S4" s="353"/>
    </row>
    <row r="5" spans="1:19" ht="93" customHeight="1">
      <c r="A5" s="223">
        <v>3</v>
      </c>
      <c r="B5" s="148" t="s">
        <v>634</v>
      </c>
      <c r="C5" s="149" t="s">
        <v>635</v>
      </c>
      <c r="D5" s="149" t="s">
        <v>450</v>
      </c>
      <c r="E5" s="151">
        <v>1</v>
      </c>
      <c r="F5" s="150" t="s">
        <v>91</v>
      </c>
      <c r="G5" s="151">
        <v>0.03</v>
      </c>
      <c r="H5" s="152" t="s">
        <v>636</v>
      </c>
      <c r="I5" s="153">
        <v>46023</v>
      </c>
      <c r="J5" s="154" t="s">
        <v>631</v>
      </c>
      <c r="K5" s="157" t="s">
        <v>632</v>
      </c>
      <c r="L5" s="222" t="s">
        <v>377</v>
      </c>
      <c r="M5" s="152" t="s">
        <v>637</v>
      </c>
      <c r="N5" s="152" t="s">
        <v>226</v>
      </c>
      <c r="O5" s="152"/>
      <c r="P5" s="152" t="s">
        <v>637</v>
      </c>
      <c r="Q5" s="152" t="s">
        <v>226</v>
      </c>
      <c r="R5" s="152"/>
      <c r="S5" s="353"/>
    </row>
    <row r="6" spans="1:19" ht="80.45" customHeight="1">
      <c r="A6" s="221">
        <v>4</v>
      </c>
      <c r="B6" s="148" t="s">
        <v>638</v>
      </c>
      <c r="C6" s="149" t="s">
        <v>639</v>
      </c>
      <c r="D6" s="149" t="s">
        <v>450</v>
      </c>
      <c r="E6" s="151">
        <v>1</v>
      </c>
      <c r="F6" s="150" t="s">
        <v>91</v>
      </c>
      <c r="G6" s="151">
        <v>0.02</v>
      </c>
      <c r="H6" s="152" t="s">
        <v>640</v>
      </c>
      <c r="I6" s="153">
        <v>46023</v>
      </c>
      <c r="J6" s="154" t="s">
        <v>631</v>
      </c>
      <c r="K6" s="222" t="s">
        <v>632</v>
      </c>
      <c r="L6" s="222" t="s">
        <v>377</v>
      </c>
      <c r="M6" s="152" t="s">
        <v>637</v>
      </c>
      <c r="N6" s="152" t="s">
        <v>226</v>
      </c>
      <c r="O6" s="7"/>
      <c r="P6" s="152" t="s">
        <v>637</v>
      </c>
      <c r="Q6" s="152" t="s">
        <v>226</v>
      </c>
      <c r="R6" s="7"/>
      <c r="S6" s="4"/>
    </row>
    <row r="7" spans="1:19" s="135" customFormat="1" ht="75">
      <c r="A7" s="219">
        <v>5</v>
      </c>
      <c r="B7" s="136" t="s">
        <v>641</v>
      </c>
      <c r="C7" s="161" t="s">
        <v>84</v>
      </c>
      <c r="D7" s="139" t="s">
        <v>458</v>
      </c>
      <c r="E7" s="139" t="s">
        <v>459</v>
      </c>
      <c r="F7" s="139" t="s">
        <v>87</v>
      </c>
      <c r="G7" s="140">
        <v>0.2</v>
      </c>
      <c r="H7" s="140"/>
      <c r="I7" s="142"/>
      <c r="J7" s="142"/>
      <c r="K7" s="136"/>
      <c r="L7" s="136"/>
      <c r="M7" s="28"/>
      <c r="N7" s="224"/>
      <c r="O7" s="7"/>
      <c r="P7" s="28"/>
      <c r="Q7" s="224"/>
      <c r="R7" s="7"/>
      <c r="S7" s="4"/>
    </row>
    <row r="8" spans="1:19" s="168" customFormat="1" ht="81" customHeight="1">
      <c r="A8" s="223">
        <v>6</v>
      </c>
      <c r="B8" s="225" t="s">
        <v>642</v>
      </c>
      <c r="C8" s="149" t="s">
        <v>461</v>
      </c>
      <c r="D8" s="149" t="s">
        <v>643</v>
      </c>
      <c r="E8" s="151">
        <v>1</v>
      </c>
      <c r="F8" s="150" t="s">
        <v>201</v>
      </c>
      <c r="G8" s="162">
        <v>0.03</v>
      </c>
      <c r="H8" s="152" t="s">
        <v>644</v>
      </c>
      <c r="I8" s="153">
        <v>46023</v>
      </c>
      <c r="J8" s="154">
        <v>46387</v>
      </c>
      <c r="K8" s="222" t="s">
        <v>463</v>
      </c>
      <c r="L8" s="222" t="s">
        <v>269</v>
      </c>
      <c r="M8" s="152" t="s">
        <v>645</v>
      </c>
      <c r="N8" s="152" t="s">
        <v>226</v>
      </c>
      <c r="O8" s="7"/>
      <c r="P8" s="152" t="s">
        <v>1043</v>
      </c>
      <c r="Q8" s="152" t="s">
        <v>226</v>
      </c>
      <c r="R8" s="7"/>
      <c r="S8" s="4"/>
    </row>
    <row r="9" spans="1:19" ht="153" customHeight="1">
      <c r="A9" s="223">
        <v>7</v>
      </c>
      <c r="B9" s="225" t="s">
        <v>646</v>
      </c>
      <c r="C9" s="226" t="s">
        <v>647</v>
      </c>
      <c r="D9" s="227" t="s">
        <v>648</v>
      </c>
      <c r="E9" s="228" t="s">
        <v>649</v>
      </c>
      <c r="F9" s="229" t="s">
        <v>91</v>
      </c>
      <c r="G9" s="169">
        <v>0.1</v>
      </c>
      <c r="H9" s="230" t="s">
        <v>650</v>
      </c>
      <c r="I9" s="153">
        <v>46023</v>
      </c>
      <c r="J9" s="154" t="s">
        <v>631</v>
      </c>
      <c r="K9" s="222" t="s">
        <v>632</v>
      </c>
      <c r="L9" s="222" t="s">
        <v>377</v>
      </c>
      <c r="M9" s="152" t="s">
        <v>651</v>
      </c>
      <c r="N9" s="152" t="s">
        <v>226</v>
      </c>
      <c r="O9" s="7"/>
      <c r="P9" s="152" t="s">
        <v>1044</v>
      </c>
      <c r="Q9" s="152" t="s">
        <v>226</v>
      </c>
      <c r="R9" s="7"/>
      <c r="S9" s="4"/>
    </row>
    <row r="10" spans="1:19" ht="177" customHeight="1">
      <c r="A10" s="221">
        <v>8</v>
      </c>
      <c r="B10" s="225" t="s">
        <v>652</v>
      </c>
      <c r="C10" s="226" t="s">
        <v>653</v>
      </c>
      <c r="D10" s="231" t="s">
        <v>654</v>
      </c>
      <c r="E10" s="232" t="s">
        <v>655</v>
      </c>
      <c r="F10" s="233" t="s">
        <v>656</v>
      </c>
      <c r="G10" s="234">
        <v>0.05</v>
      </c>
      <c r="H10" s="235" t="s">
        <v>657</v>
      </c>
      <c r="I10" s="233" t="s">
        <v>656</v>
      </c>
      <c r="J10" s="233" t="s">
        <v>656</v>
      </c>
      <c r="K10" s="236" t="s">
        <v>102</v>
      </c>
      <c r="L10" s="222" t="s">
        <v>377</v>
      </c>
      <c r="M10" s="152" t="s">
        <v>637</v>
      </c>
      <c r="N10" s="152" t="s">
        <v>226</v>
      </c>
      <c r="O10" s="7"/>
      <c r="P10" s="152" t="s">
        <v>637</v>
      </c>
      <c r="Q10" s="152" t="s">
        <v>226</v>
      </c>
      <c r="R10" s="7"/>
      <c r="S10" s="4"/>
    </row>
    <row r="11" spans="1:19" s="168" customFormat="1" ht="162" customHeight="1">
      <c r="A11" s="223">
        <v>9</v>
      </c>
      <c r="B11" s="225" t="s">
        <v>658</v>
      </c>
      <c r="C11" s="149" t="s">
        <v>477</v>
      </c>
      <c r="D11" s="150" t="s">
        <v>478</v>
      </c>
      <c r="E11" s="151">
        <v>1</v>
      </c>
      <c r="F11" s="233" t="s">
        <v>656</v>
      </c>
      <c r="G11" s="169">
        <v>0.01</v>
      </c>
      <c r="H11" s="235" t="s">
        <v>659</v>
      </c>
      <c r="I11" s="233" t="s">
        <v>656</v>
      </c>
      <c r="J11" s="233" t="s">
        <v>656</v>
      </c>
      <c r="K11" s="236" t="s">
        <v>102</v>
      </c>
      <c r="L11" s="222" t="s">
        <v>377</v>
      </c>
      <c r="M11" s="152" t="s">
        <v>637</v>
      </c>
      <c r="N11" s="152" t="s">
        <v>226</v>
      </c>
      <c r="O11" s="237"/>
      <c r="P11" s="152" t="s">
        <v>637</v>
      </c>
      <c r="Q11" s="152" t="s">
        <v>226</v>
      </c>
      <c r="R11" s="237"/>
      <c r="S11" s="251"/>
    </row>
    <row r="12" spans="1:19" s="168" customFormat="1" ht="63" customHeight="1">
      <c r="A12" s="223">
        <v>10</v>
      </c>
      <c r="B12" s="225" t="s">
        <v>660</v>
      </c>
      <c r="C12" s="149" t="s">
        <v>112</v>
      </c>
      <c r="D12" s="149" t="s">
        <v>661</v>
      </c>
      <c r="E12" s="151" t="s">
        <v>114</v>
      </c>
      <c r="F12" s="150" t="s">
        <v>91</v>
      </c>
      <c r="G12" s="169">
        <v>0.01</v>
      </c>
      <c r="H12" s="230" t="s">
        <v>662</v>
      </c>
      <c r="I12" s="153">
        <v>46023</v>
      </c>
      <c r="J12" s="154" t="s">
        <v>631</v>
      </c>
      <c r="K12" s="227" t="s">
        <v>632</v>
      </c>
      <c r="L12" s="222" t="s">
        <v>377</v>
      </c>
      <c r="M12" s="152" t="s">
        <v>663</v>
      </c>
      <c r="N12" s="152" t="s">
        <v>226</v>
      </c>
      <c r="O12" s="237"/>
      <c r="P12" s="152" t="s">
        <v>637</v>
      </c>
      <c r="Q12" s="152" t="s">
        <v>226</v>
      </c>
      <c r="R12" s="237"/>
      <c r="S12" s="251"/>
    </row>
    <row r="13" spans="1:19" s="135" customFormat="1" ht="61.9" customHeight="1">
      <c r="A13" s="219">
        <v>11</v>
      </c>
      <c r="B13" s="136" t="s">
        <v>664</v>
      </c>
      <c r="C13" s="179" t="s">
        <v>16</v>
      </c>
      <c r="D13" s="139" t="s">
        <v>117</v>
      </c>
      <c r="E13" s="139">
        <v>0</v>
      </c>
      <c r="F13" s="139"/>
      <c r="G13" s="140">
        <v>0.15</v>
      </c>
      <c r="H13" s="140"/>
      <c r="I13" s="180"/>
      <c r="J13" s="180"/>
      <c r="K13" s="136"/>
      <c r="L13" s="136"/>
      <c r="M13" s="152"/>
      <c r="N13" s="152"/>
      <c r="O13" s="29"/>
      <c r="P13" s="152"/>
      <c r="Q13" s="152"/>
      <c r="R13" s="29"/>
      <c r="S13" s="6"/>
    </row>
    <row r="14" spans="1:19" s="168" customFormat="1" ht="75">
      <c r="A14" s="223">
        <v>12</v>
      </c>
      <c r="B14" s="148" t="s">
        <v>665</v>
      </c>
      <c r="C14" s="149" t="s">
        <v>118</v>
      </c>
      <c r="D14" s="238" t="s">
        <v>666</v>
      </c>
      <c r="E14" s="169" t="s">
        <v>667</v>
      </c>
      <c r="F14" s="229" t="s">
        <v>91</v>
      </c>
      <c r="G14" s="239">
        <v>0.05</v>
      </c>
      <c r="H14" s="230" t="s">
        <v>668</v>
      </c>
      <c r="I14" s="153">
        <v>46023</v>
      </c>
      <c r="J14" s="154" t="s">
        <v>631</v>
      </c>
      <c r="K14" s="167" t="s">
        <v>517</v>
      </c>
      <c r="L14" s="222" t="s">
        <v>377</v>
      </c>
      <c r="M14" s="152" t="s">
        <v>669</v>
      </c>
      <c r="N14" s="152" t="s">
        <v>226</v>
      </c>
      <c r="O14" s="7"/>
      <c r="P14" s="152" t="s">
        <v>669</v>
      </c>
      <c r="Q14" s="152" t="s">
        <v>226</v>
      </c>
      <c r="R14" s="7"/>
      <c r="S14" s="4"/>
    </row>
    <row r="15" spans="1:19" s="168" customFormat="1" ht="57.6" customHeight="1">
      <c r="A15" s="221">
        <v>13</v>
      </c>
      <c r="B15" s="148" t="s">
        <v>670</v>
      </c>
      <c r="C15" s="149" t="s">
        <v>122</v>
      </c>
      <c r="D15" s="235" t="s">
        <v>671</v>
      </c>
      <c r="E15" s="234" t="s">
        <v>672</v>
      </c>
      <c r="F15" s="233" t="s">
        <v>91</v>
      </c>
      <c r="G15" s="234">
        <v>0.08</v>
      </c>
      <c r="H15" s="235" t="s">
        <v>673</v>
      </c>
      <c r="I15" s="153">
        <v>46023</v>
      </c>
      <c r="J15" s="154" t="s">
        <v>631</v>
      </c>
      <c r="K15" s="167" t="s">
        <v>517</v>
      </c>
      <c r="L15" s="222" t="s">
        <v>377</v>
      </c>
      <c r="M15" s="152" t="s">
        <v>674</v>
      </c>
      <c r="N15" s="152" t="s">
        <v>225</v>
      </c>
      <c r="O15" s="7"/>
      <c r="P15" s="152" t="s">
        <v>1045</v>
      </c>
      <c r="Q15" s="152" t="s">
        <v>225</v>
      </c>
      <c r="R15" s="7"/>
      <c r="S15" s="4"/>
    </row>
    <row r="16" spans="1:19" s="168" customFormat="1" ht="52.15" customHeight="1">
      <c r="A16" s="223">
        <v>14</v>
      </c>
      <c r="B16" s="148" t="s">
        <v>675</v>
      </c>
      <c r="C16" s="149" t="s">
        <v>125</v>
      </c>
      <c r="D16" s="230" t="s">
        <v>676</v>
      </c>
      <c r="E16" s="169">
        <v>1</v>
      </c>
      <c r="F16" s="229" t="s">
        <v>91</v>
      </c>
      <c r="G16" s="234">
        <v>0.02</v>
      </c>
      <c r="H16" s="230" t="s">
        <v>677</v>
      </c>
      <c r="I16" s="153">
        <v>46023</v>
      </c>
      <c r="J16" s="154" t="s">
        <v>631</v>
      </c>
      <c r="K16" s="167" t="s">
        <v>517</v>
      </c>
      <c r="L16" s="222" t="s">
        <v>377</v>
      </c>
      <c r="M16" s="152" t="s">
        <v>678</v>
      </c>
      <c r="N16" s="152" t="s">
        <v>226</v>
      </c>
      <c r="O16" s="7"/>
      <c r="P16" s="152" t="s">
        <v>678</v>
      </c>
      <c r="Q16" s="152" t="s">
        <v>226</v>
      </c>
      <c r="R16" s="7"/>
      <c r="S16" s="4"/>
    </row>
    <row r="17" spans="1:19" s="135" customFormat="1" ht="56.45" customHeight="1">
      <c r="A17" s="219">
        <v>15</v>
      </c>
      <c r="B17" s="136" t="s">
        <v>679</v>
      </c>
      <c r="C17" s="179" t="s">
        <v>135</v>
      </c>
      <c r="D17" s="139"/>
      <c r="E17" s="139"/>
      <c r="F17" s="139"/>
      <c r="G17" s="140">
        <v>0.2</v>
      </c>
      <c r="H17" s="140"/>
      <c r="I17" s="142"/>
      <c r="J17" s="142"/>
      <c r="K17" s="136"/>
      <c r="L17" s="136"/>
      <c r="M17" s="152"/>
      <c r="N17" s="152"/>
      <c r="O17" s="7"/>
      <c r="P17" s="152"/>
      <c r="Q17" s="152"/>
      <c r="R17" s="7"/>
      <c r="S17" s="4"/>
    </row>
    <row r="18" spans="1:19" s="135" customFormat="1" ht="75">
      <c r="A18" s="221">
        <v>16</v>
      </c>
      <c r="B18" s="148" t="s">
        <v>680</v>
      </c>
      <c r="C18" s="149" t="s">
        <v>498</v>
      </c>
      <c r="D18" s="149" t="s">
        <v>138</v>
      </c>
      <c r="E18" s="151">
        <v>1</v>
      </c>
      <c r="F18" s="150" t="s">
        <v>91</v>
      </c>
      <c r="G18" s="234">
        <v>0.05</v>
      </c>
      <c r="H18" s="152" t="s">
        <v>681</v>
      </c>
      <c r="I18" s="153">
        <v>46023</v>
      </c>
      <c r="J18" s="154" t="s">
        <v>631</v>
      </c>
      <c r="K18" s="167" t="s">
        <v>632</v>
      </c>
      <c r="L18" s="222" t="s">
        <v>377</v>
      </c>
      <c r="M18" s="152" t="s">
        <v>682</v>
      </c>
      <c r="N18" s="152" t="s">
        <v>226</v>
      </c>
      <c r="O18" s="7"/>
      <c r="P18" s="152" t="s">
        <v>637</v>
      </c>
      <c r="Q18" s="152" t="s">
        <v>226</v>
      </c>
      <c r="R18" s="7"/>
      <c r="S18" s="4"/>
    </row>
    <row r="19" spans="1:19" s="135" customFormat="1" ht="97.9" customHeight="1">
      <c r="A19" s="223">
        <v>17</v>
      </c>
      <c r="B19" s="148" t="s">
        <v>683</v>
      </c>
      <c r="C19" s="149" t="s">
        <v>508</v>
      </c>
      <c r="D19" s="149" t="s">
        <v>138</v>
      </c>
      <c r="E19" s="151">
        <v>1</v>
      </c>
      <c r="F19" s="150" t="s">
        <v>91</v>
      </c>
      <c r="G19" s="234">
        <v>0.05</v>
      </c>
      <c r="H19" s="152" t="s">
        <v>684</v>
      </c>
      <c r="I19" s="153">
        <v>46023</v>
      </c>
      <c r="J19" s="154" t="s">
        <v>631</v>
      </c>
      <c r="K19" s="167" t="s">
        <v>632</v>
      </c>
      <c r="L19" s="222" t="s">
        <v>377</v>
      </c>
      <c r="M19" s="152" t="s">
        <v>685</v>
      </c>
      <c r="N19" s="152" t="s">
        <v>226</v>
      </c>
      <c r="O19" s="7"/>
      <c r="P19" s="152" t="s">
        <v>685</v>
      </c>
      <c r="Q19" s="152" t="s">
        <v>226</v>
      </c>
      <c r="R19" s="7"/>
      <c r="S19" s="4"/>
    </row>
    <row r="20" spans="1:19" s="135" customFormat="1" ht="115.9" customHeight="1">
      <c r="A20" s="221">
        <v>18</v>
      </c>
      <c r="B20" s="148" t="s">
        <v>686</v>
      </c>
      <c r="C20" s="149" t="s">
        <v>687</v>
      </c>
      <c r="D20" s="149" t="s">
        <v>141</v>
      </c>
      <c r="E20" s="151">
        <v>1</v>
      </c>
      <c r="F20" s="233" t="s">
        <v>656</v>
      </c>
      <c r="G20" s="169">
        <v>0.1</v>
      </c>
      <c r="H20" s="230" t="s">
        <v>688</v>
      </c>
      <c r="I20" s="233" t="s">
        <v>656</v>
      </c>
      <c r="J20" s="233" t="s">
        <v>656</v>
      </c>
      <c r="K20" s="167" t="s">
        <v>632</v>
      </c>
      <c r="L20" s="222" t="s">
        <v>377</v>
      </c>
      <c r="M20" s="152" t="s">
        <v>689</v>
      </c>
      <c r="N20" s="152" t="s">
        <v>226</v>
      </c>
      <c r="O20" s="7"/>
      <c r="P20" s="152" t="s">
        <v>689</v>
      </c>
      <c r="Q20" s="152" t="s">
        <v>226</v>
      </c>
      <c r="R20" s="7"/>
      <c r="S20" s="4"/>
    </row>
    <row r="21" spans="1:19" s="191" customFormat="1" ht="46.9" customHeight="1">
      <c r="A21" s="240">
        <v>19</v>
      </c>
      <c r="B21" s="136" t="s">
        <v>690</v>
      </c>
      <c r="C21" s="179" t="s">
        <v>521</v>
      </c>
      <c r="D21" s="139"/>
      <c r="E21" s="139"/>
      <c r="F21" s="139"/>
      <c r="G21" s="140">
        <v>0.25</v>
      </c>
      <c r="H21" s="188"/>
      <c r="I21" s="188"/>
      <c r="J21" s="188"/>
      <c r="K21" s="188"/>
      <c r="L21" s="188"/>
      <c r="M21" s="152"/>
      <c r="N21" s="152"/>
      <c r="O21" s="7"/>
      <c r="P21" s="152"/>
      <c r="Q21" s="152"/>
      <c r="R21" s="7"/>
      <c r="S21" s="4"/>
    </row>
    <row r="22" spans="1:19" s="135" customFormat="1" ht="43.9" customHeight="1">
      <c r="A22" s="221">
        <v>20</v>
      </c>
      <c r="B22" s="148" t="s">
        <v>691</v>
      </c>
      <c r="C22" s="149" t="s">
        <v>149</v>
      </c>
      <c r="D22" s="230" t="s">
        <v>692</v>
      </c>
      <c r="E22" s="234">
        <v>1</v>
      </c>
      <c r="F22" s="233" t="s">
        <v>91</v>
      </c>
      <c r="G22" s="234">
        <v>0.01</v>
      </c>
      <c r="H22" s="230" t="s">
        <v>693</v>
      </c>
      <c r="I22" s="153">
        <v>46023</v>
      </c>
      <c r="J22" s="154" t="s">
        <v>631</v>
      </c>
      <c r="K22" s="155" t="s">
        <v>463</v>
      </c>
      <c r="L22" s="167" t="s">
        <v>269</v>
      </c>
      <c r="M22" s="152" t="s">
        <v>694</v>
      </c>
      <c r="N22" s="152" t="s">
        <v>226</v>
      </c>
      <c r="O22" s="7"/>
      <c r="P22" s="152" t="s">
        <v>694</v>
      </c>
      <c r="Q22" s="152" t="s">
        <v>226</v>
      </c>
      <c r="S22" s="4"/>
    </row>
    <row r="23" spans="1:19" s="135" customFormat="1" ht="51" customHeight="1">
      <c r="A23" s="221">
        <v>21</v>
      </c>
      <c r="B23" s="148" t="s">
        <v>695</v>
      </c>
      <c r="C23" s="149" t="s">
        <v>154</v>
      </c>
      <c r="D23" s="230" t="s">
        <v>692</v>
      </c>
      <c r="E23" s="234">
        <v>1</v>
      </c>
      <c r="F23" s="233" t="s">
        <v>91</v>
      </c>
      <c r="G23" s="234">
        <v>0.01</v>
      </c>
      <c r="H23" s="230" t="s">
        <v>696</v>
      </c>
      <c r="I23" s="153">
        <v>46023</v>
      </c>
      <c r="J23" s="154" t="s">
        <v>631</v>
      </c>
      <c r="K23" s="155" t="s">
        <v>463</v>
      </c>
      <c r="L23" s="167" t="s">
        <v>269</v>
      </c>
      <c r="M23" s="152" t="s">
        <v>694</v>
      </c>
      <c r="N23" s="152" t="s">
        <v>226</v>
      </c>
      <c r="O23" s="7"/>
      <c r="P23" s="152" t="s">
        <v>1046</v>
      </c>
      <c r="Q23" s="152" t="s">
        <v>226</v>
      </c>
      <c r="R23" s="7"/>
      <c r="S23" s="4"/>
    </row>
    <row r="24" spans="1:19" s="135" customFormat="1" ht="86.45" customHeight="1">
      <c r="A24" s="221">
        <v>22</v>
      </c>
      <c r="B24" s="148" t="s">
        <v>697</v>
      </c>
      <c r="C24" s="149" t="s">
        <v>528</v>
      </c>
      <c r="D24" s="231" t="s">
        <v>698</v>
      </c>
      <c r="E24" s="234">
        <v>1</v>
      </c>
      <c r="F24" s="233" t="s">
        <v>699</v>
      </c>
      <c r="G24" s="234">
        <v>0.08</v>
      </c>
      <c r="H24" s="235" t="s">
        <v>700</v>
      </c>
      <c r="I24" s="153">
        <v>46023</v>
      </c>
      <c r="J24" s="154" t="s">
        <v>631</v>
      </c>
      <c r="K24" s="155" t="s">
        <v>632</v>
      </c>
      <c r="L24" s="167" t="s">
        <v>377</v>
      </c>
      <c r="M24" s="152" t="s">
        <v>701</v>
      </c>
      <c r="N24" s="152" t="s">
        <v>226</v>
      </c>
      <c r="O24" s="7"/>
      <c r="P24" s="152" t="s">
        <v>1047</v>
      </c>
      <c r="Q24" s="152" t="s">
        <v>226</v>
      </c>
      <c r="R24" s="7"/>
      <c r="S24" s="4"/>
    </row>
    <row r="25" spans="1:19" s="135" customFormat="1" ht="75">
      <c r="A25" s="221">
        <v>23</v>
      </c>
      <c r="B25" s="148" t="s">
        <v>702</v>
      </c>
      <c r="C25" s="149" t="s">
        <v>703</v>
      </c>
      <c r="D25" s="231" t="s">
        <v>704</v>
      </c>
      <c r="E25" s="151">
        <v>1</v>
      </c>
      <c r="F25" s="233" t="s">
        <v>91</v>
      </c>
      <c r="G25" s="234">
        <v>0.03</v>
      </c>
      <c r="H25" s="235" t="s">
        <v>705</v>
      </c>
      <c r="I25" s="153">
        <v>46023</v>
      </c>
      <c r="J25" s="154" t="s">
        <v>631</v>
      </c>
      <c r="K25" s="155" t="s">
        <v>632</v>
      </c>
      <c r="L25" s="167" t="s">
        <v>377</v>
      </c>
      <c r="M25" s="152" t="s">
        <v>706</v>
      </c>
      <c r="N25" s="152" t="s">
        <v>226</v>
      </c>
      <c r="O25" s="7"/>
      <c r="P25" s="152" t="s">
        <v>706</v>
      </c>
      <c r="Q25" s="152" t="s">
        <v>226</v>
      </c>
      <c r="R25" s="7"/>
      <c r="S25" s="4"/>
    </row>
    <row r="26" spans="1:19" s="135" customFormat="1" ht="75">
      <c r="A26" s="221">
        <v>24</v>
      </c>
      <c r="B26" s="225" t="s">
        <v>707</v>
      </c>
      <c r="C26" s="226" t="s">
        <v>536</v>
      </c>
      <c r="D26" s="231" t="s">
        <v>708</v>
      </c>
      <c r="E26" s="234">
        <v>1</v>
      </c>
      <c r="F26" s="233" t="s">
        <v>699</v>
      </c>
      <c r="G26" s="234">
        <v>0.01</v>
      </c>
      <c r="H26" s="230" t="s">
        <v>709</v>
      </c>
      <c r="I26" s="166">
        <v>46023</v>
      </c>
      <c r="J26" s="241" t="s">
        <v>631</v>
      </c>
      <c r="K26" s="167" t="s">
        <v>632</v>
      </c>
      <c r="L26" s="167" t="s">
        <v>377</v>
      </c>
      <c r="M26" s="152" t="s">
        <v>710</v>
      </c>
      <c r="N26" s="152" t="s">
        <v>226</v>
      </c>
      <c r="O26" s="7"/>
      <c r="P26" s="152" t="s">
        <v>710</v>
      </c>
      <c r="Q26" s="152" t="s">
        <v>226</v>
      </c>
      <c r="R26" s="7"/>
      <c r="S26" s="4"/>
    </row>
    <row r="27" spans="1:19" s="135" customFormat="1" ht="63" customHeight="1">
      <c r="A27" s="221">
        <v>25</v>
      </c>
      <c r="B27" s="225" t="s">
        <v>711</v>
      </c>
      <c r="C27" s="226" t="s">
        <v>539</v>
      </c>
      <c r="D27" s="231" t="s">
        <v>712</v>
      </c>
      <c r="E27" s="234">
        <v>1</v>
      </c>
      <c r="F27" s="233" t="s">
        <v>699</v>
      </c>
      <c r="G27" s="234">
        <v>0.01</v>
      </c>
      <c r="H27" s="235" t="s">
        <v>713</v>
      </c>
      <c r="I27" s="166">
        <v>46023</v>
      </c>
      <c r="J27" s="241" t="s">
        <v>631</v>
      </c>
      <c r="K27" s="167" t="s">
        <v>632</v>
      </c>
      <c r="L27" s="167" t="s">
        <v>377</v>
      </c>
      <c r="M27" s="152" t="s">
        <v>701</v>
      </c>
      <c r="N27" s="152" t="s">
        <v>226</v>
      </c>
      <c r="O27" s="7"/>
      <c r="P27" s="152" t="s">
        <v>701</v>
      </c>
      <c r="Q27" s="152" t="s">
        <v>226</v>
      </c>
      <c r="R27" s="7"/>
      <c r="S27" s="4"/>
    </row>
    <row r="28" spans="1:19" s="135" customFormat="1" ht="103.15" customHeight="1">
      <c r="A28" s="221">
        <v>26</v>
      </c>
      <c r="B28" s="148" t="s">
        <v>714</v>
      </c>
      <c r="C28" s="242" t="s">
        <v>715</v>
      </c>
      <c r="D28" s="149" t="s">
        <v>716</v>
      </c>
      <c r="E28" s="151">
        <v>1</v>
      </c>
      <c r="F28" s="233" t="s">
        <v>91</v>
      </c>
      <c r="G28" s="234">
        <v>0.02</v>
      </c>
      <c r="H28" s="235" t="s">
        <v>717</v>
      </c>
      <c r="I28" s="166">
        <v>46023</v>
      </c>
      <c r="J28" s="241" t="s">
        <v>631</v>
      </c>
      <c r="K28" s="167" t="s">
        <v>632</v>
      </c>
      <c r="L28" s="167" t="s">
        <v>377</v>
      </c>
      <c r="M28" s="152" t="s">
        <v>689</v>
      </c>
      <c r="N28" s="152" t="s">
        <v>226</v>
      </c>
      <c r="O28" s="7"/>
      <c r="P28" s="152" t="s">
        <v>1046</v>
      </c>
      <c r="Q28" s="152" t="s">
        <v>226</v>
      </c>
      <c r="R28" s="7"/>
      <c r="S28" s="4"/>
    </row>
    <row r="29" spans="1:19" s="135" customFormat="1" ht="52.15" customHeight="1">
      <c r="A29" s="221">
        <v>27</v>
      </c>
      <c r="B29" s="148" t="s">
        <v>718</v>
      </c>
      <c r="C29" s="149" t="s">
        <v>554</v>
      </c>
      <c r="D29" s="226" t="s">
        <v>719</v>
      </c>
      <c r="E29" s="164">
        <v>1</v>
      </c>
      <c r="F29" s="233" t="s">
        <v>91</v>
      </c>
      <c r="G29" s="234">
        <v>0.01</v>
      </c>
      <c r="H29" s="235" t="s">
        <v>720</v>
      </c>
      <c r="I29" s="153">
        <v>46023</v>
      </c>
      <c r="J29" s="154" t="s">
        <v>631</v>
      </c>
      <c r="K29" s="155" t="s">
        <v>632</v>
      </c>
      <c r="L29" s="167" t="s">
        <v>377</v>
      </c>
      <c r="M29" s="152" t="s">
        <v>685</v>
      </c>
      <c r="N29" s="152" t="s">
        <v>226</v>
      </c>
      <c r="O29" s="7"/>
      <c r="P29" s="152" t="s">
        <v>685</v>
      </c>
      <c r="Q29" s="152" t="s">
        <v>226</v>
      </c>
      <c r="R29" s="7"/>
      <c r="S29" s="4"/>
    </row>
    <row r="30" spans="1:19" s="135" customFormat="1" ht="120" customHeight="1">
      <c r="A30" s="221">
        <v>28</v>
      </c>
      <c r="B30" s="148" t="s">
        <v>721</v>
      </c>
      <c r="C30" s="231" t="s">
        <v>722</v>
      </c>
      <c r="D30" s="242" t="s">
        <v>723</v>
      </c>
      <c r="E30" s="243">
        <v>1</v>
      </c>
      <c r="F30" s="233" t="s">
        <v>39</v>
      </c>
      <c r="G30" s="234">
        <v>0.02</v>
      </c>
      <c r="H30" s="235" t="s">
        <v>724</v>
      </c>
      <c r="I30" s="153">
        <v>46023</v>
      </c>
      <c r="J30" s="154" t="s">
        <v>725</v>
      </c>
      <c r="K30" s="155" t="s">
        <v>632</v>
      </c>
      <c r="L30" s="167" t="s">
        <v>377</v>
      </c>
      <c r="M30" s="152" t="s">
        <v>689</v>
      </c>
      <c r="N30" s="152" t="s">
        <v>226</v>
      </c>
      <c r="O30" s="7"/>
      <c r="P30" s="152" t="s">
        <v>689</v>
      </c>
      <c r="Q30" s="152" t="s">
        <v>226</v>
      </c>
      <c r="R30" s="7"/>
      <c r="S30" s="4"/>
    </row>
    <row r="31" spans="1:19" s="135" customFormat="1" ht="63.6" customHeight="1">
      <c r="A31" s="221">
        <v>29</v>
      </c>
      <c r="B31" s="148" t="s">
        <v>726</v>
      </c>
      <c r="C31" s="149" t="s">
        <v>561</v>
      </c>
      <c r="D31" s="244" t="s">
        <v>727</v>
      </c>
      <c r="E31" s="233">
        <v>2</v>
      </c>
      <c r="F31" s="233" t="s">
        <v>87</v>
      </c>
      <c r="G31" s="234">
        <v>0.01</v>
      </c>
      <c r="H31" s="235" t="s">
        <v>728</v>
      </c>
      <c r="I31" s="153">
        <v>46023</v>
      </c>
      <c r="J31" s="154" t="s">
        <v>631</v>
      </c>
      <c r="K31" s="155" t="s">
        <v>632</v>
      </c>
      <c r="L31" s="167" t="s">
        <v>377</v>
      </c>
      <c r="M31" s="152" t="s">
        <v>729</v>
      </c>
      <c r="N31" s="152" t="s">
        <v>226</v>
      </c>
      <c r="O31" s="7"/>
      <c r="P31" s="152" t="s">
        <v>729</v>
      </c>
      <c r="Q31" s="152" t="s">
        <v>226</v>
      </c>
      <c r="R31" s="7"/>
      <c r="S31" s="4"/>
    </row>
    <row r="32" spans="1:19" s="135" customFormat="1" ht="56.25">
      <c r="A32" s="221">
        <v>30</v>
      </c>
      <c r="B32" s="148" t="s">
        <v>730</v>
      </c>
      <c r="C32" s="149" t="s">
        <v>565</v>
      </c>
      <c r="D32" s="244" t="s">
        <v>731</v>
      </c>
      <c r="E32" s="233" t="s">
        <v>732</v>
      </c>
      <c r="F32" s="233" t="s">
        <v>699</v>
      </c>
      <c r="G32" s="234">
        <v>0.02</v>
      </c>
      <c r="H32" s="235" t="s">
        <v>733</v>
      </c>
      <c r="I32" s="153">
        <v>46023</v>
      </c>
      <c r="J32" s="154" t="s">
        <v>631</v>
      </c>
      <c r="K32" s="155" t="s">
        <v>632</v>
      </c>
      <c r="L32" s="167" t="s">
        <v>377</v>
      </c>
      <c r="M32" s="152" t="s">
        <v>734</v>
      </c>
      <c r="N32" s="152" t="s">
        <v>226</v>
      </c>
      <c r="O32" s="7"/>
      <c r="P32" s="152" t="s">
        <v>734</v>
      </c>
      <c r="Q32" s="152" t="s">
        <v>226</v>
      </c>
      <c r="R32" s="7"/>
      <c r="S32" s="4"/>
    </row>
    <row r="33" spans="1:19" s="135" customFormat="1" ht="53.45" customHeight="1">
      <c r="A33" s="221">
        <v>31</v>
      </c>
      <c r="B33" s="148" t="s">
        <v>735</v>
      </c>
      <c r="C33" s="149" t="s">
        <v>568</v>
      </c>
      <c r="D33" s="245" t="s">
        <v>719</v>
      </c>
      <c r="E33" s="239">
        <v>1</v>
      </c>
      <c r="F33" s="233" t="s">
        <v>699</v>
      </c>
      <c r="G33" s="234">
        <v>0.01</v>
      </c>
      <c r="H33" s="235" t="s">
        <v>736</v>
      </c>
      <c r="I33" s="153">
        <v>46023</v>
      </c>
      <c r="J33" s="154" t="s">
        <v>631</v>
      </c>
      <c r="K33" s="155" t="s">
        <v>632</v>
      </c>
      <c r="L33" s="167" t="s">
        <v>377</v>
      </c>
      <c r="M33" s="152" t="s">
        <v>685</v>
      </c>
      <c r="N33" s="152" t="s">
        <v>226</v>
      </c>
      <c r="O33" s="7"/>
      <c r="P33" s="152" t="s">
        <v>685</v>
      </c>
      <c r="Q33" s="152" t="s">
        <v>226</v>
      </c>
      <c r="R33" s="7"/>
      <c r="S33" s="4"/>
    </row>
    <row r="34" spans="1:19" s="135" customFormat="1" ht="84" customHeight="1">
      <c r="A34" s="221">
        <v>32</v>
      </c>
      <c r="B34" s="148" t="s">
        <v>737</v>
      </c>
      <c r="C34" s="149" t="s">
        <v>573</v>
      </c>
      <c r="D34" s="149" t="s">
        <v>569</v>
      </c>
      <c r="E34" s="151">
        <v>1</v>
      </c>
      <c r="F34" s="150" t="s">
        <v>87</v>
      </c>
      <c r="G34" s="151">
        <v>0.01</v>
      </c>
      <c r="H34" s="152" t="s">
        <v>574</v>
      </c>
      <c r="I34" s="153">
        <v>46023</v>
      </c>
      <c r="J34" s="154">
        <v>46387</v>
      </c>
      <c r="K34" s="155" t="s">
        <v>632</v>
      </c>
      <c r="L34" s="167" t="s">
        <v>377</v>
      </c>
      <c r="M34" s="152" t="s">
        <v>685</v>
      </c>
      <c r="N34" s="152" t="s">
        <v>226</v>
      </c>
      <c r="O34" s="7"/>
      <c r="P34" s="152" t="s">
        <v>685</v>
      </c>
      <c r="Q34" s="152" t="s">
        <v>226</v>
      </c>
      <c r="R34" s="7"/>
      <c r="S34" s="4"/>
    </row>
    <row r="35" spans="1:19" s="135" customFormat="1" ht="40.9" customHeight="1">
      <c r="A35" s="219">
        <v>33</v>
      </c>
      <c r="B35" s="136" t="s">
        <v>738</v>
      </c>
      <c r="C35" s="137" t="s">
        <v>30</v>
      </c>
      <c r="D35" s="194"/>
      <c r="E35" s="194"/>
      <c r="F35" s="194"/>
      <c r="G35" s="195">
        <v>0.05</v>
      </c>
      <c r="H35" s="196"/>
      <c r="I35" s="180"/>
      <c r="J35" s="180"/>
      <c r="K35" s="136"/>
      <c r="L35" s="136"/>
      <c r="M35" s="152"/>
      <c r="N35" s="152"/>
      <c r="O35" s="7"/>
      <c r="P35" s="152"/>
      <c r="Q35" s="152"/>
      <c r="R35" s="7"/>
      <c r="S35" s="4"/>
    </row>
    <row r="36" spans="1:19" s="135" customFormat="1" ht="84" customHeight="1">
      <c r="A36" s="221">
        <v>34</v>
      </c>
      <c r="B36" s="148" t="s">
        <v>739</v>
      </c>
      <c r="C36" s="227" t="s">
        <v>740</v>
      </c>
      <c r="D36" s="230" t="s">
        <v>741</v>
      </c>
      <c r="E36" s="246" t="s">
        <v>742</v>
      </c>
      <c r="F36" s="229" t="s">
        <v>91</v>
      </c>
      <c r="G36" s="234">
        <v>0.02</v>
      </c>
      <c r="H36" s="230" t="s">
        <v>743</v>
      </c>
      <c r="I36" s="153">
        <v>46023</v>
      </c>
      <c r="J36" s="154" t="s">
        <v>631</v>
      </c>
      <c r="K36" s="155" t="s">
        <v>744</v>
      </c>
      <c r="L36" s="167" t="s">
        <v>269</v>
      </c>
      <c r="M36" s="152" t="s">
        <v>745</v>
      </c>
      <c r="N36" s="152" t="s">
        <v>226</v>
      </c>
      <c r="O36" s="152" t="s">
        <v>746</v>
      </c>
      <c r="P36" s="152" t="s">
        <v>1048</v>
      </c>
      <c r="Q36" s="152" t="s">
        <v>225</v>
      </c>
      <c r="R36" s="152" t="s">
        <v>746</v>
      </c>
      <c r="S36" s="353"/>
    </row>
    <row r="37" spans="1:19" s="168" customFormat="1" ht="43.9" customHeight="1">
      <c r="A37" s="221">
        <v>35</v>
      </c>
      <c r="B37" s="148" t="s">
        <v>747</v>
      </c>
      <c r="C37" s="227" t="s">
        <v>748</v>
      </c>
      <c r="D37" s="178" t="s">
        <v>741</v>
      </c>
      <c r="E37" s="246" t="s">
        <v>742</v>
      </c>
      <c r="F37" s="229" t="s">
        <v>91</v>
      </c>
      <c r="G37" s="234">
        <v>0.01</v>
      </c>
      <c r="H37" s="230" t="s">
        <v>743</v>
      </c>
      <c r="I37" s="153">
        <v>46023</v>
      </c>
      <c r="J37" s="154" t="s">
        <v>631</v>
      </c>
      <c r="K37" s="155" t="s">
        <v>744</v>
      </c>
      <c r="L37" s="167" t="s">
        <v>269</v>
      </c>
      <c r="M37" s="152" t="s">
        <v>749</v>
      </c>
      <c r="N37" s="152" t="s">
        <v>226</v>
      </c>
      <c r="O37" s="152" t="s">
        <v>746</v>
      </c>
      <c r="P37" s="152" t="s">
        <v>749</v>
      </c>
      <c r="Q37" s="152" t="s">
        <v>226</v>
      </c>
      <c r="R37" s="152" t="s">
        <v>746</v>
      </c>
      <c r="S37" s="353"/>
    </row>
    <row r="38" spans="1:19" s="168" customFormat="1" ht="145.15" customHeight="1">
      <c r="A38" s="221">
        <v>36</v>
      </c>
      <c r="B38" s="148" t="s">
        <v>750</v>
      </c>
      <c r="C38" s="226" t="s">
        <v>751</v>
      </c>
      <c r="D38" s="245" t="s">
        <v>752</v>
      </c>
      <c r="E38" s="169">
        <v>1</v>
      </c>
      <c r="F38" s="229" t="s">
        <v>91</v>
      </c>
      <c r="G38" s="164">
        <v>0.02</v>
      </c>
      <c r="H38" s="165" t="s">
        <v>753</v>
      </c>
      <c r="I38" s="153">
        <v>46023</v>
      </c>
      <c r="J38" s="154" t="s">
        <v>631</v>
      </c>
      <c r="K38" s="167" t="s">
        <v>744</v>
      </c>
      <c r="L38" s="167" t="s">
        <v>269</v>
      </c>
      <c r="M38" s="152" t="s">
        <v>754</v>
      </c>
      <c r="N38" s="152" t="s">
        <v>226</v>
      </c>
      <c r="O38" s="29"/>
      <c r="P38" s="152" t="s">
        <v>754</v>
      </c>
      <c r="Q38" s="152" t="s">
        <v>226</v>
      </c>
      <c r="R38" s="29"/>
      <c r="S38" s="6"/>
    </row>
    <row r="39" spans="1:19" ht="40.9" customHeight="1">
      <c r="A39" s="426" t="s">
        <v>755</v>
      </c>
      <c r="B39" s="426"/>
      <c r="C39" s="426"/>
      <c r="D39" s="426"/>
      <c r="E39" s="426"/>
      <c r="F39" s="426"/>
      <c r="G39" s="426"/>
      <c r="H39" s="426"/>
      <c r="I39" s="426"/>
      <c r="J39" s="426"/>
      <c r="K39" s="426"/>
      <c r="L39" s="426"/>
      <c r="M39" s="426"/>
      <c r="N39" s="426"/>
      <c r="O39" s="426"/>
      <c r="P39" s="426"/>
      <c r="Q39" s="247" t="s">
        <v>226</v>
      </c>
      <c r="R39" s="7"/>
      <c r="S39" s="4"/>
    </row>
    <row r="40" spans="1:19" s="201" customFormat="1">
      <c r="A40" s="125"/>
      <c r="B40" s="125"/>
      <c r="C40" s="203"/>
      <c r="G40" s="200"/>
      <c r="H40" s="200"/>
      <c r="I40" s="125"/>
      <c r="J40" s="125"/>
      <c r="K40" s="125"/>
      <c r="L40" s="125"/>
      <c r="M40" s="4"/>
      <c r="N40" s="248"/>
      <c r="O40" s="4"/>
      <c r="P40" s="4"/>
      <c r="Q40" s="248"/>
      <c r="R40" s="4"/>
      <c r="S40" s="4"/>
    </row>
    <row r="41" spans="1:19">
      <c r="M41" s="4"/>
      <c r="N41" s="248"/>
      <c r="O41" s="4"/>
      <c r="P41" s="4"/>
      <c r="Q41" s="248"/>
      <c r="R41" s="4"/>
      <c r="S41" s="4"/>
    </row>
    <row r="42" spans="1:19">
      <c r="M42" s="4"/>
      <c r="N42" s="248"/>
      <c r="O42" s="4"/>
      <c r="P42" s="4"/>
      <c r="Q42" s="248"/>
      <c r="R42" s="4"/>
      <c r="S42" s="4"/>
    </row>
    <row r="43" spans="1:19">
      <c r="M43" s="4"/>
      <c r="N43" s="248"/>
      <c r="O43" s="4"/>
      <c r="P43" s="4"/>
      <c r="Q43" s="248"/>
      <c r="R43" s="4"/>
      <c r="S43" s="4"/>
    </row>
    <row r="44" spans="1:19">
      <c r="M44" s="4"/>
      <c r="N44" s="248"/>
      <c r="O44" s="4"/>
      <c r="P44" s="4"/>
      <c r="Q44" s="248"/>
      <c r="R44" s="4"/>
      <c r="S44" s="4"/>
    </row>
    <row r="45" spans="1:19">
      <c r="M45" s="4"/>
      <c r="N45" s="248"/>
      <c r="O45" s="4"/>
      <c r="P45" s="4"/>
      <c r="Q45" s="248"/>
      <c r="R45" s="4"/>
      <c r="S45" s="4"/>
    </row>
    <row r="46" spans="1:19">
      <c r="M46" s="4"/>
      <c r="N46" s="248"/>
      <c r="O46" s="4"/>
      <c r="P46" s="4"/>
      <c r="Q46" s="248"/>
      <c r="R46" s="4"/>
      <c r="S46" s="4"/>
    </row>
    <row r="47" spans="1:19">
      <c r="M47" s="4"/>
      <c r="N47" s="248"/>
      <c r="O47" s="4"/>
      <c r="P47" s="4"/>
      <c r="Q47" s="248"/>
      <c r="R47" s="4"/>
      <c r="S47" s="4"/>
    </row>
    <row r="48" spans="1:19">
      <c r="M48" s="4"/>
      <c r="N48" s="248"/>
      <c r="O48" s="4"/>
      <c r="P48" s="4"/>
      <c r="Q48" s="248"/>
      <c r="R48" s="4"/>
      <c r="S48" s="4"/>
    </row>
    <row r="49" spans="13:19">
      <c r="M49" s="4"/>
      <c r="N49" s="248"/>
      <c r="O49" s="4"/>
      <c r="P49" s="4"/>
      <c r="Q49" s="248"/>
      <c r="R49" s="4"/>
      <c r="S49" s="4"/>
    </row>
    <row r="50" spans="13:19">
      <c r="M50" s="4"/>
      <c r="N50" s="248"/>
      <c r="O50" s="4"/>
      <c r="P50" s="4"/>
      <c r="Q50" s="248"/>
      <c r="R50" s="4"/>
      <c r="S50" s="4"/>
    </row>
    <row r="51" spans="13:19">
      <c r="M51" s="4"/>
      <c r="N51" s="248"/>
      <c r="O51" s="4"/>
      <c r="P51" s="4"/>
      <c r="Q51" s="248"/>
      <c r="R51" s="4"/>
      <c r="S51" s="4"/>
    </row>
    <row r="52" spans="13:19">
      <c r="M52" s="4"/>
      <c r="N52" s="248"/>
      <c r="O52" s="4"/>
      <c r="P52" s="4"/>
      <c r="Q52" s="248"/>
      <c r="R52" s="4"/>
      <c r="S52" s="4"/>
    </row>
    <row r="53" spans="13:19">
      <c r="M53" s="4"/>
      <c r="N53" s="248"/>
      <c r="O53" s="4"/>
      <c r="P53" s="4"/>
      <c r="Q53" s="248"/>
      <c r="R53" s="4"/>
      <c r="S53" s="4"/>
    </row>
    <row r="54" spans="13:19">
      <c r="M54" s="4"/>
      <c r="N54" s="248"/>
      <c r="O54" s="4"/>
      <c r="P54" s="4"/>
      <c r="Q54" s="248"/>
      <c r="R54" s="4"/>
      <c r="S54" s="4"/>
    </row>
    <row r="55" spans="13:19">
      <c r="M55" s="4"/>
      <c r="N55" s="248"/>
      <c r="O55" s="4"/>
      <c r="P55" s="4"/>
      <c r="Q55" s="248"/>
      <c r="R55" s="4"/>
      <c r="S55" s="4"/>
    </row>
    <row r="56" spans="13:19">
      <c r="M56" s="4"/>
      <c r="N56" s="248"/>
      <c r="O56" s="4"/>
      <c r="P56" s="4"/>
      <c r="Q56" s="248"/>
      <c r="R56" s="4"/>
      <c r="S56" s="4"/>
    </row>
    <row r="57" spans="13:19">
      <c r="M57" s="4"/>
      <c r="N57" s="248"/>
      <c r="O57" s="4"/>
      <c r="P57" s="4"/>
      <c r="Q57" s="248"/>
      <c r="R57" s="4"/>
      <c r="S57" s="4"/>
    </row>
    <row r="58" spans="13:19">
      <c r="M58" s="4"/>
      <c r="N58" s="248"/>
      <c r="O58" s="4"/>
      <c r="P58" s="4"/>
      <c r="Q58" s="248"/>
      <c r="R58" s="4"/>
      <c r="S58" s="4"/>
    </row>
    <row r="59" spans="13:19">
      <c r="M59" s="4"/>
      <c r="N59" s="248"/>
      <c r="O59" s="4"/>
      <c r="P59" s="4"/>
      <c r="Q59" s="248"/>
      <c r="R59" s="4"/>
      <c r="S59" s="4"/>
    </row>
    <row r="60" spans="13:19">
      <c r="M60" s="4"/>
      <c r="N60" s="248"/>
      <c r="O60" s="4"/>
      <c r="P60" s="4"/>
      <c r="Q60" s="248"/>
      <c r="R60" s="4"/>
      <c r="S60" s="4"/>
    </row>
    <row r="61" spans="13:19">
      <c r="M61" s="4"/>
      <c r="N61" s="248"/>
      <c r="O61" s="4"/>
      <c r="P61" s="4"/>
      <c r="Q61" s="248"/>
      <c r="R61" s="4"/>
      <c r="S61" s="4"/>
    </row>
    <row r="62" spans="13:19">
      <c r="M62" s="4"/>
      <c r="N62" s="248"/>
      <c r="O62" s="4"/>
      <c r="P62" s="4"/>
      <c r="Q62" s="248"/>
      <c r="R62" s="4"/>
      <c r="S62" s="4"/>
    </row>
    <row r="63" spans="13:19">
      <c r="M63" s="4"/>
      <c r="N63" s="248"/>
      <c r="O63" s="4"/>
      <c r="P63" s="4"/>
      <c r="Q63" s="248"/>
      <c r="R63" s="4"/>
      <c r="S63" s="4"/>
    </row>
    <row r="64" spans="13:19">
      <c r="M64" s="4"/>
      <c r="N64" s="248"/>
      <c r="O64" s="4"/>
      <c r="P64" s="4"/>
      <c r="Q64" s="248"/>
      <c r="R64" s="4"/>
      <c r="S64" s="4"/>
    </row>
    <row r="65" spans="13:19">
      <c r="M65" s="4"/>
      <c r="N65" s="248"/>
      <c r="O65" s="4"/>
      <c r="P65" s="4"/>
      <c r="Q65" s="248"/>
      <c r="R65" s="4"/>
      <c r="S65" s="4"/>
    </row>
    <row r="66" spans="13:19">
      <c r="M66" s="4"/>
      <c r="N66" s="248"/>
      <c r="O66" s="4"/>
      <c r="P66" s="4"/>
      <c r="Q66" s="248"/>
      <c r="R66" s="4"/>
      <c r="S66" s="4"/>
    </row>
    <row r="67" spans="13:19">
      <c r="M67" s="4"/>
      <c r="N67" s="248"/>
      <c r="O67" s="4"/>
      <c r="P67" s="4"/>
      <c r="Q67" s="248"/>
      <c r="R67" s="4"/>
      <c r="S67" s="4"/>
    </row>
    <row r="68" spans="13:19">
      <c r="M68" s="4"/>
      <c r="N68" s="248"/>
      <c r="O68" s="4"/>
      <c r="P68" s="4"/>
      <c r="Q68" s="248"/>
      <c r="R68" s="4"/>
      <c r="S68" s="4"/>
    </row>
    <row r="69" spans="13:19">
      <c r="M69" s="4"/>
      <c r="N69" s="248"/>
      <c r="O69" s="4"/>
      <c r="P69" s="4"/>
      <c r="Q69" s="248"/>
      <c r="R69" s="4"/>
      <c r="S69" s="4"/>
    </row>
    <row r="70" spans="13:19">
      <c r="M70" s="4"/>
      <c r="N70" s="248"/>
      <c r="O70" s="4"/>
      <c r="P70" s="4"/>
      <c r="Q70" s="248"/>
      <c r="R70" s="4"/>
      <c r="S70" s="4"/>
    </row>
    <row r="71" spans="13:19">
      <c r="M71" s="4"/>
      <c r="N71" s="248"/>
      <c r="O71" s="4"/>
      <c r="P71" s="4"/>
      <c r="Q71" s="248"/>
      <c r="R71" s="4"/>
      <c r="S71" s="4"/>
    </row>
    <row r="72" spans="13:19">
      <c r="M72" s="4"/>
      <c r="N72" s="248"/>
      <c r="O72" s="4"/>
      <c r="P72" s="4"/>
      <c r="Q72" s="248"/>
      <c r="R72" s="4"/>
      <c r="S72" s="4"/>
    </row>
    <row r="73" spans="13:19">
      <c r="M73" s="4"/>
      <c r="N73" s="248"/>
      <c r="O73" s="4"/>
      <c r="P73" s="4"/>
      <c r="Q73" s="248"/>
      <c r="R73" s="4"/>
      <c r="S73" s="4"/>
    </row>
    <row r="74" spans="13:19">
      <c r="M74" s="4"/>
      <c r="N74" s="248"/>
      <c r="O74" s="4"/>
      <c r="P74" s="4"/>
      <c r="Q74" s="248"/>
      <c r="R74" s="4"/>
      <c r="S74" s="4"/>
    </row>
    <row r="75" spans="13:19">
      <c r="M75" s="4"/>
      <c r="N75" s="248"/>
      <c r="O75" s="4"/>
      <c r="P75" s="4"/>
      <c r="Q75" s="248"/>
      <c r="R75" s="4"/>
      <c r="S75" s="4"/>
    </row>
    <row r="76" spans="13:19">
      <c r="M76" s="4"/>
      <c r="N76" s="248"/>
      <c r="O76" s="4"/>
      <c r="P76" s="4"/>
      <c r="Q76" s="248"/>
      <c r="R76" s="4"/>
      <c r="S76" s="4"/>
    </row>
    <row r="77" spans="13:19">
      <c r="M77" s="4"/>
      <c r="N77" s="248"/>
      <c r="O77" s="4"/>
      <c r="P77" s="4"/>
      <c r="Q77" s="248"/>
      <c r="R77" s="4"/>
      <c r="S77" s="4"/>
    </row>
    <row r="78" spans="13:19">
      <c r="M78" s="4"/>
      <c r="N78" s="248"/>
      <c r="O78" s="4"/>
      <c r="P78" s="4"/>
      <c r="Q78" s="248"/>
      <c r="R78" s="4"/>
      <c r="S78" s="4"/>
    </row>
    <row r="79" spans="13:19">
      <c r="M79" s="4"/>
      <c r="N79" s="248"/>
      <c r="O79" s="4"/>
      <c r="P79" s="4"/>
      <c r="Q79" s="248"/>
      <c r="R79" s="4"/>
      <c r="S79" s="4"/>
    </row>
    <row r="80" spans="13:19">
      <c r="M80" s="4"/>
      <c r="N80" s="248"/>
      <c r="O80" s="4"/>
      <c r="P80" s="4"/>
      <c r="Q80" s="248"/>
      <c r="R80" s="4"/>
      <c r="S80" s="4"/>
    </row>
    <row r="81" spans="13:19">
      <c r="M81" s="4"/>
      <c r="N81" s="248"/>
      <c r="O81" s="4"/>
      <c r="P81" s="4"/>
      <c r="Q81" s="248"/>
      <c r="R81" s="4"/>
      <c r="S81" s="4"/>
    </row>
    <row r="82" spans="13:19">
      <c r="M82" s="4"/>
      <c r="N82" s="248"/>
      <c r="O82" s="4"/>
      <c r="P82" s="4"/>
      <c r="Q82" s="248"/>
      <c r="R82" s="4"/>
      <c r="S82" s="4"/>
    </row>
    <row r="83" spans="13:19">
      <c r="M83" s="4"/>
      <c r="N83" s="248"/>
      <c r="O83" s="4"/>
      <c r="P83" s="4"/>
      <c r="Q83" s="248"/>
      <c r="R83" s="4"/>
      <c r="S83" s="4"/>
    </row>
    <row r="84" spans="13:19">
      <c r="M84" s="4"/>
      <c r="N84" s="248"/>
      <c r="O84" s="4"/>
      <c r="P84" s="4"/>
      <c r="Q84" s="248"/>
      <c r="R84" s="4"/>
      <c r="S84" s="4"/>
    </row>
    <row r="85" spans="13:19">
      <c r="M85" s="4"/>
      <c r="N85" s="248"/>
      <c r="O85" s="4"/>
      <c r="P85" s="4"/>
      <c r="Q85" s="248"/>
      <c r="R85" s="4"/>
      <c r="S85" s="4"/>
    </row>
    <row r="86" spans="13:19">
      <c r="M86" s="4"/>
      <c r="N86" s="248"/>
      <c r="O86" s="4"/>
      <c r="P86" s="4"/>
      <c r="Q86" s="248"/>
      <c r="R86" s="4"/>
      <c r="S86" s="4"/>
    </row>
    <row r="87" spans="13:19">
      <c r="M87" s="4"/>
      <c r="N87" s="248"/>
      <c r="O87" s="4"/>
      <c r="P87" s="4"/>
      <c r="Q87" s="248"/>
      <c r="R87" s="4"/>
      <c r="S87" s="4"/>
    </row>
    <row r="88" spans="13:19">
      <c r="M88" s="4"/>
      <c r="N88" s="248"/>
      <c r="O88" s="4"/>
      <c r="P88" s="4"/>
      <c r="Q88" s="248"/>
      <c r="R88" s="4"/>
      <c r="S88" s="4"/>
    </row>
    <row r="89" spans="13:19">
      <c r="M89" s="4"/>
      <c r="N89" s="248"/>
      <c r="O89" s="4"/>
      <c r="P89" s="4"/>
      <c r="Q89" s="248"/>
      <c r="R89" s="4"/>
      <c r="S89" s="4"/>
    </row>
    <row r="90" spans="13:19">
      <c r="M90" s="4"/>
      <c r="N90" s="248"/>
      <c r="O90" s="4"/>
      <c r="P90" s="4"/>
      <c r="Q90" s="248"/>
      <c r="R90" s="4"/>
      <c r="S90" s="4"/>
    </row>
    <row r="91" spans="13:19">
      <c r="M91" s="4"/>
      <c r="N91" s="248"/>
      <c r="O91" s="4"/>
      <c r="P91" s="4"/>
      <c r="Q91" s="248"/>
      <c r="R91" s="4"/>
      <c r="S91" s="4"/>
    </row>
    <row r="92" spans="13:19">
      <c r="M92" s="4"/>
      <c r="N92" s="248"/>
      <c r="O92" s="4"/>
      <c r="P92" s="4"/>
      <c r="Q92" s="248"/>
      <c r="R92" s="4"/>
      <c r="S92" s="4"/>
    </row>
    <row r="93" spans="13:19">
      <c r="M93" s="4"/>
      <c r="N93" s="248"/>
      <c r="O93" s="4"/>
      <c r="P93" s="4"/>
      <c r="Q93" s="248"/>
      <c r="R93" s="4"/>
      <c r="S93" s="4"/>
    </row>
    <row r="94" spans="13:19">
      <c r="M94" s="4"/>
      <c r="N94" s="248"/>
      <c r="O94" s="4"/>
      <c r="P94" s="4"/>
      <c r="Q94" s="248"/>
      <c r="R94" s="4"/>
      <c r="S94" s="4"/>
    </row>
    <row r="95" spans="13:19">
      <c r="M95" s="4"/>
      <c r="N95" s="248"/>
      <c r="O95" s="4"/>
      <c r="P95" s="4"/>
      <c r="Q95" s="248"/>
      <c r="R95" s="4"/>
      <c r="S95" s="4"/>
    </row>
    <row r="96" spans="13:19">
      <c r="M96" s="4"/>
      <c r="N96" s="248"/>
      <c r="O96" s="4"/>
      <c r="P96" s="4"/>
      <c r="Q96" s="248"/>
      <c r="R96" s="4"/>
      <c r="S96" s="4"/>
    </row>
    <row r="97" spans="13:19">
      <c r="M97" s="4"/>
      <c r="N97" s="248"/>
      <c r="O97" s="4"/>
      <c r="P97" s="4"/>
      <c r="Q97" s="248"/>
      <c r="R97" s="4"/>
      <c r="S97" s="4"/>
    </row>
    <row r="98" spans="13:19">
      <c r="M98" s="4"/>
      <c r="N98" s="248"/>
      <c r="O98" s="4"/>
      <c r="P98" s="4"/>
      <c r="Q98" s="248"/>
      <c r="R98" s="4"/>
      <c r="S98" s="4"/>
    </row>
    <row r="99" spans="13:19">
      <c r="M99" s="4"/>
      <c r="N99" s="248"/>
      <c r="O99" s="4"/>
      <c r="P99" s="4"/>
      <c r="Q99" s="248"/>
      <c r="R99" s="4"/>
      <c r="S99" s="4"/>
    </row>
    <row r="100" spans="13:19">
      <c r="M100" s="4"/>
      <c r="N100" s="248"/>
      <c r="O100" s="4"/>
      <c r="P100" s="4"/>
      <c r="Q100" s="248"/>
      <c r="R100" s="4"/>
      <c r="S100" s="4"/>
    </row>
    <row r="101" spans="13:19">
      <c r="M101" s="4"/>
      <c r="N101" s="248"/>
      <c r="O101" s="4"/>
      <c r="P101" s="4"/>
      <c r="Q101" s="248"/>
      <c r="R101" s="4"/>
      <c r="S101" s="4"/>
    </row>
    <row r="102" spans="13:19">
      <c r="M102" s="4"/>
      <c r="N102" s="248"/>
      <c r="O102" s="4"/>
      <c r="P102" s="4"/>
      <c r="Q102" s="248"/>
      <c r="R102" s="4"/>
      <c r="S102" s="4"/>
    </row>
    <row r="103" spans="13:19">
      <c r="M103" s="4"/>
      <c r="N103" s="248"/>
      <c r="O103" s="4"/>
      <c r="P103" s="4"/>
      <c r="Q103" s="248"/>
      <c r="R103" s="4"/>
      <c r="S103" s="4"/>
    </row>
    <row r="104" spans="13:19">
      <c r="M104" s="4"/>
      <c r="N104" s="248"/>
      <c r="O104" s="4"/>
      <c r="P104" s="4"/>
      <c r="Q104" s="248"/>
      <c r="R104" s="4"/>
      <c r="S104" s="4"/>
    </row>
    <row r="105" spans="13:19">
      <c r="M105" s="4"/>
      <c r="N105" s="248"/>
      <c r="O105" s="4"/>
      <c r="P105" s="4"/>
      <c r="Q105" s="248"/>
      <c r="R105" s="4"/>
      <c r="S105" s="4"/>
    </row>
    <row r="106" spans="13:19">
      <c r="M106" s="4"/>
      <c r="N106" s="248"/>
      <c r="O106" s="4"/>
      <c r="P106" s="4"/>
      <c r="Q106" s="248"/>
      <c r="R106" s="4"/>
      <c r="S106" s="4"/>
    </row>
    <row r="107" spans="13:19">
      <c r="M107" s="4"/>
      <c r="N107" s="248"/>
      <c r="O107" s="4"/>
      <c r="P107" s="4"/>
      <c r="Q107" s="248"/>
      <c r="R107" s="4"/>
      <c r="S107" s="4"/>
    </row>
    <row r="108" spans="13:19">
      <c r="M108" s="4"/>
      <c r="N108" s="248"/>
      <c r="O108" s="4"/>
      <c r="P108" s="4"/>
      <c r="Q108" s="248"/>
      <c r="R108" s="4"/>
      <c r="S108" s="4"/>
    </row>
    <row r="109" spans="13:19">
      <c r="M109" s="4"/>
      <c r="N109" s="248"/>
      <c r="O109" s="4"/>
      <c r="P109" s="4"/>
      <c r="Q109" s="248"/>
      <c r="R109" s="4"/>
      <c r="S109" s="4"/>
    </row>
    <row r="110" spans="13:19">
      <c r="M110" s="4"/>
      <c r="N110" s="248"/>
      <c r="O110" s="4"/>
      <c r="P110" s="4"/>
      <c r="Q110" s="248"/>
      <c r="R110" s="4"/>
      <c r="S110" s="4"/>
    </row>
    <row r="111" spans="13:19">
      <c r="M111" s="4"/>
      <c r="N111" s="248"/>
      <c r="O111" s="4"/>
      <c r="P111" s="4"/>
      <c r="Q111" s="248"/>
      <c r="R111" s="4"/>
      <c r="S111" s="4"/>
    </row>
    <row r="112" spans="13:19">
      <c r="M112" s="4"/>
      <c r="N112" s="248"/>
      <c r="O112" s="4"/>
      <c r="P112" s="4"/>
      <c r="Q112" s="248"/>
      <c r="R112" s="4"/>
      <c r="S112" s="4"/>
    </row>
    <row r="113" spans="13:19">
      <c r="M113" s="4"/>
      <c r="N113" s="248"/>
      <c r="O113" s="4"/>
      <c r="P113" s="4"/>
      <c r="Q113" s="248"/>
      <c r="R113" s="4"/>
      <c r="S113" s="4"/>
    </row>
    <row r="114" spans="13:19">
      <c r="M114" s="4"/>
      <c r="N114" s="248"/>
      <c r="O114" s="4"/>
      <c r="P114" s="4"/>
      <c r="Q114" s="248"/>
      <c r="R114" s="4"/>
      <c r="S114" s="4"/>
    </row>
    <row r="115" spans="13:19">
      <c r="M115" s="4"/>
      <c r="N115" s="248"/>
      <c r="O115" s="4"/>
      <c r="P115" s="4"/>
      <c r="Q115" s="248"/>
      <c r="R115" s="4"/>
      <c r="S115" s="4"/>
    </row>
    <row r="116" spans="13:19">
      <c r="M116" s="4"/>
      <c r="N116" s="248"/>
      <c r="O116" s="4"/>
      <c r="P116" s="4"/>
      <c r="Q116" s="248"/>
      <c r="R116" s="4"/>
      <c r="S116" s="4"/>
    </row>
    <row r="117" spans="13:19">
      <c r="M117" s="4"/>
      <c r="N117" s="248"/>
      <c r="O117" s="4"/>
      <c r="P117" s="4"/>
      <c r="Q117" s="248"/>
      <c r="R117" s="4"/>
      <c r="S117" s="4"/>
    </row>
    <row r="118" spans="13:19">
      <c r="M118" s="4"/>
      <c r="N118" s="248"/>
      <c r="O118" s="4"/>
      <c r="P118" s="4"/>
      <c r="Q118" s="248"/>
      <c r="R118" s="4"/>
      <c r="S118" s="4"/>
    </row>
    <row r="119" spans="13:19">
      <c r="M119" s="4"/>
      <c r="N119" s="248"/>
      <c r="O119" s="4"/>
      <c r="P119" s="4"/>
      <c r="Q119" s="248"/>
      <c r="R119" s="4"/>
      <c r="S119" s="4"/>
    </row>
    <row r="120" spans="13:19">
      <c r="M120" s="4"/>
      <c r="N120" s="248"/>
      <c r="O120" s="4"/>
      <c r="P120" s="4"/>
      <c r="Q120" s="248"/>
      <c r="R120" s="4"/>
      <c r="S120" s="4"/>
    </row>
    <row r="121" spans="13:19">
      <c r="M121" s="4"/>
      <c r="N121" s="248"/>
      <c r="O121" s="4"/>
      <c r="P121" s="4"/>
      <c r="Q121" s="248"/>
      <c r="R121" s="4"/>
      <c r="S121" s="4"/>
    </row>
    <row r="122" spans="13:19">
      <c r="M122" s="4"/>
      <c r="N122" s="248"/>
      <c r="O122" s="4"/>
      <c r="P122" s="4"/>
      <c r="Q122" s="248"/>
      <c r="R122" s="4"/>
      <c r="S122" s="4"/>
    </row>
    <row r="123" spans="13:19">
      <c r="M123" s="4"/>
      <c r="N123" s="248"/>
      <c r="O123" s="4"/>
      <c r="P123" s="4"/>
      <c r="Q123" s="248"/>
      <c r="R123" s="4"/>
      <c r="S123" s="4"/>
    </row>
    <row r="124" spans="13:19">
      <c r="M124" s="4"/>
      <c r="N124" s="248"/>
      <c r="O124" s="4"/>
      <c r="P124" s="4"/>
      <c r="Q124" s="248"/>
      <c r="R124" s="4"/>
      <c r="S124" s="4"/>
    </row>
    <row r="125" spans="13:19">
      <c r="M125" s="4"/>
      <c r="N125" s="248"/>
      <c r="O125" s="4"/>
      <c r="P125" s="4"/>
      <c r="Q125" s="248"/>
      <c r="R125" s="4"/>
      <c r="S125" s="4"/>
    </row>
    <row r="126" spans="13:19">
      <c r="M126" s="4"/>
      <c r="N126" s="248"/>
      <c r="O126" s="4"/>
      <c r="P126" s="4"/>
      <c r="Q126" s="248"/>
      <c r="R126" s="4"/>
      <c r="S126" s="4"/>
    </row>
    <row r="127" spans="13:19">
      <c r="M127" s="4"/>
      <c r="N127" s="248"/>
      <c r="O127" s="4"/>
      <c r="P127" s="4"/>
      <c r="Q127" s="248"/>
      <c r="R127" s="4"/>
      <c r="S127" s="4"/>
    </row>
    <row r="128" spans="13:19">
      <c r="M128" s="4"/>
      <c r="N128" s="248"/>
      <c r="O128" s="4"/>
      <c r="P128" s="4"/>
      <c r="Q128" s="248"/>
      <c r="R128" s="4"/>
      <c r="S128" s="4"/>
    </row>
    <row r="129" spans="13:19">
      <c r="M129" s="4"/>
      <c r="N129" s="248"/>
      <c r="O129" s="4"/>
      <c r="P129" s="4"/>
      <c r="Q129" s="248"/>
      <c r="R129" s="4"/>
      <c r="S129" s="4"/>
    </row>
    <row r="130" spans="13:19">
      <c r="M130" s="4"/>
      <c r="N130" s="248"/>
      <c r="O130" s="4"/>
      <c r="P130" s="4"/>
      <c r="Q130" s="248"/>
      <c r="R130" s="4"/>
      <c r="S130" s="4"/>
    </row>
    <row r="131" spans="13:19">
      <c r="M131" s="4"/>
      <c r="N131" s="248"/>
      <c r="O131" s="4"/>
      <c r="P131" s="4"/>
      <c r="Q131" s="248"/>
      <c r="R131" s="4"/>
      <c r="S131" s="4"/>
    </row>
    <row r="132" spans="13:19">
      <c r="M132" s="4"/>
      <c r="N132" s="248"/>
      <c r="O132" s="4"/>
      <c r="P132" s="4"/>
      <c r="Q132" s="248"/>
      <c r="R132" s="4"/>
      <c r="S132" s="4"/>
    </row>
    <row r="133" spans="13:19">
      <c r="M133" s="4"/>
      <c r="N133" s="248"/>
      <c r="O133" s="4"/>
      <c r="P133" s="4"/>
      <c r="Q133" s="248"/>
      <c r="R133" s="4"/>
      <c r="S133" s="4"/>
    </row>
    <row r="134" spans="13:19">
      <c r="M134" s="4"/>
      <c r="N134" s="248"/>
      <c r="O134" s="4"/>
      <c r="P134" s="4"/>
      <c r="Q134" s="248"/>
      <c r="R134" s="4"/>
      <c r="S134" s="4"/>
    </row>
    <row r="135" spans="13:19">
      <c r="M135" s="4"/>
      <c r="N135" s="248"/>
      <c r="O135" s="4"/>
      <c r="P135" s="4"/>
      <c r="Q135" s="248"/>
      <c r="R135" s="4"/>
      <c r="S135" s="4"/>
    </row>
    <row r="136" spans="13:19">
      <c r="M136" s="4"/>
      <c r="N136" s="248"/>
      <c r="O136" s="4"/>
      <c r="P136" s="4"/>
      <c r="Q136" s="248"/>
      <c r="R136" s="4"/>
      <c r="S136" s="4"/>
    </row>
    <row r="137" spans="13:19">
      <c r="M137" s="4"/>
      <c r="N137" s="248"/>
      <c r="O137" s="4"/>
      <c r="P137" s="4"/>
      <c r="Q137" s="248"/>
      <c r="R137" s="4"/>
      <c r="S137" s="4"/>
    </row>
    <row r="138" spans="13:19">
      <c r="M138" s="4"/>
      <c r="N138" s="248"/>
      <c r="O138" s="4"/>
      <c r="P138" s="4"/>
      <c r="Q138" s="248"/>
      <c r="R138" s="4"/>
      <c r="S138" s="4"/>
    </row>
    <row r="139" spans="13:19">
      <c r="M139" s="4"/>
      <c r="N139" s="248"/>
      <c r="O139" s="4"/>
      <c r="P139" s="4"/>
      <c r="Q139" s="248"/>
      <c r="R139" s="4"/>
      <c r="S139" s="4"/>
    </row>
    <row r="140" spans="13:19">
      <c r="M140" s="4"/>
      <c r="N140" s="248"/>
      <c r="O140" s="4"/>
      <c r="P140" s="4"/>
      <c r="Q140" s="248"/>
      <c r="R140" s="4"/>
      <c r="S140" s="4"/>
    </row>
    <row r="141" spans="13:19">
      <c r="M141" s="4"/>
      <c r="N141" s="248"/>
      <c r="O141" s="4"/>
      <c r="P141" s="4"/>
      <c r="Q141" s="248"/>
      <c r="R141" s="4"/>
      <c r="S141" s="4"/>
    </row>
    <row r="142" spans="13:19">
      <c r="M142" s="4"/>
      <c r="N142" s="248"/>
      <c r="O142" s="4"/>
      <c r="P142" s="4"/>
      <c r="Q142" s="248"/>
      <c r="R142" s="4"/>
      <c r="S142" s="4"/>
    </row>
    <row r="143" spans="13:19">
      <c r="M143" s="4"/>
      <c r="N143" s="248"/>
      <c r="O143" s="4"/>
      <c r="P143" s="4"/>
      <c r="Q143" s="248"/>
      <c r="R143" s="4"/>
      <c r="S143" s="4"/>
    </row>
    <row r="144" spans="13:19">
      <c r="M144" s="4"/>
      <c r="N144" s="248"/>
      <c r="O144" s="4"/>
      <c r="P144" s="4"/>
      <c r="Q144" s="248"/>
      <c r="R144" s="4"/>
      <c r="S144" s="4"/>
    </row>
    <row r="145" spans="13:19">
      <c r="M145" s="4"/>
      <c r="N145" s="248"/>
      <c r="O145" s="4"/>
      <c r="P145" s="4"/>
      <c r="Q145" s="248"/>
      <c r="R145" s="4"/>
      <c r="S145" s="4"/>
    </row>
    <row r="146" spans="13:19">
      <c r="M146" s="4"/>
      <c r="N146" s="248"/>
      <c r="O146" s="4"/>
      <c r="P146" s="4"/>
      <c r="Q146" s="248"/>
      <c r="R146" s="4"/>
      <c r="S146" s="4"/>
    </row>
    <row r="147" spans="13:19">
      <c r="M147" s="4"/>
      <c r="N147" s="248"/>
      <c r="O147" s="4"/>
      <c r="P147" s="4"/>
      <c r="Q147" s="248"/>
      <c r="R147" s="4"/>
      <c r="S147" s="4"/>
    </row>
    <row r="148" spans="13:19">
      <c r="M148" s="4"/>
      <c r="N148" s="248"/>
      <c r="O148" s="4"/>
      <c r="P148" s="4"/>
      <c r="Q148" s="248"/>
      <c r="R148" s="4"/>
      <c r="S148" s="4"/>
    </row>
    <row r="149" spans="13:19">
      <c r="M149" s="4"/>
      <c r="N149" s="248"/>
      <c r="O149" s="4"/>
      <c r="P149" s="4"/>
      <c r="Q149" s="248"/>
      <c r="R149" s="4"/>
      <c r="S149" s="4"/>
    </row>
    <row r="150" spans="13:19">
      <c r="M150" s="4"/>
      <c r="N150" s="248"/>
      <c r="O150" s="4"/>
      <c r="P150" s="4"/>
      <c r="Q150" s="248"/>
      <c r="R150" s="4"/>
      <c r="S150" s="4"/>
    </row>
    <row r="151" spans="13:19">
      <c r="M151" s="4"/>
      <c r="N151" s="248"/>
      <c r="O151" s="4"/>
      <c r="P151" s="4"/>
      <c r="Q151" s="248"/>
      <c r="R151" s="4"/>
      <c r="S151" s="4"/>
    </row>
    <row r="152" spans="13:19">
      <c r="M152" s="4"/>
      <c r="N152" s="248"/>
      <c r="O152" s="4"/>
      <c r="P152" s="4"/>
      <c r="Q152" s="248"/>
      <c r="R152" s="4"/>
      <c r="S152" s="4"/>
    </row>
    <row r="153" spans="13:19">
      <c r="M153" s="4"/>
      <c r="N153" s="248"/>
      <c r="O153" s="4"/>
      <c r="P153" s="4"/>
      <c r="Q153" s="248"/>
      <c r="R153" s="4"/>
      <c r="S153" s="4"/>
    </row>
    <row r="154" spans="13:19">
      <c r="M154" s="4"/>
      <c r="N154" s="248"/>
      <c r="O154" s="4"/>
      <c r="P154" s="4"/>
      <c r="Q154" s="248"/>
      <c r="R154" s="4"/>
      <c r="S154" s="4"/>
    </row>
    <row r="155" spans="13:19">
      <c r="M155" s="4"/>
      <c r="N155" s="248"/>
      <c r="O155" s="4"/>
      <c r="P155" s="4"/>
      <c r="Q155" s="248"/>
      <c r="R155" s="4"/>
      <c r="S155" s="4"/>
    </row>
    <row r="156" spans="13:19">
      <c r="M156" s="4"/>
      <c r="N156" s="248"/>
      <c r="O156" s="4"/>
      <c r="P156" s="4"/>
      <c r="Q156" s="248"/>
      <c r="R156" s="4"/>
      <c r="S156" s="4"/>
    </row>
    <row r="157" spans="13:19">
      <c r="M157" s="4"/>
      <c r="N157" s="248"/>
      <c r="O157" s="4"/>
      <c r="P157" s="4"/>
      <c r="Q157" s="248"/>
      <c r="R157" s="4"/>
      <c r="S157" s="4"/>
    </row>
    <row r="158" spans="13:19">
      <c r="M158" s="4"/>
      <c r="N158" s="248"/>
      <c r="O158" s="4"/>
      <c r="P158" s="4"/>
      <c r="Q158" s="248"/>
      <c r="R158" s="4"/>
      <c r="S158" s="4"/>
    </row>
    <row r="159" spans="13:19">
      <c r="M159" s="4"/>
      <c r="N159" s="248"/>
      <c r="O159" s="4"/>
      <c r="P159" s="4"/>
      <c r="Q159" s="248"/>
      <c r="R159" s="4"/>
      <c r="S159" s="4"/>
    </row>
    <row r="160" spans="13:19">
      <c r="M160" s="4"/>
      <c r="N160" s="248"/>
      <c r="O160" s="4"/>
      <c r="P160" s="4"/>
      <c r="Q160" s="248"/>
      <c r="R160" s="4"/>
      <c r="S160" s="4"/>
    </row>
    <row r="161" spans="13:19">
      <c r="M161" s="4"/>
      <c r="N161" s="248"/>
      <c r="O161" s="4"/>
      <c r="P161" s="4"/>
      <c r="Q161" s="248"/>
      <c r="R161" s="4"/>
      <c r="S161" s="4"/>
    </row>
    <row r="162" spans="13:19">
      <c r="M162" s="4"/>
      <c r="N162" s="248"/>
      <c r="O162" s="4"/>
      <c r="P162" s="4"/>
      <c r="Q162" s="248"/>
      <c r="R162" s="4"/>
      <c r="S162" s="4"/>
    </row>
    <row r="163" spans="13:19">
      <c r="M163" s="4"/>
      <c r="N163" s="248"/>
      <c r="O163" s="4"/>
      <c r="P163" s="4"/>
      <c r="Q163" s="248"/>
      <c r="R163" s="4"/>
      <c r="S163" s="4"/>
    </row>
    <row r="164" spans="13:19">
      <c r="M164" s="4"/>
      <c r="N164" s="248"/>
      <c r="O164" s="4"/>
      <c r="P164" s="4"/>
      <c r="Q164" s="248"/>
      <c r="R164" s="4"/>
      <c r="S164" s="4"/>
    </row>
    <row r="165" spans="13:19">
      <c r="M165" s="4"/>
      <c r="N165" s="248"/>
      <c r="O165" s="4"/>
      <c r="P165" s="4"/>
      <c r="Q165" s="248"/>
      <c r="R165" s="4"/>
      <c r="S165" s="4"/>
    </row>
    <row r="166" spans="13:19">
      <c r="M166" s="4"/>
      <c r="N166" s="248"/>
      <c r="O166" s="4"/>
      <c r="P166" s="4"/>
      <c r="Q166" s="248"/>
      <c r="R166" s="4"/>
      <c r="S166" s="4"/>
    </row>
    <row r="167" spans="13:19">
      <c r="M167" s="4"/>
      <c r="N167" s="248"/>
      <c r="O167" s="4"/>
      <c r="P167" s="4"/>
      <c r="Q167" s="248"/>
      <c r="R167" s="4"/>
      <c r="S167" s="4"/>
    </row>
    <row r="168" spans="13:19">
      <c r="M168" s="4"/>
      <c r="N168" s="248"/>
      <c r="O168" s="4"/>
      <c r="P168" s="4"/>
      <c r="Q168" s="248"/>
      <c r="R168" s="4"/>
      <c r="S168" s="4"/>
    </row>
    <row r="169" spans="13:19">
      <c r="M169" s="4"/>
      <c r="N169" s="248"/>
      <c r="O169" s="4"/>
      <c r="P169" s="4"/>
      <c r="Q169" s="248"/>
      <c r="R169" s="4"/>
      <c r="S169" s="4"/>
    </row>
    <row r="170" spans="13:19">
      <c r="M170" s="4"/>
      <c r="N170" s="248"/>
      <c r="O170" s="4"/>
      <c r="P170" s="4"/>
      <c r="Q170" s="248"/>
      <c r="R170" s="4"/>
      <c r="S170" s="4"/>
    </row>
    <row r="171" spans="13:19">
      <c r="M171" s="4"/>
      <c r="N171" s="248"/>
      <c r="O171" s="4"/>
      <c r="P171" s="4"/>
      <c r="Q171" s="248"/>
      <c r="R171" s="4"/>
      <c r="S171" s="4"/>
    </row>
    <row r="172" spans="13:19">
      <c r="M172" s="4"/>
      <c r="N172" s="248"/>
      <c r="O172" s="4"/>
      <c r="P172" s="4"/>
      <c r="Q172" s="248"/>
      <c r="R172" s="4"/>
      <c r="S172" s="4"/>
    </row>
    <row r="173" spans="13:19">
      <c r="M173" s="4"/>
      <c r="N173" s="248"/>
      <c r="O173" s="4"/>
      <c r="P173" s="4"/>
      <c r="Q173" s="248"/>
      <c r="R173" s="4"/>
      <c r="S173" s="4"/>
    </row>
    <row r="174" spans="13:19">
      <c r="M174" s="4"/>
      <c r="N174" s="248"/>
      <c r="O174" s="4"/>
      <c r="P174" s="4"/>
      <c r="Q174" s="248"/>
      <c r="R174" s="4"/>
      <c r="S174" s="4"/>
    </row>
    <row r="175" spans="13:19">
      <c r="M175" s="4"/>
      <c r="N175" s="248"/>
      <c r="O175" s="4"/>
      <c r="P175" s="4"/>
      <c r="Q175" s="248"/>
      <c r="R175" s="4"/>
      <c r="S175" s="4"/>
    </row>
    <row r="176" spans="13:19">
      <c r="M176" s="4"/>
      <c r="N176" s="248"/>
      <c r="O176" s="4"/>
      <c r="P176" s="4"/>
      <c r="Q176" s="248"/>
      <c r="R176" s="4"/>
      <c r="S176" s="4"/>
    </row>
    <row r="177" spans="13:19">
      <c r="M177" s="4"/>
      <c r="N177" s="248"/>
      <c r="O177" s="4"/>
      <c r="P177" s="4"/>
      <c r="Q177" s="248"/>
      <c r="R177" s="4"/>
      <c r="S177" s="4"/>
    </row>
    <row r="178" spans="13:19">
      <c r="M178" s="4"/>
      <c r="N178" s="248"/>
      <c r="O178" s="4"/>
      <c r="P178" s="4"/>
      <c r="Q178" s="248"/>
      <c r="R178" s="4"/>
      <c r="S178" s="4"/>
    </row>
    <row r="179" spans="13:19">
      <c r="M179" s="4"/>
      <c r="N179" s="248"/>
      <c r="O179" s="4"/>
      <c r="P179" s="4"/>
      <c r="Q179" s="248"/>
      <c r="R179" s="4"/>
      <c r="S179" s="4"/>
    </row>
    <row r="180" spans="13:19">
      <c r="M180" s="4"/>
      <c r="N180" s="248"/>
      <c r="O180" s="4"/>
      <c r="P180" s="4"/>
      <c r="Q180" s="248"/>
      <c r="R180" s="4"/>
      <c r="S180" s="4"/>
    </row>
    <row r="181" spans="13:19">
      <c r="M181" s="4"/>
      <c r="N181" s="248"/>
      <c r="O181" s="4"/>
      <c r="P181" s="4"/>
      <c r="Q181" s="248"/>
      <c r="R181" s="4"/>
      <c r="S181" s="4"/>
    </row>
    <row r="182" spans="13:19">
      <c r="M182" s="4"/>
      <c r="N182" s="248"/>
      <c r="O182" s="4"/>
      <c r="P182" s="4"/>
      <c r="Q182" s="248"/>
      <c r="R182" s="4"/>
      <c r="S182" s="4"/>
    </row>
    <row r="183" spans="13:19">
      <c r="M183" s="4"/>
      <c r="N183" s="248"/>
      <c r="O183" s="4"/>
      <c r="P183" s="4"/>
      <c r="Q183" s="248"/>
      <c r="R183" s="4"/>
      <c r="S183" s="4"/>
    </row>
    <row r="184" spans="13:19">
      <c r="M184" s="4"/>
      <c r="N184" s="248"/>
      <c r="O184" s="4"/>
      <c r="P184" s="4"/>
      <c r="Q184" s="248"/>
      <c r="R184" s="4"/>
      <c r="S184" s="4"/>
    </row>
    <row r="185" spans="13:19">
      <c r="M185" s="4"/>
      <c r="N185" s="248"/>
      <c r="O185" s="4"/>
      <c r="P185" s="4"/>
      <c r="Q185" s="248"/>
      <c r="R185" s="4"/>
      <c r="S185" s="4"/>
    </row>
    <row r="186" spans="13:19">
      <c r="M186" s="4"/>
      <c r="N186" s="248"/>
      <c r="O186" s="4"/>
      <c r="P186" s="4"/>
      <c r="Q186" s="248"/>
      <c r="R186" s="4"/>
      <c r="S186" s="4"/>
    </row>
    <row r="187" spans="13:19">
      <c r="M187" s="4"/>
      <c r="N187" s="248"/>
      <c r="O187" s="4"/>
      <c r="P187" s="4"/>
      <c r="Q187" s="248"/>
      <c r="R187" s="4"/>
      <c r="S187" s="4"/>
    </row>
    <row r="188" spans="13:19">
      <c r="M188" s="4"/>
      <c r="N188" s="248"/>
      <c r="O188" s="4"/>
      <c r="P188" s="4"/>
      <c r="Q188" s="248"/>
      <c r="R188" s="4"/>
      <c r="S188" s="4"/>
    </row>
    <row r="189" spans="13:19">
      <c r="M189" s="4"/>
      <c r="N189" s="248"/>
      <c r="O189" s="4"/>
      <c r="P189" s="4"/>
      <c r="Q189" s="248"/>
      <c r="R189" s="4"/>
      <c r="S189" s="4"/>
    </row>
    <row r="190" spans="13:19">
      <c r="M190" s="4"/>
      <c r="N190" s="248"/>
      <c r="O190" s="4"/>
      <c r="P190" s="4"/>
      <c r="Q190" s="248"/>
      <c r="R190" s="4"/>
      <c r="S190" s="4"/>
    </row>
    <row r="191" spans="13:19">
      <c r="M191" s="4"/>
      <c r="N191" s="248"/>
      <c r="O191" s="4"/>
      <c r="P191" s="4"/>
      <c r="Q191" s="248"/>
      <c r="R191" s="4"/>
      <c r="S191" s="4"/>
    </row>
    <row r="192" spans="13:19">
      <c r="M192" s="4"/>
      <c r="N192" s="248"/>
      <c r="O192" s="4"/>
      <c r="P192" s="4"/>
      <c r="Q192" s="248"/>
      <c r="R192" s="4"/>
      <c r="S192" s="4"/>
    </row>
    <row r="193" spans="13:19">
      <c r="M193" s="4"/>
      <c r="N193" s="248"/>
      <c r="O193" s="4"/>
      <c r="P193" s="4"/>
      <c r="Q193" s="248"/>
      <c r="R193" s="4"/>
      <c r="S193" s="4"/>
    </row>
    <row r="194" spans="13:19">
      <c r="M194" s="4"/>
      <c r="N194" s="248"/>
      <c r="O194" s="4"/>
      <c r="P194" s="4"/>
      <c r="Q194" s="248"/>
      <c r="R194" s="4"/>
      <c r="S194" s="4"/>
    </row>
    <row r="195" spans="13:19">
      <c r="M195" s="4"/>
      <c r="N195" s="248"/>
      <c r="O195" s="4"/>
      <c r="P195" s="4"/>
      <c r="Q195" s="248"/>
      <c r="R195" s="4"/>
      <c r="S195" s="4"/>
    </row>
    <row r="196" spans="13:19">
      <c r="M196" s="4"/>
      <c r="N196" s="248"/>
      <c r="O196" s="4"/>
      <c r="P196" s="4"/>
      <c r="Q196" s="248"/>
      <c r="R196" s="4"/>
      <c r="S196" s="4"/>
    </row>
    <row r="197" spans="13:19">
      <c r="M197" s="4"/>
      <c r="N197" s="248"/>
      <c r="O197" s="4"/>
      <c r="P197" s="4"/>
      <c r="Q197" s="248"/>
      <c r="R197" s="4"/>
      <c r="S197" s="4"/>
    </row>
    <row r="198" spans="13:19">
      <c r="M198" s="4"/>
      <c r="N198" s="248"/>
      <c r="O198" s="4"/>
      <c r="P198" s="4"/>
      <c r="Q198" s="248"/>
      <c r="R198" s="4"/>
      <c r="S198" s="4"/>
    </row>
    <row r="199" spans="13:19">
      <c r="M199" s="4"/>
      <c r="N199" s="248"/>
      <c r="O199" s="4"/>
      <c r="P199" s="4"/>
      <c r="Q199" s="248"/>
      <c r="R199" s="4"/>
      <c r="S199" s="4"/>
    </row>
    <row r="200" spans="13:19">
      <c r="M200" s="4"/>
      <c r="N200" s="248"/>
      <c r="O200" s="4"/>
      <c r="P200" s="4"/>
      <c r="Q200" s="248"/>
      <c r="R200" s="4"/>
      <c r="S200" s="4"/>
    </row>
    <row r="201" spans="13:19">
      <c r="M201" s="4"/>
      <c r="N201" s="248"/>
      <c r="O201" s="4"/>
      <c r="P201" s="4"/>
      <c r="Q201" s="248"/>
      <c r="R201" s="4"/>
      <c r="S201" s="4"/>
    </row>
    <row r="202" spans="13:19">
      <c r="M202" s="4"/>
      <c r="N202" s="248"/>
      <c r="O202" s="4"/>
      <c r="P202" s="4"/>
      <c r="Q202" s="248"/>
      <c r="R202" s="4"/>
      <c r="S202" s="4"/>
    </row>
    <row r="203" spans="13:19">
      <c r="M203" s="4"/>
      <c r="N203" s="248"/>
      <c r="O203" s="4"/>
      <c r="P203" s="4"/>
      <c r="Q203" s="248"/>
      <c r="R203" s="4"/>
      <c r="S203" s="4"/>
    </row>
    <row r="204" spans="13:19">
      <c r="M204" s="4"/>
      <c r="N204" s="248"/>
      <c r="O204" s="4"/>
      <c r="P204" s="4"/>
      <c r="Q204" s="248"/>
      <c r="R204" s="4"/>
      <c r="S204" s="4"/>
    </row>
    <row r="205" spans="13:19">
      <c r="M205" s="4"/>
      <c r="N205" s="248"/>
      <c r="O205" s="4"/>
      <c r="P205" s="4"/>
      <c r="Q205" s="248"/>
      <c r="R205" s="4"/>
      <c r="S205" s="4"/>
    </row>
    <row r="206" spans="13:19">
      <c r="M206" s="4"/>
      <c r="N206" s="248"/>
      <c r="O206" s="4"/>
      <c r="P206" s="4"/>
      <c r="Q206" s="248"/>
      <c r="R206" s="4"/>
      <c r="S206" s="4"/>
    </row>
    <row r="207" spans="13:19">
      <c r="M207" s="4"/>
      <c r="N207" s="248"/>
      <c r="O207" s="4"/>
      <c r="P207" s="4"/>
      <c r="Q207" s="248"/>
      <c r="R207" s="4"/>
      <c r="S207" s="4"/>
    </row>
    <row r="208" spans="13:19">
      <c r="M208" s="4"/>
      <c r="N208" s="248"/>
      <c r="O208" s="4"/>
      <c r="P208" s="4"/>
      <c r="Q208" s="248"/>
      <c r="R208" s="4"/>
      <c r="S208" s="4"/>
    </row>
    <row r="209" spans="13:19">
      <c r="M209" s="4"/>
      <c r="N209" s="248"/>
      <c r="O209" s="4"/>
      <c r="P209" s="4"/>
      <c r="Q209" s="248"/>
      <c r="R209" s="4"/>
      <c r="S209" s="4"/>
    </row>
    <row r="210" spans="13:19">
      <c r="M210" s="4"/>
      <c r="N210" s="248"/>
      <c r="O210" s="4"/>
      <c r="P210" s="4"/>
      <c r="Q210" s="248"/>
      <c r="R210" s="4"/>
      <c r="S210" s="4"/>
    </row>
    <row r="211" spans="13:19">
      <c r="M211" s="4"/>
      <c r="N211" s="248"/>
      <c r="O211" s="4"/>
      <c r="P211" s="4"/>
      <c r="Q211" s="248"/>
      <c r="R211" s="4"/>
      <c r="S211" s="4"/>
    </row>
    <row r="212" spans="13:19">
      <c r="M212" s="4"/>
      <c r="N212" s="248"/>
      <c r="O212" s="4"/>
      <c r="P212" s="4"/>
      <c r="Q212" s="248"/>
      <c r="R212" s="4"/>
      <c r="S212" s="4"/>
    </row>
    <row r="213" spans="13:19">
      <c r="M213" s="4"/>
      <c r="N213" s="248"/>
      <c r="O213" s="4"/>
      <c r="P213" s="4"/>
      <c r="Q213" s="248"/>
      <c r="R213" s="4"/>
      <c r="S213" s="4"/>
    </row>
    <row r="214" spans="13:19">
      <c r="M214" s="4"/>
      <c r="N214" s="248"/>
      <c r="O214" s="4"/>
      <c r="P214" s="4"/>
      <c r="Q214" s="248"/>
      <c r="R214" s="4"/>
      <c r="S214" s="4"/>
    </row>
    <row r="215" spans="13:19">
      <c r="M215" s="4"/>
      <c r="N215" s="248"/>
      <c r="O215" s="4"/>
      <c r="P215" s="4"/>
      <c r="Q215" s="248"/>
      <c r="R215" s="4"/>
      <c r="S215" s="4"/>
    </row>
    <row r="216" spans="13:19">
      <c r="M216" s="4"/>
      <c r="N216" s="248"/>
      <c r="O216" s="4"/>
      <c r="P216" s="4"/>
      <c r="Q216" s="248"/>
      <c r="R216" s="4"/>
      <c r="S216" s="4"/>
    </row>
    <row r="217" spans="13:19">
      <c r="M217" s="4"/>
      <c r="N217" s="248"/>
      <c r="O217" s="4"/>
      <c r="P217" s="4"/>
      <c r="Q217" s="248"/>
      <c r="R217" s="4"/>
      <c r="S217" s="4"/>
    </row>
    <row r="218" spans="13:19">
      <c r="M218" s="4"/>
      <c r="N218" s="248"/>
      <c r="O218" s="4"/>
      <c r="P218" s="4"/>
      <c r="Q218" s="248"/>
      <c r="R218" s="4"/>
      <c r="S218" s="4"/>
    </row>
    <row r="219" spans="13:19">
      <c r="M219" s="4"/>
      <c r="N219" s="248"/>
      <c r="O219" s="4"/>
      <c r="P219" s="4"/>
      <c r="Q219" s="248"/>
      <c r="R219" s="4"/>
      <c r="S219" s="4"/>
    </row>
    <row r="220" spans="13:19">
      <c r="M220" s="4"/>
      <c r="N220" s="248"/>
      <c r="O220" s="4"/>
      <c r="P220" s="4"/>
      <c r="Q220" s="248"/>
      <c r="R220" s="4"/>
      <c r="S220" s="4"/>
    </row>
    <row r="221" spans="13:19">
      <c r="M221" s="4"/>
      <c r="N221" s="248"/>
      <c r="O221" s="4"/>
      <c r="P221" s="4"/>
      <c r="Q221" s="248"/>
      <c r="R221" s="4"/>
      <c r="S221" s="4"/>
    </row>
    <row r="222" spans="13:19">
      <c r="M222" s="4"/>
      <c r="N222" s="248"/>
      <c r="O222" s="4"/>
      <c r="P222" s="4"/>
      <c r="Q222" s="248"/>
      <c r="R222" s="4"/>
      <c r="S222" s="4"/>
    </row>
    <row r="223" spans="13:19">
      <c r="M223" s="4"/>
      <c r="N223" s="248"/>
      <c r="O223" s="4"/>
      <c r="P223" s="4"/>
      <c r="Q223" s="248"/>
      <c r="R223" s="4"/>
      <c r="S223" s="4"/>
    </row>
    <row r="224" spans="13:19">
      <c r="M224" s="4"/>
      <c r="N224" s="248"/>
      <c r="O224" s="4"/>
      <c r="P224" s="4"/>
      <c r="Q224" s="248"/>
      <c r="R224" s="4"/>
      <c r="S224" s="4"/>
    </row>
    <row r="225" spans="13:19">
      <c r="M225" s="4"/>
      <c r="N225" s="248"/>
      <c r="O225" s="4"/>
      <c r="P225" s="4"/>
      <c r="Q225" s="248"/>
      <c r="R225" s="4"/>
      <c r="S225" s="4"/>
    </row>
    <row r="226" spans="13:19">
      <c r="M226" s="4"/>
      <c r="N226" s="248"/>
      <c r="O226" s="4"/>
      <c r="P226" s="4"/>
      <c r="Q226" s="248"/>
      <c r="R226" s="4"/>
      <c r="S226" s="4"/>
    </row>
    <row r="227" spans="13:19">
      <c r="M227" s="4"/>
      <c r="N227" s="248"/>
      <c r="O227" s="4"/>
      <c r="P227" s="4"/>
      <c r="Q227" s="248"/>
      <c r="R227" s="4"/>
      <c r="S227" s="4"/>
    </row>
    <row r="228" spans="13:19">
      <c r="M228" s="4"/>
      <c r="N228" s="248"/>
      <c r="O228" s="4"/>
      <c r="P228" s="4"/>
      <c r="Q228" s="248"/>
      <c r="R228" s="4"/>
      <c r="S228" s="4"/>
    </row>
    <row r="229" spans="13:19">
      <c r="M229" s="4"/>
      <c r="N229" s="248"/>
      <c r="O229" s="4"/>
      <c r="P229" s="4"/>
      <c r="Q229" s="248"/>
      <c r="R229" s="4"/>
      <c r="S229" s="4"/>
    </row>
    <row r="230" spans="13:19">
      <c r="M230" s="4"/>
      <c r="N230" s="248"/>
      <c r="O230" s="4"/>
      <c r="P230" s="4"/>
      <c r="Q230" s="248"/>
      <c r="R230" s="4"/>
      <c r="S230" s="4"/>
    </row>
    <row r="231" spans="13:19">
      <c r="M231" s="4"/>
      <c r="N231" s="248"/>
      <c r="O231" s="4"/>
      <c r="P231" s="4"/>
      <c r="Q231" s="248"/>
      <c r="R231" s="4"/>
      <c r="S231" s="4"/>
    </row>
    <row r="232" spans="13:19">
      <c r="M232" s="4"/>
      <c r="N232" s="248"/>
      <c r="O232" s="4"/>
      <c r="P232" s="4"/>
      <c r="Q232" s="248"/>
      <c r="R232" s="4"/>
      <c r="S232" s="4"/>
    </row>
    <row r="233" spans="13:19">
      <c r="M233" s="4"/>
      <c r="N233" s="248"/>
      <c r="O233" s="4"/>
      <c r="P233" s="4"/>
      <c r="Q233" s="248"/>
      <c r="R233" s="4"/>
      <c r="S233" s="4"/>
    </row>
    <row r="234" spans="13:19">
      <c r="M234" s="4"/>
      <c r="N234" s="248"/>
      <c r="O234" s="4"/>
      <c r="P234" s="4"/>
      <c r="Q234" s="248"/>
      <c r="R234" s="4"/>
      <c r="S234" s="4"/>
    </row>
    <row r="235" spans="13:19">
      <c r="M235" s="4"/>
      <c r="N235" s="248"/>
      <c r="O235" s="4"/>
      <c r="P235" s="4"/>
      <c r="Q235" s="248"/>
      <c r="R235" s="4"/>
      <c r="S235" s="4"/>
    </row>
    <row r="236" spans="13:19">
      <c r="M236" s="4"/>
      <c r="N236" s="248"/>
      <c r="O236" s="4"/>
      <c r="P236" s="4"/>
      <c r="Q236" s="248"/>
      <c r="R236" s="4"/>
      <c r="S236" s="4"/>
    </row>
    <row r="237" spans="13:19">
      <c r="M237" s="4"/>
      <c r="N237" s="248"/>
      <c r="O237" s="4"/>
      <c r="P237" s="4"/>
      <c r="Q237" s="248"/>
      <c r="R237" s="4"/>
      <c r="S237" s="4"/>
    </row>
    <row r="238" spans="13:19">
      <c r="M238" s="4"/>
      <c r="N238" s="248"/>
      <c r="O238" s="4"/>
      <c r="P238" s="4"/>
      <c r="Q238" s="248"/>
      <c r="R238" s="4"/>
      <c r="S238" s="4"/>
    </row>
    <row r="239" spans="13:19">
      <c r="M239" s="4"/>
      <c r="N239" s="248"/>
      <c r="O239" s="4"/>
      <c r="P239" s="4"/>
      <c r="Q239" s="248"/>
      <c r="R239" s="4"/>
      <c r="S239" s="4"/>
    </row>
    <row r="240" spans="13:19">
      <c r="M240" s="4"/>
      <c r="N240" s="248"/>
      <c r="O240" s="4"/>
      <c r="P240" s="4"/>
      <c r="Q240" s="248"/>
      <c r="R240" s="4"/>
      <c r="S240" s="4"/>
    </row>
    <row r="241" spans="13:19">
      <c r="M241" s="4"/>
      <c r="N241" s="248"/>
      <c r="O241" s="4"/>
      <c r="P241" s="4"/>
      <c r="Q241" s="248"/>
      <c r="R241" s="4"/>
      <c r="S241" s="4"/>
    </row>
    <row r="242" spans="13:19">
      <c r="M242" s="4"/>
      <c r="N242" s="248"/>
      <c r="O242" s="4"/>
      <c r="P242" s="4"/>
      <c r="Q242" s="248"/>
      <c r="R242" s="4"/>
      <c r="S242" s="4"/>
    </row>
    <row r="243" spans="13:19">
      <c r="M243" s="4"/>
      <c r="N243" s="248"/>
      <c r="O243" s="4"/>
      <c r="P243" s="4"/>
      <c r="Q243" s="248"/>
      <c r="R243" s="4"/>
      <c r="S243" s="4"/>
    </row>
    <row r="244" spans="13:19">
      <c r="M244" s="4"/>
      <c r="N244" s="248"/>
      <c r="O244" s="4"/>
      <c r="P244" s="4"/>
      <c r="Q244" s="248"/>
      <c r="R244" s="4"/>
      <c r="S244" s="4"/>
    </row>
    <row r="245" spans="13:19">
      <c r="M245" s="4"/>
      <c r="N245" s="248"/>
      <c r="O245" s="4"/>
      <c r="P245" s="4"/>
      <c r="Q245" s="248"/>
      <c r="R245" s="4"/>
      <c r="S245" s="4"/>
    </row>
    <row r="246" spans="13:19">
      <c r="M246" s="4"/>
      <c r="N246" s="248"/>
      <c r="O246" s="4"/>
      <c r="P246" s="4"/>
      <c r="Q246" s="248"/>
      <c r="R246" s="4"/>
      <c r="S246" s="4"/>
    </row>
    <row r="247" spans="13:19">
      <c r="M247" s="4"/>
      <c r="N247" s="248"/>
      <c r="O247" s="4"/>
      <c r="P247" s="4"/>
      <c r="Q247" s="248"/>
      <c r="R247" s="4"/>
      <c r="S247" s="4"/>
    </row>
    <row r="248" spans="13:19">
      <c r="M248" s="4"/>
      <c r="N248" s="248"/>
      <c r="O248" s="4"/>
      <c r="P248" s="4"/>
      <c r="Q248" s="248"/>
      <c r="R248" s="4"/>
      <c r="S248" s="4"/>
    </row>
    <row r="249" spans="13:19">
      <c r="M249" s="4"/>
      <c r="N249" s="248"/>
      <c r="O249" s="4"/>
      <c r="P249" s="4"/>
      <c r="Q249" s="248"/>
      <c r="R249" s="4"/>
      <c r="S249" s="4"/>
    </row>
    <row r="250" spans="13:19">
      <c r="M250" s="4"/>
      <c r="N250" s="248"/>
      <c r="O250" s="4"/>
      <c r="P250" s="4"/>
      <c r="Q250" s="248"/>
      <c r="R250" s="4"/>
      <c r="S250" s="4"/>
    </row>
    <row r="251" spans="13:19">
      <c r="M251" s="4"/>
      <c r="N251" s="248"/>
      <c r="O251" s="4"/>
      <c r="P251" s="4"/>
      <c r="Q251" s="248"/>
      <c r="R251" s="4"/>
      <c r="S251" s="4"/>
    </row>
    <row r="252" spans="13:19">
      <c r="M252" s="4"/>
      <c r="N252" s="248"/>
      <c r="O252" s="4"/>
      <c r="P252" s="4"/>
      <c r="Q252" s="248"/>
      <c r="R252" s="4"/>
      <c r="S252" s="4"/>
    </row>
    <row r="253" spans="13:19">
      <c r="M253" s="4"/>
      <c r="N253" s="248"/>
      <c r="O253" s="4"/>
      <c r="P253" s="4"/>
      <c r="Q253" s="248"/>
      <c r="R253" s="4"/>
      <c r="S253" s="4"/>
    </row>
    <row r="254" spans="13:19">
      <c r="M254" s="4"/>
      <c r="N254" s="248"/>
      <c r="O254" s="4"/>
      <c r="P254" s="4"/>
      <c r="Q254" s="248"/>
      <c r="R254" s="4"/>
      <c r="S254" s="4"/>
    </row>
    <row r="255" spans="13:19">
      <c r="M255" s="4"/>
      <c r="N255" s="248"/>
      <c r="O255" s="4"/>
      <c r="P255" s="4"/>
      <c r="Q255" s="248"/>
      <c r="R255" s="4"/>
      <c r="S255" s="4"/>
    </row>
    <row r="256" spans="13:19">
      <c r="M256" s="4"/>
      <c r="N256" s="248"/>
      <c r="O256" s="4"/>
      <c r="P256" s="4"/>
      <c r="Q256" s="248"/>
      <c r="R256" s="4"/>
      <c r="S256" s="4"/>
    </row>
    <row r="257" spans="13:19">
      <c r="M257" s="4"/>
      <c r="N257" s="248"/>
      <c r="O257" s="4"/>
      <c r="P257" s="4"/>
      <c r="Q257" s="248"/>
      <c r="R257" s="4"/>
      <c r="S257" s="4"/>
    </row>
    <row r="258" spans="13:19">
      <c r="M258" s="4"/>
      <c r="N258" s="248"/>
      <c r="O258" s="4"/>
      <c r="P258" s="4"/>
      <c r="Q258" s="248"/>
      <c r="R258" s="4"/>
      <c r="S258" s="4"/>
    </row>
    <row r="259" spans="13:19">
      <c r="M259" s="4"/>
      <c r="N259" s="248"/>
      <c r="O259" s="4"/>
      <c r="P259" s="4"/>
      <c r="Q259" s="248"/>
      <c r="R259" s="4"/>
      <c r="S259" s="4"/>
    </row>
    <row r="260" spans="13:19">
      <c r="M260" s="4"/>
      <c r="N260" s="248"/>
      <c r="O260" s="4"/>
      <c r="P260" s="4"/>
      <c r="Q260" s="248"/>
      <c r="R260" s="4"/>
      <c r="S260" s="4"/>
    </row>
    <row r="261" spans="13:19">
      <c r="M261" s="4"/>
      <c r="N261" s="248"/>
      <c r="O261" s="4"/>
      <c r="P261" s="4"/>
      <c r="Q261" s="248"/>
      <c r="R261" s="4"/>
      <c r="S261" s="4"/>
    </row>
    <row r="262" spans="13:19">
      <c r="M262" s="4"/>
      <c r="N262" s="248"/>
      <c r="O262" s="4"/>
      <c r="P262" s="4"/>
      <c r="Q262" s="248"/>
      <c r="R262" s="4"/>
      <c r="S262" s="4"/>
    </row>
    <row r="263" spans="13:19">
      <c r="M263" s="4"/>
      <c r="N263" s="248"/>
      <c r="O263" s="4"/>
      <c r="P263" s="4"/>
      <c r="Q263" s="248"/>
      <c r="R263" s="4"/>
      <c r="S263" s="4"/>
    </row>
    <row r="264" spans="13:19">
      <c r="M264" s="4"/>
      <c r="N264" s="248"/>
      <c r="O264" s="4"/>
      <c r="P264" s="4"/>
      <c r="Q264" s="248"/>
      <c r="R264" s="4"/>
      <c r="S264" s="4"/>
    </row>
    <row r="265" spans="13:19">
      <c r="M265" s="4"/>
      <c r="N265" s="248"/>
      <c r="O265" s="4"/>
      <c r="P265" s="4"/>
      <c r="Q265" s="248"/>
      <c r="R265" s="4"/>
      <c r="S265" s="4"/>
    </row>
    <row r="266" spans="13:19">
      <c r="M266" s="4"/>
      <c r="N266" s="248"/>
      <c r="O266" s="4"/>
      <c r="P266" s="4"/>
      <c r="Q266" s="248"/>
      <c r="R266" s="4"/>
      <c r="S266" s="4"/>
    </row>
    <row r="267" spans="13:19">
      <c r="M267" s="4"/>
      <c r="N267" s="248"/>
      <c r="O267" s="4"/>
      <c r="P267" s="4"/>
      <c r="Q267" s="248"/>
      <c r="R267" s="4"/>
      <c r="S267" s="4"/>
    </row>
    <row r="268" spans="13:19">
      <c r="M268" s="4"/>
      <c r="N268" s="248"/>
      <c r="O268" s="4"/>
      <c r="P268" s="4"/>
      <c r="Q268" s="248"/>
      <c r="R268" s="4"/>
      <c r="S268" s="4"/>
    </row>
    <row r="269" spans="13:19">
      <c r="M269" s="4"/>
      <c r="N269" s="248"/>
      <c r="O269" s="4"/>
      <c r="P269" s="4"/>
      <c r="Q269" s="248"/>
      <c r="R269" s="4"/>
      <c r="S269" s="4"/>
    </row>
    <row r="270" spans="13:19">
      <c r="M270" s="4"/>
      <c r="N270" s="248"/>
      <c r="O270" s="4"/>
      <c r="P270" s="4"/>
      <c r="Q270" s="248"/>
      <c r="R270" s="4"/>
      <c r="S270" s="4"/>
    </row>
    <row r="271" spans="13:19">
      <c r="M271" s="4"/>
      <c r="N271" s="248"/>
      <c r="O271" s="4"/>
      <c r="P271" s="4"/>
      <c r="Q271" s="248"/>
      <c r="R271" s="4"/>
      <c r="S271" s="4"/>
    </row>
    <row r="272" spans="13:19">
      <c r="M272" s="4"/>
      <c r="N272" s="248"/>
      <c r="O272" s="4"/>
      <c r="P272" s="4"/>
      <c r="Q272" s="248"/>
      <c r="R272" s="4"/>
      <c r="S272" s="4"/>
    </row>
    <row r="273" spans="13:19">
      <c r="M273" s="4"/>
      <c r="N273" s="248"/>
      <c r="O273" s="4"/>
      <c r="P273" s="4"/>
      <c r="Q273" s="248"/>
      <c r="R273" s="4"/>
      <c r="S273" s="4"/>
    </row>
    <row r="274" spans="13:19">
      <c r="M274" s="4"/>
      <c r="N274" s="248"/>
      <c r="O274" s="4"/>
      <c r="P274" s="4"/>
      <c r="Q274" s="248"/>
      <c r="R274" s="4"/>
      <c r="S274" s="4"/>
    </row>
    <row r="275" spans="13:19">
      <c r="M275" s="4"/>
      <c r="N275" s="248"/>
      <c r="O275" s="4"/>
      <c r="P275" s="4"/>
      <c r="Q275" s="248"/>
      <c r="R275" s="4"/>
      <c r="S275" s="4"/>
    </row>
    <row r="276" spans="13:19">
      <c r="M276" s="4"/>
      <c r="N276" s="248"/>
      <c r="O276" s="4"/>
      <c r="P276" s="4"/>
      <c r="Q276" s="248"/>
      <c r="R276" s="4"/>
      <c r="S276" s="4"/>
    </row>
    <row r="277" spans="13:19">
      <c r="M277" s="4"/>
      <c r="N277" s="248"/>
      <c r="O277" s="4"/>
      <c r="P277" s="4"/>
      <c r="Q277" s="248"/>
      <c r="R277" s="4"/>
      <c r="S277" s="4"/>
    </row>
    <row r="278" spans="13:19">
      <c r="M278" s="4"/>
      <c r="N278" s="248"/>
      <c r="O278" s="4"/>
      <c r="P278" s="4"/>
      <c r="Q278" s="248"/>
      <c r="R278" s="4"/>
      <c r="S278" s="4"/>
    </row>
    <row r="279" spans="13:19">
      <c r="M279" s="4"/>
      <c r="N279" s="248"/>
      <c r="O279" s="4"/>
      <c r="P279" s="4"/>
      <c r="Q279" s="248"/>
      <c r="R279" s="4"/>
      <c r="S279" s="4"/>
    </row>
    <row r="280" spans="13:19">
      <c r="M280" s="4"/>
      <c r="N280" s="248"/>
      <c r="O280" s="4"/>
      <c r="P280" s="4"/>
      <c r="Q280" s="248"/>
      <c r="R280" s="4"/>
      <c r="S280" s="4"/>
    </row>
    <row r="281" spans="13:19">
      <c r="M281" s="4"/>
      <c r="N281" s="248"/>
      <c r="O281" s="4"/>
      <c r="P281" s="4"/>
      <c r="Q281" s="248"/>
      <c r="R281" s="4"/>
      <c r="S281" s="4"/>
    </row>
    <row r="282" spans="13:19">
      <c r="M282" s="4"/>
      <c r="N282" s="248"/>
      <c r="O282" s="4"/>
      <c r="P282" s="4"/>
      <c r="Q282" s="248"/>
      <c r="R282" s="4"/>
      <c r="S282" s="4"/>
    </row>
    <row r="283" spans="13:19">
      <c r="M283" s="4"/>
      <c r="N283" s="248"/>
      <c r="O283" s="4"/>
      <c r="P283" s="4"/>
      <c r="Q283" s="248"/>
      <c r="R283" s="4"/>
      <c r="S283" s="4"/>
    </row>
    <row r="284" spans="13:19">
      <c r="M284" s="4"/>
      <c r="N284" s="248"/>
      <c r="O284" s="4"/>
      <c r="P284" s="4"/>
      <c r="Q284" s="248"/>
      <c r="R284" s="4"/>
      <c r="S284" s="4"/>
    </row>
    <row r="285" spans="13:19">
      <c r="M285" s="4"/>
      <c r="N285" s="248"/>
      <c r="O285" s="4"/>
      <c r="P285" s="4"/>
      <c r="Q285" s="248"/>
      <c r="R285" s="4"/>
      <c r="S285" s="4"/>
    </row>
    <row r="286" spans="13:19">
      <c r="M286" s="4"/>
      <c r="N286" s="248"/>
      <c r="O286" s="4"/>
      <c r="P286" s="4"/>
      <c r="Q286" s="248"/>
      <c r="R286" s="4"/>
      <c r="S286" s="4"/>
    </row>
    <row r="287" spans="13:19">
      <c r="M287" s="4"/>
      <c r="N287" s="248"/>
      <c r="O287" s="4"/>
      <c r="P287" s="4"/>
      <c r="Q287" s="248"/>
      <c r="R287" s="4"/>
      <c r="S287" s="4"/>
    </row>
    <row r="288" spans="13:19">
      <c r="M288" s="4"/>
      <c r="N288" s="248"/>
      <c r="O288" s="4"/>
      <c r="P288" s="4"/>
      <c r="Q288" s="248"/>
      <c r="R288" s="4"/>
      <c r="S288" s="4"/>
    </row>
    <row r="289" spans="13:19">
      <c r="M289" s="4"/>
      <c r="N289" s="248"/>
      <c r="O289" s="4"/>
      <c r="P289" s="4"/>
      <c r="Q289" s="248"/>
      <c r="R289" s="4"/>
      <c r="S289" s="4"/>
    </row>
    <row r="290" spans="13:19">
      <c r="M290" s="4"/>
      <c r="N290" s="248"/>
      <c r="O290" s="4"/>
      <c r="P290" s="4"/>
      <c r="Q290" s="248"/>
      <c r="R290" s="4"/>
      <c r="S290" s="4"/>
    </row>
    <row r="291" spans="13:19">
      <c r="M291" s="4"/>
      <c r="N291" s="248"/>
      <c r="O291" s="4"/>
      <c r="P291" s="4"/>
      <c r="Q291" s="248"/>
      <c r="R291" s="4"/>
      <c r="S291" s="4"/>
    </row>
    <row r="292" spans="13:19">
      <c r="M292" s="4"/>
      <c r="N292" s="248"/>
      <c r="O292" s="4"/>
      <c r="P292" s="4"/>
      <c r="Q292" s="248"/>
      <c r="R292" s="4"/>
      <c r="S292" s="4"/>
    </row>
    <row r="293" spans="13:19">
      <c r="M293" s="4"/>
      <c r="N293" s="248"/>
      <c r="O293" s="4"/>
      <c r="P293" s="4"/>
      <c r="Q293" s="248"/>
      <c r="R293" s="4"/>
      <c r="S293" s="4"/>
    </row>
    <row r="294" spans="13:19">
      <c r="M294" s="4"/>
      <c r="N294" s="248"/>
      <c r="O294" s="4"/>
      <c r="P294" s="4"/>
      <c r="Q294" s="248"/>
      <c r="R294" s="4"/>
      <c r="S294" s="4"/>
    </row>
    <row r="295" spans="13:19">
      <c r="M295" s="4"/>
      <c r="N295" s="248"/>
      <c r="O295" s="4"/>
      <c r="P295" s="4"/>
      <c r="Q295" s="248"/>
      <c r="R295" s="4"/>
      <c r="S295" s="4"/>
    </row>
    <row r="296" spans="13:19">
      <c r="M296" s="4"/>
      <c r="N296" s="248"/>
      <c r="O296" s="4"/>
      <c r="P296" s="4"/>
      <c r="Q296" s="248"/>
      <c r="R296" s="4"/>
      <c r="S296" s="4"/>
    </row>
    <row r="297" spans="13:19">
      <c r="M297" s="4"/>
      <c r="N297" s="248"/>
      <c r="O297" s="4"/>
      <c r="P297" s="4"/>
      <c r="Q297" s="248"/>
      <c r="R297" s="4"/>
      <c r="S297" s="4"/>
    </row>
    <row r="298" spans="13:19">
      <c r="M298" s="4"/>
      <c r="N298" s="248"/>
      <c r="O298" s="4"/>
      <c r="P298" s="4"/>
      <c r="Q298" s="248"/>
      <c r="R298" s="4"/>
      <c r="S298" s="4"/>
    </row>
    <row r="299" spans="13:19">
      <c r="M299" s="4"/>
      <c r="N299" s="248"/>
      <c r="O299" s="4"/>
      <c r="P299" s="4"/>
      <c r="Q299" s="248"/>
      <c r="R299" s="4"/>
      <c r="S299" s="4"/>
    </row>
    <row r="300" spans="13:19">
      <c r="M300" s="4"/>
      <c r="N300" s="248"/>
      <c r="O300" s="4"/>
      <c r="P300" s="4"/>
      <c r="Q300" s="248"/>
      <c r="R300" s="4"/>
      <c r="S300" s="4"/>
    </row>
    <row r="301" spans="13:19">
      <c r="M301" s="4"/>
      <c r="N301" s="248"/>
      <c r="O301" s="4"/>
      <c r="P301" s="4"/>
      <c r="Q301" s="248"/>
      <c r="R301" s="4"/>
      <c r="S301" s="4"/>
    </row>
    <row r="302" spans="13:19">
      <c r="M302" s="4"/>
      <c r="N302" s="248"/>
      <c r="O302" s="4"/>
      <c r="P302" s="4"/>
      <c r="Q302" s="248"/>
      <c r="R302" s="4"/>
      <c r="S302" s="4"/>
    </row>
    <row r="303" spans="13:19">
      <c r="M303" s="4"/>
      <c r="N303" s="248"/>
      <c r="O303" s="4"/>
      <c r="P303" s="4"/>
      <c r="Q303" s="248"/>
      <c r="R303" s="4"/>
      <c r="S303" s="4"/>
    </row>
    <row r="304" spans="13:19">
      <c r="M304" s="4"/>
      <c r="N304" s="248"/>
      <c r="O304" s="4"/>
      <c r="P304" s="4"/>
      <c r="Q304" s="248"/>
      <c r="R304" s="4"/>
      <c r="S304" s="4"/>
    </row>
    <row r="305" spans="13:19">
      <c r="M305" s="4"/>
      <c r="N305" s="248"/>
      <c r="O305" s="4"/>
      <c r="P305" s="4"/>
      <c r="Q305" s="248"/>
      <c r="R305" s="4"/>
      <c r="S305" s="4"/>
    </row>
    <row r="306" spans="13:19">
      <c r="M306" s="4"/>
      <c r="N306" s="248"/>
      <c r="O306" s="4"/>
      <c r="P306" s="4"/>
      <c r="Q306" s="248"/>
      <c r="R306" s="4"/>
      <c r="S306" s="4"/>
    </row>
    <row r="307" spans="13:19">
      <c r="M307" s="4"/>
      <c r="N307" s="248"/>
      <c r="O307" s="4"/>
      <c r="P307" s="4"/>
      <c r="Q307" s="248"/>
      <c r="R307" s="4"/>
      <c r="S307" s="4"/>
    </row>
    <row r="308" spans="13:19">
      <c r="M308" s="4"/>
      <c r="N308" s="248"/>
      <c r="O308" s="4"/>
      <c r="P308" s="4"/>
      <c r="Q308" s="248"/>
      <c r="R308" s="4"/>
      <c r="S308" s="4"/>
    </row>
    <row r="309" spans="13:19">
      <c r="M309" s="4"/>
      <c r="N309" s="248"/>
      <c r="O309" s="4"/>
      <c r="P309" s="4"/>
      <c r="Q309" s="248"/>
      <c r="R309" s="4"/>
      <c r="S309" s="4"/>
    </row>
    <row r="310" spans="13:19">
      <c r="M310" s="4"/>
      <c r="N310" s="248"/>
      <c r="O310" s="4"/>
      <c r="P310" s="4"/>
      <c r="Q310" s="248"/>
      <c r="R310" s="4"/>
      <c r="S310" s="4"/>
    </row>
    <row r="311" spans="13:19">
      <c r="M311" s="4"/>
      <c r="N311" s="248"/>
      <c r="O311" s="4"/>
      <c r="P311" s="4"/>
      <c r="Q311" s="248"/>
      <c r="R311" s="4"/>
      <c r="S311" s="4"/>
    </row>
    <row r="312" spans="13:19">
      <c r="M312" s="4"/>
      <c r="N312" s="248"/>
      <c r="O312" s="4"/>
      <c r="P312" s="4"/>
      <c r="Q312" s="248"/>
      <c r="R312" s="4"/>
      <c r="S312" s="4"/>
    </row>
    <row r="313" spans="13:19">
      <c r="M313" s="4"/>
      <c r="N313" s="248"/>
      <c r="O313" s="4"/>
      <c r="P313" s="4"/>
      <c r="Q313" s="248"/>
      <c r="R313" s="4"/>
      <c r="S313" s="4"/>
    </row>
    <row r="314" spans="13:19">
      <c r="M314" s="4"/>
      <c r="N314" s="248"/>
      <c r="O314" s="4"/>
      <c r="P314" s="4"/>
      <c r="Q314" s="248"/>
      <c r="R314" s="4"/>
      <c r="S314" s="4"/>
    </row>
    <row r="315" spans="13:19">
      <c r="M315" s="4"/>
      <c r="N315" s="248"/>
      <c r="O315" s="4"/>
      <c r="P315" s="4"/>
      <c r="Q315" s="248"/>
      <c r="R315" s="4"/>
      <c r="S315" s="4"/>
    </row>
    <row r="316" spans="13:19">
      <c r="M316" s="4"/>
      <c r="N316" s="248"/>
      <c r="O316" s="4"/>
      <c r="P316" s="4"/>
      <c r="Q316" s="248"/>
      <c r="R316" s="4"/>
      <c r="S316" s="4"/>
    </row>
    <row r="317" spans="13:19">
      <c r="M317" s="4"/>
      <c r="N317" s="248"/>
      <c r="O317" s="4"/>
      <c r="P317" s="4"/>
      <c r="Q317" s="248"/>
      <c r="R317" s="4"/>
      <c r="S317" s="4"/>
    </row>
    <row r="318" spans="13:19">
      <c r="M318" s="4"/>
      <c r="N318" s="248"/>
      <c r="O318" s="4"/>
      <c r="P318" s="4"/>
      <c r="Q318" s="248"/>
      <c r="R318" s="4"/>
      <c r="S318" s="4"/>
    </row>
    <row r="319" spans="13:19">
      <c r="M319" s="4"/>
      <c r="N319" s="248"/>
      <c r="O319" s="4"/>
      <c r="P319" s="4"/>
      <c r="Q319" s="248"/>
      <c r="R319" s="4"/>
      <c r="S319" s="4"/>
    </row>
    <row r="320" spans="13:19">
      <c r="M320" s="4"/>
      <c r="N320" s="248"/>
      <c r="O320" s="4"/>
      <c r="P320" s="4"/>
      <c r="Q320" s="248"/>
      <c r="R320" s="4"/>
      <c r="S320" s="4"/>
    </row>
    <row r="321" spans="13:19">
      <c r="M321" s="4"/>
      <c r="N321" s="248"/>
      <c r="O321" s="4"/>
      <c r="P321" s="4"/>
      <c r="Q321" s="248"/>
      <c r="R321" s="4"/>
      <c r="S321" s="4"/>
    </row>
    <row r="322" spans="13:19">
      <c r="M322" s="4"/>
      <c r="N322" s="248"/>
      <c r="O322" s="4"/>
      <c r="P322" s="4"/>
      <c r="Q322" s="248"/>
      <c r="R322" s="4"/>
      <c r="S322" s="4"/>
    </row>
    <row r="323" spans="13:19">
      <c r="M323" s="4"/>
      <c r="N323" s="248"/>
      <c r="O323" s="4"/>
      <c r="P323" s="4"/>
      <c r="Q323" s="248"/>
      <c r="R323" s="4"/>
      <c r="S323" s="4"/>
    </row>
    <row r="324" spans="13:19">
      <c r="M324" s="4"/>
      <c r="N324" s="248"/>
      <c r="O324" s="4"/>
      <c r="P324" s="4"/>
      <c r="Q324" s="248"/>
      <c r="R324" s="4"/>
      <c r="S324" s="4"/>
    </row>
    <row r="325" spans="13:19">
      <c r="M325" s="4"/>
      <c r="N325" s="248"/>
      <c r="O325" s="4"/>
      <c r="P325" s="4"/>
      <c r="Q325" s="248"/>
      <c r="R325" s="4"/>
      <c r="S325" s="4"/>
    </row>
    <row r="326" spans="13:19">
      <c r="M326" s="4"/>
      <c r="N326" s="248"/>
      <c r="O326" s="4"/>
      <c r="P326" s="4"/>
      <c r="Q326" s="248"/>
      <c r="R326" s="4"/>
      <c r="S326" s="4"/>
    </row>
    <row r="327" spans="13:19">
      <c r="M327" s="4"/>
      <c r="N327" s="248"/>
      <c r="O327" s="4"/>
      <c r="P327" s="4"/>
      <c r="Q327" s="248"/>
      <c r="R327" s="4"/>
      <c r="S327" s="4"/>
    </row>
    <row r="328" spans="13:19">
      <c r="M328" s="4"/>
      <c r="N328" s="248"/>
      <c r="O328" s="4"/>
      <c r="P328" s="4"/>
      <c r="Q328" s="248"/>
      <c r="R328" s="4"/>
      <c r="S328" s="4"/>
    </row>
    <row r="329" spans="13:19">
      <c r="M329" s="4"/>
      <c r="N329" s="248"/>
      <c r="O329" s="4"/>
      <c r="P329" s="4"/>
      <c r="Q329" s="248"/>
      <c r="R329" s="4"/>
      <c r="S329" s="4"/>
    </row>
    <row r="330" spans="13:19">
      <c r="M330" s="4"/>
      <c r="N330" s="248"/>
      <c r="O330" s="4"/>
      <c r="P330" s="4"/>
      <c r="Q330" s="248"/>
      <c r="R330" s="4"/>
      <c r="S330" s="4"/>
    </row>
    <row r="331" spans="13:19">
      <c r="M331" s="4"/>
      <c r="N331" s="248"/>
      <c r="O331" s="4"/>
      <c r="P331" s="4"/>
      <c r="Q331" s="248"/>
      <c r="R331" s="4"/>
      <c r="S331" s="4"/>
    </row>
    <row r="332" spans="13:19">
      <c r="M332" s="4"/>
      <c r="N332" s="248"/>
      <c r="O332" s="4"/>
      <c r="P332" s="4"/>
      <c r="Q332" s="248"/>
      <c r="R332" s="4"/>
      <c r="S332" s="4"/>
    </row>
    <row r="333" spans="13:19">
      <c r="M333" s="4"/>
      <c r="N333" s="248"/>
      <c r="O333" s="4"/>
      <c r="P333" s="4"/>
      <c r="Q333" s="248"/>
      <c r="R333" s="4"/>
      <c r="S333" s="4"/>
    </row>
    <row r="334" spans="13:19">
      <c r="M334" s="4"/>
      <c r="N334" s="248"/>
      <c r="O334" s="4"/>
      <c r="P334" s="4"/>
      <c r="Q334" s="248"/>
      <c r="R334" s="4"/>
      <c r="S334" s="4"/>
    </row>
    <row r="335" spans="13:19">
      <c r="M335" s="4"/>
      <c r="N335" s="248"/>
      <c r="O335" s="4"/>
      <c r="P335" s="4"/>
      <c r="Q335" s="248"/>
      <c r="R335" s="4"/>
      <c r="S335" s="4"/>
    </row>
    <row r="336" spans="13:19">
      <c r="M336" s="4"/>
      <c r="N336" s="248"/>
      <c r="O336" s="4"/>
      <c r="P336" s="4"/>
      <c r="Q336" s="248"/>
      <c r="R336" s="4"/>
      <c r="S336" s="4"/>
    </row>
    <row r="337" spans="13:19">
      <c r="M337" s="4"/>
      <c r="N337" s="248"/>
      <c r="O337" s="4"/>
      <c r="P337" s="4"/>
      <c r="Q337" s="248"/>
      <c r="R337" s="4"/>
      <c r="S337" s="4"/>
    </row>
    <row r="338" spans="13:19">
      <c r="M338" s="4"/>
      <c r="N338" s="248"/>
      <c r="O338" s="4"/>
      <c r="P338" s="4"/>
      <c r="Q338" s="248"/>
      <c r="R338" s="4"/>
      <c r="S338" s="4"/>
    </row>
    <row r="339" spans="13:19">
      <c r="M339" s="4"/>
      <c r="N339" s="248"/>
      <c r="O339" s="4"/>
      <c r="P339" s="4"/>
      <c r="Q339" s="248"/>
      <c r="R339" s="4"/>
      <c r="S339" s="4"/>
    </row>
    <row r="340" spans="13:19">
      <c r="M340" s="4"/>
      <c r="N340" s="248"/>
      <c r="O340" s="4"/>
      <c r="P340" s="4"/>
      <c r="Q340" s="248"/>
      <c r="R340" s="4"/>
      <c r="S340" s="4"/>
    </row>
    <row r="341" spans="13:19">
      <c r="M341" s="4"/>
      <c r="N341" s="248"/>
      <c r="O341" s="4"/>
      <c r="P341" s="4"/>
      <c r="Q341" s="248"/>
      <c r="R341" s="4"/>
      <c r="S341" s="4"/>
    </row>
    <row r="342" spans="13:19">
      <c r="M342" s="4"/>
      <c r="N342" s="248"/>
      <c r="O342" s="4"/>
      <c r="P342" s="4"/>
      <c r="Q342" s="248"/>
      <c r="R342" s="4"/>
      <c r="S342" s="4"/>
    </row>
    <row r="343" spans="13:19">
      <c r="M343" s="4"/>
      <c r="N343" s="248"/>
      <c r="O343" s="4"/>
      <c r="P343" s="4"/>
      <c r="Q343" s="248"/>
      <c r="R343" s="4"/>
      <c r="S343" s="4"/>
    </row>
    <row r="344" spans="13:19">
      <c r="M344" s="4"/>
      <c r="N344" s="248"/>
      <c r="O344" s="4"/>
      <c r="P344" s="4"/>
      <c r="Q344" s="248"/>
      <c r="R344" s="4"/>
      <c r="S344" s="4"/>
    </row>
    <row r="345" spans="13:19">
      <c r="M345" s="4"/>
      <c r="N345" s="248"/>
      <c r="O345" s="4"/>
      <c r="P345" s="4"/>
      <c r="Q345" s="248"/>
      <c r="R345" s="4"/>
      <c r="S345" s="4"/>
    </row>
    <row r="346" spans="13:19">
      <c r="M346" s="4"/>
      <c r="N346" s="248"/>
      <c r="O346" s="4"/>
      <c r="P346" s="4"/>
      <c r="Q346" s="248"/>
      <c r="R346" s="4"/>
      <c r="S346" s="4"/>
    </row>
    <row r="347" spans="13:19">
      <c r="M347" s="4"/>
      <c r="N347" s="248"/>
      <c r="O347" s="4"/>
      <c r="P347" s="4"/>
      <c r="Q347" s="248"/>
      <c r="R347" s="4"/>
      <c r="S347" s="4"/>
    </row>
    <row r="348" spans="13:19">
      <c r="M348" s="4"/>
      <c r="N348" s="248"/>
      <c r="O348" s="4"/>
      <c r="P348" s="4"/>
      <c r="Q348" s="248"/>
      <c r="R348" s="4"/>
      <c r="S348" s="4"/>
    </row>
    <row r="349" spans="13:19">
      <c r="M349" s="4"/>
      <c r="N349" s="248"/>
      <c r="O349" s="4"/>
      <c r="P349" s="4"/>
      <c r="Q349" s="248"/>
      <c r="R349" s="4"/>
      <c r="S349" s="4"/>
    </row>
    <row r="350" spans="13:19">
      <c r="M350" s="4"/>
      <c r="N350" s="248"/>
      <c r="O350" s="4"/>
      <c r="P350" s="4"/>
      <c r="Q350" s="248"/>
      <c r="R350" s="4"/>
      <c r="S350" s="4"/>
    </row>
    <row r="351" spans="13:19">
      <c r="M351" s="4"/>
      <c r="N351" s="248"/>
      <c r="O351" s="4"/>
      <c r="P351" s="4"/>
      <c r="Q351" s="248"/>
      <c r="R351" s="4"/>
      <c r="S351" s="4"/>
    </row>
    <row r="352" spans="13:19">
      <c r="M352" s="4"/>
      <c r="N352" s="248"/>
      <c r="O352" s="4"/>
      <c r="P352" s="4"/>
      <c r="Q352" s="248"/>
      <c r="R352" s="4"/>
      <c r="S352" s="4"/>
    </row>
    <row r="353" spans="13:19">
      <c r="M353" s="4"/>
      <c r="N353" s="248"/>
      <c r="O353" s="4"/>
      <c r="P353" s="4"/>
      <c r="Q353" s="248"/>
      <c r="R353" s="4"/>
      <c r="S353" s="4"/>
    </row>
    <row r="354" spans="13:19">
      <c r="M354" s="4"/>
      <c r="N354" s="248"/>
      <c r="O354" s="4"/>
      <c r="P354" s="4"/>
      <c r="Q354" s="248"/>
      <c r="R354" s="4"/>
      <c r="S354" s="4"/>
    </row>
    <row r="355" spans="13:19">
      <c r="M355" s="4"/>
      <c r="N355" s="248"/>
      <c r="O355" s="4"/>
      <c r="P355" s="4"/>
      <c r="Q355" s="248"/>
      <c r="R355" s="4"/>
      <c r="S355" s="4"/>
    </row>
    <row r="356" spans="13:19">
      <c r="M356" s="4"/>
      <c r="N356" s="248"/>
      <c r="O356" s="4"/>
      <c r="P356" s="4"/>
      <c r="Q356" s="248"/>
      <c r="R356" s="4"/>
      <c r="S356" s="4"/>
    </row>
    <row r="357" spans="13:19">
      <c r="M357" s="4"/>
      <c r="N357" s="248"/>
      <c r="O357" s="4"/>
      <c r="P357" s="4"/>
      <c r="Q357" s="248"/>
      <c r="R357" s="4"/>
      <c r="S357" s="4"/>
    </row>
    <row r="358" spans="13:19">
      <c r="M358" s="4"/>
      <c r="N358" s="248"/>
      <c r="O358" s="4"/>
      <c r="P358" s="4"/>
      <c r="Q358" s="248"/>
      <c r="R358" s="4"/>
      <c r="S358" s="4"/>
    </row>
    <row r="359" spans="13:19">
      <c r="M359" s="4"/>
      <c r="N359" s="248"/>
      <c r="O359" s="4"/>
      <c r="P359" s="4"/>
      <c r="Q359" s="248"/>
      <c r="R359" s="4"/>
      <c r="S359" s="4"/>
    </row>
    <row r="360" spans="13:19">
      <c r="M360" s="4"/>
      <c r="N360" s="248"/>
      <c r="O360" s="4"/>
      <c r="P360" s="4"/>
      <c r="Q360" s="248"/>
      <c r="R360" s="4"/>
      <c r="S360" s="4"/>
    </row>
    <row r="361" spans="13:19">
      <c r="M361" s="4"/>
      <c r="N361" s="248"/>
      <c r="O361" s="4"/>
      <c r="P361" s="4"/>
      <c r="Q361" s="248"/>
      <c r="R361" s="4"/>
      <c r="S361" s="4"/>
    </row>
    <row r="362" spans="13:19">
      <c r="M362" s="4"/>
      <c r="N362" s="248"/>
      <c r="O362" s="4"/>
      <c r="P362" s="4"/>
      <c r="Q362" s="248"/>
      <c r="R362" s="4"/>
      <c r="S362" s="4"/>
    </row>
    <row r="363" spans="13:19">
      <c r="M363" s="4"/>
      <c r="N363" s="248"/>
      <c r="O363" s="4"/>
      <c r="P363" s="4"/>
      <c r="Q363" s="248"/>
      <c r="R363" s="4"/>
      <c r="S363" s="4"/>
    </row>
    <row r="364" spans="13:19">
      <c r="M364" s="4"/>
      <c r="N364" s="248"/>
      <c r="O364" s="4"/>
      <c r="P364" s="4"/>
      <c r="Q364" s="248"/>
      <c r="R364" s="4"/>
      <c r="S364" s="4"/>
    </row>
    <row r="365" spans="13:19">
      <c r="M365" s="4"/>
      <c r="N365" s="248"/>
      <c r="O365" s="4"/>
      <c r="P365" s="4"/>
      <c r="Q365" s="248"/>
      <c r="R365" s="4"/>
      <c r="S365" s="4"/>
    </row>
    <row r="366" spans="13:19">
      <c r="M366" s="4"/>
      <c r="N366" s="248"/>
      <c r="O366" s="4"/>
      <c r="P366" s="4"/>
      <c r="Q366" s="248"/>
      <c r="R366" s="4"/>
      <c r="S366" s="4"/>
    </row>
    <row r="367" spans="13:19">
      <c r="M367" s="4"/>
      <c r="N367" s="248"/>
      <c r="O367" s="4"/>
      <c r="P367" s="4"/>
      <c r="Q367" s="248"/>
      <c r="R367" s="4"/>
      <c r="S367" s="4"/>
    </row>
    <row r="368" spans="13:19">
      <c r="M368" s="4"/>
      <c r="N368" s="248"/>
      <c r="O368" s="4"/>
      <c r="P368" s="4"/>
      <c r="Q368" s="248"/>
      <c r="R368" s="4"/>
      <c r="S368" s="4"/>
    </row>
    <row r="369" spans="13:19">
      <c r="M369" s="4"/>
      <c r="N369" s="248"/>
      <c r="O369" s="4"/>
      <c r="P369" s="4"/>
      <c r="Q369" s="248"/>
      <c r="R369" s="4"/>
      <c r="S369" s="4"/>
    </row>
    <row r="370" spans="13:19">
      <c r="M370" s="4"/>
      <c r="N370" s="248"/>
      <c r="O370" s="4"/>
      <c r="P370" s="4"/>
      <c r="Q370" s="248"/>
      <c r="R370" s="4"/>
      <c r="S370" s="4"/>
    </row>
    <row r="371" spans="13:19">
      <c r="M371" s="4"/>
      <c r="N371" s="248"/>
      <c r="O371" s="4"/>
      <c r="P371" s="4"/>
      <c r="Q371" s="248"/>
      <c r="R371" s="4"/>
      <c r="S371" s="4"/>
    </row>
    <row r="372" spans="13:19">
      <c r="M372" s="4"/>
      <c r="N372" s="248"/>
      <c r="O372" s="4"/>
      <c r="P372" s="4"/>
      <c r="Q372" s="248"/>
      <c r="R372" s="4"/>
      <c r="S372" s="4"/>
    </row>
    <row r="373" spans="13:19">
      <c r="M373" s="4"/>
      <c r="N373" s="248"/>
      <c r="O373" s="4"/>
      <c r="P373" s="4"/>
      <c r="Q373" s="248"/>
      <c r="R373" s="4"/>
      <c r="S373" s="4"/>
    </row>
    <row r="374" spans="13:19">
      <c r="M374" s="4"/>
      <c r="N374" s="248"/>
      <c r="O374" s="4"/>
      <c r="P374" s="4"/>
      <c r="Q374" s="248"/>
      <c r="R374" s="4"/>
      <c r="S374" s="4"/>
    </row>
    <row r="375" spans="13:19">
      <c r="M375" s="4"/>
      <c r="N375" s="248"/>
      <c r="O375" s="4"/>
      <c r="P375" s="4"/>
      <c r="Q375" s="248"/>
      <c r="R375" s="4"/>
      <c r="S375" s="4"/>
    </row>
    <row r="376" spans="13:19">
      <c r="M376" s="4"/>
      <c r="N376" s="248"/>
      <c r="O376" s="4"/>
      <c r="P376" s="4"/>
      <c r="Q376" s="248"/>
      <c r="R376" s="4"/>
      <c r="S376" s="4"/>
    </row>
    <row r="377" spans="13:19">
      <c r="M377" s="4"/>
      <c r="N377" s="248"/>
      <c r="O377" s="4"/>
      <c r="P377" s="4"/>
      <c r="Q377" s="248"/>
      <c r="R377" s="4"/>
      <c r="S377" s="4"/>
    </row>
    <row r="378" spans="13:19">
      <c r="M378" s="4"/>
      <c r="N378" s="248"/>
      <c r="O378" s="4"/>
      <c r="P378" s="4"/>
      <c r="Q378" s="248"/>
      <c r="R378" s="4"/>
      <c r="S378" s="4"/>
    </row>
    <row r="379" spans="13:19">
      <c r="M379" s="4"/>
      <c r="N379" s="248"/>
      <c r="O379" s="4"/>
      <c r="P379" s="4"/>
      <c r="Q379" s="248"/>
      <c r="R379" s="4"/>
      <c r="S379" s="4"/>
    </row>
    <row r="380" spans="13:19">
      <c r="M380" s="4"/>
      <c r="N380" s="248"/>
      <c r="O380" s="4"/>
      <c r="P380" s="4"/>
      <c r="Q380" s="248"/>
      <c r="R380" s="4"/>
      <c r="S380" s="4"/>
    </row>
    <row r="381" spans="13:19">
      <c r="M381" s="4"/>
      <c r="N381" s="248"/>
      <c r="O381" s="4"/>
      <c r="P381" s="4"/>
      <c r="Q381" s="248"/>
      <c r="R381" s="4"/>
      <c r="S381" s="4"/>
    </row>
    <row r="382" spans="13:19">
      <c r="M382" s="4"/>
      <c r="N382" s="248"/>
      <c r="O382" s="4"/>
      <c r="P382" s="4"/>
      <c r="Q382" s="248"/>
      <c r="R382" s="4"/>
      <c r="S382" s="4"/>
    </row>
    <row r="383" spans="13:19">
      <c r="M383" s="4"/>
      <c r="N383" s="248"/>
      <c r="O383" s="4"/>
      <c r="P383" s="4"/>
      <c r="Q383" s="248"/>
      <c r="R383" s="4"/>
      <c r="S383" s="4"/>
    </row>
    <row r="384" spans="13:19">
      <c r="M384" s="4"/>
      <c r="N384" s="248"/>
      <c r="O384" s="4"/>
      <c r="P384" s="4"/>
      <c r="Q384" s="248"/>
      <c r="R384" s="4"/>
      <c r="S384" s="4"/>
    </row>
    <row r="385" spans="13:19">
      <c r="M385" s="4"/>
      <c r="N385" s="248"/>
      <c r="O385" s="4"/>
      <c r="P385" s="4"/>
      <c r="Q385" s="248"/>
      <c r="R385" s="4"/>
      <c r="S385" s="4"/>
    </row>
    <row r="386" spans="13:19">
      <c r="M386" s="4"/>
      <c r="N386" s="248"/>
      <c r="O386" s="4"/>
      <c r="P386" s="4"/>
      <c r="Q386" s="248"/>
      <c r="R386" s="4"/>
      <c r="S386" s="4"/>
    </row>
    <row r="387" spans="13:19">
      <c r="M387" s="4"/>
      <c r="N387" s="248"/>
      <c r="O387" s="4"/>
      <c r="P387" s="4"/>
      <c r="Q387" s="248"/>
      <c r="R387" s="4"/>
      <c r="S387" s="4"/>
    </row>
    <row r="388" spans="13:19">
      <c r="M388" s="4"/>
      <c r="N388" s="248"/>
      <c r="O388" s="4"/>
      <c r="P388" s="4"/>
      <c r="Q388" s="248"/>
      <c r="R388" s="4"/>
      <c r="S388" s="4"/>
    </row>
    <row r="389" spans="13:19">
      <c r="M389" s="4"/>
      <c r="N389" s="248"/>
      <c r="O389" s="4"/>
      <c r="P389" s="4"/>
      <c r="Q389" s="248"/>
      <c r="R389" s="4"/>
      <c r="S389" s="4"/>
    </row>
    <row r="390" spans="13:19">
      <c r="M390" s="4"/>
      <c r="N390" s="248"/>
      <c r="O390" s="4"/>
      <c r="P390" s="4"/>
      <c r="Q390" s="248"/>
      <c r="R390" s="4"/>
      <c r="S390" s="4"/>
    </row>
    <row r="391" spans="13:19">
      <c r="M391" s="4"/>
      <c r="N391" s="248"/>
      <c r="O391" s="4"/>
      <c r="P391" s="4"/>
      <c r="Q391" s="248"/>
      <c r="R391" s="4"/>
      <c r="S391" s="4"/>
    </row>
    <row r="392" spans="13:19">
      <c r="M392" s="4"/>
      <c r="N392" s="248"/>
      <c r="O392" s="4"/>
      <c r="P392" s="4"/>
      <c r="Q392" s="248"/>
      <c r="R392" s="4"/>
      <c r="S392" s="4"/>
    </row>
    <row r="393" spans="13:19">
      <c r="M393" s="4"/>
      <c r="N393" s="248"/>
      <c r="O393" s="4"/>
      <c r="P393" s="4"/>
      <c r="Q393" s="248"/>
      <c r="R393" s="4"/>
      <c r="S393" s="4"/>
    </row>
    <row r="394" spans="13:19">
      <c r="M394" s="4"/>
      <c r="N394" s="248"/>
      <c r="O394" s="4"/>
      <c r="P394" s="4"/>
      <c r="Q394" s="248"/>
      <c r="R394" s="4"/>
      <c r="S394" s="4"/>
    </row>
    <row r="395" spans="13:19">
      <c r="M395" s="4"/>
      <c r="N395" s="248"/>
      <c r="O395" s="4"/>
      <c r="P395" s="4"/>
      <c r="Q395" s="248"/>
      <c r="R395" s="4"/>
      <c r="S395" s="4"/>
    </row>
    <row r="396" spans="13:19">
      <c r="M396" s="4"/>
      <c r="N396" s="248"/>
      <c r="O396" s="4"/>
      <c r="P396" s="4"/>
      <c r="Q396" s="248"/>
      <c r="R396" s="4"/>
      <c r="S396" s="4"/>
    </row>
    <row r="397" spans="13:19">
      <c r="M397" s="4"/>
      <c r="N397" s="248"/>
      <c r="O397" s="4"/>
      <c r="P397" s="4"/>
      <c r="Q397" s="248"/>
      <c r="R397" s="4"/>
      <c r="S397" s="4"/>
    </row>
    <row r="398" spans="13:19">
      <c r="M398" s="4"/>
      <c r="N398" s="248"/>
      <c r="O398" s="4"/>
      <c r="P398" s="4"/>
      <c r="Q398" s="248"/>
      <c r="R398" s="4"/>
      <c r="S398" s="4"/>
    </row>
    <row r="399" spans="13:19">
      <c r="M399" s="4"/>
      <c r="N399" s="248"/>
      <c r="O399" s="4"/>
      <c r="P399" s="4"/>
      <c r="Q399" s="248"/>
      <c r="R399" s="4"/>
      <c r="S399" s="4"/>
    </row>
    <row r="400" spans="13:19">
      <c r="M400" s="4"/>
      <c r="N400" s="248"/>
      <c r="O400" s="4"/>
      <c r="P400" s="4"/>
      <c r="Q400" s="248"/>
      <c r="R400" s="4"/>
      <c r="S400" s="4"/>
    </row>
    <row r="401" spans="13:19">
      <c r="M401" s="4"/>
      <c r="N401" s="248"/>
      <c r="O401" s="4"/>
      <c r="P401" s="4"/>
      <c r="Q401" s="248"/>
      <c r="R401" s="4"/>
      <c r="S401" s="4"/>
    </row>
    <row r="402" spans="13:19">
      <c r="M402" s="4"/>
      <c r="N402" s="248"/>
      <c r="O402" s="4"/>
      <c r="P402" s="4"/>
      <c r="Q402" s="248"/>
      <c r="R402" s="4"/>
      <c r="S402" s="4"/>
    </row>
    <row r="403" spans="13:19">
      <c r="M403" s="4"/>
      <c r="N403" s="248"/>
      <c r="O403" s="4"/>
      <c r="P403" s="4"/>
      <c r="Q403" s="248"/>
      <c r="R403" s="4"/>
      <c r="S403" s="4"/>
    </row>
    <row r="404" spans="13:19">
      <c r="M404" s="4"/>
      <c r="N404" s="248"/>
      <c r="O404" s="4"/>
      <c r="P404" s="4"/>
      <c r="Q404" s="248"/>
      <c r="R404" s="4"/>
      <c r="S404" s="4"/>
    </row>
    <row r="405" spans="13:19">
      <c r="M405" s="4"/>
      <c r="N405" s="248"/>
      <c r="O405" s="4"/>
      <c r="P405" s="4"/>
      <c r="Q405" s="248"/>
      <c r="R405" s="4"/>
      <c r="S405" s="4"/>
    </row>
    <row r="406" spans="13:19">
      <c r="M406" s="4"/>
      <c r="N406" s="248"/>
      <c r="O406" s="4"/>
      <c r="P406" s="4"/>
      <c r="Q406" s="248"/>
      <c r="R406" s="4"/>
      <c r="S406" s="4"/>
    </row>
    <row r="407" spans="13:19">
      <c r="M407" s="4"/>
      <c r="N407" s="248"/>
      <c r="O407" s="4"/>
      <c r="P407" s="4"/>
      <c r="Q407" s="248"/>
      <c r="R407" s="4"/>
      <c r="S407" s="4"/>
    </row>
    <row r="408" spans="13:19">
      <c r="M408" s="4"/>
      <c r="N408" s="248"/>
      <c r="O408" s="4"/>
      <c r="P408" s="4"/>
      <c r="Q408" s="248"/>
      <c r="R408" s="4"/>
      <c r="S408" s="4"/>
    </row>
    <row r="409" spans="13:19">
      <c r="M409" s="4"/>
      <c r="N409" s="248"/>
      <c r="O409" s="4"/>
      <c r="P409" s="4"/>
      <c r="Q409" s="248"/>
      <c r="R409" s="4"/>
      <c r="S409" s="4"/>
    </row>
    <row r="410" spans="13:19">
      <c r="M410" s="4"/>
      <c r="N410" s="248"/>
      <c r="O410" s="4"/>
      <c r="P410" s="4"/>
      <c r="Q410" s="248"/>
      <c r="R410" s="4"/>
      <c r="S410" s="4"/>
    </row>
    <row r="411" spans="13:19">
      <c r="M411" s="4"/>
      <c r="N411" s="248"/>
      <c r="O411" s="4"/>
      <c r="P411" s="4"/>
      <c r="Q411" s="248"/>
      <c r="R411" s="4"/>
      <c r="S411" s="4"/>
    </row>
    <row r="412" spans="13:19">
      <c r="M412" s="4"/>
      <c r="N412" s="248"/>
      <c r="O412" s="4"/>
      <c r="P412" s="4"/>
      <c r="Q412" s="248"/>
      <c r="R412" s="4"/>
      <c r="S412" s="4"/>
    </row>
    <row r="413" spans="13:19">
      <c r="M413" s="4"/>
      <c r="N413" s="248"/>
      <c r="O413" s="4"/>
      <c r="P413" s="4"/>
      <c r="Q413" s="248"/>
      <c r="R413" s="4"/>
      <c r="S413" s="4"/>
    </row>
    <row r="414" spans="13:19">
      <c r="M414" s="4"/>
      <c r="N414" s="248"/>
      <c r="O414" s="4"/>
      <c r="P414" s="4"/>
      <c r="Q414" s="248"/>
      <c r="R414" s="4"/>
      <c r="S414" s="4"/>
    </row>
    <row r="415" spans="13:19">
      <c r="M415" s="4"/>
      <c r="N415" s="248"/>
      <c r="O415" s="4"/>
      <c r="P415" s="4"/>
      <c r="Q415" s="248"/>
      <c r="R415" s="4"/>
      <c r="S415" s="4"/>
    </row>
    <row r="416" spans="13:19">
      <c r="M416" s="4"/>
      <c r="N416" s="248"/>
      <c r="O416" s="4"/>
      <c r="P416" s="4"/>
      <c r="Q416" s="248"/>
      <c r="R416" s="4"/>
      <c r="S416" s="4"/>
    </row>
    <row r="417" spans="13:19">
      <c r="M417" s="4"/>
      <c r="N417" s="248"/>
      <c r="O417" s="4"/>
      <c r="P417" s="4"/>
      <c r="Q417" s="248"/>
      <c r="R417" s="4"/>
      <c r="S417" s="4"/>
    </row>
    <row r="418" spans="13:19">
      <c r="M418" s="4"/>
      <c r="N418" s="248"/>
      <c r="O418" s="4"/>
      <c r="P418" s="4"/>
      <c r="Q418" s="248"/>
      <c r="R418" s="4"/>
      <c r="S418" s="4"/>
    </row>
    <row r="419" spans="13:19">
      <c r="M419" s="4"/>
      <c r="N419" s="248"/>
      <c r="O419" s="4"/>
      <c r="P419" s="4"/>
      <c r="Q419" s="248"/>
      <c r="R419" s="4"/>
      <c r="S419" s="4"/>
    </row>
    <row r="420" spans="13:19">
      <c r="M420" s="4"/>
      <c r="N420" s="248"/>
      <c r="O420" s="4"/>
      <c r="P420" s="4"/>
      <c r="Q420" s="248"/>
      <c r="R420" s="4"/>
      <c r="S420" s="4"/>
    </row>
    <row r="421" spans="13:19">
      <c r="M421" s="4"/>
      <c r="N421" s="248"/>
      <c r="O421" s="4"/>
      <c r="P421" s="4"/>
      <c r="Q421" s="248"/>
      <c r="R421" s="4"/>
      <c r="S421" s="4"/>
    </row>
    <row r="422" spans="13:19">
      <c r="M422" s="4"/>
      <c r="N422" s="248"/>
      <c r="O422" s="4"/>
      <c r="P422" s="4"/>
      <c r="Q422" s="248"/>
      <c r="R422" s="4"/>
      <c r="S422" s="4"/>
    </row>
    <row r="423" spans="13:19">
      <c r="M423" s="4"/>
      <c r="N423" s="248"/>
      <c r="O423" s="4"/>
      <c r="P423" s="4"/>
      <c r="Q423" s="248"/>
      <c r="R423" s="4"/>
      <c r="S423" s="4"/>
    </row>
    <row r="424" spans="13:19">
      <c r="M424" s="4"/>
      <c r="N424" s="248"/>
      <c r="O424" s="4"/>
      <c r="P424" s="4"/>
      <c r="Q424" s="248"/>
      <c r="R424" s="4"/>
      <c r="S424" s="4"/>
    </row>
    <row r="425" spans="13:19">
      <c r="M425" s="4"/>
      <c r="N425" s="248"/>
      <c r="O425" s="4"/>
      <c r="P425" s="4"/>
      <c r="Q425" s="248"/>
      <c r="R425" s="4"/>
      <c r="S425" s="4"/>
    </row>
    <row r="426" spans="13:19">
      <c r="M426" s="4"/>
      <c r="N426" s="248"/>
      <c r="O426" s="4"/>
      <c r="P426" s="4"/>
      <c r="Q426" s="248"/>
      <c r="R426" s="4"/>
      <c r="S426" s="4"/>
    </row>
    <row r="427" spans="13:19">
      <c r="M427" s="4"/>
      <c r="N427" s="248"/>
      <c r="O427" s="4"/>
      <c r="P427" s="4"/>
      <c r="Q427" s="248"/>
      <c r="R427" s="4"/>
      <c r="S427" s="4"/>
    </row>
    <row r="428" spans="13:19">
      <c r="M428" s="4"/>
      <c r="N428" s="248"/>
      <c r="O428" s="4"/>
      <c r="P428" s="4"/>
      <c r="Q428" s="248"/>
      <c r="R428" s="4"/>
      <c r="S428" s="4"/>
    </row>
    <row r="429" spans="13:19">
      <c r="M429" s="4"/>
      <c r="N429" s="248"/>
      <c r="O429" s="4"/>
      <c r="P429" s="4"/>
      <c r="Q429" s="248"/>
      <c r="R429" s="4"/>
      <c r="S429" s="4"/>
    </row>
    <row r="430" spans="13:19">
      <c r="M430" s="4"/>
      <c r="N430" s="248"/>
      <c r="O430" s="4"/>
      <c r="P430" s="4"/>
      <c r="Q430" s="248"/>
      <c r="R430" s="4"/>
      <c r="S430" s="4"/>
    </row>
    <row r="431" spans="13:19">
      <c r="M431" s="4"/>
      <c r="N431" s="248"/>
      <c r="O431" s="4"/>
      <c r="P431" s="4"/>
      <c r="Q431" s="248"/>
      <c r="R431" s="4"/>
      <c r="S431" s="4"/>
    </row>
    <row r="432" spans="13:19">
      <c r="M432" s="4"/>
      <c r="N432" s="248"/>
      <c r="O432" s="4"/>
      <c r="P432" s="4"/>
      <c r="Q432" s="248"/>
      <c r="R432" s="4"/>
      <c r="S432" s="4"/>
    </row>
    <row r="433" spans="13:19">
      <c r="M433" s="4"/>
      <c r="N433" s="248"/>
      <c r="O433" s="4"/>
      <c r="P433" s="4"/>
      <c r="Q433" s="248"/>
      <c r="R433" s="4"/>
      <c r="S433" s="4"/>
    </row>
    <row r="434" spans="13:19">
      <c r="M434" s="4"/>
      <c r="N434" s="248"/>
      <c r="O434" s="4"/>
      <c r="P434" s="4"/>
      <c r="Q434" s="248"/>
      <c r="R434" s="4"/>
      <c r="S434" s="4"/>
    </row>
    <row r="435" spans="13:19">
      <c r="M435" s="4"/>
      <c r="N435" s="248"/>
      <c r="O435" s="4"/>
      <c r="P435" s="4"/>
      <c r="Q435" s="248"/>
      <c r="R435" s="4"/>
      <c r="S435" s="4"/>
    </row>
    <row r="436" spans="13:19">
      <c r="M436" s="4"/>
      <c r="N436" s="248"/>
      <c r="O436" s="4"/>
      <c r="P436" s="4"/>
      <c r="Q436" s="248"/>
      <c r="R436" s="4"/>
      <c r="S436" s="4"/>
    </row>
    <row r="437" spans="13:19">
      <c r="M437" s="4"/>
      <c r="N437" s="248"/>
      <c r="O437" s="4"/>
      <c r="P437" s="4"/>
      <c r="Q437" s="248"/>
      <c r="R437" s="4"/>
      <c r="S437" s="4"/>
    </row>
    <row r="438" spans="13:19">
      <c r="M438" s="4"/>
      <c r="N438" s="248"/>
      <c r="O438" s="4"/>
      <c r="P438" s="4"/>
      <c r="Q438" s="248"/>
      <c r="R438" s="4"/>
      <c r="S438" s="4"/>
    </row>
    <row r="439" spans="13:19">
      <c r="M439" s="4"/>
      <c r="N439" s="248"/>
      <c r="O439" s="4"/>
      <c r="P439" s="4"/>
      <c r="Q439" s="248"/>
      <c r="R439" s="4"/>
      <c r="S439" s="4"/>
    </row>
    <row r="440" spans="13:19">
      <c r="M440" s="4"/>
      <c r="N440" s="248"/>
      <c r="O440" s="4"/>
      <c r="P440" s="4"/>
      <c r="Q440" s="248"/>
      <c r="R440" s="4"/>
      <c r="S440" s="4"/>
    </row>
    <row r="441" spans="13:19">
      <c r="M441" s="4"/>
      <c r="N441" s="248"/>
      <c r="O441" s="4"/>
      <c r="P441" s="4"/>
      <c r="Q441" s="248"/>
      <c r="R441" s="4"/>
      <c r="S441" s="4"/>
    </row>
    <row r="442" spans="13:19">
      <c r="M442" s="4"/>
      <c r="N442" s="248"/>
      <c r="O442" s="4"/>
      <c r="P442" s="4"/>
      <c r="Q442" s="248"/>
      <c r="R442" s="4"/>
      <c r="S442" s="4"/>
    </row>
    <row r="443" spans="13:19">
      <c r="M443" s="4"/>
      <c r="N443" s="248"/>
      <c r="O443" s="4"/>
      <c r="P443" s="4"/>
      <c r="Q443" s="248"/>
      <c r="R443" s="4"/>
      <c r="S443" s="4"/>
    </row>
    <row r="444" spans="13:19">
      <c r="M444" s="4"/>
      <c r="N444" s="248"/>
      <c r="O444" s="4"/>
      <c r="P444" s="4"/>
      <c r="Q444" s="248"/>
      <c r="R444" s="4"/>
      <c r="S444" s="4"/>
    </row>
    <row r="445" spans="13:19">
      <c r="M445" s="4"/>
      <c r="N445" s="248"/>
      <c r="O445" s="4"/>
      <c r="P445" s="4"/>
      <c r="Q445" s="248"/>
      <c r="R445" s="4"/>
      <c r="S445" s="4"/>
    </row>
    <row r="446" spans="13:19">
      <c r="M446" s="4"/>
      <c r="N446" s="248"/>
      <c r="O446" s="4"/>
      <c r="P446" s="4"/>
      <c r="Q446" s="248"/>
      <c r="R446" s="4"/>
      <c r="S446" s="4"/>
    </row>
    <row r="447" spans="13:19">
      <c r="M447" s="4"/>
      <c r="N447" s="248"/>
      <c r="O447" s="4"/>
      <c r="P447" s="4"/>
      <c r="Q447" s="248"/>
      <c r="R447" s="4"/>
      <c r="S447" s="4"/>
    </row>
    <row r="448" spans="13:19">
      <c r="M448" s="4"/>
      <c r="N448" s="248"/>
      <c r="O448" s="4"/>
      <c r="P448" s="4"/>
      <c r="Q448" s="248"/>
      <c r="R448" s="4"/>
      <c r="S448" s="4"/>
    </row>
    <row r="449" spans="13:19">
      <c r="M449" s="4"/>
      <c r="N449" s="248"/>
      <c r="O449" s="4"/>
      <c r="P449" s="4"/>
      <c r="Q449" s="248"/>
      <c r="R449" s="4"/>
      <c r="S449" s="4"/>
    </row>
    <row r="450" spans="13:19">
      <c r="M450" s="4"/>
      <c r="N450" s="248"/>
      <c r="O450" s="4"/>
      <c r="P450" s="4"/>
      <c r="Q450" s="248"/>
      <c r="R450" s="4"/>
      <c r="S450" s="4"/>
    </row>
    <row r="451" spans="13:19">
      <c r="M451" s="4"/>
      <c r="N451" s="248"/>
      <c r="O451" s="4"/>
      <c r="P451" s="4"/>
      <c r="Q451" s="248"/>
      <c r="R451" s="4"/>
      <c r="S451" s="4"/>
    </row>
    <row r="452" spans="13:19">
      <c r="M452" s="4"/>
      <c r="N452" s="248"/>
      <c r="O452" s="4"/>
      <c r="P452" s="4"/>
      <c r="Q452" s="248"/>
      <c r="R452" s="4"/>
      <c r="S452" s="4"/>
    </row>
    <row r="453" spans="13:19">
      <c r="M453" s="4"/>
      <c r="N453" s="248"/>
      <c r="O453" s="4"/>
      <c r="P453" s="4"/>
      <c r="Q453" s="248"/>
      <c r="R453" s="4"/>
      <c r="S453" s="4"/>
    </row>
    <row r="454" spans="13:19">
      <c r="M454" s="4"/>
      <c r="N454" s="248"/>
      <c r="O454" s="4"/>
      <c r="P454" s="4"/>
      <c r="Q454" s="248"/>
      <c r="R454" s="4"/>
      <c r="S454" s="4"/>
    </row>
    <row r="455" spans="13:19">
      <c r="M455" s="4"/>
      <c r="N455" s="248"/>
      <c r="O455" s="4"/>
      <c r="P455" s="4"/>
      <c r="Q455" s="248"/>
      <c r="R455" s="4"/>
      <c r="S455" s="4"/>
    </row>
    <row r="456" spans="13:19">
      <c r="M456" s="4"/>
      <c r="N456" s="248"/>
      <c r="O456" s="4"/>
      <c r="P456" s="4"/>
      <c r="Q456" s="248"/>
      <c r="R456" s="4"/>
      <c r="S456" s="4"/>
    </row>
    <row r="457" spans="13:19">
      <c r="M457" s="4"/>
      <c r="N457" s="248"/>
      <c r="O457" s="4"/>
      <c r="P457" s="4"/>
      <c r="Q457" s="248"/>
      <c r="R457" s="4"/>
      <c r="S457" s="4"/>
    </row>
    <row r="458" spans="13:19">
      <c r="M458" s="4"/>
      <c r="N458" s="248"/>
      <c r="O458" s="4"/>
      <c r="P458" s="4"/>
      <c r="Q458" s="248"/>
      <c r="R458" s="4"/>
      <c r="S458" s="4"/>
    </row>
    <row r="459" spans="13:19">
      <c r="M459" s="4"/>
      <c r="N459" s="248"/>
      <c r="O459" s="4"/>
      <c r="P459" s="4"/>
      <c r="Q459" s="248"/>
      <c r="R459" s="4"/>
      <c r="S459" s="4"/>
    </row>
    <row r="460" spans="13:19">
      <c r="M460" s="4"/>
      <c r="N460" s="248"/>
      <c r="O460" s="4"/>
      <c r="P460" s="4"/>
      <c r="Q460" s="248"/>
      <c r="R460" s="4"/>
      <c r="S460" s="4"/>
    </row>
    <row r="461" spans="13:19">
      <c r="M461" s="4"/>
      <c r="N461" s="248"/>
      <c r="O461" s="4"/>
      <c r="P461" s="4"/>
      <c r="Q461" s="248"/>
      <c r="R461" s="4"/>
      <c r="S461" s="4"/>
    </row>
    <row r="462" spans="13:19">
      <c r="M462" s="4"/>
      <c r="N462" s="248"/>
      <c r="O462" s="4"/>
      <c r="P462" s="4"/>
      <c r="Q462" s="248"/>
      <c r="R462" s="4"/>
      <c r="S462" s="4"/>
    </row>
    <row r="463" spans="13:19">
      <c r="M463" s="4"/>
      <c r="N463" s="248"/>
      <c r="O463" s="4"/>
      <c r="P463" s="4"/>
      <c r="Q463" s="248"/>
      <c r="R463" s="4"/>
      <c r="S463" s="4"/>
    </row>
    <row r="464" spans="13:19">
      <c r="M464" s="4"/>
      <c r="N464" s="248"/>
      <c r="O464" s="4"/>
      <c r="P464" s="4"/>
      <c r="Q464" s="248"/>
      <c r="R464" s="4"/>
      <c r="S464" s="4"/>
    </row>
    <row r="465" spans="13:19">
      <c r="M465" s="4"/>
      <c r="N465" s="248"/>
      <c r="O465" s="4"/>
      <c r="P465" s="4"/>
      <c r="Q465" s="248"/>
      <c r="R465" s="4"/>
      <c r="S465" s="4"/>
    </row>
    <row r="466" spans="13:19">
      <c r="M466" s="4"/>
      <c r="N466" s="248"/>
      <c r="O466" s="4"/>
      <c r="P466" s="4"/>
      <c r="Q466" s="248"/>
      <c r="R466" s="4"/>
      <c r="S466" s="4"/>
    </row>
    <row r="467" spans="13:19">
      <c r="M467" s="4"/>
      <c r="N467" s="248"/>
      <c r="O467" s="4"/>
      <c r="P467" s="4"/>
      <c r="Q467" s="248"/>
      <c r="R467" s="4"/>
      <c r="S467" s="4"/>
    </row>
    <row r="468" spans="13:19">
      <c r="M468" s="4"/>
      <c r="N468" s="248"/>
      <c r="O468" s="4"/>
      <c r="P468" s="4"/>
      <c r="Q468" s="248"/>
      <c r="R468" s="4"/>
      <c r="S468" s="4"/>
    </row>
    <row r="469" spans="13:19">
      <c r="M469" s="4"/>
      <c r="N469" s="248"/>
      <c r="O469" s="4"/>
      <c r="P469" s="4"/>
      <c r="Q469" s="248"/>
      <c r="R469" s="4"/>
      <c r="S469" s="4"/>
    </row>
    <row r="470" spans="13:19">
      <c r="M470" s="4"/>
      <c r="N470" s="248"/>
      <c r="O470" s="4"/>
      <c r="P470" s="4"/>
      <c r="Q470" s="248"/>
      <c r="R470" s="4"/>
      <c r="S470" s="4"/>
    </row>
    <row r="471" spans="13:19">
      <c r="M471" s="4"/>
      <c r="N471" s="248"/>
      <c r="O471" s="4"/>
      <c r="P471" s="4"/>
      <c r="Q471" s="248"/>
      <c r="R471" s="4"/>
      <c r="S471" s="4"/>
    </row>
    <row r="472" spans="13:19">
      <c r="M472" s="4"/>
      <c r="N472" s="248"/>
      <c r="O472" s="4"/>
      <c r="P472" s="4"/>
      <c r="Q472" s="248"/>
      <c r="R472" s="4"/>
      <c r="S472" s="4"/>
    </row>
    <row r="473" spans="13:19">
      <c r="M473" s="4"/>
      <c r="N473" s="248"/>
      <c r="O473" s="4"/>
      <c r="P473" s="4"/>
      <c r="Q473" s="248"/>
      <c r="R473" s="4"/>
      <c r="S473" s="4"/>
    </row>
    <row r="474" spans="13:19">
      <c r="M474" s="4"/>
      <c r="N474" s="248"/>
      <c r="O474" s="4"/>
      <c r="P474" s="4"/>
      <c r="Q474" s="248"/>
      <c r="R474" s="4"/>
      <c r="S474" s="4"/>
    </row>
    <row r="475" spans="13:19">
      <c r="M475" s="4"/>
      <c r="N475" s="248"/>
      <c r="O475" s="4"/>
      <c r="P475" s="4"/>
      <c r="Q475" s="248"/>
      <c r="R475" s="4"/>
      <c r="S475" s="4"/>
    </row>
    <row r="476" spans="13:19">
      <c r="M476" s="4"/>
      <c r="N476" s="248"/>
      <c r="O476" s="4"/>
      <c r="P476" s="4"/>
      <c r="Q476" s="248"/>
      <c r="R476" s="4"/>
      <c r="S476" s="4"/>
    </row>
    <row r="477" spans="13:19">
      <c r="M477" s="4"/>
      <c r="N477" s="248"/>
      <c r="O477" s="4"/>
      <c r="P477" s="4"/>
      <c r="Q477" s="248"/>
      <c r="R477" s="4"/>
      <c r="S477" s="4"/>
    </row>
    <row r="478" spans="13:19">
      <c r="M478" s="4"/>
      <c r="N478" s="248"/>
      <c r="O478" s="4"/>
      <c r="P478" s="4"/>
      <c r="Q478" s="248"/>
      <c r="R478" s="4"/>
      <c r="S478" s="4"/>
    </row>
    <row r="479" spans="13:19">
      <c r="M479" s="4"/>
      <c r="N479" s="248"/>
      <c r="O479" s="4"/>
      <c r="P479" s="4"/>
      <c r="Q479" s="248"/>
      <c r="R479" s="4"/>
      <c r="S479" s="4"/>
    </row>
    <row r="480" spans="13:19">
      <c r="M480" s="4"/>
      <c r="N480" s="248"/>
      <c r="O480" s="4"/>
      <c r="P480" s="4"/>
      <c r="Q480" s="248"/>
      <c r="R480" s="4"/>
      <c r="S480" s="4"/>
    </row>
    <row r="481" spans="13:19">
      <c r="M481" s="4"/>
      <c r="N481" s="248"/>
      <c r="O481" s="4"/>
      <c r="P481" s="4"/>
      <c r="Q481" s="248"/>
      <c r="R481" s="4"/>
      <c r="S481" s="4"/>
    </row>
    <row r="482" spans="13:19">
      <c r="M482" s="4"/>
      <c r="N482" s="248"/>
      <c r="O482" s="4"/>
      <c r="P482" s="4"/>
      <c r="Q482" s="248"/>
      <c r="R482" s="4"/>
      <c r="S482" s="4"/>
    </row>
    <row r="483" spans="13:19">
      <c r="M483" s="4"/>
      <c r="N483" s="248"/>
      <c r="O483" s="4"/>
      <c r="P483" s="4"/>
      <c r="Q483" s="248"/>
      <c r="R483" s="4"/>
      <c r="S483" s="4"/>
    </row>
    <row r="484" spans="13:19">
      <c r="M484" s="4"/>
      <c r="N484" s="248"/>
      <c r="O484" s="4"/>
      <c r="P484" s="4"/>
      <c r="Q484" s="248"/>
      <c r="R484" s="4"/>
      <c r="S484" s="4"/>
    </row>
    <row r="485" spans="13:19">
      <c r="M485" s="4"/>
      <c r="N485" s="248"/>
      <c r="O485" s="4"/>
      <c r="P485" s="4"/>
      <c r="Q485" s="248"/>
      <c r="R485" s="4"/>
      <c r="S485" s="4"/>
    </row>
    <row r="486" spans="13:19">
      <c r="M486" s="4"/>
      <c r="N486" s="248"/>
      <c r="O486" s="4"/>
      <c r="P486" s="4"/>
      <c r="Q486" s="248"/>
      <c r="R486" s="4"/>
      <c r="S486" s="4"/>
    </row>
    <row r="487" spans="13:19">
      <c r="M487" s="4"/>
      <c r="N487" s="248"/>
      <c r="O487" s="4"/>
      <c r="P487" s="4"/>
      <c r="Q487" s="248"/>
      <c r="R487" s="4"/>
      <c r="S487" s="4"/>
    </row>
    <row r="488" spans="13:19">
      <c r="M488" s="4"/>
      <c r="N488" s="248"/>
      <c r="O488" s="4"/>
      <c r="P488" s="4"/>
      <c r="Q488" s="248"/>
      <c r="R488" s="4"/>
      <c r="S488" s="4"/>
    </row>
    <row r="489" spans="13:19">
      <c r="M489" s="4"/>
      <c r="N489" s="248"/>
      <c r="O489" s="4"/>
      <c r="P489" s="4"/>
      <c r="Q489" s="248"/>
      <c r="R489" s="4"/>
      <c r="S489" s="4"/>
    </row>
    <row r="490" spans="13:19">
      <c r="M490" s="4"/>
      <c r="N490" s="248"/>
      <c r="O490" s="4"/>
      <c r="P490" s="4"/>
      <c r="Q490" s="248"/>
      <c r="R490" s="4"/>
      <c r="S490" s="4"/>
    </row>
    <row r="491" spans="13:19">
      <c r="M491" s="4"/>
      <c r="N491" s="248"/>
      <c r="O491" s="4"/>
      <c r="P491" s="4"/>
      <c r="Q491" s="248"/>
      <c r="R491" s="4"/>
      <c r="S491" s="4"/>
    </row>
    <row r="492" spans="13:19">
      <c r="M492" s="4"/>
      <c r="N492" s="248"/>
      <c r="O492" s="4"/>
      <c r="P492" s="4"/>
      <c r="Q492" s="248"/>
      <c r="R492" s="4"/>
      <c r="S492" s="4"/>
    </row>
    <row r="493" spans="13:19">
      <c r="M493" s="4"/>
      <c r="N493" s="248"/>
      <c r="O493" s="4"/>
      <c r="P493" s="4"/>
      <c r="Q493" s="248"/>
      <c r="R493" s="4"/>
      <c r="S493" s="4"/>
    </row>
    <row r="494" spans="13:19">
      <c r="M494" s="4"/>
      <c r="N494" s="248"/>
      <c r="O494" s="4"/>
      <c r="P494" s="4"/>
      <c r="Q494" s="248"/>
      <c r="R494" s="4"/>
      <c r="S494" s="4"/>
    </row>
    <row r="495" spans="13:19">
      <c r="M495" s="4"/>
      <c r="N495" s="248"/>
      <c r="O495" s="4"/>
      <c r="P495" s="4"/>
      <c r="Q495" s="248"/>
      <c r="R495" s="4"/>
      <c r="S495" s="4"/>
    </row>
    <row r="496" spans="13:19">
      <c r="M496" s="4"/>
      <c r="N496" s="248"/>
      <c r="O496" s="4"/>
      <c r="P496" s="4"/>
      <c r="Q496" s="248"/>
      <c r="R496" s="4"/>
      <c r="S496" s="4"/>
    </row>
    <row r="497" spans="13:19">
      <c r="M497" s="4"/>
      <c r="N497" s="248"/>
      <c r="O497" s="4"/>
      <c r="P497" s="4"/>
      <c r="Q497" s="248"/>
      <c r="R497" s="4"/>
      <c r="S497" s="4"/>
    </row>
    <row r="498" spans="13:19">
      <c r="M498" s="4"/>
      <c r="N498" s="248"/>
      <c r="O498" s="4"/>
      <c r="P498" s="4"/>
      <c r="Q498" s="248"/>
      <c r="R498" s="4"/>
      <c r="S498" s="4"/>
    </row>
    <row r="499" spans="13:19">
      <c r="M499" s="4"/>
      <c r="N499" s="248"/>
      <c r="O499" s="4"/>
      <c r="P499" s="4"/>
      <c r="Q499" s="248"/>
      <c r="R499" s="4"/>
      <c r="S499" s="4"/>
    </row>
    <row r="500" spans="13:19">
      <c r="M500" s="4"/>
      <c r="N500" s="248"/>
      <c r="O500" s="4"/>
      <c r="P500" s="4"/>
      <c r="Q500" s="248"/>
      <c r="R500" s="4"/>
      <c r="S500" s="4"/>
    </row>
    <row r="501" spans="13:19">
      <c r="M501" s="4"/>
      <c r="N501" s="248"/>
      <c r="O501" s="4"/>
      <c r="P501" s="4"/>
      <c r="Q501" s="248"/>
      <c r="R501" s="4"/>
      <c r="S501" s="4"/>
    </row>
    <row r="502" spans="13:19">
      <c r="M502" s="4"/>
      <c r="N502" s="248"/>
      <c r="O502" s="4"/>
      <c r="P502" s="4"/>
      <c r="Q502" s="248"/>
      <c r="R502" s="4"/>
      <c r="S502" s="4"/>
    </row>
    <row r="503" spans="13:19">
      <c r="M503" s="4"/>
      <c r="N503" s="248"/>
      <c r="O503" s="4"/>
      <c r="P503" s="4"/>
      <c r="Q503" s="248"/>
      <c r="R503" s="4"/>
      <c r="S503" s="4"/>
    </row>
    <row r="504" spans="13:19">
      <c r="M504" s="4"/>
      <c r="N504" s="248"/>
      <c r="O504" s="4"/>
      <c r="P504" s="4"/>
      <c r="Q504" s="248"/>
      <c r="R504" s="4"/>
      <c r="S504" s="4"/>
    </row>
    <row r="505" spans="13:19">
      <c r="M505" s="4"/>
      <c r="N505" s="248"/>
      <c r="O505" s="4"/>
      <c r="P505" s="4"/>
      <c r="Q505" s="248"/>
      <c r="R505" s="4"/>
      <c r="S505" s="4"/>
    </row>
    <row r="506" spans="13:19">
      <c r="M506" s="4"/>
      <c r="N506" s="248"/>
      <c r="O506" s="4"/>
      <c r="P506" s="4"/>
      <c r="Q506" s="248"/>
      <c r="R506" s="4"/>
      <c r="S506" s="4"/>
    </row>
    <row r="507" spans="13:19">
      <c r="M507" s="4"/>
      <c r="N507" s="248"/>
      <c r="O507" s="4"/>
      <c r="P507" s="4"/>
      <c r="Q507" s="248"/>
      <c r="R507" s="4"/>
      <c r="S507" s="4"/>
    </row>
    <row r="508" spans="13:19">
      <c r="M508" s="4"/>
      <c r="N508" s="248"/>
      <c r="O508" s="4"/>
      <c r="P508" s="4"/>
      <c r="Q508" s="248"/>
      <c r="R508" s="4"/>
      <c r="S508" s="4"/>
    </row>
    <row r="509" spans="13:19">
      <c r="M509" s="4"/>
      <c r="N509" s="248"/>
      <c r="O509" s="4"/>
      <c r="P509" s="4"/>
      <c r="Q509" s="248"/>
      <c r="R509" s="4"/>
      <c r="S509" s="4"/>
    </row>
    <row r="510" spans="13:19">
      <c r="M510" s="4"/>
      <c r="N510" s="248"/>
      <c r="O510" s="4"/>
      <c r="P510" s="4"/>
      <c r="Q510" s="248"/>
      <c r="R510" s="4"/>
      <c r="S510" s="4"/>
    </row>
    <row r="511" spans="13:19">
      <c r="M511" s="4"/>
      <c r="N511" s="248"/>
      <c r="O511" s="4"/>
      <c r="P511" s="4"/>
      <c r="Q511" s="248"/>
      <c r="R511" s="4"/>
      <c r="S511" s="4"/>
    </row>
    <row r="512" spans="13:19">
      <c r="M512" s="4"/>
      <c r="N512" s="248"/>
      <c r="O512" s="4"/>
      <c r="P512" s="4"/>
      <c r="Q512" s="248"/>
      <c r="R512" s="4"/>
      <c r="S512" s="4"/>
    </row>
    <row r="513" spans="13:19">
      <c r="M513" s="4"/>
      <c r="N513" s="248"/>
      <c r="O513" s="4"/>
      <c r="P513" s="4"/>
      <c r="Q513" s="248"/>
      <c r="R513" s="4"/>
      <c r="S513" s="4"/>
    </row>
    <row r="514" spans="13:19">
      <c r="M514" s="4"/>
      <c r="N514" s="248"/>
      <c r="O514" s="4"/>
      <c r="P514" s="4"/>
      <c r="Q514" s="248"/>
      <c r="R514" s="4"/>
      <c r="S514" s="4"/>
    </row>
    <row r="515" spans="13:19">
      <c r="M515" s="4"/>
      <c r="N515" s="248"/>
      <c r="O515" s="4"/>
      <c r="P515" s="4"/>
      <c r="Q515" s="248"/>
      <c r="R515" s="4"/>
      <c r="S515" s="4"/>
    </row>
    <row r="516" spans="13:19">
      <c r="M516" s="4"/>
      <c r="N516" s="248"/>
      <c r="O516" s="4"/>
      <c r="P516" s="4"/>
      <c r="Q516" s="248"/>
      <c r="R516" s="4"/>
      <c r="S516" s="4"/>
    </row>
    <row r="517" spans="13:19">
      <c r="M517" s="4"/>
      <c r="N517" s="248"/>
      <c r="O517" s="4"/>
      <c r="P517" s="4"/>
      <c r="Q517" s="248"/>
      <c r="R517" s="4"/>
      <c r="S517" s="4"/>
    </row>
    <row r="518" spans="13:19">
      <c r="M518" s="4"/>
      <c r="N518" s="248"/>
      <c r="O518" s="4"/>
      <c r="P518" s="4"/>
      <c r="Q518" s="248"/>
      <c r="R518" s="4"/>
      <c r="S518" s="4"/>
    </row>
    <row r="519" spans="13:19">
      <c r="M519" s="4"/>
      <c r="N519" s="248"/>
      <c r="O519" s="4"/>
      <c r="P519" s="4"/>
      <c r="Q519" s="248"/>
      <c r="R519" s="4"/>
      <c r="S519" s="4"/>
    </row>
    <row r="520" spans="13:19">
      <c r="M520" s="4"/>
      <c r="N520" s="248"/>
      <c r="O520" s="4"/>
      <c r="P520" s="4"/>
      <c r="Q520" s="248"/>
      <c r="R520" s="4"/>
      <c r="S520" s="4"/>
    </row>
    <row r="521" spans="13:19">
      <c r="M521" s="4"/>
      <c r="N521" s="248"/>
      <c r="O521" s="4"/>
      <c r="P521" s="4"/>
      <c r="Q521" s="248"/>
      <c r="R521" s="4"/>
      <c r="S521" s="4"/>
    </row>
    <row r="522" spans="13:19">
      <c r="M522" s="4"/>
      <c r="N522" s="248"/>
      <c r="O522" s="4"/>
      <c r="P522" s="4"/>
      <c r="Q522" s="248"/>
      <c r="R522" s="4"/>
      <c r="S522" s="4"/>
    </row>
    <row r="523" spans="13:19">
      <c r="M523" s="4"/>
      <c r="N523" s="248"/>
      <c r="O523" s="4"/>
      <c r="P523" s="4"/>
      <c r="Q523" s="248"/>
      <c r="R523" s="4"/>
      <c r="S523" s="4"/>
    </row>
    <row r="524" spans="13:19">
      <c r="M524" s="4"/>
      <c r="N524" s="248"/>
      <c r="O524" s="4"/>
      <c r="P524" s="4"/>
      <c r="Q524" s="248"/>
      <c r="R524" s="4"/>
      <c r="S524" s="4"/>
    </row>
    <row r="525" spans="13:19">
      <c r="M525" s="4"/>
      <c r="N525" s="248"/>
      <c r="O525" s="4"/>
      <c r="P525" s="4"/>
      <c r="Q525" s="248"/>
      <c r="R525" s="4"/>
      <c r="S525" s="4"/>
    </row>
    <row r="526" spans="13:19">
      <c r="M526" s="4"/>
      <c r="N526" s="248"/>
      <c r="O526" s="4"/>
      <c r="P526" s="4"/>
      <c r="Q526" s="248"/>
      <c r="R526" s="4"/>
      <c r="S526" s="4"/>
    </row>
    <row r="527" spans="13:19">
      <c r="M527" s="4"/>
      <c r="N527" s="248"/>
      <c r="O527" s="4"/>
      <c r="P527" s="4"/>
      <c r="Q527" s="248"/>
      <c r="R527" s="4"/>
      <c r="S527" s="4"/>
    </row>
    <row r="528" spans="13:19">
      <c r="M528" s="4"/>
      <c r="N528" s="248"/>
      <c r="O528" s="4"/>
      <c r="P528" s="4"/>
      <c r="Q528" s="248"/>
      <c r="R528" s="4"/>
      <c r="S528" s="4"/>
    </row>
    <row r="529" spans="13:19">
      <c r="M529" s="4"/>
      <c r="N529" s="248"/>
      <c r="O529" s="4"/>
      <c r="P529" s="4"/>
      <c r="Q529" s="248"/>
      <c r="R529" s="4"/>
      <c r="S529" s="4"/>
    </row>
    <row r="530" spans="13:19">
      <c r="M530" s="4"/>
      <c r="N530" s="248"/>
      <c r="O530" s="4"/>
      <c r="P530" s="4"/>
      <c r="Q530" s="248"/>
      <c r="R530" s="4"/>
      <c r="S530" s="4"/>
    </row>
    <row r="531" spans="13:19">
      <c r="M531" s="4"/>
      <c r="N531" s="248"/>
      <c r="O531" s="4"/>
      <c r="P531" s="4"/>
      <c r="Q531" s="248"/>
      <c r="R531" s="4"/>
      <c r="S531" s="4"/>
    </row>
    <row r="532" spans="13:19">
      <c r="M532" s="4"/>
      <c r="N532" s="248"/>
      <c r="O532" s="4"/>
      <c r="P532" s="4"/>
      <c r="Q532" s="248"/>
      <c r="R532" s="4"/>
      <c r="S532" s="4"/>
    </row>
    <row r="533" spans="13:19">
      <c r="M533" s="4"/>
      <c r="N533" s="248"/>
      <c r="O533" s="4"/>
      <c r="P533" s="4"/>
      <c r="Q533" s="248"/>
      <c r="R533" s="4"/>
      <c r="S533" s="4"/>
    </row>
    <row r="534" spans="13:19">
      <c r="M534" s="4"/>
      <c r="N534" s="248"/>
      <c r="O534" s="4"/>
      <c r="P534" s="4"/>
      <c r="Q534" s="248"/>
      <c r="R534" s="4"/>
      <c r="S534" s="4"/>
    </row>
    <row r="535" spans="13:19">
      <c r="M535" s="4"/>
      <c r="N535" s="248"/>
      <c r="O535" s="4"/>
      <c r="P535" s="4"/>
      <c r="Q535" s="248"/>
      <c r="R535" s="4"/>
      <c r="S535" s="4"/>
    </row>
    <row r="536" spans="13:19">
      <c r="M536" s="4"/>
      <c r="N536" s="248"/>
      <c r="O536" s="4"/>
      <c r="P536" s="4"/>
      <c r="Q536" s="248"/>
      <c r="R536" s="4"/>
      <c r="S536" s="4"/>
    </row>
    <row r="537" spans="13:19">
      <c r="M537" s="4"/>
      <c r="N537" s="248"/>
      <c r="O537" s="4"/>
      <c r="P537" s="4"/>
      <c r="Q537" s="248"/>
      <c r="R537" s="4"/>
      <c r="S537" s="4"/>
    </row>
    <row r="538" spans="13:19">
      <c r="M538" s="4"/>
      <c r="N538" s="248"/>
      <c r="O538" s="4"/>
      <c r="P538" s="4"/>
      <c r="Q538" s="248"/>
      <c r="R538" s="4"/>
      <c r="S538" s="4"/>
    </row>
    <row r="539" spans="13:19">
      <c r="M539" s="4"/>
      <c r="N539" s="248"/>
      <c r="O539" s="4"/>
      <c r="P539" s="4"/>
      <c r="Q539" s="248"/>
      <c r="R539" s="4"/>
      <c r="S539" s="4"/>
    </row>
    <row r="540" spans="13:19">
      <c r="M540" s="4"/>
      <c r="N540" s="248"/>
      <c r="O540" s="4"/>
      <c r="P540" s="4"/>
      <c r="Q540" s="248"/>
      <c r="R540" s="4"/>
      <c r="S540" s="4"/>
    </row>
    <row r="541" spans="13:19">
      <c r="M541" s="4"/>
      <c r="N541" s="248"/>
      <c r="O541" s="4"/>
      <c r="P541" s="4"/>
      <c r="Q541" s="248"/>
      <c r="R541" s="4"/>
      <c r="S541" s="4"/>
    </row>
    <row r="542" spans="13:19">
      <c r="M542" s="4"/>
      <c r="N542" s="248"/>
      <c r="O542" s="4"/>
      <c r="P542" s="4"/>
      <c r="Q542" s="248"/>
      <c r="R542" s="4"/>
      <c r="S542" s="4"/>
    </row>
    <row r="543" spans="13:19">
      <c r="M543" s="4"/>
      <c r="N543" s="248"/>
      <c r="O543" s="4"/>
      <c r="P543" s="4"/>
      <c r="Q543" s="248"/>
      <c r="R543" s="4"/>
      <c r="S543" s="4"/>
    </row>
    <row r="544" spans="13:19">
      <c r="M544" s="4"/>
      <c r="N544" s="248"/>
      <c r="O544" s="4"/>
      <c r="P544" s="4"/>
      <c r="Q544" s="248"/>
      <c r="R544" s="4"/>
      <c r="S544" s="4"/>
    </row>
    <row r="545" spans="13:19">
      <c r="M545" s="4"/>
      <c r="N545" s="248"/>
      <c r="O545" s="4"/>
      <c r="P545" s="4"/>
      <c r="Q545" s="248"/>
      <c r="R545" s="4"/>
      <c r="S545" s="4"/>
    </row>
    <row r="546" spans="13:19">
      <c r="M546" s="4"/>
      <c r="N546" s="248"/>
      <c r="O546" s="4"/>
      <c r="P546" s="4"/>
      <c r="Q546" s="248"/>
      <c r="R546" s="4"/>
      <c r="S546" s="4"/>
    </row>
    <row r="547" spans="13:19">
      <c r="M547" s="4"/>
      <c r="N547" s="248"/>
      <c r="O547" s="4"/>
      <c r="P547" s="4"/>
      <c r="Q547" s="248"/>
      <c r="R547" s="4"/>
      <c r="S547" s="4"/>
    </row>
    <row r="548" spans="13:19">
      <c r="M548" s="4"/>
      <c r="N548" s="248"/>
      <c r="O548" s="4"/>
      <c r="P548" s="4"/>
      <c r="Q548" s="248"/>
      <c r="R548" s="4"/>
      <c r="S548" s="4"/>
    </row>
    <row r="549" spans="13:19">
      <c r="M549" s="4"/>
      <c r="N549" s="248"/>
      <c r="O549" s="4"/>
      <c r="P549" s="4"/>
      <c r="Q549" s="248"/>
      <c r="R549" s="4"/>
      <c r="S549" s="4"/>
    </row>
    <row r="550" spans="13:19">
      <c r="M550" s="4"/>
      <c r="N550" s="248"/>
      <c r="O550" s="4"/>
      <c r="P550" s="4"/>
      <c r="Q550" s="248"/>
      <c r="R550" s="4"/>
      <c r="S550" s="4"/>
    </row>
    <row r="551" spans="13:19">
      <c r="M551" s="4"/>
      <c r="N551" s="248"/>
      <c r="O551" s="4"/>
      <c r="P551" s="4"/>
      <c r="Q551" s="248"/>
      <c r="R551" s="4"/>
      <c r="S551" s="4"/>
    </row>
    <row r="552" spans="13:19">
      <c r="M552" s="4"/>
      <c r="N552" s="248"/>
      <c r="O552" s="4"/>
      <c r="P552" s="4"/>
      <c r="Q552" s="248"/>
      <c r="R552" s="4"/>
      <c r="S552" s="4"/>
    </row>
    <row r="553" spans="13:19">
      <c r="M553" s="4"/>
      <c r="N553" s="248"/>
      <c r="O553" s="4"/>
      <c r="P553" s="4"/>
      <c r="Q553" s="248"/>
      <c r="R553" s="4"/>
      <c r="S553" s="4"/>
    </row>
    <row r="554" spans="13:19">
      <c r="M554" s="4"/>
      <c r="N554" s="248"/>
      <c r="O554" s="4"/>
      <c r="P554" s="4"/>
      <c r="Q554" s="248"/>
      <c r="R554" s="4"/>
      <c r="S554" s="4"/>
    </row>
    <row r="555" spans="13:19">
      <c r="M555" s="4"/>
      <c r="N555" s="248"/>
      <c r="O555" s="4"/>
      <c r="P555" s="4"/>
      <c r="Q555" s="248"/>
      <c r="R555" s="4"/>
      <c r="S555" s="4"/>
    </row>
    <row r="556" spans="13:19">
      <c r="M556" s="4"/>
      <c r="N556" s="248"/>
      <c r="O556" s="4"/>
      <c r="P556" s="4"/>
      <c r="Q556" s="248"/>
      <c r="R556" s="4"/>
      <c r="S556" s="4"/>
    </row>
    <row r="557" spans="13:19">
      <c r="M557" s="4"/>
      <c r="N557" s="248"/>
      <c r="O557" s="4"/>
      <c r="P557" s="4"/>
      <c r="Q557" s="248"/>
      <c r="R557" s="4"/>
      <c r="S557" s="4"/>
    </row>
    <row r="558" spans="13:19">
      <c r="M558" s="4"/>
      <c r="N558" s="248"/>
      <c r="O558" s="4"/>
      <c r="P558" s="4"/>
      <c r="Q558" s="248"/>
      <c r="R558" s="4"/>
      <c r="S558" s="4"/>
    </row>
    <row r="559" spans="13:19">
      <c r="M559" s="4"/>
      <c r="N559" s="248"/>
      <c r="O559" s="4"/>
      <c r="P559" s="4"/>
      <c r="Q559" s="248"/>
      <c r="R559" s="4"/>
      <c r="S559" s="4"/>
    </row>
    <row r="560" spans="13:19">
      <c r="M560" s="4"/>
      <c r="N560" s="248"/>
      <c r="O560" s="4"/>
      <c r="P560" s="4"/>
      <c r="Q560" s="248"/>
      <c r="R560" s="4"/>
      <c r="S560" s="4"/>
    </row>
    <row r="561" spans="13:19">
      <c r="M561" s="4"/>
      <c r="N561" s="248"/>
      <c r="O561" s="4"/>
      <c r="P561" s="4"/>
      <c r="Q561" s="248"/>
      <c r="R561" s="4"/>
      <c r="S561" s="4"/>
    </row>
    <row r="562" spans="13:19">
      <c r="M562" s="4"/>
      <c r="N562" s="248"/>
      <c r="O562" s="4"/>
      <c r="P562" s="4"/>
      <c r="Q562" s="248"/>
      <c r="R562" s="4"/>
      <c r="S562" s="4"/>
    </row>
    <row r="563" spans="13:19">
      <c r="M563" s="4"/>
      <c r="N563" s="248"/>
      <c r="O563" s="4"/>
      <c r="P563" s="4"/>
      <c r="Q563" s="248"/>
      <c r="R563" s="4"/>
      <c r="S563" s="4"/>
    </row>
    <row r="564" spans="13:19">
      <c r="M564" s="4"/>
      <c r="N564" s="248"/>
      <c r="O564" s="4"/>
      <c r="P564" s="4"/>
      <c r="Q564" s="248"/>
      <c r="R564" s="4"/>
      <c r="S564" s="4"/>
    </row>
    <row r="565" spans="13:19">
      <c r="M565" s="4"/>
      <c r="N565" s="248"/>
      <c r="O565" s="4"/>
      <c r="P565" s="4"/>
      <c r="Q565" s="248"/>
      <c r="R565" s="4"/>
      <c r="S565" s="4"/>
    </row>
    <row r="566" spans="13:19">
      <c r="M566" s="4"/>
      <c r="N566" s="248"/>
      <c r="O566" s="4"/>
      <c r="P566" s="4"/>
      <c r="Q566" s="248"/>
      <c r="R566" s="4"/>
      <c r="S566" s="4"/>
    </row>
    <row r="567" spans="13:19">
      <c r="M567" s="4"/>
      <c r="N567" s="248"/>
      <c r="O567" s="4"/>
      <c r="P567" s="4"/>
      <c r="Q567" s="248"/>
      <c r="R567" s="4"/>
      <c r="S567" s="4"/>
    </row>
    <row r="568" spans="13:19">
      <c r="M568" s="4"/>
      <c r="N568" s="248"/>
      <c r="O568" s="4"/>
      <c r="P568" s="4"/>
      <c r="Q568" s="248"/>
      <c r="R568" s="4"/>
      <c r="S568" s="4"/>
    </row>
    <row r="569" spans="13:19">
      <c r="M569" s="4"/>
      <c r="N569" s="248"/>
      <c r="O569" s="4"/>
      <c r="P569" s="4"/>
      <c r="Q569" s="248"/>
      <c r="R569" s="4"/>
      <c r="S569" s="4"/>
    </row>
    <row r="570" spans="13:19">
      <c r="M570" s="4"/>
      <c r="N570" s="248"/>
      <c r="O570" s="4"/>
      <c r="P570" s="4"/>
      <c r="Q570" s="248"/>
      <c r="R570" s="4"/>
      <c r="S570" s="4"/>
    </row>
    <row r="571" spans="13:19">
      <c r="M571" s="4"/>
      <c r="N571" s="248"/>
      <c r="O571" s="4"/>
      <c r="P571" s="4"/>
      <c r="Q571" s="248"/>
      <c r="R571" s="4"/>
      <c r="S571" s="4"/>
    </row>
    <row r="572" spans="13:19">
      <c r="M572" s="4"/>
      <c r="N572" s="248"/>
      <c r="O572" s="4"/>
      <c r="P572" s="4"/>
      <c r="Q572" s="248"/>
      <c r="R572" s="4"/>
      <c r="S572" s="4"/>
    </row>
    <row r="573" spans="13:19">
      <c r="M573" s="4"/>
      <c r="N573" s="248"/>
      <c r="O573" s="4"/>
      <c r="P573" s="4"/>
      <c r="Q573" s="248"/>
      <c r="R573" s="4"/>
      <c r="S573" s="4"/>
    </row>
    <row r="574" spans="13:19">
      <c r="M574" s="4"/>
      <c r="N574" s="248"/>
      <c r="O574" s="4"/>
      <c r="P574" s="4"/>
      <c r="Q574" s="248"/>
      <c r="R574" s="4"/>
      <c r="S574" s="4"/>
    </row>
    <row r="575" spans="13:19">
      <c r="M575" s="4"/>
      <c r="N575" s="248"/>
      <c r="O575" s="4"/>
      <c r="P575" s="4"/>
      <c r="Q575" s="248"/>
      <c r="R575" s="4"/>
      <c r="S575" s="4"/>
    </row>
    <row r="576" spans="13:19">
      <c r="M576" s="4"/>
      <c r="N576" s="248"/>
      <c r="O576" s="4"/>
      <c r="P576" s="4"/>
      <c r="Q576" s="248"/>
      <c r="R576" s="4"/>
      <c r="S576" s="4"/>
    </row>
    <row r="577" spans="13:19">
      <c r="M577" s="4"/>
      <c r="N577" s="248"/>
      <c r="O577" s="4"/>
      <c r="P577" s="4"/>
      <c r="Q577" s="248"/>
      <c r="R577" s="4"/>
      <c r="S577" s="4"/>
    </row>
    <row r="578" spans="13:19">
      <c r="M578" s="4"/>
      <c r="N578" s="248"/>
      <c r="O578" s="4"/>
      <c r="P578" s="4"/>
      <c r="Q578" s="248"/>
      <c r="R578" s="4"/>
      <c r="S578" s="4"/>
    </row>
    <row r="579" spans="13:19">
      <c r="M579" s="4"/>
      <c r="N579" s="248"/>
      <c r="O579" s="4"/>
      <c r="P579" s="4"/>
      <c r="Q579" s="248"/>
      <c r="R579" s="4"/>
      <c r="S579" s="4"/>
    </row>
    <row r="580" spans="13:19">
      <c r="M580" s="4"/>
      <c r="N580" s="248"/>
      <c r="O580" s="4"/>
      <c r="P580" s="4"/>
      <c r="Q580" s="248"/>
      <c r="R580" s="4"/>
      <c r="S580" s="4"/>
    </row>
    <row r="581" spans="13:19">
      <c r="M581" s="4"/>
      <c r="N581" s="248"/>
      <c r="O581" s="4"/>
      <c r="P581" s="4"/>
      <c r="Q581" s="248"/>
      <c r="R581" s="4"/>
      <c r="S581" s="4"/>
    </row>
    <row r="582" spans="13:19">
      <c r="M582" s="4"/>
      <c r="N582" s="248"/>
      <c r="O582" s="4"/>
      <c r="P582" s="4"/>
      <c r="Q582" s="248"/>
      <c r="R582" s="4"/>
      <c r="S582" s="4"/>
    </row>
    <row r="583" spans="13:19">
      <c r="M583" s="4"/>
      <c r="N583" s="248"/>
      <c r="O583" s="4"/>
      <c r="P583" s="4"/>
      <c r="Q583" s="248"/>
      <c r="R583" s="4"/>
      <c r="S583" s="4"/>
    </row>
    <row r="584" spans="13:19">
      <c r="M584" s="4"/>
      <c r="N584" s="248"/>
      <c r="O584" s="4"/>
      <c r="P584" s="4"/>
      <c r="Q584" s="248"/>
      <c r="R584" s="4"/>
      <c r="S584" s="4"/>
    </row>
    <row r="585" spans="13:19">
      <c r="M585" s="4"/>
      <c r="N585" s="248"/>
      <c r="O585" s="4"/>
      <c r="P585" s="4"/>
      <c r="Q585" s="248"/>
      <c r="R585" s="4"/>
      <c r="S585" s="4"/>
    </row>
    <row r="586" spans="13:19">
      <c r="M586" s="4"/>
      <c r="N586" s="248"/>
      <c r="O586" s="4"/>
      <c r="P586" s="4"/>
      <c r="Q586" s="248"/>
      <c r="R586" s="4"/>
      <c r="S586" s="4"/>
    </row>
    <row r="587" spans="13:19">
      <c r="M587" s="4"/>
      <c r="N587" s="248"/>
      <c r="O587" s="4"/>
      <c r="P587" s="4"/>
      <c r="Q587" s="248"/>
      <c r="R587" s="4"/>
      <c r="S587" s="4"/>
    </row>
    <row r="588" spans="13:19">
      <c r="M588" s="4"/>
      <c r="N588" s="248"/>
      <c r="O588" s="4"/>
      <c r="P588" s="4"/>
      <c r="Q588" s="248"/>
      <c r="R588" s="4"/>
      <c r="S588" s="4"/>
    </row>
    <row r="589" spans="13:19">
      <c r="M589" s="4"/>
      <c r="N589" s="248"/>
      <c r="O589" s="4"/>
      <c r="P589" s="4"/>
      <c r="Q589" s="248"/>
      <c r="R589" s="4"/>
      <c r="S589" s="4"/>
    </row>
    <row r="590" spans="13:19">
      <c r="M590" s="4"/>
      <c r="N590" s="248"/>
      <c r="O590" s="4"/>
      <c r="P590" s="4"/>
      <c r="Q590" s="248"/>
      <c r="R590" s="4"/>
      <c r="S590" s="4"/>
    </row>
    <row r="591" spans="13:19">
      <c r="M591" s="4"/>
      <c r="N591" s="248"/>
      <c r="O591" s="4"/>
      <c r="P591" s="4"/>
      <c r="Q591" s="248"/>
      <c r="R591" s="4"/>
      <c r="S591" s="4"/>
    </row>
    <row r="592" spans="13:19">
      <c r="M592" s="4"/>
      <c r="N592" s="248"/>
      <c r="O592" s="4"/>
      <c r="P592" s="4"/>
      <c r="Q592" s="248"/>
      <c r="R592" s="4"/>
      <c r="S592" s="4"/>
    </row>
    <row r="593" spans="13:19">
      <c r="M593" s="4"/>
      <c r="N593" s="248"/>
      <c r="O593" s="4"/>
      <c r="P593" s="4"/>
      <c r="Q593" s="248"/>
      <c r="R593" s="4"/>
      <c r="S593" s="4"/>
    </row>
    <row r="594" spans="13:19">
      <c r="M594" s="4"/>
      <c r="N594" s="248"/>
      <c r="O594" s="4"/>
      <c r="P594" s="4"/>
      <c r="Q594" s="248"/>
      <c r="R594" s="4"/>
      <c r="S594" s="4"/>
    </row>
    <row r="595" spans="13:19">
      <c r="M595" s="4"/>
      <c r="N595" s="248"/>
      <c r="O595" s="4"/>
      <c r="P595" s="4"/>
      <c r="Q595" s="248"/>
      <c r="R595" s="4"/>
      <c r="S595" s="4"/>
    </row>
    <row r="596" spans="13:19">
      <c r="M596" s="4"/>
      <c r="N596" s="248"/>
      <c r="O596" s="4"/>
      <c r="P596" s="4"/>
      <c r="Q596" s="248"/>
      <c r="R596" s="4"/>
      <c r="S596" s="4"/>
    </row>
    <row r="597" spans="13:19">
      <c r="M597" s="4"/>
      <c r="N597" s="248"/>
      <c r="O597" s="4"/>
      <c r="P597" s="4"/>
      <c r="Q597" s="248"/>
      <c r="R597" s="4"/>
      <c r="S597" s="4"/>
    </row>
    <row r="598" spans="13:19">
      <c r="M598" s="4"/>
      <c r="N598" s="248"/>
      <c r="O598" s="4"/>
      <c r="P598" s="4"/>
      <c r="Q598" s="248"/>
      <c r="R598" s="4"/>
      <c r="S598" s="4"/>
    </row>
    <row r="599" spans="13:19">
      <c r="M599" s="4"/>
      <c r="N599" s="248"/>
      <c r="O599" s="4"/>
      <c r="P599" s="4"/>
      <c r="Q599" s="248"/>
      <c r="R599" s="4"/>
      <c r="S599" s="4"/>
    </row>
    <row r="600" spans="13:19">
      <c r="M600" s="4"/>
      <c r="N600" s="248"/>
      <c r="O600" s="4"/>
      <c r="P600" s="4"/>
      <c r="Q600" s="248"/>
      <c r="R600" s="4"/>
      <c r="S600" s="4"/>
    </row>
    <row r="601" spans="13:19">
      <c r="M601" s="4"/>
      <c r="N601" s="248"/>
      <c r="O601" s="4"/>
      <c r="P601" s="4"/>
      <c r="Q601" s="248"/>
      <c r="R601" s="4"/>
      <c r="S601" s="4"/>
    </row>
    <row r="602" spans="13:19">
      <c r="M602" s="4"/>
      <c r="N602" s="248"/>
      <c r="O602" s="4"/>
      <c r="P602" s="4"/>
      <c r="Q602" s="248"/>
      <c r="R602" s="4"/>
      <c r="S602" s="4"/>
    </row>
    <row r="603" spans="13:19">
      <c r="M603" s="4"/>
      <c r="N603" s="248"/>
      <c r="O603" s="4"/>
      <c r="P603" s="4"/>
      <c r="Q603" s="248"/>
      <c r="R603" s="4"/>
      <c r="S603" s="4"/>
    </row>
    <row r="604" spans="13:19">
      <c r="M604" s="4"/>
      <c r="N604" s="248"/>
      <c r="O604" s="4"/>
      <c r="P604" s="4"/>
      <c r="Q604" s="248"/>
      <c r="R604" s="4"/>
      <c r="S604" s="4"/>
    </row>
    <row r="605" spans="13:19">
      <c r="M605" s="4"/>
      <c r="N605" s="248"/>
      <c r="O605" s="4"/>
      <c r="P605" s="4"/>
      <c r="Q605" s="248"/>
      <c r="R605" s="4"/>
      <c r="S605" s="4"/>
    </row>
    <row r="606" spans="13:19">
      <c r="M606" s="4"/>
      <c r="N606" s="248"/>
      <c r="O606" s="4"/>
      <c r="P606" s="4"/>
      <c r="Q606" s="248"/>
      <c r="R606" s="4"/>
      <c r="S606" s="4"/>
    </row>
    <row r="607" spans="13:19">
      <c r="M607" s="4"/>
      <c r="N607" s="248"/>
      <c r="O607" s="4"/>
      <c r="P607" s="4"/>
      <c r="Q607" s="248"/>
      <c r="R607" s="4"/>
      <c r="S607" s="4"/>
    </row>
    <row r="608" spans="13:19">
      <c r="M608" s="4"/>
      <c r="N608" s="248"/>
      <c r="O608" s="4"/>
      <c r="P608" s="4"/>
      <c r="Q608" s="248"/>
      <c r="R608" s="4"/>
      <c r="S608" s="4"/>
    </row>
    <row r="609" spans="13:19">
      <c r="M609" s="4"/>
      <c r="N609" s="248"/>
      <c r="O609" s="4"/>
      <c r="P609" s="4"/>
      <c r="Q609" s="248"/>
      <c r="R609" s="4"/>
      <c r="S609" s="4"/>
    </row>
    <row r="610" spans="13:19">
      <c r="M610" s="4"/>
      <c r="N610" s="248"/>
      <c r="O610" s="4"/>
      <c r="P610" s="4"/>
      <c r="Q610" s="248"/>
      <c r="R610" s="4"/>
      <c r="S610" s="4"/>
    </row>
    <row r="611" spans="13:19">
      <c r="M611" s="4"/>
      <c r="N611" s="248"/>
      <c r="O611" s="4"/>
      <c r="P611" s="4"/>
      <c r="Q611" s="248"/>
      <c r="R611" s="4"/>
      <c r="S611" s="4"/>
    </row>
    <row r="612" spans="13:19">
      <c r="M612" s="4"/>
      <c r="N612" s="248"/>
      <c r="O612" s="4"/>
      <c r="P612" s="4"/>
      <c r="Q612" s="248"/>
      <c r="R612" s="4"/>
      <c r="S612" s="4"/>
    </row>
    <row r="613" spans="13:19">
      <c r="M613" s="4"/>
      <c r="N613" s="248"/>
      <c r="O613" s="4"/>
      <c r="P613" s="4"/>
      <c r="Q613" s="248"/>
      <c r="R613" s="4"/>
      <c r="S613" s="4"/>
    </row>
    <row r="614" spans="13:19">
      <c r="M614" s="4"/>
      <c r="N614" s="248"/>
      <c r="O614" s="4"/>
      <c r="P614" s="4"/>
      <c r="Q614" s="248"/>
      <c r="R614" s="4"/>
      <c r="S614" s="4"/>
    </row>
    <row r="615" spans="13:19">
      <c r="M615" s="4"/>
      <c r="N615" s="248"/>
      <c r="O615" s="4"/>
      <c r="P615" s="4"/>
      <c r="Q615" s="248"/>
      <c r="R615" s="4"/>
      <c r="S615" s="4"/>
    </row>
    <row r="616" spans="13:19">
      <c r="M616" s="4"/>
      <c r="N616" s="248"/>
      <c r="O616" s="4"/>
      <c r="P616" s="4"/>
      <c r="Q616" s="248"/>
      <c r="R616" s="4"/>
      <c r="S616" s="4"/>
    </row>
    <row r="617" spans="13:19">
      <c r="M617" s="4"/>
      <c r="N617" s="248"/>
      <c r="O617" s="4"/>
      <c r="P617" s="4"/>
      <c r="Q617" s="248"/>
      <c r="R617" s="4"/>
      <c r="S617" s="4"/>
    </row>
    <row r="618" spans="13:19">
      <c r="M618" s="4"/>
      <c r="N618" s="248"/>
      <c r="O618" s="4"/>
      <c r="P618" s="4"/>
      <c r="Q618" s="248"/>
      <c r="R618" s="4"/>
      <c r="S618" s="4"/>
    </row>
    <row r="619" spans="13:19">
      <c r="M619" s="4"/>
      <c r="N619" s="248"/>
      <c r="O619" s="4"/>
      <c r="P619" s="4"/>
      <c r="Q619" s="248"/>
      <c r="R619" s="4"/>
      <c r="S619" s="4"/>
    </row>
    <row r="620" spans="13:19">
      <c r="M620" s="4"/>
      <c r="N620" s="248"/>
      <c r="O620" s="4"/>
      <c r="P620" s="4"/>
      <c r="Q620" s="248"/>
      <c r="R620" s="4"/>
      <c r="S620" s="4"/>
    </row>
    <row r="621" spans="13:19">
      <c r="M621" s="4"/>
      <c r="N621" s="248"/>
      <c r="O621" s="4"/>
      <c r="P621" s="4"/>
      <c r="Q621" s="248"/>
      <c r="R621" s="4"/>
      <c r="S621" s="4"/>
    </row>
    <row r="622" spans="13:19">
      <c r="M622" s="4"/>
      <c r="N622" s="248"/>
      <c r="O622" s="4"/>
      <c r="P622" s="4"/>
      <c r="Q622" s="248"/>
      <c r="R622" s="4"/>
      <c r="S622" s="4"/>
    </row>
    <row r="623" spans="13:19">
      <c r="M623" s="4"/>
      <c r="N623" s="248"/>
      <c r="O623" s="4"/>
      <c r="P623" s="4"/>
      <c r="Q623" s="248"/>
      <c r="R623" s="4"/>
      <c r="S623" s="4"/>
    </row>
    <row r="624" spans="13:19">
      <c r="M624" s="4"/>
      <c r="N624" s="248"/>
      <c r="O624" s="4"/>
      <c r="P624" s="4"/>
      <c r="Q624" s="248"/>
      <c r="R624" s="4"/>
      <c r="S624" s="4"/>
    </row>
    <row r="625" spans="13:19">
      <c r="M625" s="4"/>
      <c r="N625" s="248"/>
      <c r="O625" s="4"/>
      <c r="P625" s="4"/>
      <c r="Q625" s="248"/>
      <c r="R625" s="4"/>
      <c r="S625" s="4"/>
    </row>
    <row r="626" spans="13:19">
      <c r="M626" s="4"/>
      <c r="N626" s="248"/>
      <c r="O626" s="4"/>
      <c r="P626" s="4"/>
      <c r="Q626" s="248"/>
      <c r="R626" s="4"/>
      <c r="S626" s="4"/>
    </row>
    <row r="627" spans="13:19">
      <c r="M627" s="4"/>
      <c r="N627" s="248"/>
      <c r="O627" s="4"/>
      <c r="P627" s="4"/>
      <c r="Q627" s="248"/>
      <c r="R627" s="4"/>
      <c r="S627" s="4"/>
    </row>
    <row r="628" spans="13:19">
      <c r="M628" s="4"/>
      <c r="N628" s="248"/>
      <c r="O628" s="4"/>
      <c r="P628" s="4"/>
      <c r="Q628" s="248"/>
      <c r="R628" s="4"/>
      <c r="S628" s="4"/>
    </row>
    <row r="629" spans="13:19">
      <c r="M629" s="4"/>
      <c r="N629" s="248"/>
      <c r="O629" s="4"/>
      <c r="P629" s="4"/>
      <c r="Q629" s="248"/>
      <c r="R629" s="4"/>
      <c r="S629" s="4"/>
    </row>
    <row r="630" spans="13:19">
      <c r="M630" s="4"/>
      <c r="N630" s="248"/>
      <c r="O630" s="4"/>
      <c r="P630" s="4"/>
      <c r="Q630" s="248"/>
      <c r="R630" s="4"/>
      <c r="S630" s="4"/>
    </row>
    <row r="631" spans="13:19">
      <c r="M631" s="4"/>
      <c r="N631" s="248"/>
      <c r="O631" s="4"/>
      <c r="P631" s="4"/>
      <c r="Q631" s="248"/>
      <c r="R631" s="4"/>
      <c r="S631" s="4"/>
    </row>
    <row r="632" spans="13:19">
      <c r="M632" s="4"/>
      <c r="N632" s="248"/>
      <c r="O632" s="4"/>
      <c r="P632" s="4"/>
      <c r="Q632" s="248"/>
      <c r="R632" s="4"/>
      <c r="S632" s="4"/>
    </row>
    <row r="633" spans="13:19">
      <c r="M633" s="4"/>
      <c r="N633" s="248"/>
      <c r="O633" s="4"/>
      <c r="P633" s="4"/>
      <c r="Q633" s="248"/>
      <c r="R633" s="4"/>
      <c r="S633" s="4"/>
    </row>
    <row r="634" spans="13:19">
      <c r="M634" s="4"/>
      <c r="N634" s="248"/>
      <c r="O634" s="4"/>
      <c r="P634" s="4"/>
      <c r="Q634" s="248"/>
      <c r="R634" s="4"/>
      <c r="S634" s="4"/>
    </row>
    <row r="635" spans="13:19">
      <c r="M635" s="4"/>
      <c r="N635" s="248"/>
      <c r="O635" s="4"/>
      <c r="P635" s="4"/>
      <c r="Q635" s="248"/>
      <c r="R635" s="4"/>
      <c r="S635" s="4"/>
    </row>
    <row r="636" spans="13:19">
      <c r="M636" s="4"/>
      <c r="N636" s="248"/>
      <c r="O636" s="4"/>
      <c r="P636" s="4"/>
      <c r="Q636" s="248"/>
      <c r="R636" s="4"/>
      <c r="S636" s="4"/>
    </row>
    <row r="637" spans="13:19">
      <c r="M637" s="4"/>
      <c r="N637" s="248"/>
      <c r="O637" s="4"/>
      <c r="P637" s="4"/>
      <c r="Q637" s="248"/>
      <c r="R637" s="4"/>
      <c r="S637" s="4"/>
    </row>
    <row r="638" spans="13:19">
      <c r="M638" s="4"/>
      <c r="N638" s="248"/>
      <c r="O638" s="4"/>
      <c r="P638" s="4"/>
      <c r="Q638" s="248"/>
      <c r="R638" s="4"/>
      <c r="S638" s="4"/>
    </row>
    <row r="639" spans="13:19">
      <c r="M639" s="4"/>
      <c r="N639" s="248"/>
      <c r="O639" s="4"/>
      <c r="P639" s="4"/>
      <c r="Q639" s="248"/>
      <c r="R639" s="4"/>
      <c r="S639" s="4"/>
    </row>
    <row r="640" spans="13:19">
      <c r="M640" s="4"/>
      <c r="N640" s="248"/>
      <c r="O640" s="4"/>
      <c r="P640" s="4"/>
      <c r="Q640" s="248"/>
      <c r="R640" s="4"/>
      <c r="S640" s="4"/>
    </row>
    <row r="641" spans="13:19">
      <c r="M641" s="4"/>
      <c r="N641" s="248"/>
      <c r="O641" s="4"/>
      <c r="P641" s="4"/>
      <c r="Q641" s="248"/>
      <c r="R641" s="4"/>
      <c r="S641" s="4"/>
    </row>
    <row r="642" spans="13:19">
      <c r="M642" s="4"/>
      <c r="N642" s="248"/>
      <c r="O642" s="4"/>
      <c r="P642" s="4"/>
      <c r="Q642" s="248"/>
      <c r="R642" s="4"/>
      <c r="S642" s="4"/>
    </row>
    <row r="643" spans="13:19">
      <c r="M643" s="4"/>
      <c r="N643" s="248"/>
      <c r="O643" s="4"/>
      <c r="P643" s="4"/>
      <c r="Q643" s="248"/>
      <c r="R643" s="4"/>
      <c r="S643" s="4"/>
    </row>
    <row r="644" spans="13:19">
      <c r="M644" s="4"/>
      <c r="N644" s="248"/>
      <c r="O644" s="4"/>
      <c r="P644" s="4"/>
      <c r="Q644" s="248"/>
      <c r="R644" s="4"/>
      <c r="S644" s="4"/>
    </row>
    <row r="645" spans="13:19">
      <c r="M645" s="4"/>
      <c r="N645" s="248"/>
      <c r="O645" s="4"/>
      <c r="P645" s="4"/>
      <c r="Q645" s="248"/>
      <c r="R645" s="4"/>
      <c r="S645" s="4"/>
    </row>
    <row r="646" spans="13:19">
      <c r="M646" s="4"/>
      <c r="N646" s="248"/>
      <c r="O646" s="4"/>
      <c r="P646" s="4"/>
      <c r="Q646" s="248"/>
      <c r="R646" s="4"/>
      <c r="S646" s="4"/>
    </row>
    <row r="647" spans="13:19">
      <c r="M647" s="4"/>
      <c r="N647" s="248"/>
      <c r="O647" s="4"/>
      <c r="P647" s="4"/>
      <c r="Q647" s="248"/>
      <c r="R647" s="4"/>
      <c r="S647" s="4"/>
    </row>
    <row r="648" spans="13:19">
      <c r="M648" s="4"/>
      <c r="N648" s="248"/>
      <c r="O648" s="4"/>
      <c r="P648" s="4"/>
      <c r="Q648" s="248"/>
      <c r="R648" s="4"/>
      <c r="S648" s="4"/>
    </row>
    <row r="649" spans="13:19">
      <c r="M649" s="4"/>
      <c r="N649" s="248"/>
      <c r="O649" s="4"/>
      <c r="P649" s="4"/>
      <c r="Q649" s="248"/>
      <c r="R649" s="4"/>
      <c r="S649" s="4"/>
    </row>
    <row r="650" spans="13:19">
      <c r="M650" s="4"/>
      <c r="N650" s="248"/>
      <c r="O650" s="4"/>
      <c r="P650" s="4"/>
      <c r="Q650" s="248"/>
      <c r="R650" s="4"/>
      <c r="S650" s="4"/>
    </row>
    <row r="651" spans="13:19">
      <c r="M651" s="4"/>
      <c r="N651" s="248"/>
      <c r="O651" s="4"/>
      <c r="P651" s="4"/>
      <c r="Q651" s="248"/>
      <c r="R651" s="4"/>
      <c r="S651" s="4"/>
    </row>
    <row r="652" spans="13:19">
      <c r="M652" s="4"/>
      <c r="N652" s="248"/>
      <c r="O652" s="4"/>
      <c r="P652" s="4"/>
      <c r="Q652" s="248"/>
      <c r="R652" s="4"/>
      <c r="S652" s="4"/>
    </row>
    <row r="653" spans="13:19">
      <c r="M653" s="4"/>
      <c r="N653" s="248"/>
      <c r="O653" s="4"/>
      <c r="P653" s="4"/>
      <c r="Q653" s="248"/>
      <c r="R653" s="4"/>
      <c r="S653" s="4"/>
    </row>
    <row r="654" spans="13:19">
      <c r="M654" s="4"/>
      <c r="N654" s="248"/>
      <c r="O654" s="4"/>
      <c r="P654" s="4"/>
      <c r="Q654" s="248"/>
      <c r="R654" s="4"/>
      <c r="S654" s="4"/>
    </row>
    <row r="655" spans="13:19">
      <c r="M655" s="4"/>
      <c r="N655" s="248"/>
      <c r="O655" s="4"/>
      <c r="P655" s="4"/>
      <c r="Q655" s="248"/>
      <c r="R655" s="4"/>
      <c r="S655" s="4"/>
    </row>
    <row r="656" spans="13:19">
      <c r="M656" s="4"/>
      <c r="N656" s="248"/>
      <c r="O656" s="4"/>
      <c r="P656" s="4"/>
      <c r="Q656" s="248"/>
      <c r="R656" s="4"/>
      <c r="S656" s="4"/>
    </row>
    <row r="657" spans="13:19">
      <c r="M657" s="4"/>
      <c r="N657" s="248"/>
      <c r="O657" s="4"/>
      <c r="P657" s="4"/>
      <c r="Q657" s="248"/>
      <c r="R657" s="4"/>
      <c r="S657" s="4"/>
    </row>
    <row r="658" spans="13:19">
      <c r="M658" s="4"/>
      <c r="N658" s="248"/>
      <c r="O658" s="4"/>
      <c r="P658" s="4"/>
      <c r="Q658" s="248"/>
      <c r="R658" s="4"/>
      <c r="S658" s="4"/>
    </row>
    <row r="659" spans="13:19">
      <c r="M659" s="4"/>
      <c r="N659" s="248"/>
      <c r="O659" s="4"/>
      <c r="P659" s="4"/>
      <c r="Q659" s="248"/>
      <c r="R659" s="4"/>
      <c r="S659" s="4"/>
    </row>
    <row r="660" spans="13:19">
      <c r="M660" s="4"/>
      <c r="N660" s="248"/>
      <c r="O660" s="4"/>
      <c r="P660" s="4"/>
      <c r="Q660" s="248"/>
      <c r="R660" s="4"/>
      <c r="S660" s="4"/>
    </row>
    <row r="661" spans="13:19">
      <c r="M661" s="4"/>
      <c r="N661" s="248"/>
      <c r="O661" s="4"/>
      <c r="P661" s="4"/>
      <c r="Q661" s="248"/>
      <c r="R661" s="4"/>
      <c r="S661" s="4"/>
    </row>
    <row r="662" spans="13:19">
      <c r="M662" s="4"/>
      <c r="N662" s="248"/>
      <c r="O662" s="4"/>
      <c r="P662" s="4"/>
      <c r="Q662" s="248"/>
      <c r="R662" s="4"/>
      <c r="S662" s="4"/>
    </row>
    <row r="663" spans="13:19">
      <c r="M663" s="4"/>
      <c r="N663" s="248"/>
      <c r="O663" s="4"/>
      <c r="P663" s="4"/>
      <c r="Q663" s="248"/>
      <c r="R663" s="4"/>
      <c r="S663" s="4"/>
    </row>
    <row r="664" spans="13:19">
      <c r="M664" s="4"/>
      <c r="N664" s="248"/>
      <c r="O664" s="4"/>
      <c r="P664" s="4"/>
      <c r="Q664" s="248"/>
      <c r="R664" s="4"/>
      <c r="S664" s="4"/>
    </row>
    <row r="665" spans="13:19">
      <c r="M665" s="4"/>
      <c r="N665" s="248"/>
      <c r="O665" s="4"/>
      <c r="P665" s="4"/>
      <c r="Q665" s="248"/>
      <c r="R665" s="4"/>
      <c r="S665" s="4"/>
    </row>
    <row r="666" spans="13:19">
      <c r="M666" s="4"/>
      <c r="N666" s="248"/>
      <c r="O666" s="4"/>
      <c r="P666" s="4"/>
      <c r="Q666" s="248"/>
      <c r="R666" s="4"/>
      <c r="S666" s="4"/>
    </row>
    <row r="667" spans="13:19">
      <c r="M667" s="4"/>
      <c r="N667" s="248"/>
      <c r="O667" s="4"/>
      <c r="P667" s="4"/>
      <c r="Q667" s="248"/>
      <c r="R667" s="4"/>
      <c r="S667" s="4"/>
    </row>
    <row r="668" spans="13:19">
      <c r="M668" s="4"/>
      <c r="N668" s="248"/>
      <c r="O668" s="4"/>
      <c r="P668" s="4"/>
      <c r="Q668" s="248"/>
      <c r="R668" s="4"/>
      <c r="S668" s="4"/>
    </row>
    <row r="669" spans="13:19">
      <c r="M669" s="4"/>
      <c r="N669" s="248"/>
      <c r="O669" s="4"/>
      <c r="P669" s="4"/>
      <c r="Q669" s="248"/>
      <c r="R669" s="4"/>
      <c r="S669" s="4"/>
    </row>
    <row r="670" spans="13:19">
      <c r="M670" s="4"/>
      <c r="N670" s="248"/>
      <c r="O670" s="4"/>
      <c r="P670" s="4"/>
      <c r="Q670" s="248"/>
      <c r="R670" s="4"/>
      <c r="S670" s="4"/>
    </row>
    <row r="671" spans="13:19">
      <c r="M671" s="4"/>
      <c r="N671" s="248"/>
      <c r="O671" s="4"/>
      <c r="P671" s="4"/>
      <c r="Q671" s="248"/>
      <c r="R671" s="4"/>
      <c r="S671" s="4"/>
    </row>
    <row r="672" spans="13:19">
      <c r="M672" s="4"/>
      <c r="N672" s="248"/>
      <c r="O672" s="4"/>
      <c r="P672" s="4"/>
      <c r="Q672" s="248"/>
      <c r="R672" s="4"/>
      <c r="S672" s="4"/>
    </row>
    <row r="673" spans="13:19">
      <c r="M673" s="4"/>
      <c r="N673" s="248"/>
      <c r="O673" s="4"/>
      <c r="P673" s="4"/>
      <c r="Q673" s="248"/>
      <c r="R673" s="4"/>
      <c r="S673" s="4"/>
    </row>
    <row r="674" spans="13:19">
      <c r="M674" s="4"/>
      <c r="N674" s="248"/>
      <c r="O674" s="4"/>
      <c r="P674" s="4"/>
      <c r="Q674" s="248"/>
      <c r="R674" s="4"/>
      <c r="S674" s="4"/>
    </row>
    <row r="675" spans="13:19">
      <c r="M675" s="4"/>
      <c r="N675" s="248"/>
      <c r="O675" s="4"/>
      <c r="P675" s="4"/>
      <c r="Q675" s="248"/>
      <c r="R675" s="4"/>
      <c r="S675" s="4"/>
    </row>
    <row r="676" spans="13:19">
      <c r="M676" s="4"/>
      <c r="N676" s="248"/>
      <c r="O676" s="4"/>
      <c r="P676" s="4"/>
      <c r="Q676" s="248"/>
      <c r="R676" s="4"/>
      <c r="S676" s="4"/>
    </row>
    <row r="677" spans="13:19">
      <c r="M677" s="4"/>
      <c r="N677" s="248"/>
      <c r="O677" s="4"/>
      <c r="P677" s="4"/>
      <c r="Q677" s="248"/>
      <c r="R677" s="4"/>
      <c r="S677" s="4"/>
    </row>
    <row r="678" spans="13:19">
      <c r="M678" s="4"/>
      <c r="N678" s="248"/>
      <c r="O678" s="4"/>
      <c r="P678" s="4"/>
      <c r="Q678" s="248"/>
      <c r="R678" s="4"/>
      <c r="S678" s="4"/>
    </row>
    <row r="679" spans="13:19">
      <c r="M679" s="4"/>
      <c r="N679" s="248"/>
      <c r="O679" s="4"/>
      <c r="P679" s="4"/>
      <c r="Q679" s="248"/>
      <c r="R679" s="4"/>
      <c r="S679" s="4"/>
    </row>
    <row r="680" spans="13:19">
      <c r="M680" s="4"/>
      <c r="N680" s="248"/>
      <c r="O680" s="4"/>
      <c r="P680" s="4"/>
      <c r="Q680" s="248"/>
      <c r="R680" s="4"/>
      <c r="S680" s="4"/>
    </row>
    <row r="681" spans="13:19">
      <c r="M681" s="4"/>
      <c r="N681" s="248"/>
      <c r="O681" s="4"/>
      <c r="P681" s="4"/>
      <c r="Q681" s="248"/>
      <c r="R681" s="4"/>
      <c r="S681" s="4"/>
    </row>
    <row r="682" spans="13:19">
      <c r="M682" s="4"/>
      <c r="N682" s="248"/>
      <c r="O682" s="4"/>
      <c r="P682" s="4"/>
      <c r="Q682" s="248"/>
      <c r="R682" s="4"/>
      <c r="S682" s="4"/>
    </row>
    <row r="683" spans="13:19">
      <c r="M683" s="4"/>
      <c r="N683" s="248"/>
      <c r="O683" s="4"/>
      <c r="P683" s="4"/>
      <c r="Q683" s="248"/>
      <c r="R683" s="4"/>
      <c r="S683" s="4"/>
    </row>
    <row r="684" spans="13:19">
      <c r="M684" s="4"/>
      <c r="N684" s="248"/>
      <c r="O684" s="4"/>
      <c r="P684" s="4"/>
      <c r="Q684" s="248"/>
      <c r="R684" s="4"/>
      <c r="S684" s="4"/>
    </row>
    <row r="685" spans="13:19">
      <c r="M685" s="4"/>
      <c r="N685" s="248"/>
      <c r="O685" s="4"/>
      <c r="P685" s="4"/>
      <c r="Q685" s="248"/>
      <c r="R685" s="4"/>
      <c r="S685" s="4"/>
    </row>
    <row r="686" spans="13:19">
      <c r="M686" s="4"/>
      <c r="N686" s="248"/>
      <c r="O686" s="4"/>
      <c r="P686" s="4"/>
      <c r="Q686" s="248"/>
      <c r="R686" s="4"/>
      <c r="S686" s="4"/>
    </row>
    <row r="687" spans="13:19">
      <c r="M687" s="4"/>
      <c r="N687" s="248"/>
      <c r="O687" s="4"/>
      <c r="P687" s="4"/>
      <c r="Q687" s="248"/>
      <c r="R687" s="4"/>
      <c r="S687" s="4"/>
    </row>
    <row r="688" spans="13:19">
      <c r="M688" s="4"/>
      <c r="N688" s="248"/>
      <c r="O688" s="4"/>
      <c r="P688" s="4"/>
      <c r="Q688" s="248"/>
      <c r="R688" s="4"/>
      <c r="S688" s="4"/>
    </row>
    <row r="689" spans="13:19">
      <c r="M689" s="4"/>
      <c r="N689" s="248"/>
      <c r="O689" s="4"/>
      <c r="P689" s="4"/>
      <c r="Q689" s="248"/>
      <c r="R689" s="4"/>
      <c r="S689" s="4"/>
    </row>
    <row r="690" spans="13:19">
      <c r="M690" s="4"/>
      <c r="N690" s="248"/>
      <c r="O690" s="4"/>
      <c r="P690" s="4"/>
      <c r="Q690" s="248"/>
      <c r="R690" s="4"/>
      <c r="S690" s="4"/>
    </row>
    <row r="691" spans="13:19">
      <c r="M691" s="4"/>
      <c r="N691" s="248"/>
      <c r="O691" s="4"/>
      <c r="P691" s="4"/>
      <c r="Q691" s="248"/>
      <c r="R691" s="4"/>
      <c r="S691" s="4"/>
    </row>
    <row r="692" spans="13:19">
      <c r="M692" s="4"/>
      <c r="N692" s="248"/>
      <c r="O692" s="4"/>
      <c r="P692" s="4"/>
      <c r="Q692" s="248"/>
      <c r="R692" s="4"/>
      <c r="S692" s="4"/>
    </row>
    <row r="693" spans="13:19">
      <c r="M693" s="4"/>
      <c r="N693" s="248"/>
      <c r="O693" s="4"/>
      <c r="P693" s="4"/>
      <c r="Q693" s="248"/>
      <c r="R693" s="4"/>
      <c r="S693" s="4"/>
    </row>
    <row r="694" spans="13:19">
      <c r="M694" s="4"/>
      <c r="N694" s="248"/>
      <c r="O694" s="4"/>
      <c r="P694" s="4"/>
      <c r="Q694" s="248"/>
      <c r="R694" s="4"/>
      <c r="S694" s="4"/>
    </row>
    <row r="695" spans="13:19">
      <c r="M695" s="4"/>
      <c r="N695" s="248"/>
      <c r="O695" s="4"/>
      <c r="P695" s="4"/>
      <c r="Q695" s="248"/>
      <c r="R695" s="4"/>
      <c r="S695" s="4"/>
    </row>
    <row r="696" spans="13:19">
      <c r="M696" s="4"/>
      <c r="N696" s="248"/>
      <c r="O696" s="4"/>
      <c r="P696" s="4"/>
      <c r="Q696" s="248"/>
      <c r="R696" s="4"/>
      <c r="S696" s="4"/>
    </row>
    <row r="697" spans="13:19">
      <c r="M697" s="4"/>
      <c r="N697" s="248"/>
      <c r="O697" s="4"/>
      <c r="P697" s="4"/>
      <c r="Q697" s="248"/>
      <c r="R697" s="4"/>
      <c r="S697" s="4"/>
    </row>
    <row r="698" spans="13:19">
      <c r="M698" s="4"/>
      <c r="N698" s="248"/>
      <c r="O698" s="4"/>
      <c r="P698" s="4"/>
      <c r="Q698" s="248"/>
      <c r="R698" s="4"/>
      <c r="S698" s="4"/>
    </row>
    <row r="699" spans="13:19">
      <c r="M699" s="4"/>
      <c r="N699" s="248"/>
      <c r="O699" s="4"/>
      <c r="P699" s="4"/>
      <c r="Q699" s="248"/>
      <c r="R699" s="4"/>
      <c r="S699" s="4"/>
    </row>
    <row r="700" spans="13:19">
      <c r="M700" s="4"/>
      <c r="N700" s="248"/>
      <c r="O700" s="4"/>
      <c r="P700" s="4"/>
      <c r="Q700" s="248"/>
      <c r="R700" s="4"/>
      <c r="S700" s="4"/>
    </row>
    <row r="701" spans="13:19">
      <c r="M701" s="4"/>
      <c r="N701" s="248"/>
      <c r="O701" s="4"/>
      <c r="P701" s="4"/>
      <c r="Q701" s="248"/>
      <c r="R701" s="4"/>
      <c r="S701" s="4"/>
    </row>
    <row r="702" spans="13:19">
      <c r="M702" s="4"/>
      <c r="N702" s="248"/>
      <c r="O702" s="4"/>
      <c r="P702" s="4"/>
      <c r="Q702" s="248"/>
      <c r="R702" s="4"/>
      <c r="S702" s="4"/>
    </row>
    <row r="703" spans="13:19">
      <c r="M703" s="4"/>
      <c r="N703" s="248"/>
      <c r="O703" s="4"/>
      <c r="P703" s="4"/>
      <c r="Q703" s="248"/>
      <c r="R703" s="4"/>
      <c r="S703" s="4"/>
    </row>
    <row r="704" spans="13:19">
      <c r="M704" s="4"/>
      <c r="N704" s="248"/>
      <c r="O704" s="4"/>
      <c r="P704" s="4"/>
      <c r="Q704" s="248"/>
      <c r="R704" s="4"/>
      <c r="S704" s="4"/>
    </row>
    <row r="705" spans="13:19">
      <c r="M705" s="4"/>
      <c r="N705" s="248"/>
      <c r="O705" s="4"/>
      <c r="P705" s="4"/>
      <c r="Q705" s="248"/>
      <c r="R705" s="4"/>
      <c r="S705" s="4"/>
    </row>
    <row r="706" spans="13:19">
      <c r="M706" s="4"/>
      <c r="N706" s="248"/>
      <c r="O706" s="4"/>
      <c r="P706" s="4"/>
      <c r="Q706" s="248"/>
      <c r="R706" s="4"/>
      <c r="S706" s="4"/>
    </row>
    <row r="707" spans="13:19">
      <c r="M707" s="4"/>
      <c r="N707" s="248"/>
      <c r="O707" s="4"/>
      <c r="P707" s="4"/>
      <c r="Q707" s="248"/>
      <c r="R707" s="4"/>
      <c r="S707" s="4"/>
    </row>
    <row r="708" spans="13:19">
      <c r="M708" s="4"/>
      <c r="N708" s="248"/>
      <c r="O708" s="4"/>
      <c r="P708" s="4"/>
      <c r="Q708" s="248"/>
      <c r="R708" s="4"/>
      <c r="S708" s="4"/>
    </row>
    <row r="709" spans="13:19">
      <c r="M709" s="4"/>
      <c r="N709" s="248"/>
      <c r="O709" s="4"/>
      <c r="P709" s="4"/>
      <c r="Q709" s="248"/>
      <c r="R709" s="4"/>
      <c r="S709" s="4"/>
    </row>
    <row r="710" spans="13:19">
      <c r="M710" s="4"/>
      <c r="N710" s="248"/>
      <c r="O710" s="4"/>
      <c r="P710" s="4"/>
      <c r="Q710" s="248"/>
      <c r="R710" s="4"/>
      <c r="S710" s="4"/>
    </row>
    <row r="711" spans="13:19">
      <c r="M711" s="4"/>
      <c r="N711" s="248"/>
      <c r="O711" s="4"/>
      <c r="P711" s="4"/>
      <c r="Q711" s="248"/>
      <c r="R711" s="4"/>
      <c r="S711" s="4"/>
    </row>
    <row r="712" spans="13:19">
      <c r="M712" s="4"/>
      <c r="N712" s="248"/>
      <c r="O712" s="4"/>
      <c r="P712" s="4"/>
      <c r="Q712" s="248"/>
      <c r="R712" s="4"/>
      <c r="S712" s="4"/>
    </row>
    <row r="713" spans="13:19">
      <c r="M713" s="4"/>
      <c r="N713" s="248"/>
      <c r="O713" s="4"/>
      <c r="P713" s="4"/>
      <c r="Q713" s="248"/>
      <c r="R713" s="4"/>
      <c r="S713" s="4"/>
    </row>
    <row r="714" spans="13:19">
      <c r="M714" s="4"/>
      <c r="N714" s="248"/>
      <c r="O714" s="4"/>
      <c r="P714" s="4"/>
      <c r="Q714" s="248"/>
      <c r="R714" s="4"/>
      <c r="S714" s="4"/>
    </row>
    <row r="715" spans="13:19">
      <c r="M715" s="4"/>
      <c r="N715" s="248"/>
      <c r="O715" s="4"/>
      <c r="P715" s="4"/>
      <c r="Q715" s="248"/>
      <c r="R715" s="4"/>
      <c r="S715" s="4"/>
    </row>
    <row r="716" spans="13:19">
      <c r="M716" s="4"/>
      <c r="N716" s="248"/>
      <c r="O716" s="4"/>
      <c r="P716" s="4"/>
      <c r="Q716" s="248"/>
      <c r="R716" s="4"/>
      <c r="S716" s="4"/>
    </row>
    <row r="717" spans="13:19">
      <c r="M717" s="4"/>
      <c r="N717" s="248"/>
      <c r="O717" s="4"/>
      <c r="P717" s="4"/>
      <c r="Q717" s="248"/>
      <c r="R717" s="4"/>
      <c r="S717" s="4"/>
    </row>
    <row r="718" spans="13:19">
      <c r="M718" s="4"/>
      <c r="N718" s="248"/>
      <c r="O718" s="4"/>
      <c r="P718" s="4"/>
      <c r="Q718" s="248"/>
      <c r="R718" s="4"/>
      <c r="S718" s="4"/>
    </row>
    <row r="719" spans="13:19">
      <c r="M719" s="4"/>
      <c r="N719" s="248"/>
      <c r="O719" s="4"/>
      <c r="P719" s="4"/>
      <c r="Q719" s="248"/>
      <c r="R719" s="4"/>
      <c r="S719" s="4"/>
    </row>
    <row r="720" spans="13:19">
      <c r="M720" s="4"/>
      <c r="N720" s="248"/>
      <c r="O720" s="4"/>
      <c r="P720" s="4"/>
      <c r="Q720" s="248"/>
      <c r="R720" s="4"/>
      <c r="S720" s="4"/>
    </row>
    <row r="721" spans="13:19">
      <c r="M721" s="4"/>
      <c r="N721" s="248"/>
      <c r="O721" s="4"/>
      <c r="P721" s="4"/>
      <c r="Q721" s="248"/>
      <c r="R721" s="4"/>
      <c r="S721" s="4"/>
    </row>
    <row r="722" spans="13:19">
      <c r="M722" s="4"/>
      <c r="N722" s="248"/>
      <c r="O722" s="4"/>
      <c r="P722" s="4"/>
      <c r="Q722" s="248"/>
      <c r="R722" s="4"/>
      <c r="S722" s="4"/>
    </row>
    <row r="723" spans="13:19">
      <c r="M723" s="4"/>
      <c r="N723" s="248"/>
      <c r="O723" s="4"/>
      <c r="P723" s="4"/>
      <c r="Q723" s="248"/>
      <c r="R723" s="4"/>
      <c r="S723" s="4"/>
    </row>
    <row r="724" spans="13:19">
      <c r="M724" s="4"/>
      <c r="N724" s="248"/>
      <c r="O724" s="4"/>
      <c r="P724" s="4"/>
      <c r="Q724" s="248"/>
      <c r="R724" s="4"/>
      <c r="S724" s="4"/>
    </row>
    <row r="725" spans="13:19">
      <c r="M725" s="4"/>
      <c r="N725" s="248"/>
      <c r="O725" s="4"/>
      <c r="P725" s="4"/>
      <c r="Q725" s="248"/>
      <c r="R725" s="4"/>
      <c r="S725" s="4"/>
    </row>
    <row r="726" spans="13:19">
      <c r="M726" s="4"/>
      <c r="N726" s="248"/>
      <c r="O726" s="4"/>
      <c r="P726" s="4"/>
      <c r="Q726" s="248"/>
      <c r="R726" s="4"/>
      <c r="S726" s="4"/>
    </row>
    <row r="727" spans="13:19">
      <c r="M727" s="4"/>
      <c r="N727" s="248"/>
      <c r="O727" s="4"/>
      <c r="P727" s="4"/>
      <c r="Q727" s="248"/>
      <c r="R727" s="4"/>
      <c r="S727" s="4"/>
    </row>
    <row r="728" spans="13:19">
      <c r="M728" s="4"/>
      <c r="N728" s="248"/>
      <c r="O728" s="4"/>
      <c r="P728" s="4"/>
      <c r="Q728" s="248"/>
      <c r="R728" s="4"/>
      <c r="S728" s="4"/>
    </row>
    <row r="729" spans="13:19">
      <c r="M729" s="4"/>
      <c r="N729" s="248"/>
      <c r="O729" s="4"/>
      <c r="P729" s="4"/>
      <c r="Q729" s="248"/>
      <c r="R729" s="4"/>
      <c r="S729" s="4"/>
    </row>
    <row r="730" spans="13:19">
      <c r="M730" s="4"/>
      <c r="N730" s="248"/>
      <c r="O730" s="4"/>
      <c r="P730" s="4"/>
      <c r="Q730" s="248"/>
      <c r="R730" s="4"/>
      <c r="S730" s="4"/>
    </row>
    <row r="731" spans="13:19">
      <c r="M731" s="4"/>
      <c r="N731" s="248"/>
      <c r="O731" s="4"/>
      <c r="P731" s="4"/>
      <c r="Q731" s="248"/>
      <c r="R731" s="4"/>
      <c r="S731" s="4"/>
    </row>
    <row r="732" spans="13:19">
      <c r="M732" s="4"/>
      <c r="N732" s="248"/>
      <c r="O732" s="4"/>
      <c r="P732" s="4"/>
      <c r="Q732" s="248"/>
      <c r="R732" s="4"/>
      <c r="S732" s="4"/>
    </row>
    <row r="733" spans="13:19">
      <c r="M733" s="4"/>
      <c r="N733" s="248"/>
      <c r="O733" s="4"/>
      <c r="P733" s="4"/>
      <c r="Q733" s="248"/>
      <c r="R733" s="4"/>
      <c r="S733" s="4"/>
    </row>
    <row r="734" spans="13:19">
      <c r="M734" s="4"/>
      <c r="N734" s="248"/>
      <c r="O734" s="4"/>
      <c r="P734" s="4"/>
      <c r="Q734" s="248"/>
      <c r="R734" s="4"/>
      <c r="S734" s="4"/>
    </row>
    <row r="735" spans="13:19">
      <c r="M735" s="4"/>
      <c r="N735" s="248"/>
      <c r="O735" s="4"/>
      <c r="P735" s="4"/>
      <c r="Q735" s="248"/>
      <c r="R735" s="4"/>
      <c r="S735" s="4"/>
    </row>
    <row r="736" spans="13:19">
      <c r="M736" s="4"/>
      <c r="N736" s="248"/>
      <c r="O736" s="4"/>
      <c r="P736" s="4"/>
      <c r="Q736" s="248"/>
      <c r="R736" s="4"/>
      <c r="S736" s="4"/>
    </row>
    <row r="737" spans="13:19">
      <c r="M737" s="4"/>
      <c r="N737" s="248"/>
      <c r="O737" s="4"/>
      <c r="P737" s="4"/>
      <c r="Q737" s="248"/>
      <c r="R737" s="4"/>
      <c r="S737" s="4"/>
    </row>
    <row r="738" spans="13:19">
      <c r="M738" s="4"/>
      <c r="N738" s="248"/>
      <c r="O738" s="4"/>
      <c r="P738" s="4"/>
      <c r="Q738" s="248"/>
      <c r="R738" s="4"/>
      <c r="S738" s="4"/>
    </row>
    <row r="739" spans="13:19">
      <c r="M739" s="4"/>
      <c r="N739" s="248"/>
      <c r="O739" s="4"/>
      <c r="P739" s="4"/>
      <c r="Q739" s="248"/>
      <c r="R739" s="4"/>
      <c r="S739" s="4"/>
    </row>
    <row r="740" spans="13:19">
      <c r="M740" s="4"/>
      <c r="N740" s="248"/>
      <c r="O740" s="4"/>
      <c r="P740" s="4"/>
      <c r="Q740" s="248"/>
      <c r="R740" s="4"/>
      <c r="S740" s="4"/>
    </row>
    <row r="741" spans="13:19">
      <c r="M741" s="4"/>
      <c r="N741" s="248"/>
      <c r="O741" s="4"/>
      <c r="P741" s="4"/>
      <c r="Q741" s="248"/>
      <c r="R741" s="4"/>
      <c r="S741" s="4"/>
    </row>
    <row r="742" spans="13:19">
      <c r="M742" s="4"/>
      <c r="N742" s="248"/>
      <c r="O742" s="4"/>
      <c r="P742" s="4"/>
      <c r="Q742" s="248"/>
      <c r="R742" s="4"/>
      <c r="S742" s="4"/>
    </row>
    <row r="743" spans="13:19">
      <c r="M743" s="4"/>
      <c r="N743" s="248"/>
      <c r="O743" s="4"/>
      <c r="P743" s="4"/>
      <c r="Q743" s="248"/>
      <c r="R743" s="4"/>
      <c r="S743" s="4"/>
    </row>
    <row r="744" spans="13:19">
      <c r="M744" s="4"/>
      <c r="N744" s="248"/>
      <c r="O744" s="4"/>
      <c r="P744" s="4"/>
      <c r="Q744" s="248"/>
      <c r="R744" s="4"/>
      <c r="S744" s="4"/>
    </row>
    <row r="745" spans="13:19">
      <c r="M745" s="4"/>
      <c r="N745" s="248"/>
      <c r="O745" s="4"/>
      <c r="P745" s="4"/>
      <c r="Q745" s="248"/>
      <c r="R745" s="4"/>
      <c r="S745" s="4"/>
    </row>
    <row r="746" spans="13:19">
      <c r="M746" s="4"/>
      <c r="N746" s="248"/>
      <c r="O746" s="4"/>
      <c r="P746" s="4"/>
      <c r="Q746" s="248"/>
      <c r="R746" s="4"/>
      <c r="S746" s="4"/>
    </row>
    <row r="747" spans="13:19">
      <c r="M747" s="4"/>
      <c r="N747" s="248"/>
      <c r="O747" s="4"/>
      <c r="P747" s="4"/>
      <c r="Q747" s="248"/>
      <c r="R747" s="4"/>
      <c r="S747" s="4"/>
    </row>
    <row r="748" spans="13:19">
      <c r="M748" s="4"/>
      <c r="N748" s="248"/>
      <c r="O748" s="4"/>
      <c r="P748" s="4"/>
      <c r="Q748" s="248"/>
      <c r="R748" s="4"/>
      <c r="S748" s="4"/>
    </row>
    <row r="749" spans="13:19">
      <c r="M749" s="4"/>
      <c r="N749" s="248"/>
      <c r="O749" s="4"/>
      <c r="P749" s="4"/>
      <c r="Q749" s="248"/>
      <c r="R749" s="4"/>
      <c r="S749" s="4"/>
    </row>
    <row r="750" spans="13:19">
      <c r="M750" s="4"/>
      <c r="N750" s="248"/>
      <c r="O750" s="4"/>
      <c r="P750" s="4"/>
      <c r="Q750" s="248"/>
      <c r="R750" s="4"/>
      <c r="S750" s="4"/>
    </row>
    <row r="751" spans="13:19">
      <c r="M751" s="4"/>
      <c r="N751" s="248"/>
      <c r="O751" s="4"/>
      <c r="P751" s="4"/>
      <c r="Q751" s="248"/>
      <c r="R751" s="4"/>
      <c r="S751" s="4"/>
    </row>
    <row r="752" spans="13:19">
      <c r="M752" s="4"/>
      <c r="N752" s="248"/>
      <c r="O752" s="4"/>
      <c r="P752" s="4"/>
      <c r="Q752" s="248"/>
      <c r="R752" s="4"/>
      <c r="S752" s="4"/>
    </row>
    <row r="753" spans="13:19">
      <c r="M753" s="4"/>
      <c r="N753" s="248"/>
      <c r="O753" s="4"/>
      <c r="P753" s="4"/>
      <c r="Q753" s="248"/>
      <c r="R753" s="4"/>
      <c r="S753" s="4"/>
    </row>
    <row r="754" spans="13:19">
      <c r="M754" s="4"/>
      <c r="N754" s="248"/>
      <c r="O754" s="4"/>
      <c r="P754" s="4"/>
      <c r="Q754" s="248"/>
      <c r="R754" s="4"/>
      <c r="S754" s="4"/>
    </row>
    <row r="755" spans="13:19">
      <c r="M755" s="4"/>
      <c r="N755" s="248"/>
      <c r="O755" s="4"/>
      <c r="P755" s="4"/>
      <c r="Q755" s="248"/>
      <c r="R755" s="4"/>
      <c r="S755" s="4"/>
    </row>
    <row r="756" spans="13:19">
      <c r="M756" s="4"/>
      <c r="N756" s="248"/>
      <c r="O756" s="4"/>
      <c r="P756" s="4"/>
      <c r="Q756" s="248"/>
      <c r="R756" s="4"/>
      <c r="S756" s="4"/>
    </row>
    <row r="757" spans="13:19">
      <c r="M757" s="4"/>
      <c r="N757" s="248"/>
      <c r="O757" s="4"/>
      <c r="P757" s="4"/>
      <c r="Q757" s="248"/>
      <c r="R757" s="4"/>
      <c r="S757" s="4"/>
    </row>
    <row r="758" spans="13:19">
      <c r="M758" s="4"/>
      <c r="N758" s="248"/>
      <c r="O758" s="4"/>
      <c r="P758" s="4"/>
      <c r="Q758" s="248"/>
      <c r="R758" s="4"/>
      <c r="S758" s="4"/>
    </row>
    <row r="759" spans="13:19">
      <c r="M759" s="4"/>
      <c r="N759" s="248"/>
      <c r="O759" s="4"/>
      <c r="P759" s="4"/>
      <c r="Q759" s="248"/>
      <c r="R759" s="4"/>
      <c r="S759" s="4"/>
    </row>
    <row r="760" spans="13:19">
      <c r="M760" s="4"/>
      <c r="N760" s="248"/>
      <c r="O760" s="4"/>
      <c r="P760" s="4"/>
      <c r="Q760" s="248"/>
      <c r="R760" s="4"/>
      <c r="S760" s="4"/>
    </row>
    <row r="761" spans="13:19">
      <c r="M761" s="4"/>
      <c r="N761" s="248"/>
      <c r="O761" s="4"/>
      <c r="P761" s="4"/>
      <c r="Q761" s="248"/>
      <c r="R761" s="4"/>
      <c r="S761" s="4"/>
    </row>
    <row r="762" spans="13:19">
      <c r="M762" s="4"/>
      <c r="N762" s="248"/>
      <c r="O762" s="4"/>
      <c r="P762" s="4"/>
      <c r="Q762" s="248"/>
      <c r="R762" s="4"/>
      <c r="S762" s="4"/>
    </row>
    <row r="763" spans="13:19">
      <c r="M763" s="4"/>
      <c r="N763" s="248"/>
      <c r="O763" s="4"/>
      <c r="P763" s="4"/>
      <c r="Q763" s="248"/>
      <c r="R763" s="4"/>
      <c r="S763" s="4"/>
    </row>
    <row r="764" spans="13:19">
      <c r="M764" s="4"/>
      <c r="N764" s="248"/>
      <c r="O764" s="4"/>
      <c r="P764" s="4"/>
      <c r="Q764" s="248"/>
      <c r="R764" s="4"/>
      <c r="S764" s="4"/>
    </row>
    <row r="765" spans="13:19">
      <c r="M765" s="4"/>
      <c r="N765" s="248"/>
      <c r="O765" s="4"/>
      <c r="P765" s="4"/>
      <c r="Q765" s="248"/>
      <c r="R765" s="4"/>
      <c r="S765" s="4"/>
    </row>
    <row r="766" spans="13:19">
      <c r="M766" s="4"/>
      <c r="N766" s="248"/>
      <c r="O766" s="4"/>
      <c r="P766" s="4"/>
      <c r="Q766" s="248"/>
      <c r="R766" s="4"/>
      <c r="S766" s="4"/>
    </row>
    <row r="767" spans="13:19">
      <c r="M767" s="4"/>
      <c r="N767" s="248"/>
      <c r="O767" s="4"/>
      <c r="P767" s="4"/>
      <c r="Q767" s="248"/>
      <c r="R767" s="4"/>
      <c r="S767" s="4"/>
    </row>
    <row r="768" spans="13:19">
      <c r="M768" s="4"/>
      <c r="N768" s="248"/>
      <c r="O768" s="4"/>
      <c r="P768" s="4"/>
      <c r="Q768" s="248"/>
      <c r="R768" s="4"/>
      <c r="S768" s="4"/>
    </row>
    <row r="769" spans="13:19">
      <c r="M769" s="4"/>
      <c r="N769" s="248"/>
      <c r="O769" s="4"/>
      <c r="P769" s="4"/>
      <c r="Q769" s="248"/>
      <c r="R769" s="4"/>
      <c r="S769" s="4"/>
    </row>
    <row r="770" spans="13:19">
      <c r="M770" s="4"/>
      <c r="N770" s="248"/>
      <c r="O770" s="4"/>
      <c r="P770" s="4"/>
      <c r="Q770" s="248"/>
      <c r="R770" s="4"/>
      <c r="S770" s="4"/>
    </row>
    <row r="771" spans="13:19">
      <c r="M771" s="4"/>
      <c r="N771" s="248"/>
      <c r="O771" s="4"/>
      <c r="P771" s="4"/>
      <c r="Q771" s="248"/>
      <c r="R771" s="4"/>
      <c r="S771" s="4"/>
    </row>
    <row r="772" spans="13:19">
      <c r="M772" s="4"/>
      <c r="N772" s="248"/>
      <c r="O772" s="4"/>
      <c r="P772" s="4"/>
      <c r="Q772" s="248"/>
      <c r="R772" s="4"/>
      <c r="S772" s="4"/>
    </row>
    <row r="773" spans="13:19">
      <c r="M773" s="4"/>
      <c r="N773" s="248"/>
      <c r="O773" s="4"/>
      <c r="P773" s="4"/>
      <c r="Q773" s="248"/>
      <c r="R773" s="4"/>
      <c r="S773" s="4"/>
    </row>
    <row r="774" spans="13:19">
      <c r="M774" s="4"/>
      <c r="N774" s="248"/>
      <c r="O774" s="4"/>
      <c r="P774" s="4"/>
      <c r="Q774" s="248"/>
      <c r="R774" s="4"/>
      <c r="S774" s="4"/>
    </row>
    <row r="775" spans="13:19">
      <c r="M775" s="4"/>
      <c r="N775" s="248"/>
      <c r="O775" s="4"/>
      <c r="P775" s="4"/>
      <c r="Q775" s="248"/>
      <c r="R775" s="4"/>
      <c r="S775" s="4"/>
    </row>
    <row r="776" spans="13:19">
      <c r="M776" s="4"/>
      <c r="N776" s="248"/>
      <c r="O776" s="4"/>
      <c r="P776" s="4"/>
      <c r="Q776" s="248"/>
      <c r="R776" s="4"/>
      <c r="S776" s="4"/>
    </row>
    <row r="777" spans="13:19">
      <c r="M777" s="4"/>
      <c r="N777" s="248"/>
      <c r="O777" s="4"/>
      <c r="P777" s="4"/>
      <c r="Q777" s="248"/>
      <c r="R777" s="4"/>
      <c r="S777" s="4"/>
    </row>
    <row r="778" spans="13:19">
      <c r="M778" s="4"/>
      <c r="N778" s="248"/>
      <c r="O778" s="4"/>
      <c r="P778" s="4"/>
      <c r="Q778" s="248"/>
      <c r="R778" s="4"/>
      <c r="S778" s="4"/>
    </row>
    <row r="779" spans="13:19">
      <c r="M779" s="4"/>
      <c r="N779" s="248"/>
      <c r="O779" s="4"/>
      <c r="P779" s="4"/>
      <c r="Q779" s="248"/>
      <c r="R779" s="4"/>
      <c r="S779" s="4"/>
    </row>
    <row r="780" spans="13:19">
      <c r="M780" s="4"/>
      <c r="N780" s="248"/>
      <c r="O780" s="4"/>
      <c r="P780" s="4"/>
      <c r="Q780" s="248"/>
      <c r="R780" s="4"/>
      <c r="S780" s="4"/>
    </row>
    <row r="781" spans="13:19">
      <c r="M781" s="4"/>
      <c r="N781" s="248"/>
      <c r="O781" s="4"/>
      <c r="P781" s="4"/>
      <c r="Q781" s="248"/>
      <c r="R781" s="4"/>
      <c r="S781" s="4"/>
    </row>
    <row r="782" spans="13:19">
      <c r="M782" s="4"/>
      <c r="N782" s="248"/>
      <c r="O782" s="4"/>
      <c r="P782" s="4"/>
      <c r="Q782" s="248"/>
      <c r="R782" s="4"/>
      <c r="S782" s="4"/>
    </row>
    <row r="783" spans="13:19">
      <c r="M783" s="4"/>
      <c r="N783" s="248"/>
      <c r="O783" s="4"/>
      <c r="P783" s="4"/>
      <c r="Q783" s="248"/>
      <c r="R783" s="4"/>
      <c r="S783" s="4"/>
    </row>
    <row r="784" spans="13:19">
      <c r="M784" s="4"/>
      <c r="N784" s="248"/>
      <c r="O784" s="4"/>
      <c r="P784" s="4"/>
      <c r="Q784" s="248"/>
      <c r="R784" s="4"/>
      <c r="S784" s="4"/>
    </row>
    <row r="785" spans="13:19">
      <c r="M785" s="4"/>
      <c r="N785" s="248"/>
      <c r="O785" s="4"/>
      <c r="P785" s="4"/>
      <c r="Q785" s="248"/>
      <c r="R785" s="4"/>
      <c r="S785" s="4"/>
    </row>
    <row r="786" spans="13:19">
      <c r="M786" s="4"/>
      <c r="N786" s="248"/>
      <c r="O786" s="4"/>
      <c r="P786" s="4"/>
      <c r="Q786" s="248"/>
      <c r="R786" s="4"/>
      <c r="S786" s="4"/>
    </row>
    <row r="787" spans="13:19">
      <c r="M787" s="4"/>
      <c r="N787" s="248"/>
      <c r="O787" s="4"/>
      <c r="P787" s="4"/>
      <c r="Q787" s="248"/>
      <c r="R787" s="4"/>
      <c r="S787" s="4"/>
    </row>
    <row r="788" spans="13:19">
      <c r="M788" s="4"/>
      <c r="N788" s="248"/>
      <c r="O788" s="4"/>
      <c r="P788" s="4"/>
      <c r="Q788" s="248"/>
      <c r="R788" s="4"/>
      <c r="S788" s="4"/>
    </row>
    <row r="789" spans="13:19">
      <c r="M789" s="4"/>
      <c r="N789" s="248"/>
      <c r="O789" s="4"/>
      <c r="P789" s="4"/>
      <c r="Q789" s="248"/>
      <c r="R789" s="4"/>
      <c r="S789" s="4"/>
    </row>
    <row r="790" spans="13:19">
      <c r="M790" s="4"/>
      <c r="N790" s="248"/>
      <c r="O790" s="4"/>
      <c r="P790" s="4"/>
      <c r="Q790" s="248"/>
      <c r="R790" s="4"/>
      <c r="S790" s="4"/>
    </row>
    <row r="791" spans="13:19">
      <c r="M791" s="4"/>
      <c r="N791" s="248"/>
      <c r="O791" s="4"/>
      <c r="P791" s="4"/>
      <c r="Q791" s="248"/>
      <c r="R791" s="4"/>
      <c r="S791" s="4"/>
    </row>
    <row r="792" spans="13:19">
      <c r="M792" s="4"/>
      <c r="N792" s="248"/>
      <c r="O792" s="4"/>
      <c r="P792" s="4"/>
      <c r="Q792" s="248"/>
      <c r="R792" s="4"/>
      <c r="S792" s="4"/>
    </row>
    <row r="793" spans="13:19">
      <c r="M793" s="4"/>
      <c r="N793" s="248"/>
      <c r="O793" s="4"/>
      <c r="P793" s="4"/>
      <c r="Q793" s="248"/>
      <c r="R793" s="4"/>
      <c r="S793" s="4"/>
    </row>
    <row r="794" spans="13:19">
      <c r="M794" s="4"/>
      <c r="N794" s="248"/>
      <c r="O794" s="4"/>
      <c r="P794" s="4"/>
      <c r="Q794" s="248"/>
      <c r="R794" s="4"/>
      <c r="S794" s="4"/>
    </row>
    <row r="795" spans="13:19">
      <c r="M795" s="4"/>
      <c r="N795" s="248"/>
      <c r="O795" s="4"/>
      <c r="P795" s="4"/>
      <c r="Q795" s="248"/>
      <c r="R795" s="4"/>
      <c r="S795" s="4"/>
    </row>
    <row r="796" spans="13:19">
      <c r="M796" s="4"/>
      <c r="N796" s="248"/>
      <c r="O796" s="4"/>
      <c r="P796" s="4"/>
      <c r="Q796" s="248"/>
      <c r="R796" s="4"/>
      <c r="S796" s="4"/>
    </row>
    <row r="797" spans="13:19">
      <c r="M797" s="4"/>
      <c r="N797" s="248"/>
      <c r="O797" s="4"/>
      <c r="P797" s="4"/>
      <c r="Q797" s="248"/>
      <c r="R797" s="4"/>
      <c r="S797" s="4"/>
    </row>
    <row r="798" spans="13:19">
      <c r="M798" s="4"/>
      <c r="N798" s="248"/>
      <c r="O798" s="4"/>
      <c r="P798" s="4"/>
      <c r="Q798" s="248"/>
      <c r="R798" s="4"/>
      <c r="S798" s="4"/>
    </row>
    <row r="799" spans="13:19">
      <c r="M799" s="4"/>
      <c r="N799" s="248"/>
      <c r="O799" s="4"/>
      <c r="P799" s="4"/>
      <c r="Q799" s="248"/>
      <c r="R799" s="4"/>
      <c r="S799" s="4"/>
    </row>
    <row r="800" spans="13:19">
      <c r="M800" s="4"/>
      <c r="N800" s="248"/>
      <c r="O800" s="4"/>
      <c r="P800" s="4"/>
      <c r="Q800" s="248"/>
      <c r="R800" s="4"/>
      <c r="S800" s="4"/>
    </row>
    <row r="801" spans="13:19">
      <c r="M801" s="4"/>
      <c r="N801" s="248"/>
      <c r="O801" s="4"/>
      <c r="P801" s="4"/>
      <c r="Q801" s="248"/>
      <c r="R801" s="4"/>
      <c r="S801" s="4"/>
    </row>
    <row r="802" spans="13:19">
      <c r="M802" s="4"/>
      <c r="N802" s="248"/>
      <c r="O802" s="4"/>
      <c r="P802" s="4"/>
      <c r="Q802" s="248"/>
      <c r="R802" s="4"/>
      <c r="S802" s="4"/>
    </row>
    <row r="803" spans="13:19">
      <c r="M803" s="4"/>
      <c r="N803" s="248"/>
      <c r="O803" s="4"/>
      <c r="P803" s="4"/>
      <c r="Q803" s="248"/>
      <c r="R803" s="4"/>
      <c r="S803" s="4"/>
    </row>
    <row r="804" spans="13:19">
      <c r="M804" s="4"/>
      <c r="N804" s="248"/>
      <c r="O804" s="4"/>
      <c r="P804" s="4"/>
      <c r="Q804" s="248"/>
      <c r="R804" s="4"/>
      <c r="S804" s="4"/>
    </row>
    <row r="805" spans="13:19">
      <c r="M805" s="4"/>
      <c r="N805" s="248"/>
      <c r="O805" s="4"/>
      <c r="P805" s="4"/>
      <c r="Q805" s="248"/>
      <c r="R805" s="4"/>
      <c r="S805" s="4"/>
    </row>
    <row r="806" spans="13:19">
      <c r="M806" s="4"/>
      <c r="N806" s="248"/>
      <c r="O806" s="4"/>
      <c r="P806" s="4"/>
      <c r="Q806" s="248"/>
      <c r="R806" s="4"/>
      <c r="S806" s="4"/>
    </row>
    <row r="807" spans="13:19">
      <c r="M807" s="4"/>
      <c r="N807" s="248"/>
      <c r="O807" s="4"/>
      <c r="P807" s="4"/>
      <c r="Q807" s="248"/>
      <c r="R807" s="4"/>
      <c r="S807" s="4"/>
    </row>
  </sheetData>
  <mergeCells count="4">
    <mergeCell ref="A1:R1"/>
    <mergeCell ref="M2:O2"/>
    <mergeCell ref="P2:R2"/>
    <mergeCell ref="A39:P39"/>
  </mergeCells>
  <pageMargins left="0.2" right="0" top="0.25" bottom="0" header="0.3" footer="0.3"/>
  <pageSetup paperSize="9" scale="3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EB1AD-5AB1-4F0D-8637-F59FA0848891}">
  <sheetPr>
    <tabColor rgb="FF92D050"/>
  </sheetPr>
  <dimension ref="A1:P42"/>
  <sheetViews>
    <sheetView view="pageBreakPreview" zoomScale="55" zoomScaleNormal="70" zoomScaleSheetLayoutView="55" workbookViewId="0">
      <pane xSplit="1" ySplit="2" topLeftCell="B7" activePane="bottomRight" state="frozen"/>
      <selection activeCell="B1" sqref="B1"/>
      <selection pane="topRight" activeCell="C1" sqref="C1"/>
      <selection pane="bottomLeft" activeCell="B3" sqref="B3"/>
      <selection pane="bottomRight" activeCell="N9" sqref="N9"/>
    </sheetView>
  </sheetViews>
  <sheetFormatPr defaultColWidth="9" defaultRowHeight="18.75"/>
  <cols>
    <col min="1" max="1" width="7.85546875" style="125" customWidth="1"/>
    <col min="2" max="2" width="31.5703125" style="125" customWidth="1"/>
    <col min="3" max="3" width="53.7109375" style="202" customWidth="1"/>
    <col min="4" max="4" width="29.28515625" style="201" customWidth="1"/>
    <col min="5" max="5" width="13" style="201" customWidth="1"/>
    <col min="6" max="6" width="15.5703125" style="201" customWidth="1"/>
    <col min="7" max="7" width="9.7109375" style="200" bestFit="1" customWidth="1"/>
    <col min="8" max="8" width="79.28515625" style="200" customWidth="1"/>
    <col min="9" max="10" width="15.42578125" style="125" customWidth="1"/>
    <col min="11" max="11" width="20.28515625" style="125" hidden="1" customWidth="1"/>
    <col min="12" max="13" width="20.140625" style="125" customWidth="1"/>
    <col min="14" max="14" width="40.28515625" style="125" customWidth="1"/>
    <col min="15" max="15" width="15.28515625" style="125" customWidth="1"/>
    <col min="16" max="16" width="13.7109375" style="125" customWidth="1"/>
    <col min="17" max="17" width="9" style="125" customWidth="1"/>
    <col min="18" max="18" width="9.42578125" style="125" customWidth="1"/>
    <col min="19" max="19" width="9" style="125" customWidth="1"/>
    <col min="20" max="16384" width="9" style="125"/>
  </cols>
  <sheetData>
    <row r="1" spans="1:16" ht="47.25" customHeight="1">
      <c r="A1" s="427" t="s">
        <v>756</v>
      </c>
      <c r="B1" s="428"/>
      <c r="C1" s="428"/>
      <c r="D1" s="428"/>
      <c r="E1" s="428"/>
      <c r="F1" s="428"/>
      <c r="G1" s="428"/>
      <c r="H1" s="428"/>
      <c r="I1" s="428"/>
      <c r="J1" s="428"/>
      <c r="K1" s="428"/>
      <c r="L1" s="428"/>
      <c r="M1" s="428"/>
      <c r="N1" s="428"/>
      <c r="O1" s="428"/>
      <c r="P1" s="428"/>
    </row>
    <row r="2" spans="1:16" ht="98.25" customHeight="1">
      <c r="A2" s="126" t="s">
        <v>0</v>
      </c>
      <c r="B2" s="126" t="s">
        <v>625</v>
      </c>
      <c r="C2" s="126" t="s">
        <v>242</v>
      </c>
      <c r="D2" s="126" t="s">
        <v>75</v>
      </c>
      <c r="E2" s="126" t="s">
        <v>244</v>
      </c>
      <c r="F2" s="126" t="s">
        <v>77</v>
      </c>
      <c r="G2" s="127" t="s">
        <v>435</v>
      </c>
      <c r="H2" s="127" t="s">
        <v>78</v>
      </c>
      <c r="I2" s="126" t="s">
        <v>1</v>
      </c>
      <c r="J2" s="126" t="s">
        <v>2</v>
      </c>
      <c r="K2" s="126" t="s">
        <v>247</v>
      </c>
      <c r="L2" s="126" t="s">
        <v>436</v>
      </c>
      <c r="M2" s="126" t="s">
        <v>437</v>
      </c>
      <c r="N2" s="429" t="s">
        <v>64</v>
      </c>
      <c r="O2" s="429"/>
      <c r="P2" s="429"/>
    </row>
    <row r="3" spans="1:16" s="135" customFormat="1" ht="73.5" customHeight="1">
      <c r="A3" s="136">
        <v>1</v>
      </c>
      <c r="B3" s="136" t="s">
        <v>757</v>
      </c>
      <c r="C3" s="137" t="s">
        <v>441</v>
      </c>
      <c r="D3" s="139" t="s">
        <v>443</v>
      </c>
      <c r="E3" s="139">
        <v>0</v>
      </c>
      <c r="F3" s="139" t="s">
        <v>201</v>
      </c>
      <c r="G3" s="140">
        <v>0.15</v>
      </c>
      <c r="H3" s="141"/>
      <c r="I3" s="142"/>
      <c r="J3" s="142"/>
      <c r="K3" s="136"/>
      <c r="L3" s="136"/>
      <c r="M3" s="136"/>
      <c r="N3" s="253" t="s">
        <v>250</v>
      </c>
      <c r="O3" s="253" t="s">
        <v>206</v>
      </c>
      <c r="P3" s="252" t="s">
        <v>31</v>
      </c>
    </row>
    <row r="4" spans="1:16" ht="190.5" customHeight="1">
      <c r="A4" s="223">
        <v>2</v>
      </c>
      <c r="B4" s="148" t="s">
        <v>758</v>
      </c>
      <c r="C4" s="149" t="s">
        <v>445</v>
      </c>
      <c r="D4" s="150" t="s">
        <v>446</v>
      </c>
      <c r="E4" s="151">
        <v>1</v>
      </c>
      <c r="F4" s="150" t="s">
        <v>91</v>
      </c>
      <c r="G4" s="151">
        <v>0.1</v>
      </c>
      <c r="H4" s="152" t="s">
        <v>759</v>
      </c>
      <c r="I4" s="153">
        <v>46023</v>
      </c>
      <c r="J4" s="154" t="s">
        <v>631</v>
      </c>
      <c r="K4" s="155"/>
      <c r="L4" s="155" t="s">
        <v>513</v>
      </c>
      <c r="M4" s="155" t="s">
        <v>269</v>
      </c>
      <c r="N4" s="254" t="s">
        <v>1034</v>
      </c>
      <c r="O4" s="157" t="s">
        <v>226</v>
      </c>
      <c r="P4" s="157"/>
    </row>
    <row r="5" spans="1:16" ht="135.75" customHeight="1">
      <c r="A5" s="223">
        <v>3</v>
      </c>
      <c r="B5" s="148" t="s">
        <v>760</v>
      </c>
      <c r="C5" s="226" t="s">
        <v>761</v>
      </c>
      <c r="D5" s="150" t="s">
        <v>450</v>
      </c>
      <c r="E5" s="151">
        <v>1</v>
      </c>
      <c r="F5" s="150" t="s">
        <v>91</v>
      </c>
      <c r="G5" s="151">
        <v>0.03</v>
      </c>
      <c r="H5" s="152" t="s">
        <v>762</v>
      </c>
      <c r="I5" s="153">
        <v>46023</v>
      </c>
      <c r="J5" s="154" t="s">
        <v>631</v>
      </c>
      <c r="K5" s="155"/>
      <c r="L5" s="155" t="s">
        <v>513</v>
      </c>
      <c r="M5" s="155" t="s">
        <v>269</v>
      </c>
      <c r="N5" s="157" t="s">
        <v>763</v>
      </c>
      <c r="O5" s="157" t="s">
        <v>226</v>
      </c>
      <c r="P5" s="157"/>
    </row>
    <row r="6" spans="1:16" ht="135" customHeight="1">
      <c r="A6" s="223">
        <v>4</v>
      </c>
      <c r="B6" s="148" t="s">
        <v>764</v>
      </c>
      <c r="C6" s="149" t="s">
        <v>454</v>
      </c>
      <c r="D6" s="150" t="s">
        <v>450</v>
      </c>
      <c r="E6" s="151">
        <v>1</v>
      </c>
      <c r="F6" s="150" t="s">
        <v>91</v>
      </c>
      <c r="G6" s="151">
        <v>0.02</v>
      </c>
      <c r="H6" s="152" t="s">
        <v>455</v>
      </c>
      <c r="I6" s="153">
        <v>46023</v>
      </c>
      <c r="J6" s="154" t="s">
        <v>631</v>
      </c>
      <c r="K6" s="155"/>
      <c r="L6" s="155" t="s">
        <v>513</v>
      </c>
      <c r="M6" s="155" t="s">
        <v>269</v>
      </c>
      <c r="N6" s="157" t="s">
        <v>637</v>
      </c>
      <c r="O6" s="157" t="s">
        <v>226</v>
      </c>
      <c r="P6" s="157"/>
    </row>
    <row r="7" spans="1:16" s="135" customFormat="1" ht="90" customHeight="1">
      <c r="A7" s="136">
        <v>5</v>
      </c>
      <c r="B7" s="136" t="s">
        <v>765</v>
      </c>
      <c r="C7" s="161" t="s">
        <v>84</v>
      </c>
      <c r="D7" s="139" t="s">
        <v>458</v>
      </c>
      <c r="E7" s="139" t="s">
        <v>459</v>
      </c>
      <c r="F7" s="139" t="s">
        <v>87</v>
      </c>
      <c r="G7" s="140">
        <v>0.2</v>
      </c>
      <c r="H7" s="140"/>
      <c r="I7" s="142"/>
      <c r="J7" s="142"/>
      <c r="K7" s="136"/>
      <c r="L7" s="136"/>
      <c r="M7" s="136"/>
      <c r="N7" s="255"/>
      <c r="O7" s="255"/>
      <c r="P7" s="255"/>
    </row>
    <row r="8" spans="1:16" s="135" customFormat="1" ht="138" customHeight="1">
      <c r="A8" s="223">
        <v>6</v>
      </c>
      <c r="B8" s="225" t="s">
        <v>766</v>
      </c>
      <c r="C8" s="149" t="s">
        <v>461</v>
      </c>
      <c r="D8" s="150" t="s">
        <v>119</v>
      </c>
      <c r="E8" s="150">
        <v>1</v>
      </c>
      <c r="F8" s="150" t="s">
        <v>201</v>
      </c>
      <c r="G8" s="162">
        <v>0.03</v>
      </c>
      <c r="H8" s="152" t="s">
        <v>767</v>
      </c>
      <c r="I8" s="153">
        <v>46023</v>
      </c>
      <c r="J8" s="154">
        <v>46387</v>
      </c>
      <c r="K8" s="163"/>
      <c r="L8" s="155" t="s">
        <v>463</v>
      </c>
      <c r="M8" s="155" t="s">
        <v>464</v>
      </c>
      <c r="N8" s="178" t="s">
        <v>1035</v>
      </c>
      <c r="O8" s="157" t="s">
        <v>226</v>
      </c>
      <c r="P8" s="255"/>
    </row>
    <row r="9" spans="1:16" s="168" customFormat="1" ht="177" customHeight="1">
      <c r="A9" s="223">
        <v>7</v>
      </c>
      <c r="B9" s="225" t="s">
        <v>769</v>
      </c>
      <c r="C9" s="149" t="s">
        <v>466</v>
      </c>
      <c r="D9" s="150" t="s">
        <v>89</v>
      </c>
      <c r="E9" s="151" t="s">
        <v>90</v>
      </c>
      <c r="F9" s="150" t="s">
        <v>91</v>
      </c>
      <c r="G9" s="164">
        <v>0.1</v>
      </c>
      <c r="H9" s="165" t="s">
        <v>770</v>
      </c>
      <c r="I9" s="166">
        <v>46023</v>
      </c>
      <c r="J9" s="154" t="s">
        <v>631</v>
      </c>
      <c r="K9" s="167"/>
      <c r="L9" s="167" t="s">
        <v>513</v>
      </c>
      <c r="M9" s="155" t="s">
        <v>269</v>
      </c>
      <c r="N9" s="178" t="s">
        <v>1036</v>
      </c>
      <c r="O9" s="157" t="s">
        <v>226</v>
      </c>
      <c r="P9" s="178"/>
    </row>
    <row r="10" spans="1:16" ht="190.5" customHeight="1">
      <c r="A10" s="223">
        <v>8</v>
      </c>
      <c r="B10" s="225" t="s">
        <v>771</v>
      </c>
      <c r="C10" s="172" t="s">
        <v>772</v>
      </c>
      <c r="D10" s="150" t="s">
        <v>473</v>
      </c>
      <c r="E10" s="151" t="s">
        <v>474</v>
      </c>
      <c r="F10" s="173" t="s">
        <v>87</v>
      </c>
      <c r="G10" s="174">
        <v>0.06</v>
      </c>
      <c r="H10" s="175" t="s">
        <v>773</v>
      </c>
      <c r="I10" s="166">
        <v>46023</v>
      </c>
      <c r="J10" s="154" t="s">
        <v>631</v>
      </c>
      <c r="K10" s="170"/>
      <c r="L10" s="170" t="s">
        <v>102</v>
      </c>
      <c r="M10" s="155" t="s">
        <v>269</v>
      </c>
      <c r="N10" s="157" t="s">
        <v>637</v>
      </c>
      <c r="O10" s="157" t="s">
        <v>226</v>
      </c>
      <c r="P10" s="157"/>
    </row>
    <row r="11" spans="1:16" s="168" customFormat="1" ht="80.25" customHeight="1">
      <c r="A11" s="223">
        <v>9</v>
      </c>
      <c r="B11" s="225" t="s">
        <v>774</v>
      </c>
      <c r="C11" s="149" t="s">
        <v>112</v>
      </c>
      <c r="D11" s="150" t="s">
        <v>113</v>
      </c>
      <c r="E11" s="151" t="s">
        <v>114</v>
      </c>
      <c r="F11" s="150" t="s">
        <v>87</v>
      </c>
      <c r="G11" s="162">
        <v>0.01</v>
      </c>
      <c r="H11" s="152" t="s">
        <v>775</v>
      </c>
      <c r="I11" s="153">
        <v>46023</v>
      </c>
      <c r="J11" s="154" t="s">
        <v>631</v>
      </c>
      <c r="K11" s="155"/>
      <c r="L11" s="167" t="s">
        <v>513</v>
      </c>
      <c r="M11" s="155" t="s">
        <v>269</v>
      </c>
      <c r="N11" s="157" t="s">
        <v>637</v>
      </c>
      <c r="O11" s="157" t="s">
        <v>226</v>
      </c>
      <c r="P11" s="178"/>
    </row>
    <row r="12" spans="1:16" s="135" customFormat="1" ht="70.5" customHeight="1">
      <c r="A12" s="136">
        <v>10</v>
      </c>
      <c r="B12" s="136" t="s">
        <v>776</v>
      </c>
      <c r="C12" s="179" t="s">
        <v>16</v>
      </c>
      <c r="D12" s="139" t="s">
        <v>117</v>
      </c>
      <c r="E12" s="139">
        <v>0</v>
      </c>
      <c r="F12" s="139"/>
      <c r="G12" s="140">
        <v>0.15</v>
      </c>
      <c r="H12" s="140"/>
      <c r="I12" s="180"/>
      <c r="J12" s="180"/>
      <c r="K12" s="136"/>
      <c r="L12" s="136"/>
      <c r="M12" s="136"/>
      <c r="N12" s="255"/>
      <c r="O12" s="255"/>
      <c r="P12" s="255"/>
    </row>
    <row r="13" spans="1:16" s="168" customFormat="1" ht="252" customHeight="1">
      <c r="A13" s="223">
        <v>11</v>
      </c>
      <c r="B13" s="148" t="s">
        <v>777</v>
      </c>
      <c r="C13" s="149" t="s">
        <v>118</v>
      </c>
      <c r="D13" s="150" t="s">
        <v>119</v>
      </c>
      <c r="E13" s="150">
        <v>1</v>
      </c>
      <c r="F13" s="150" t="s">
        <v>91</v>
      </c>
      <c r="G13" s="164">
        <v>0.05</v>
      </c>
      <c r="H13" s="165" t="s">
        <v>778</v>
      </c>
      <c r="I13" s="166">
        <v>46023</v>
      </c>
      <c r="J13" s="154" t="s">
        <v>631</v>
      </c>
      <c r="K13" s="167"/>
      <c r="L13" s="167" t="s">
        <v>513</v>
      </c>
      <c r="M13" s="155" t="s">
        <v>269</v>
      </c>
      <c r="N13" s="178" t="s">
        <v>779</v>
      </c>
      <c r="O13" s="157" t="s">
        <v>226</v>
      </c>
      <c r="P13" s="178"/>
    </row>
    <row r="14" spans="1:16" s="168" customFormat="1" ht="89.25" customHeight="1">
      <c r="A14" s="221">
        <v>12</v>
      </c>
      <c r="B14" s="225" t="s">
        <v>780</v>
      </c>
      <c r="C14" s="226" t="s">
        <v>122</v>
      </c>
      <c r="D14" s="256" t="s">
        <v>123</v>
      </c>
      <c r="E14" s="256">
        <v>6</v>
      </c>
      <c r="F14" s="256" t="s">
        <v>781</v>
      </c>
      <c r="G14" s="164">
        <v>0.08</v>
      </c>
      <c r="H14" s="165" t="s">
        <v>782</v>
      </c>
      <c r="I14" s="166">
        <v>46023</v>
      </c>
      <c r="J14" s="241" t="s">
        <v>631</v>
      </c>
      <c r="K14" s="160"/>
      <c r="L14" s="167" t="s">
        <v>513</v>
      </c>
      <c r="M14" s="155" t="s">
        <v>269</v>
      </c>
      <c r="N14" s="178" t="s">
        <v>1037</v>
      </c>
      <c r="O14" s="240" t="s">
        <v>225</v>
      </c>
      <c r="P14" s="178"/>
    </row>
    <row r="15" spans="1:16" s="168" customFormat="1" ht="89.25" customHeight="1">
      <c r="A15" s="223">
        <v>13</v>
      </c>
      <c r="B15" s="148" t="s">
        <v>783</v>
      </c>
      <c r="C15" s="149" t="s">
        <v>125</v>
      </c>
      <c r="D15" s="150" t="s">
        <v>126</v>
      </c>
      <c r="E15" s="151">
        <v>1</v>
      </c>
      <c r="F15" s="150" t="s">
        <v>87</v>
      </c>
      <c r="G15" s="164">
        <v>0.02</v>
      </c>
      <c r="H15" s="165" t="s">
        <v>784</v>
      </c>
      <c r="I15" s="166">
        <v>46023</v>
      </c>
      <c r="J15" s="154" t="s">
        <v>631</v>
      </c>
      <c r="K15" s="167"/>
      <c r="L15" s="167" t="s">
        <v>513</v>
      </c>
      <c r="M15" s="155" t="s">
        <v>269</v>
      </c>
      <c r="N15" s="178" t="s">
        <v>785</v>
      </c>
      <c r="O15" s="178"/>
      <c r="P15" s="178"/>
    </row>
    <row r="16" spans="1:16" s="135" customFormat="1" ht="55.5" customHeight="1">
      <c r="A16" s="136">
        <v>14</v>
      </c>
      <c r="B16" s="136" t="s">
        <v>786</v>
      </c>
      <c r="C16" s="179" t="s">
        <v>135</v>
      </c>
      <c r="D16" s="139"/>
      <c r="E16" s="139"/>
      <c r="F16" s="139"/>
      <c r="G16" s="140">
        <v>0.2</v>
      </c>
      <c r="H16" s="140"/>
      <c r="I16" s="142"/>
      <c r="J16" s="142"/>
      <c r="K16" s="136"/>
      <c r="L16" s="136"/>
      <c r="M16" s="136"/>
      <c r="N16" s="255"/>
      <c r="O16" s="255"/>
      <c r="P16" s="255"/>
    </row>
    <row r="17" spans="1:16" s="135" customFormat="1" ht="138.75" customHeight="1">
      <c r="A17" s="221">
        <v>15</v>
      </c>
      <c r="B17" s="148" t="s">
        <v>787</v>
      </c>
      <c r="C17" s="149" t="s">
        <v>498</v>
      </c>
      <c r="D17" s="150" t="s">
        <v>138</v>
      </c>
      <c r="E17" s="151">
        <v>1</v>
      </c>
      <c r="F17" s="150" t="s">
        <v>87</v>
      </c>
      <c r="G17" s="151">
        <v>0.05</v>
      </c>
      <c r="H17" s="152" t="s">
        <v>499</v>
      </c>
      <c r="I17" s="153">
        <v>46023</v>
      </c>
      <c r="J17" s="154" t="s">
        <v>631</v>
      </c>
      <c r="K17" s="155"/>
      <c r="L17" s="167" t="s">
        <v>513</v>
      </c>
      <c r="M17" s="155" t="s">
        <v>258</v>
      </c>
      <c r="N17" s="178" t="s">
        <v>788</v>
      </c>
      <c r="O17" s="157" t="s">
        <v>226</v>
      </c>
      <c r="P17" s="255"/>
    </row>
    <row r="18" spans="1:16" s="135" customFormat="1" ht="133.5" customHeight="1">
      <c r="A18" s="221">
        <v>16</v>
      </c>
      <c r="B18" s="148" t="s">
        <v>789</v>
      </c>
      <c r="C18" s="149" t="s">
        <v>511</v>
      </c>
      <c r="D18" s="150" t="s">
        <v>141</v>
      </c>
      <c r="E18" s="151">
        <v>1</v>
      </c>
      <c r="F18" s="150" t="s">
        <v>87</v>
      </c>
      <c r="G18" s="151">
        <v>0.15</v>
      </c>
      <c r="H18" s="152" t="s">
        <v>512</v>
      </c>
      <c r="I18" s="153">
        <v>46023</v>
      </c>
      <c r="J18" s="154" t="s">
        <v>631</v>
      </c>
      <c r="K18" s="155"/>
      <c r="L18" s="155" t="s">
        <v>790</v>
      </c>
      <c r="M18" s="155" t="s">
        <v>258</v>
      </c>
      <c r="N18" s="178" t="s">
        <v>791</v>
      </c>
      <c r="O18" s="157" t="s">
        <v>226</v>
      </c>
      <c r="P18" s="255"/>
    </row>
    <row r="19" spans="1:16" s="191" customFormat="1" ht="85.5" customHeight="1">
      <c r="A19" s="185">
        <v>17</v>
      </c>
      <c r="B19" s="136" t="s">
        <v>792</v>
      </c>
      <c r="C19" s="179" t="s">
        <v>521</v>
      </c>
      <c r="D19" s="139"/>
      <c r="E19" s="139"/>
      <c r="F19" s="139"/>
      <c r="G19" s="140">
        <v>0.25</v>
      </c>
      <c r="H19" s="188"/>
      <c r="I19" s="189"/>
      <c r="J19" s="189"/>
      <c r="K19" s="189"/>
      <c r="L19" s="189"/>
      <c r="M19" s="190"/>
      <c r="N19" s="133"/>
      <c r="O19" s="133"/>
      <c r="P19" s="133"/>
    </row>
    <row r="20" spans="1:16" s="135" customFormat="1" ht="60" customHeight="1">
      <c r="A20" s="221">
        <v>18</v>
      </c>
      <c r="B20" s="148" t="s">
        <v>793</v>
      </c>
      <c r="C20" s="149" t="s">
        <v>149</v>
      </c>
      <c r="D20" s="150" t="s">
        <v>150</v>
      </c>
      <c r="E20" s="150">
        <v>8</v>
      </c>
      <c r="F20" s="150" t="s">
        <v>87</v>
      </c>
      <c r="G20" s="164">
        <v>0.04</v>
      </c>
      <c r="H20" s="165" t="s">
        <v>794</v>
      </c>
      <c r="I20" s="166">
        <v>46023</v>
      </c>
      <c r="J20" s="154" t="s">
        <v>631</v>
      </c>
      <c r="K20" s="167"/>
      <c r="L20" s="155" t="s">
        <v>463</v>
      </c>
      <c r="M20" s="155" t="s">
        <v>258</v>
      </c>
      <c r="N20" s="178" t="s">
        <v>788</v>
      </c>
      <c r="O20" s="157" t="s">
        <v>226</v>
      </c>
      <c r="P20" s="255"/>
    </row>
    <row r="21" spans="1:16" s="135" customFormat="1" ht="60" customHeight="1">
      <c r="A21" s="223">
        <v>19</v>
      </c>
      <c r="B21" s="148" t="s">
        <v>795</v>
      </c>
      <c r="C21" s="149" t="s">
        <v>154</v>
      </c>
      <c r="D21" s="150" t="s">
        <v>525</v>
      </c>
      <c r="E21" s="150">
        <v>33</v>
      </c>
      <c r="F21" s="150" t="s">
        <v>87</v>
      </c>
      <c r="G21" s="164">
        <v>0.04</v>
      </c>
      <c r="H21" s="165" t="s">
        <v>796</v>
      </c>
      <c r="I21" s="166">
        <v>46023</v>
      </c>
      <c r="J21" s="154" t="s">
        <v>631</v>
      </c>
      <c r="K21" s="167"/>
      <c r="L21" s="155" t="s">
        <v>463</v>
      </c>
      <c r="M21" s="155" t="s">
        <v>258</v>
      </c>
      <c r="N21" s="178" t="s">
        <v>788</v>
      </c>
      <c r="O21" s="157" t="s">
        <v>226</v>
      </c>
      <c r="P21" s="255"/>
    </row>
    <row r="22" spans="1:16" s="135" customFormat="1" ht="111.75" customHeight="1">
      <c r="A22" s="221">
        <v>20</v>
      </c>
      <c r="B22" s="148" t="s">
        <v>797</v>
      </c>
      <c r="C22" s="149" t="s">
        <v>528</v>
      </c>
      <c r="D22" s="150" t="s">
        <v>529</v>
      </c>
      <c r="E22" s="151">
        <v>1</v>
      </c>
      <c r="F22" s="150" t="s">
        <v>87</v>
      </c>
      <c r="G22" s="164">
        <v>0.01</v>
      </c>
      <c r="H22" s="165" t="s">
        <v>798</v>
      </c>
      <c r="I22" s="166">
        <v>46023</v>
      </c>
      <c r="J22" s="154" t="s">
        <v>631</v>
      </c>
      <c r="K22" s="167"/>
      <c r="L22" s="155" t="s">
        <v>531</v>
      </c>
      <c r="M22" s="155" t="s">
        <v>258</v>
      </c>
      <c r="N22" s="178" t="s">
        <v>788</v>
      </c>
      <c r="O22" s="157" t="s">
        <v>226</v>
      </c>
      <c r="P22" s="255"/>
    </row>
    <row r="23" spans="1:16" s="135" customFormat="1" ht="84" customHeight="1">
      <c r="A23" s="223">
        <v>21</v>
      </c>
      <c r="B23" s="148" t="s">
        <v>799</v>
      </c>
      <c r="C23" s="149" t="s">
        <v>533</v>
      </c>
      <c r="D23" s="150" t="s">
        <v>119</v>
      </c>
      <c r="E23" s="150">
        <v>15</v>
      </c>
      <c r="F23" s="150" t="s">
        <v>87</v>
      </c>
      <c r="G23" s="164">
        <v>0.01</v>
      </c>
      <c r="H23" s="165" t="s">
        <v>800</v>
      </c>
      <c r="I23" s="166">
        <v>46023</v>
      </c>
      <c r="J23" s="154" t="s">
        <v>631</v>
      </c>
      <c r="K23" s="167"/>
      <c r="L23" s="155" t="s">
        <v>513</v>
      </c>
      <c r="M23" s="155" t="s">
        <v>464</v>
      </c>
      <c r="N23" s="178" t="s">
        <v>788</v>
      </c>
      <c r="O23" s="157" t="s">
        <v>226</v>
      </c>
      <c r="P23" s="255"/>
    </row>
    <row r="24" spans="1:16" s="135" customFormat="1" ht="77.25" customHeight="1">
      <c r="A24" s="223">
        <v>22</v>
      </c>
      <c r="B24" s="148" t="s">
        <v>801</v>
      </c>
      <c r="C24" s="149" t="s">
        <v>539</v>
      </c>
      <c r="D24" s="150" t="s">
        <v>478</v>
      </c>
      <c r="E24" s="151">
        <v>1</v>
      </c>
      <c r="F24" s="150" t="s">
        <v>87</v>
      </c>
      <c r="G24" s="164">
        <v>0.01</v>
      </c>
      <c r="H24" s="165" t="s">
        <v>802</v>
      </c>
      <c r="I24" s="166">
        <v>46023</v>
      </c>
      <c r="J24" s="154" t="s">
        <v>631</v>
      </c>
      <c r="K24" s="167"/>
      <c r="L24" s="155" t="s">
        <v>531</v>
      </c>
      <c r="M24" s="155" t="s">
        <v>258</v>
      </c>
      <c r="N24" s="178" t="s">
        <v>788</v>
      </c>
      <c r="O24" s="157" t="s">
        <v>226</v>
      </c>
      <c r="P24" s="255"/>
    </row>
    <row r="25" spans="1:16" s="135" customFormat="1" ht="144.75" customHeight="1">
      <c r="A25" s="221">
        <v>23</v>
      </c>
      <c r="B25" s="148" t="s">
        <v>803</v>
      </c>
      <c r="C25" s="149" t="s">
        <v>542</v>
      </c>
      <c r="D25" s="150" t="s">
        <v>478</v>
      </c>
      <c r="E25" s="151">
        <v>1</v>
      </c>
      <c r="F25" s="150" t="s">
        <v>87</v>
      </c>
      <c r="G25" s="151">
        <v>0.04</v>
      </c>
      <c r="H25" s="152" t="s">
        <v>543</v>
      </c>
      <c r="I25" s="153">
        <v>46023</v>
      </c>
      <c r="J25" s="154" t="s">
        <v>631</v>
      </c>
      <c r="K25" s="155"/>
      <c r="L25" s="155" t="s">
        <v>544</v>
      </c>
      <c r="M25" s="155" t="s">
        <v>258</v>
      </c>
      <c r="N25" s="178" t="s">
        <v>1038</v>
      </c>
      <c r="O25" s="157" t="s">
        <v>226</v>
      </c>
      <c r="P25" s="255"/>
    </row>
    <row r="26" spans="1:16" s="135" customFormat="1" ht="108" customHeight="1">
      <c r="A26" s="223">
        <v>24</v>
      </c>
      <c r="B26" s="148" t="s">
        <v>804</v>
      </c>
      <c r="C26" s="149" t="s">
        <v>546</v>
      </c>
      <c r="D26" s="150" t="s">
        <v>478</v>
      </c>
      <c r="E26" s="151">
        <v>1</v>
      </c>
      <c r="F26" s="150" t="s">
        <v>87</v>
      </c>
      <c r="G26" s="151">
        <v>0.02</v>
      </c>
      <c r="H26" s="152" t="s">
        <v>547</v>
      </c>
      <c r="I26" s="153">
        <v>46023</v>
      </c>
      <c r="J26" s="154" t="s">
        <v>631</v>
      </c>
      <c r="K26" s="155"/>
      <c r="L26" s="155" t="s">
        <v>790</v>
      </c>
      <c r="M26" s="155" t="s">
        <v>258</v>
      </c>
      <c r="N26" s="178" t="s">
        <v>788</v>
      </c>
      <c r="O26" s="157" t="s">
        <v>226</v>
      </c>
      <c r="P26" s="255"/>
    </row>
    <row r="27" spans="1:16" s="135" customFormat="1" ht="109.5" customHeight="1">
      <c r="A27" s="221">
        <v>25</v>
      </c>
      <c r="B27" s="148" t="s">
        <v>805</v>
      </c>
      <c r="C27" s="149" t="s">
        <v>550</v>
      </c>
      <c r="D27" s="150" t="s">
        <v>478</v>
      </c>
      <c r="E27" s="151">
        <v>1</v>
      </c>
      <c r="F27" s="150" t="s">
        <v>87</v>
      </c>
      <c r="G27" s="151">
        <v>0.01</v>
      </c>
      <c r="H27" s="152" t="s">
        <v>551</v>
      </c>
      <c r="I27" s="153">
        <v>46023</v>
      </c>
      <c r="J27" s="154" t="s">
        <v>631</v>
      </c>
      <c r="K27" s="155"/>
      <c r="L27" s="155" t="s">
        <v>513</v>
      </c>
      <c r="M27" s="155" t="s">
        <v>258</v>
      </c>
      <c r="N27" s="178" t="s">
        <v>788</v>
      </c>
      <c r="O27" s="157" t="s">
        <v>226</v>
      </c>
      <c r="P27" s="255"/>
    </row>
    <row r="28" spans="1:16" s="135" customFormat="1" ht="109.5" customHeight="1">
      <c r="A28" s="223">
        <v>26</v>
      </c>
      <c r="B28" s="148" t="s">
        <v>806</v>
      </c>
      <c r="C28" s="149" t="s">
        <v>554</v>
      </c>
      <c r="D28" s="150" t="s">
        <v>478</v>
      </c>
      <c r="E28" s="151">
        <v>1</v>
      </c>
      <c r="F28" s="150" t="s">
        <v>87</v>
      </c>
      <c r="G28" s="151">
        <v>0.02</v>
      </c>
      <c r="H28" s="152" t="s">
        <v>807</v>
      </c>
      <c r="I28" s="153">
        <v>46023</v>
      </c>
      <c r="J28" s="154" t="s">
        <v>631</v>
      </c>
      <c r="K28" s="155"/>
      <c r="L28" s="155" t="s">
        <v>556</v>
      </c>
      <c r="M28" s="155" t="s">
        <v>258</v>
      </c>
      <c r="N28" s="178" t="s">
        <v>1039</v>
      </c>
      <c r="O28" s="157" t="s">
        <v>226</v>
      </c>
      <c r="P28" s="255"/>
    </row>
    <row r="29" spans="1:16" s="135" customFormat="1" ht="183" customHeight="1">
      <c r="A29" s="221">
        <v>27</v>
      </c>
      <c r="B29" s="148" t="s">
        <v>808</v>
      </c>
      <c r="C29" s="149" t="s">
        <v>809</v>
      </c>
      <c r="D29" s="150" t="s">
        <v>478</v>
      </c>
      <c r="E29" s="151">
        <v>1</v>
      </c>
      <c r="F29" s="150" t="s">
        <v>87</v>
      </c>
      <c r="G29" s="151">
        <v>0.01</v>
      </c>
      <c r="H29" s="152" t="s">
        <v>810</v>
      </c>
      <c r="I29" s="153">
        <v>46023</v>
      </c>
      <c r="J29" s="154" t="s">
        <v>631</v>
      </c>
      <c r="K29" s="155"/>
      <c r="L29" s="155" t="s">
        <v>513</v>
      </c>
      <c r="M29" s="155" t="s">
        <v>464</v>
      </c>
      <c r="N29" s="178" t="s">
        <v>788</v>
      </c>
      <c r="O29" s="157" t="s">
        <v>226</v>
      </c>
      <c r="P29" s="255"/>
    </row>
    <row r="30" spans="1:16" s="135" customFormat="1" ht="114.75" customHeight="1">
      <c r="A30" s="223">
        <v>28</v>
      </c>
      <c r="B30" s="148" t="s">
        <v>811</v>
      </c>
      <c r="C30" s="149" t="s">
        <v>561</v>
      </c>
      <c r="D30" s="150" t="s">
        <v>562</v>
      </c>
      <c r="E30" s="150">
        <v>2</v>
      </c>
      <c r="F30" s="150" t="s">
        <v>87</v>
      </c>
      <c r="G30" s="151">
        <v>0.01</v>
      </c>
      <c r="H30" s="152" t="s">
        <v>563</v>
      </c>
      <c r="I30" s="153">
        <v>46023</v>
      </c>
      <c r="J30" s="154" t="s">
        <v>631</v>
      </c>
      <c r="K30" s="155"/>
      <c r="L30" s="155" t="s">
        <v>463</v>
      </c>
      <c r="M30" s="155" t="s">
        <v>258</v>
      </c>
      <c r="N30" s="178" t="s">
        <v>812</v>
      </c>
      <c r="O30" s="157" t="s">
        <v>226</v>
      </c>
      <c r="P30" s="255"/>
    </row>
    <row r="31" spans="1:16" s="135" customFormat="1" ht="108.75" customHeight="1">
      <c r="A31" s="221">
        <v>29</v>
      </c>
      <c r="B31" s="148" t="s">
        <v>813</v>
      </c>
      <c r="C31" s="149" t="s">
        <v>565</v>
      </c>
      <c r="D31" s="150" t="s">
        <v>180</v>
      </c>
      <c r="E31" s="150">
        <v>1</v>
      </c>
      <c r="F31" s="150" t="s">
        <v>91</v>
      </c>
      <c r="G31" s="151">
        <v>0.01</v>
      </c>
      <c r="H31" s="152" t="s">
        <v>814</v>
      </c>
      <c r="I31" s="153">
        <v>46023</v>
      </c>
      <c r="J31" s="154" t="s">
        <v>631</v>
      </c>
      <c r="K31" s="155"/>
      <c r="L31" s="155" t="s">
        <v>463</v>
      </c>
      <c r="M31" s="155" t="s">
        <v>258</v>
      </c>
      <c r="N31" s="230" t="s">
        <v>1040</v>
      </c>
      <c r="O31" s="157" t="s">
        <v>226</v>
      </c>
      <c r="P31" s="255"/>
    </row>
    <row r="32" spans="1:16" s="135" customFormat="1" ht="71.25" customHeight="1">
      <c r="A32" s="223">
        <v>30</v>
      </c>
      <c r="B32" s="148" t="s">
        <v>815</v>
      </c>
      <c r="C32" s="149" t="s">
        <v>568</v>
      </c>
      <c r="D32" s="150" t="s">
        <v>569</v>
      </c>
      <c r="E32" s="151">
        <v>1</v>
      </c>
      <c r="F32" s="150" t="s">
        <v>87</v>
      </c>
      <c r="G32" s="151">
        <v>0.01</v>
      </c>
      <c r="H32" s="152" t="s">
        <v>816</v>
      </c>
      <c r="I32" s="153">
        <v>46023</v>
      </c>
      <c r="J32" s="154" t="s">
        <v>631</v>
      </c>
      <c r="K32" s="155"/>
      <c r="L32" s="155" t="s">
        <v>571</v>
      </c>
      <c r="M32" s="155" t="s">
        <v>258</v>
      </c>
      <c r="N32" s="178" t="s">
        <v>788</v>
      </c>
      <c r="O32" s="157" t="s">
        <v>226</v>
      </c>
      <c r="P32" s="255"/>
    </row>
    <row r="33" spans="1:16" s="135" customFormat="1" ht="56.25" customHeight="1">
      <c r="A33" s="221">
        <v>31</v>
      </c>
      <c r="B33" s="148" t="s">
        <v>817</v>
      </c>
      <c r="C33" s="149" t="s">
        <v>573</v>
      </c>
      <c r="D33" s="150" t="s">
        <v>569</v>
      </c>
      <c r="E33" s="151">
        <v>1</v>
      </c>
      <c r="F33" s="150" t="s">
        <v>87</v>
      </c>
      <c r="G33" s="151">
        <v>0.01</v>
      </c>
      <c r="H33" s="152" t="s">
        <v>818</v>
      </c>
      <c r="I33" s="153">
        <v>46023</v>
      </c>
      <c r="J33" s="154" t="s">
        <v>631</v>
      </c>
      <c r="K33" s="155"/>
      <c r="L33" s="155" t="s">
        <v>517</v>
      </c>
      <c r="M33" s="155" t="s">
        <v>258</v>
      </c>
      <c r="N33" s="178" t="s">
        <v>788</v>
      </c>
      <c r="O33" s="157" t="s">
        <v>226</v>
      </c>
      <c r="P33" s="255"/>
    </row>
    <row r="34" spans="1:16" s="135" customFormat="1" ht="38.1" customHeight="1">
      <c r="A34" s="136">
        <v>32</v>
      </c>
      <c r="B34" s="136" t="s">
        <v>819</v>
      </c>
      <c r="C34" s="137" t="s">
        <v>30</v>
      </c>
      <c r="D34" s="194"/>
      <c r="E34" s="194"/>
      <c r="F34" s="194"/>
      <c r="G34" s="195">
        <v>0.05</v>
      </c>
      <c r="H34" s="196"/>
      <c r="I34" s="180"/>
      <c r="J34" s="180"/>
      <c r="K34" s="136"/>
      <c r="L34" s="136"/>
      <c r="M34" s="136"/>
      <c r="N34" s="255"/>
      <c r="O34" s="255"/>
      <c r="P34" s="255"/>
    </row>
    <row r="35" spans="1:16" s="135" customFormat="1" ht="123.75" customHeight="1">
      <c r="A35" s="221">
        <v>33</v>
      </c>
      <c r="B35" s="148" t="s">
        <v>820</v>
      </c>
      <c r="C35" s="149" t="s">
        <v>196</v>
      </c>
      <c r="D35" s="150" t="s">
        <v>119</v>
      </c>
      <c r="E35" s="150" t="s">
        <v>742</v>
      </c>
      <c r="F35" s="150" t="s">
        <v>91</v>
      </c>
      <c r="G35" s="151">
        <v>0.01</v>
      </c>
      <c r="H35" s="152" t="s">
        <v>821</v>
      </c>
      <c r="I35" s="153">
        <v>46023</v>
      </c>
      <c r="J35" s="154" t="s">
        <v>631</v>
      </c>
      <c r="K35" s="155"/>
      <c r="L35" s="155" t="s">
        <v>744</v>
      </c>
      <c r="M35" s="155" t="s">
        <v>269</v>
      </c>
      <c r="N35" s="29" t="s">
        <v>788</v>
      </c>
      <c r="O35" s="157" t="s">
        <v>226</v>
      </c>
      <c r="P35" s="255"/>
    </row>
    <row r="36" spans="1:16" s="168" customFormat="1" ht="123.75" customHeight="1">
      <c r="A36" s="221">
        <v>34</v>
      </c>
      <c r="B36" s="148" t="s">
        <v>822</v>
      </c>
      <c r="C36" s="149" t="s">
        <v>200</v>
      </c>
      <c r="D36" s="150" t="s">
        <v>119</v>
      </c>
      <c r="E36" s="163" t="s">
        <v>742</v>
      </c>
      <c r="F36" s="163" t="s">
        <v>201</v>
      </c>
      <c r="G36" s="151">
        <v>0.01</v>
      </c>
      <c r="H36" s="152" t="s">
        <v>823</v>
      </c>
      <c r="I36" s="153">
        <v>46023</v>
      </c>
      <c r="J36" s="154" t="s">
        <v>631</v>
      </c>
      <c r="K36" s="155"/>
      <c r="L36" s="155" t="s">
        <v>744</v>
      </c>
      <c r="M36" s="155" t="s">
        <v>269</v>
      </c>
      <c r="N36" s="29" t="s">
        <v>788</v>
      </c>
      <c r="O36" s="157" t="s">
        <v>226</v>
      </c>
      <c r="P36" s="157"/>
    </row>
    <row r="37" spans="1:16" s="168" customFormat="1" ht="146.25" customHeight="1">
      <c r="A37" s="221">
        <v>35</v>
      </c>
      <c r="B37" s="148" t="s">
        <v>824</v>
      </c>
      <c r="C37" s="149" t="s">
        <v>581</v>
      </c>
      <c r="D37" s="150" t="s">
        <v>119</v>
      </c>
      <c r="E37" s="163">
        <v>100</v>
      </c>
      <c r="F37" s="163" t="s">
        <v>91</v>
      </c>
      <c r="G37" s="151">
        <v>0.02</v>
      </c>
      <c r="H37" s="152" t="s">
        <v>825</v>
      </c>
      <c r="I37" s="153">
        <v>46023</v>
      </c>
      <c r="J37" s="154" t="s">
        <v>631</v>
      </c>
      <c r="K37" s="155"/>
      <c r="L37" s="155" t="s">
        <v>744</v>
      </c>
      <c r="M37" s="155" t="s">
        <v>269</v>
      </c>
      <c r="N37" s="29" t="s">
        <v>788</v>
      </c>
      <c r="O37" s="157" t="s">
        <v>226</v>
      </c>
      <c r="P37" s="178"/>
    </row>
    <row r="38" spans="1:16" s="168" customFormat="1" ht="92.25" customHeight="1">
      <c r="A38" s="221">
        <v>36</v>
      </c>
      <c r="B38" s="148" t="s">
        <v>826</v>
      </c>
      <c r="C38" s="149" t="s">
        <v>584</v>
      </c>
      <c r="D38" s="150" t="s">
        <v>585</v>
      </c>
      <c r="E38" s="163" t="s">
        <v>742</v>
      </c>
      <c r="F38" s="163" t="s">
        <v>201</v>
      </c>
      <c r="G38" s="151">
        <v>0.01</v>
      </c>
      <c r="H38" s="152" t="s">
        <v>827</v>
      </c>
      <c r="I38" s="153">
        <v>46023</v>
      </c>
      <c r="J38" s="154" t="s">
        <v>631</v>
      </c>
      <c r="K38" s="155"/>
      <c r="L38" s="155" t="s">
        <v>744</v>
      </c>
      <c r="M38" s="155" t="s">
        <v>269</v>
      </c>
      <c r="N38" s="29" t="s">
        <v>788</v>
      </c>
      <c r="O38" s="157" t="s">
        <v>226</v>
      </c>
      <c r="P38" s="178"/>
    </row>
    <row r="39" spans="1:16" ht="49.5" customHeight="1">
      <c r="A39" s="351"/>
      <c r="B39" s="430" t="s">
        <v>1041</v>
      </c>
      <c r="C39" s="431"/>
      <c r="D39" s="431"/>
      <c r="E39" s="431"/>
      <c r="F39" s="431"/>
      <c r="G39" s="431"/>
      <c r="H39" s="431"/>
      <c r="I39" s="431"/>
      <c r="J39" s="431"/>
      <c r="K39" s="431"/>
      <c r="L39" s="431"/>
      <c r="M39" s="432"/>
      <c r="N39" s="433" t="s">
        <v>1042</v>
      </c>
      <c r="O39" s="433"/>
      <c r="P39" s="433"/>
    </row>
    <row r="40" spans="1:16">
      <c r="B40" s="197"/>
      <c r="C40" s="198"/>
    </row>
    <row r="42" spans="1:16" s="201" customFormat="1">
      <c r="A42" s="125"/>
      <c r="B42" s="125"/>
      <c r="C42" s="203"/>
      <c r="G42" s="200"/>
      <c r="H42" s="200"/>
      <c r="I42" s="125"/>
      <c r="J42" s="125"/>
      <c r="K42" s="125"/>
      <c r="L42" s="125"/>
      <c r="M42" s="125"/>
    </row>
  </sheetData>
  <mergeCells count="4">
    <mergeCell ref="A1:P1"/>
    <mergeCell ref="N2:P2"/>
    <mergeCell ref="B39:M39"/>
    <mergeCell ref="N39:P39"/>
  </mergeCells>
  <printOptions horizontalCentered="1"/>
  <pageMargins left="0.43307086614173229" right="0.43307086614173229" top="0.51181102362204722" bottom="0.51181102362204722" header="3.937007874015748E-2" footer="3.937007874015748E-2"/>
  <pageSetup paperSize="9" scale="36"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C56D0-B1F1-4445-8F48-9FA7E77CB4E1}">
  <sheetPr>
    <tabColor rgb="FF92D050"/>
  </sheetPr>
  <dimension ref="A1:V47"/>
  <sheetViews>
    <sheetView view="pageBreakPreview" zoomScale="70" zoomScaleNormal="70" zoomScaleSheetLayoutView="70" workbookViewId="0">
      <pane xSplit="2" ySplit="2" topLeftCell="C7" activePane="bottomRight" state="frozen"/>
      <selection pane="topRight" activeCell="C1" sqref="C1"/>
      <selection pane="bottomLeft" activeCell="A3" sqref="A3"/>
      <selection pane="bottomRight" activeCell="D31" sqref="D31:T31"/>
    </sheetView>
  </sheetViews>
  <sheetFormatPr defaultColWidth="9" defaultRowHeight="18.75"/>
  <cols>
    <col min="1" max="1" width="7.85546875" style="125" customWidth="1"/>
    <col min="2" max="2" width="30.28515625" style="125" customWidth="1"/>
    <col min="3" max="3" width="32.28515625" style="125" customWidth="1"/>
    <col min="4" max="4" width="43.28515625" style="202" customWidth="1"/>
    <col min="5" max="5" width="28.140625" style="201" customWidth="1"/>
    <col min="6" max="6" width="13" style="201" customWidth="1"/>
    <col min="7" max="7" width="15.5703125" style="201" customWidth="1"/>
    <col min="8" max="8" width="9.7109375" style="200" bestFit="1" customWidth="1"/>
    <col min="9" max="9" width="59" style="200" hidden="1" customWidth="1"/>
    <col min="10" max="10" width="59.28515625" style="200" customWidth="1"/>
    <col min="11" max="11" width="18.28515625" style="125" customWidth="1"/>
    <col min="12" max="12" width="13.5703125" style="125" customWidth="1"/>
    <col min="13" max="13" width="20.28515625" style="125" hidden="1" customWidth="1"/>
    <col min="14" max="14" width="11" style="125" customWidth="1"/>
    <col min="15" max="15" width="10.7109375" style="125" customWidth="1"/>
    <col min="16" max="16" width="17.85546875" style="338" hidden="1" customWidth="1"/>
    <col min="17" max="17" width="25.28515625" style="125" hidden="1" customWidth="1"/>
    <col min="18" max="18" width="17.42578125" style="125" hidden="1" customWidth="1"/>
    <col min="19" max="19" width="9" style="125" hidden="1" customWidth="1"/>
    <col min="20" max="20" width="27.7109375" style="125" customWidth="1"/>
    <col min="21" max="21" width="15.85546875" style="125" customWidth="1"/>
    <col min="22" max="22" width="14" style="125" customWidth="1"/>
    <col min="23" max="16384" width="9" style="125"/>
  </cols>
  <sheetData>
    <row r="1" spans="1:22" ht="47.25" customHeight="1">
      <c r="A1" s="434" t="s">
        <v>1005</v>
      </c>
      <c r="B1" s="435"/>
      <c r="C1" s="435"/>
      <c r="D1" s="435"/>
      <c r="E1" s="435"/>
      <c r="F1" s="435"/>
      <c r="G1" s="435"/>
      <c r="H1" s="435"/>
      <c r="I1" s="435"/>
      <c r="J1" s="435"/>
      <c r="K1" s="435"/>
      <c r="L1" s="435"/>
      <c r="M1" s="435"/>
      <c r="N1" s="435"/>
      <c r="O1" s="436"/>
      <c r="Q1" s="437" t="s">
        <v>626</v>
      </c>
      <c r="R1" s="437"/>
      <c r="S1" s="437"/>
      <c r="T1" s="437" t="s">
        <v>64</v>
      </c>
      <c r="U1" s="437"/>
      <c r="V1" s="437"/>
    </row>
    <row r="2" spans="1:22" ht="98.25" customHeight="1">
      <c r="A2" s="126" t="s">
        <v>0</v>
      </c>
      <c r="B2" s="126" t="s">
        <v>241</v>
      </c>
      <c r="C2" s="126" t="s">
        <v>625</v>
      </c>
      <c r="D2" s="126" t="s">
        <v>242</v>
      </c>
      <c r="E2" s="126" t="s">
        <v>75</v>
      </c>
      <c r="F2" s="126" t="s">
        <v>244</v>
      </c>
      <c r="G2" s="126" t="s">
        <v>77</v>
      </c>
      <c r="H2" s="127" t="s">
        <v>435</v>
      </c>
      <c r="I2" s="127" t="s">
        <v>828</v>
      </c>
      <c r="J2" s="127" t="s">
        <v>829</v>
      </c>
      <c r="K2" s="126" t="s">
        <v>1</v>
      </c>
      <c r="L2" s="126" t="s">
        <v>2</v>
      </c>
      <c r="M2" s="126" t="s">
        <v>247</v>
      </c>
      <c r="N2" s="126" t="s">
        <v>436</v>
      </c>
      <c r="O2" s="126" t="s">
        <v>437</v>
      </c>
      <c r="P2" s="339" t="s">
        <v>1006</v>
      </c>
      <c r="Q2" s="257" t="s">
        <v>250</v>
      </c>
      <c r="R2" s="257" t="s">
        <v>206</v>
      </c>
      <c r="S2" s="258" t="s">
        <v>31</v>
      </c>
      <c r="T2" s="340" t="s">
        <v>250</v>
      </c>
      <c r="U2" s="340" t="s">
        <v>206</v>
      </c>
      <c r="V2" s="341" t="s">
        <v>31</v>
      </c>
    </row>
    <row r="3" spans="1:22" s="135" customFormat="1" ht="56.25">
      <c r="A3" s="136">
        <v>1</v>
      </c>
      <c r="B3" s="180" t="s">
        <v>442</v>
      </c>
      <c r="C3" s="136" t="s">
        <v>830</v>
      </c>
      <c r="D3" s="137" t="s">
        <v>441</v>
      </c>
      <c r="E3" s="139" t="s">
        <v>443</v>
      </c>
      <c r="F3" s="139">
        <v>0</v>
      </c>
      <c r="G3" s="139" t="s">
        <v>201</v>
      </c>
      <c r="H3" s="140">
        <v>0.15</v>
      </c>
      <c r="I3" s="140"/>
      <c r="J3" s="141"/>
      <c r="K3" s="142"/>
      <c r="L3" s="142"/>
      <c r="M3" s="136"/>
      <c r="N3" s="136"/>
      <c r="O3" s="136"/>
      <c r="P3" s="342"/>
      <c r="Q3" s="259"/>
      <c r="R3" s="259"/>
      <c r="S3" s="259"/>
      <c r="T3" s="343"/>
      <c r="U3" s="259"/>
      <c r="V3" s="259"/>
    </row>
    <row r="4" spans="1:22" ht="223.15" customHeight="1">
      <c r="A4" s="223">
        <v>2</v>
      </c>
      <c r="B4" s="148" t="s">
        <v>444</v>
      </c>
      <c r="C4" s="148" t="s">
        <v>831</v>
      </c>
      <c r="D4" s="149" t="s">
        <v>445</v>
      </c>
      <c r="E4" s="150" t="s">
        <v>446</v>
      </c>
      <c r="F4" s="151">
        <v>1</v>
      </c>
      <c r="G4" s="150" t="s">
        <v>91</v>
      </c>
      <c r="H4" s="151">
        <v>0.1</v>
      </c>
      <c r="I4" s="152" t="s">
        <v>447</v>
      </c>
      <c r="J4" s="152" t="s">
        <v>832</v>
      </c>
      <c r="K4" s="153">
        <v>46023</v>
      </c>
      <c r="L4" s="154" t="s">
        <v>631</v>
      </c>
      <c r="M4" s="155"/>
      <c r="N4" s="155" t="s">
        <v>517</v>
      </c>
      <c r="O4" s="155" t="s">
        <v>269</v>
      </c>
      <c r="P4" s="344" t="s">
        <v>1007</v>
      </c>
      <c r="Q4" s="254" t="s">
        <v>833</v>
      </c>
      <c r="R4" s="163" t="s">
        <v>226</v>
      </c>
      <c r="S4" s="157"/>
      <c r="T4" s="254" t="s">
        <v>1008</v>
      </c>
      <c r="U4" s="163" t="s">
        <v>226</v>
      </c>
      <c r="V4" s="157"/>
    </row>
    <row r="5" spans="1:22" ht="202.15" customHeight="1">
      <c r="A5" s="223">
        <v>3</v>
      </c>
      <c r="B5" s="148" t="s">
        <v>448</v>
      </c>
      <c r="C5" s="148" t="s">
        <v>834</v>
      </c>
      <c r="D5" s="149" t="s">
        <v>449</v>
      </c>
      <c r="E5" s="150" t="s">
        <v>450</v>
      </c>
      <c r="F5" s="151">
        <v>1</v>
      </c>
      <c r="G5" s="150" t="s">
        <v>91</v>
      </c>
      <c r="H5" s="151">
        <v>0.03</v>
      </c>
      <c r="I5" s="159" t="s">
        <v>451</v>
      </c>
      <c r="J5" s="165" t="s">
        <v>451</v>
      </c>
      <c r="K5" s="153">
        <v>46023</v>
      </c>
      <c r="L5" s="154" t="s">
        <v>631</v>
      </c>
      <c r="M5" s="155"/>
      <c r="N5" s="155" t="s">
        <v>517</v>
      </c>
      <c r="O5" s="155" t="s">
        <v>269</v>
      </c>
      <c r="P5" s="344" t="s">
        <v>1007</v>
      </c>
      <c r="Q5" s="157" t="s">
        <v>637</v>
      </c>
      <c r="R5" s="163" t="s">
        <v>226</v>
      </c>
      <c r="S5" s="157"/>
      <c r="T5" s="157" t="s">
        <v>637</v>
      </c>
      <c r="U5" s="163" t="s">
        <v>226</v>
      </c>
      <c r="V5" s="157"/>
    </row>
    <row r="6" spans="1:22" ht="177.6" customHeight="1">
      <c r="A6" s="223">
        <v>4</v>
      </c>
      <c r="B6" s="148" t="s">
        <v>453</v>
      </c>
      <c r="C6" s="148" t="s">
        <v>835</v>
      </c>
      <c r="D6" s="149" t="s">
        <v>454</v>
      </c>
      <c r="E6" s="150" t="s">
        <v>450</v>
      </c>
      <c r="F6" s="151">
        <v>1</v>
      </c>
      <c r="G6" s="150" t="s">
        <v>91</v>
      </c>
      <c r="H6" s="151">
        <v>0.02</v>
      </c>
      <c r="I6" s="159" t="s">
        <v>455</v>
      </c>
      <c r="J6" s="152" t="s">
        <v>455</v>
      </c>
      <c r="K6" s="153">
        <v>46023</v>
      </c>
      <c r="L6" s="154" t="s">
        <v>631</v>
      </c>
      <c r="M6" s="155"/>
      <c r="N6" s="155" t="s">
        <v>517</v>
      </c>
      <c r="O6" s="155" t="s">
        <v>269</v>
      </c>
      <c r="P6" s="344" t="s">
        <v>1007</v>
      </c>
      <c r="Q6" s="157" t="s">
        <v>637</v>
      </c>
      <c r="R6" s="163" t="s">
        <v>226</v>
      </c>
      <c r="S6" s="157"/>
      <c r="T6" s="157" t="s">
        <v>637</v>
      </c>
      <c r="U6" s="163" t="s">
        <v>226</v>
      </c>
      <c r="V6" s="157"/>
    </row>
    <row r="7" spans="1:22" s="135" customFormat="1" ht="77.45" customHeight="1">
      <c r="A7" s="136">
        <v>5</v>
      </c>
      <c r="B7" s="180" t="s">
        <v>457</v>
      </c>
      <c r="C7" s="136" t="s">
        <v>836</v>
      </c>
      <c r="D7" s="161" t="s">
        <v>84</v>
      </c>
      <c r="E7" s="139" t="s">
        <v>458</v>
      </c>
      <c r="F7" s="139" t="s">
        <v>459</v>
      </c>
      <c r="G7" s="139" t="s">
        <v>87</v>
      </c>
      <c r="H7" s="140">
        <v>0.2</v>
      </c>
      <c r="I7" s="140"/>
      <c r="J7" s="140"/>
      <c r="K7" s="142"/>
      <c r="L7" s="142"/>
      <c r="M7" s="136"/>
      <c r="N7" s="136"/>
      <c r="O7" s="136"/>
      <c r="P7" s="342"/>
      <c r="Q7" s="259"/>
      <c r="R7" s="260" t="s">
        <v>226</v>
      </c>
      <c r="S7" s="259"/>
      <c r="T7" s="343"/>
      <c r="U7" s="260"/>
      <c r="V7" s="259"/>
    </row>
    <row r="8" spans="1:22" s="135" customFormat="1" ht="131.25">
      <c r="A8" s="223">
        <v>6</v>
      </c>
      <c r="B8" s="148" t="s">
        <v>460</v>
      </c>
      <c r="C8" s="225" t="s">
        <v>837</v>
      </c>
      <c r="D8" s="149" t="s">
        <v>461</v>
      </c>
      <c r="E8" s="150" t="s">
        <v>119</v>
      </c>
      <c r="F8" s="150">
        <v>1</v>
      </c>
      <c r="G8" s="150" t="s">
        <v>201</v>
      </c>
      <c r="H8" s="162">
        <v>0.03</v>
      </c>
      <c r="I8" s="152" t="s">
        <v>462</v>
      </c>
      <c r="J8" s="152" t="s">
        <v>838</v>
      </c>
      <c r="K8" s="153">
        <v>46023</v>
      </c>
      <c r="L8" s="154">
        <v>46387</v>
      </c>
      <c r="M8" s="163"/>
      <c r="N8" s="155" t="s">
        <v>463</v>
      </c>
      <c r="O8" s="155" t="s">
        <v>269</v>
      </c>
      <c r="P8" s="344" t="s">
        <v>1009</v>
      </c>
      <c r="Q8" s="178" t="s">
        <v>768</v>
      </c>
      <c r="R8" s="163" t="s">
        <v>226</v>
      </c>
      <c r="S8" s="255"/>
      <c r="T8" s="178" t="s">
        <v>768</v>
      </c>
      <c r="U8" s="163" t="s">
        <v>226</v>
      </c>
      <c r="V8" s="255"/>
    </row>
    <row r="9" spans="1:22" s="168" customFormat="1" ht="289.89999999999998" customHeight="1">
      <c r="A9" s="223">
        <v>7</v>
      </c>
      <c r="B9" s="148" t="s">
        <v>465</v>
      </c>
      <c r="C9" s="225" t="s">
        <v>839</v>
      </c>
      <c r="D9" s="149" t="s">
        <v>466</v>
      </c>
      <c r="E9" s="150" t="s">
        <v>89</v>
      </c>
      <c r="F9" s="151" t="s">
        <v>90</v>
      </c>
      <c r="G9" s="150" t="s">
        <v>91</v>
      </c>
      <c r="H9" s="164">
        <v>0.1</v>
      </c>
      <c r="I9" s="165" t="s">
        <v>467</v>
      </c>
      <c r="J9" s="165" t="s">
        <v>840</v>
      </c>
      <c r="K9" s="166">
        <v>46023</v>
      </c>
      <c r="L9" s="154" t="s">
        <v>631</v>
      </c>
      <c r="M9" s="167"/>
      <c r="N9" s="167" t="s">
        <v>517</v>
      </c>
      <c r="O9" s="155" t="s">
        <v>269</v>
      </c>
      <c r="P9" s="344" t="s">
        <v>1007</v>
      </c>
      <c r="Q9" s="178" t="s">
        <v>841</v>
      </c>
      <c r="R9" s="163" t="s">
        <v>226</v>
      </c>
      <c r="S9" s="178"/>
      <c r="T9" s="178" t="s">
        <v>1010</v>
      </c>
      <c r="U9" s="163" t="s">
        <v>226</v>
      </c>
      <c r="V9" s="178"/>
    </row>
    <row r="10" spans="1:22" ht="271.14999999999998" customHeight="1">
      <c r="A10" s="223">
        <v>8</v>
      </c>
      <c r="B10" s="148" t="s">
        <v>471</v>
      </c>
      <c r="C10" s="225" t="s">
        <v>842</v>
      </c>
      <c r="D10" s="172" t="s">
        <v>772</v>
      </c>
      <c r="E10" s="150" t="s">
        <v>473</v>
      </c>
      <c r="F10" s="151" t="s">
        <v>474</v>
      </c>
      <c r="G10" s="173" t="s">
        <v>87</v>
      </c>
      <c r="H10" s="174">
        <v>0.05</v>
      </c>
      <c r="I10" s="175" t="s">
        <v>475</v>
      </c>
      <c r="J10" s="175" t="s">
        <v>843</v>
      </c>
      <c r="K10" s="166">
        <v>46023</v>
      </c>
      <c r="L10" s="154" t="s">
        <v>631</v>
      </c>
      <c r="M10" s="170"/>
      <c r="N10" s="170" t="s">
        <v>102</v>
      </c>
      <c r="O10" s="155" t="s">
        <v>269</v>
      </c>
      <c r="P10" s="344" t="s">
        <v>1007</v>
      </c>
      <c r="Q10" s="157" t="s">
        <v>637</v>
      </c>
      <c r="R10" s="163" t="s">
        <v>226</v>
      </c>
      <c r="S10" s="157"/>
      <c r="T10" s="157" t="s">
        <v>637</v>
      </c>
      <c r="U10" s="163" t="s">
        <v>226</v>
      </c>
      <c r="V10" s="157"/>
    </row>
    <row r="11" spans="1:22" ht="153.6" customHeight="1">
      <c r="A11" s="223">
        <v>9</v>
      </c>
      <c r="B11" s="148" t="s">
        <v>476</v>
      </c>
      <c r="C11" s="225" t="s">
        <v>844</v>
      </c>
      <c r="D11" s="149" t="s">
        <v>477</v>
      </c>
      <c r="E11" s="150" t="s">
        <v>478</v>
      </c>
      <c r="F11" s="151">
        <v>1</v>
      </c>
      <c r="G11" s="150" t="s">
        <v>87</v>
      </c>
      <c r="H11" s="162">
        <v>0.01</v>
      </c>
      <c r="I11" s="152" t="s">
        <v>479</v>
      </c>
      <c r="J11" s="152" t="s">
        <v>479</v>
      </c>
      <c r="K11" s="153">
        <v>46023</v>
      </c>
      <c r="L11" s="154">
        <v>46387</v>
      </c>
      <c r="M11" s="163"/>
      <c r="N11" s="155" t="s">
        <v>845</v>
      </c>
      <c r="O11" s="155" t="s">
        <v>269</v>
      </c>
      <c r="P11" s="344" t="s">
        <v>1011</v>
      </c>
      <c r="Q11" s="157" t="s">
        <v>637</v>
      </c>
      <c r="R11" s="163" t="s">
        <v>226</v>
      </c>
      <c r="S11" s="157"/>
      <c r="T11" s="157" t="s">
        <v>637</v>
      </c>
      <c r="U11" s="163" t="s">
        <v>226</v>
      </c>
      <c r="V11" s="157"/>
    </row>
    <row r="12" spans="1:22" s="168" customFormat="1" ht="83.45" customHeight="1">
      <c r="A12" s="223">
        <v>10</v>
      </c>
      <c r="B12" s="148" t="s">
        <v>480</v>
      </c>
      <c r="C12" s="225" t="s">
        <v>846</v>
      </c>
      <c r="D12" s="149" t="s">
        <v>112</v>
      </c>
      <c r="E12" s="150" t="s">
        <v>113</v>
      </c>
      <c r="F12" s="151" t="s">
        <v>114</v>
      </c>
      <c r="G12" s="150" t="s">
        <v>87</v>
      </c>
      <c r="H12" s="162">
        <v>0.01</v>
      </c>
      <c r="I12" s="152" t="s">
        <v>481</v>
      </c>
      <c r="J12" s="152" t="s">
        <v>775</v>
      </c>
      <c r="K12" s="153">
        <v>46023</v>
      </c>
      <c r="L12" s="154" t="s">
        <v>631</v>
      </c>
      <c r="M12" s="155"/>
      <c r="N12" s="167" t="s">
        <v>517</v>
      </c>
      <c r="O12" s="155" t="s">
        <v>269</v>
      </c>
      <c r="P12" s="344" t="s">
        <v>1007</v>
      </c>
      <c r="Q12" s="157" t="s">
        <v>847</v>
      </c>
      <c r="R12" s="163" t="s">
        <v>226</v>
      </c>
      <c r="S12" s="178"/>
      <c r="T12" s="157" t="s">
        <v>637</v>
      </c>
      <c r="U12" s="163" t="s">
        <v>226</v>
      </c>
      <c r="V12" s="178"/>
    </row>
    <row r="13" spans="1:22" s="135" customFormat="1" ht="73.900000000000006" customHeight="1">
      <c r="A13" s="136">
        <v>11</v>
      </c>
      <c r="B13" s="180" t="s">
        <v>484</v>
      </c>
      <c r="C13" s="136" t="s">
        <v>848</v>
      </c>
      <c r="D13" s="179" t="s">
        <v>16</v>
      </c>
      <c r="E13" s="139" t="s">
        <v>117</v>
      </c>
      <c r="F13" s="139">
        <v>0</v>
      </c>
      <c r="G13" s="139"/>
      <c r="H13" s="140">
        <v>0.15</v>
      </c>
      <c r="I13" s="140"/>
      <c r="J13" s="140"/>
      <c r="K13" s="180"/>
      <c r="L13" s="180"/>
      <c r="M13" s="136"/>
      <c r="N13" s="136"/>
      <c r="O13" s="136"/>
      <c r="P13" s="342"/>
      <c r="Q13" s="259"/>
      <c r="R13" s="260" t="s">
        <v>226</v>
      </c>
      <c r="S13" s="259"/>
      <c r="T13" s="343"/>
      <c r="U13" s="260"/>
      <c r="V13" s="259"/>
    </row>
    <row r="14" spans="1:22" s="168" customFormat="1" ht="324" customHeight="1">
      <c r="A14" s="223">
        <v>12</v>
      </c>
      <c r="B14" s="148" t="s">
        <v>485</v>
      </c>
      <c r="C14" s="148" t="s">
        <v>849</v>
      </c>
      <c r="D14" s="149" t="s">
        <v>118</v>
      </c>
      <c r="E14" s="150" t="s">
        <v>119</v>
      </c>
      <c r="F14" s="150">
        <v>1</v>
      </c>
      <c r="G14" s="150" t="s">
        <v>91</v>
      </c>
      <c r="H14" s="164">
        <v>0.05</v>
      </c>
      <c r="I14" s="165" t="s">
        <v>486</v>
      </c>
      <c r="J14" s="165" t="s">
        <v>850</v>
      </c>
      <c r="K14" s="166">
        <v>46023</v>
      </c>
      <c r="L14" s="154" t="s">
        <v>631</v>
      </c>
      <c r="M14" s="167"/>
      <c r="N14" s="167" t="s">
        <v>517</v>
      </c>
      <c r="O14" s="155" t="s">
        <v>269</v>
      </c>
      <c r="P14" s="344" t="s">
        <v>1012</v>
      </c>
      <c r="Q14" s="178" t="s">
        <v>779</v>
      </c>
      <c r="R14" s="163" t="s">
        <v>226</v>
      </c>
      <c r="S14" s="178"/>
      <c r="T14" s="178" t="s">
        <v>779</v>
      </c>
      <c r="U14" s="163" t="s">
        <v>226</v>
      </c>
      <c r="V14" s="178"/>
    </row>
    <row r="15" spans="1:22" s="168" customFormat="1" ht="102.6" customHeight="1">
      <c r="A15" s="221">
        <v>13</v>
      </c>
      <c r="B15" s="148" t="s">
        <v>487</v>
      </c>
      <c r="C15" s="148" t="s">
        <v>851</v>
      </c>
      <c r="D15" s="226" t="s">
        <v>122</v>
      </c>
      <c r="E15" s="256" t="s">
        <v>123</v>
      </c>
      <c r="F15" s="256">
        <v>7</v>
      </c>
      <c r="G15" s="256" t="s">
        <v>781</v>
      </c>
      <c r="H15" s="164">
        <v>0.08</v>
      </c>
      <c r="I15" s="165" t="s">
        <v>489</v>
      </c>
      <c r="J15" s="165" t="s">
        <v>782</v>
      </c>
      <c r="K15" s="166">
        <v>46023</v>
      </c>
      <c r="L15" s="241" t="s">
        <v>631</v>
      </c>
      <c r="M15" s="160"/>
      <c r="N15" s="167" t="s">
        <v>517</v>
      </c>
      <c r="O15" s="155" t="s">
        <v>269</v>
      </c>
      <c r="P15" s="344" t="s">
        <v>1013</v>
      </c>
      <c r="Q15" s="178" t="s">
        <v>852</v>
      </c>
      <c r="R15" s="261" t="s">
        <v>225</v>
      </c>
      <c r="S15" s="178"/>
      <c r="T15" s="178" t="s">
        <v>1014</v>
      </c>
      <c r="U15" s="261" t="s">
        <v>225</v>
      </c>
      <c r="V15" s="178"/>
    </row>
    <row r="16" spans="1:22" s="168" customFormat="1" ht="45" customHeight="1">
      <c r="A16" s="223">
        <v>14</v>
      </c>
      <c r="B16" s="148" t="s">
        <v>490</v>
      </c>
      <c r="C16" s="148" t="s">
        <v>853</v>
      </c>
      <c r="D16" s="149" t="s">
        <v>125</v>
      </c>
      <c r="E16" s="150" t="s">
        <v>126</v>
      </c>
      <c r="F16" s="151">
        <v>1</v>
      </c>
      <c r="G16" s="150" t="s">
        <v>87</v>
      </c>
      <c r="H16" s="164">
        <v>0.02</v>
      </c>
      <c r="I16" s="165" t="s">
        <v>491</v>
      </c>
      <c r="J16" s="165" t="s">
        <v>784</v>
      </c>
      <c r="K16" s="166">
        <v>46023</v>
      </c>
      <c r="L16" s="154" t="s">
        <v>631</v>
      </c>
      <c r="M16" s="167"/>
      <c r="N16" s="167" t="s">
        <v>517</v>
      </c>
      <c r="O16" s="155" t="s">
        <v>269</v>
      </c>
      <c r="P16" s="344" t="s">
        <v>1007</v>
      </c>
      <c r="Q16" s="178" t="s">
        <v>785</v>
      </c>
      <c r="R16" s="229"/>
      <c r="S16" s="178"/>
      <c r="T16" s="178" t="s">
        <v>785</v>
      </c>
      <c r="U16" s="229"/>
      <c r="V16" s="178"/>
    </row>
    <row r="17" spans="1:22" s="135" customFormat="1" ht="37.5">
      <c r="A17" s="136">
        <v>15</v>
      </c>
      <c r="B17" s="180" t="s">
        <v>496</v>
      </c>
      <c r="C17" s="136" t="s">
        <v>854</v>
      </c>
      <c r="D17" s="179" t="s">
        <v>135</v>
      </c>
      <c r="E17" s="139"/>
      <c r="F17" s="139"/>
      <c r="G17" s="139"/>
      <c r="H17" s="140">
        <v>0.2</v>
      </c>
      <c r="I17" s="140"/>
      <c r="J17" s="140"/>
      <c r="K17" s="142"/>
      <c r="L17" s="142"/>
      <c r="M17" s="136"/>
      <c r="N17" s="136"/>
      <c r="O17" s="136"/>
      <c r="P17" s="342"/>
      <c r="Q17" s="259"/>
      <c r="R17" s="260" t="s">
        <v>226</v>
      </c>
      <c r="S17" s="259"/>
      <c r="T17" s="343"/>
      <c r="U17" s="260" t="s">
        <v>226</v>
      </c>
      <c r="V17" s="259"/>
    </row>
    <row r="18" spans="1:22" s="135" customFormat="1" ht="153" customHeight="1">
      <c r="A18" s="221">
        <v>16</v>
      </c>
      <c r="B18" s="146" t="s">
        <v>497</v>
      </c>
      <c r="C18" s="148" t="s">
        <v>855</v>
      </c>
      <c r="D18" s="149" t="s">
        <v>498</v>
      </c>
      <c r="E18" s="150" t="s">
        <v>138</v>
      </c>
      <c r="F18" s="151">
        <v>1</v>
      </c>
      <c r="G18" s="150" t="s">
        <v>87</v>
      </c>
      <c r="H18" s="151">
        <v>0.02</v>
      </c>
      <c r="I18" s="152" t="s">
        <v>499</v>
      </c>
      <c r="J18" s="152" t="s">
        <v>499</v>
      </c>
      <c r="K18" s="153">
        <v>46023</v>
      </c>
      <c r="L18" s="154" t="s">
        <v>631</v>
      </c>
      <c r="M18" s="155"/>
      <c r="N18" s="167" t="s">
        <v>517</v>
      </c>
      <c r="O18" s="155" t="s">
        <v>269</v>
      </c>
      <c r="P18" s="344" t="s">
        <v>1015</v>
      </c>
      <c r="Q18" s="178" t="s">
        <v>788</v>
      </c>
      <c r="R18" s="163" t="s">
        <v>226</v>
      </c>
      <c r="S18" s="255"/>
      <c r="T18" s="178" t="s">
        <v>788</v>
      </c>
      <c r="U18" s="163" t="s">
        <v>226</v>
      </c>
      <c r="V18" s="255"/>
    </row>
    <row r="19" spans="1:22" s="135" customFormat="1" ht="150">
      <c r="A19" s="221">
        <v>17</v>
      </c>
      <c r="B19" s="146" t="s">
        <v>500</v>
      </c>
      <c r="C19" s="148" t="s">
        <v>856</v>
      </c>
      <c r="D19" s="149" t="s">
        <v>501</v>
      </c>
      <c r="E19" s="150" t="s">
        <v>141</v>
      </c>
      <c r="F19" s="151">
        <v>1</v>
      </c>
      <c r="G19" s="150" t="s">
        <v>87</v>
      </c>
      <c r="H19" s="151">
        <v>0.02</v>
      </c>
      <c r="I19" s="152" t="s">
        <v>502</v>
      </c>
      <c r="J19" s="152" t="s">
        <v>502</v>
      </c>
      <c r="K19" s="153">
        <v>46023</v>
      </c>
      <c r="L19" s="154">
        <v>46387</v>
      </c>
      <c r="M19" s="155"/>
      <c r="N19" s="155" t="s">
        <v>503</v>
      </c>
      <c r="O19" s="155" t="s">
        <v>269</v>
      </c>
      <c r="P19" s="344" t="s">
        <v>1015</v>
      </c>
      <c r="Q19" s="178" t="s">
        <v>788</v>
      </c>
      <c r="R19" s="163" t="s">
        <v>226</v>
      </c>
      <c r="S19" s="255"/>
      <c r="T19" s="178" t="s">
        <v>1016</v>
      </c>
      <c r="U19" s="163" t="s">
        <v>226</v>
      </c>
      <c r="V19" s="255"/>
    </row>
    <row r="20" spans="1:22" s="135" customFormat="1" ht="52.9" customHeight="1">
      <c r="A20" s="221">
        <v>18</v>
      </c>
      <c r="B20" s="146" t="s">
        <v>504</v>
      </c>
      <c r="C20" s="148" t="s">
        <v>857</v>
      </c>
      <c r="D20" s="149" t="s">
        <v>505</v>
      </c>
      <c r="E20" s="150" t="s">
        <v>141</v>
      </c>
      <c r="F20" s="151">
        <v>1</v>
      </c>
      <c r="G20" s="150" t="s">
        <v>87</v>
      </c>
      <c r="H20" s="151">
        <v>0.01</v>
      </c>
      <c r="I20" s="152" t="s">
        <v>506</v>
      </c>
      <c r="J20" s="165" t="s">
        <v>858</v>
      </c>
      <c r="K20" s="153">
        <v>46023</v>
      </c>
      <c r="L20" s="154">
        <v>46387</v>
      </c>
      <c r="M20" s="155"/>
      <c r="N20" s="160" t="s">
        <v>463</v>
      </c>
      <c r="O20" s="155" t="s">
        <v>269</v>
      </c>
      <c r="P20" s="344" t="s">
        <v>1017</v>
      </c>
      <c r="Q20" s="178" t="s">
        <v>788</v>
      </c>
      <c r="R20" s="163" t="s">
        <v>226</v>
      </c>
      <c r="S20" s="255"/>
      <c r="T20" s="178" t="s">
        <v>788</v>
      </c>
      <c r="U20" s="163" t="s">
        <v>226</v>
      </c>
      <c r="V20" s="255"/>
    </row>
    <row r="21" spans="1:22" s="135" customFormat="1" ht="52.15" customHeight="1">
      <c r="A21" s="221">
        <v>19</v>
      </c>
      <c r="B21" s="146" t="s">
        <v>507</v>
      </c>
      <c r="C21" s="148" t="s">
        <v>859</v>
      </c>
      <c r="D21" s="149" t="s">
        <v>508</v>
      </c>
      <c r="E21" s="150" t="s">
        <v>141</v>
      </c>
      <c r="F21" s="151">
        <v>1</v>
      </c>
      <c r="G21" s="150" t="s">
        <v>87</v>
      </c>
      <c r="H21" s="151">
        <v>0.01</v>
      </c>
      <c r="I21" s="152" t="s">
        <v>509</v>
      </c>
      <c r="J21" s="165" t="s">
        <v>858</v>
      </c>
      <c r="K21" s="153">
        <v>46023</v>
      </c>
      <c r="L21" s="154">
        <v>46387</v>
      </c>
      <c r="M21" s="155"/>
      <c r="N21" s="155" t="s">
        <v>463</v>
      </c>
      <c r="O21" s="155" t="s">
        <v>269</v>
      </c>
      <c r="P21" s="344" t="s">
        <v>1018</v>
      </c>
      <c r="Q21" s="178" t="s">
        <v>788</v>
      </c>
      <c r="R21" s="163" t="s">
        <v>226</v>
      </c>
      <c r="S21" s="255"/>
      <c r="T21" s="178" t="s">
        <v>788</v>
      </c>
      <c r="U21" s="163" t="s">
        <v>226</v>
      </c>
      <c r="V21" s="255"/>
    </row>
    <row r="22" spans="1:22" s="135" customFormat="1" ht="58.9" customHeight="1">
      <c r="A22" s="221">
        <v>20</v>
      </c>
      <c r="B22" s="146" t="s">
        <v>510</v>
      </c>
      <c r="C22" s="148" t="s">
        <v>860</v>
      </c>
      <c r="D22" s="149" t="s">
        <v>511</v>
      </c>
      <c r="E22" s="150" t="s">
        <v>141</v>
      </c>
      <c r="F22" s="151">
        <v>1</v>
      </c>
      <c r="G22" s="150" t="s">
        <v>87</v>
      </c>
      <c r="H22" s="151">
        <v>0.05</v>
      </c>
      <c r="I22" s="152" t="s">
        <v>512</v>
      </c>
      <c r="J22" s="165" t="s">
        <v>858</v>
      </c>
      <c r="K22" s="153">
        <v>46023</v>
      </c>
      <c r="L22" s="154" t="s">
        <v>631</v>
      </c>
      <c r="M22" s="155"/>
      <c r="N22" s="155" t="s">
        <v>257</v>
      </c>
      <c r="O22" s="155" t="s">
        <v>269</v>
      </c>
      <c r="P22" s="344" t="s">
        <v>1007</v>
      </c>
      <c r="Q22" s="178" t="s">
        <v>861</v>
      </c>
      <c r="R22" s="163" t="s">
        <v>226</v>
      </c>
      <c r="S22" s="255"/>
      <c r="T22" s="178" t="s">
        <v>788</v>
      </c>
      <c r="U22" s="163" t="s">
        <v>226</v>
      </c>
      <c r="V22" s="255"/>
    </row>
    <row r="23" spans="1:22" s="135" customFormat="1" ht="192" customHeight="1">
      <c r="A23" s="221">
        <v>21</v>
      </c>
      <c r="B23" s="146" t="s">
        <v>514</v>
      </c>
      <c r="C23" s="148" t="s">
        <v>862</v>
      </c>
      <c r="D23" s="149" t="s">
        <v>515</v>
      </c>
      <c r="E23" s="150" t="s">
        <v>516</v>
      </c>
      <c r="F23" s="151">
        <v>1</v>
      </c>
      <c r="G23" s="150" t="s">
        <v>87</v>
      </c>
      <c r="H23" s="151">
        <v>0.09</v>
      </c>
      <c r="I23" s="152" t="s">
        <v>506</v>
      </c>
      <c r="J23" s="152" t="s">
        <v>506</v>
      </c>
      <c r="K23" s="153">
        <v>46023</v>
      </c>
      <c r="L23" s="154">
        <v>46387</v>
      </c>
      <c r="M23" s="155"/>
      <c r="N23" s="160" t="s">
        <v>863</v>
      </c>
      <c r="O23" s="155" t="s">
        <v>269</v>
      </c>
      <c r="P23" s="344" t="s">
        <v>1009</v>
      </c>
      <c r="Q23" s="178" t="s">
        <v>864</v>
      </c>
      <c r="R23" s="163" t="s">
        <v>226</v>
      </c>
      <c r="S23" s="255"/>
      <c r="T23" s="178" t="s">
        <v>1019</v>
      </c>
      <c r="U23" s="163" t="s">
        <v>226</v>
      </c>
      <c r="V23" s="255"/>
    </row>
    <row r="24" spans="1:22" s="191" customFormat="1" ht="39" customHeight="1">
      <c r="A24" s="185">
        <v>22</v>
      </c>
      <c r="B24" s="180" t="s">
        <v>520</v>
      </c>
      <c r="C24" s="136" t="s">
        <v>865</v>
      </c>
      <c r="D24" s="179" t="s">
        <v>521</v>
      </c>
      <c r="E24" s="139"/>
      <c r="F24" s="139"/>
      <c r="G24" s="139"/>
      <c r="H24" s="140">
        <v>0.25</v>
      </c>
      <c r="I24" s="140"/>
      <c r="J24" s="188"/>
      <c r="K24" s="189"/>
      <c r="L24" s="189"/>
      <c r="M24" s="189"/>
      <c r="N24" s="189"/>
      <c r="O24" s="190"/>
      <c r="P24" s="345"/>
      <c r="Q24" s="259"/>
      <c r="R24" s="260" t="s">
        <v>226</v>
      </c>
      <c r="S24" s="259"/>
      <c r="T24" s="343"/>
      <c r="U24" s="260"/>
      <c r="V24" s="259"/>
    </row>
    <row r="25" spans="1:22" s="135" customFormat="1" ht="42" customHeight="1">
      <c r="A25" s="221">
        <v>23</v>
      </c>
      <c r="B25" s="148" t="s">
        <v>522</v>
      </c>
      <c r="C25" s="148" t="s">
        <v>866</v>
      </c>
      <c r="D25" s="149" t="s">
        <v>149</v>
      </c>
      <c r="E25" s="150" t="s">
        <v>150</v>
      </c>
      <c r="F25" s="150">
        <v>8</v>
      </c>
      <c r="G25" s="150" t="s">
        <v>87</v>
      </c>
      <c r="H25" s="164">
        <v>0.04</v>
      </c>
      <c r="I25" s="165" t="s">
        <v>523</v>
      </c>
      <c r="J25" s="165" t="s">
        <v>794</v>
      </c>
      <c r="K25" s="166">
        <v>46023</v>
      </c>
      <c r="L25" s="154" t="s">
        <v>631</v>
      </c>
      <c r="M25" s="167"/>
      <c r="N25" s="155" t="s">
        <v>463</v>
      </c>
      <c r="O25" s="155" t="s">
        <v>269</v>
      </c>
      <c r="P25" s="344" t="s">
        <v>1020</v>
      </c>
      <c r="Q25" s="178" t="s">
        <v>788</v>
      </c>
      <c r="R25" s="163" t="s">
        <v>226</v>
      </c>
      <c r="S25" s="255"/>
      <c r="T25" s="178" t="s">
        <v>788</v>
      </c>
      <c r="U25" s="163" t="s">
        <v>226</v>
      </c>
      <c r="V25" s="255"/>
    </row>
    <row r="26" spans="1:22" s="135" customFormat="1" ht="42" customHeight="1">
      <c r="A26" s="223">
        <v>24</v>
      </c>
      <c r="B26" s="148" t="s">
        <v>524</v>
      </c>
      <c r="C26" s="148" t="s">
        <v>867</v>
      </c>
      <c r="D26" s="149" t="s">
        <v>154</v>
      </c>
      <c r="E26" s="150" t="s">
        <v>525</v>
      </c>
      <c r="F26" s="150">
        <v>33</v>
      </c>
      <c r="G26" s="150" t="s">
        <v>87</v>
      </c>
      <c r="H26" s="164">
        <v>0.04</v>
      </c>
      <c r="I26" s="165" t="s">
        <v>526</v>
      </c>
      <c r="J26" s="165" t="s">
        <v>796</v>
      </c>
      <c r="K26" s="166">
        <v>46023</v>
      </c>
      <c r="L26" s="154" t="s">
        <v>631</v>
      </c>
      <c r="M26" s="167"/>
      <c r="N26" s="155" t="s">
        <v>463</v>
      </c>
      <c r="O26" s="155" t="s">
        <v>269</v>
      </c>
      <c r="P26" s="344" t="s">
        <v>1020</v>
      </c>
      <c r="Q26" s="178" t="s">
        <v>788</v>
      </c>
      <c r="R26" s="163" t="s">
        <v>226</v>
      </c>
      <c r="S26" s="255"/>
      <c r="T26" s="178" t="s">
        <v>788</v>
      </c>
      <c r="U26" s="163" t="s">
        <v>226</v>
      </c>
      <c r="V26" s="255"/>
    </row>
    <row r="27" spans="1:22" s="135" customFormat="1" ht="99.6" customHeight="1">
      <c r="A27" s="221">
        <v>25</v>
      </c>
      <c r="B27" s="148" t="s">
        <v>527</v>
      </c>
      <c r="C27" s="148" t="s">
        <v>868</v>
      </c>
      <c r="D27" s="149" t="s">
        <v>528</v>
      </c>
      <c r="E27" s="150" t="s">
        <v>529</v>
      </c>
      <c r="F27" s="151">
        <v>1</v>
      </c>
      <c r="G27" s="150" t="s">
        <v>87</v>
      </c>
      <c r="H27" s="164">
        <v>0.01</v>
      </c>
      <c r="I27" s="165" t="s">
        <v>530</v>
      </c>
      <c r="J27" s="165" t="s">
        <v>869</v>
      </c>
      <c r="K27" s="166">
        <v>46023</v>
      </c>
      <c r="L27" s="154" t="s">
        <v>631</v>
      </c>
      <c r="M27" s="167"/>
      <c r="N27" s="155" t="s">
        <v>531</v>
      </c>
      <c r="O27" s="155" t="s">
        <v>269</v>
      </c>
      <c r="P27" s="344" t="s">
        <v>1021</v>
      </c>
      <c r="Q27" s="178" t="s">
        <v>788</v>
      </c>
      <c r="R27" s="163" t="s">
        <v>226</v>
      </c>
      <c r="S27" s="255"/>
      <c r="T27" s="178" t="s">
        <v>1022</v>
      </c>
      <c r="U27" s="163" t="s">
        <v>226</v>
      </c>
      <c r="V27" s="346"/>
    </row>
    <row r="28" spans="1:22" s="135" customFormat="1" ht="100.15" customHeight="1">
      <c r="A28" s="223">
        <v>26</v>
      </c>
      <c r="B28" s="148" t="s">
        <v>532</v>
      </c>
      <c r="C28" s="148" t="s">
        <v>870</v>
      </c>
      <c r="D28" s="149" t="s">
        <v>533</v>
      </c>
      <c r="E28" s="150" t="s">
        <v>119</v>
      </c>
      <c r="F28" s="150">
        <v>15</v>
      </c>
      <c r="G28" s="150" t="s">
        <v>87</v>
      </c>
      <c r="H28" s="164">
        <v>0.01</v>
      </c>
      <c r="I28" s="165" t="s">
        <v>534</v>
      </c>
      <c r="J28" s="165" t="s">
        <v>871</v>
      </c>
      <c r="K28" s="166">
        <v>46023</v>
      </c>
      <c r="L28" s="154" t="s">
        <v>631</v>
      </c>
      <c r="M28" s="167"/>
      <c r="N28" s="155" t="s">
        <v>517</v>
      </c>
      <c r="O28" s="155" t="s">
        <v>269</v>
      </c>
      <c r="P28" s="344" t="s">
        <v>1021</v>
      </c>
      <c r="Q28" s="178" t="s">
        <v>788</v>
      </c>
      <c r="R28" s="163" t="s">
        <v>226</v>
      </c>
      <c r="S28" s="255"/>
      <c r="T28" s="178" t="s">
        <v>788</v>
      </c>
      <c r="U28" s="163" t="s">
        <v>226</v>
      </c>
      <c r="V28" s="255"/>
    </row>
    <row r="29" spans="1:22" s="135" customFormat="1" ht="90.6" customHeight="1">
      <c r="A29" s="221">
        <v>27</v>
      </c>
      <c r="B29" s="148" t="s">
        <v>538</v>
      </c>
      <c r="C29" s="148" t="s">
        <v>872</v>
      </c>
      <c r="D29" s="149" t="s">
        <v>539</v>
      </c>
      <c r="E29" s="150" t="s">
        <v>478</v>
      </c>
      <c r="F29" s="151">
        <v>1</v>
      </c>
      <c r="G29" s="150" t="s">
        <v>87</v>
      </c>
      <c r="H29" s="164">
        <v>0.01</v>
      </c>
      <c r="I29" s="165" t="s">
        <v>540</v>
      </c>
      <c r="J29" s="165" t="s">
        <v>802</v>
      </c>
      <c r="K29" s="166">
        <v>46023</v>
      </c>
      <c r="L29" s="154" t="s">
        <v>631</v>
      </c>
      <c r="M29" s="167"/>
      <c r="N29" s="155" t="s">
        <v>531</v>
      </c>
      <c r="O29" s="155" t="s">
        <v>269</v>
      </c>
      <c r="P29" s="344" t="s">
        <v>1021</v>
      </c>
      <c r="Q29" s="178" t="s">
        <v>873</v>
      </c>
      <c r="R29" s="163" t="s">
        <v>226</v>
      </c>
      <c r="S29" s="255"/>
      <c r="T29" s="178" t="s">
        <v>788</v>
      </c>
      <c r="U29" s="163" t="s">
        <v>226</v>
      </c>
      <c r="V29" s="255"/>
    </row>
    <row r="30" spans="1:22" s="135" customFormat="1" ht="132.6" customHeight="1">
      <c r="A30" s="223">
        <v>28</v>
      </c>
      <c r="B30" s="148" t="s">
        <v>541</v>
      </c>
      <c r="C30" s="148" t="s">
        <v>874</v>
      </c>
      <c r="D30" s="149" t="s">
        <v>542</v>
      </c>
      <c r="E30" s="150" t="s">
        <v>478</v>
      </c>
      <c r="F30" s="151">
        <v>1</v>
      </c>
      <c r="G30" s="150" t="s">
        <v>87</v>
      </c>
      <c r="H30" s="151">
        <v>0.03</v>
      </c>
      <c r="I30" s="152" t="s">
        <v>543</v>
      </c>
      <c r="J30" s="152" t="s">
        <v>543</v>
      </c>
      <c r="K30" s="153">
        <v>46023</v>
      </c>
      <c r="L30" s="154" t="s">
        <v>631</v>
      </c>
      <c r="M30" s="155"/>
      <c r="N30" s="155" t="s">
        <v>544</v>
      </c>
      <c r="O30" s="155" t="s">
        <v>269</v>
      </c>
      <c r="P30" s="344" t="s">
        <v>1023</v>
      </c>
      <c r="Q30" s="178" t="s">
        <v>788</v>
      </c>
      <c r="R30" s="163" t="s">
        <v>226</v>
      </c>
      <c r="S30" s="255"/>
      <c r="T30" s="178" t="s">
        <v>788</v>
      </c>
      <c r="U30" s="163" t="s">
        <v>226</v>
      </c>
      <c r="V30" s="255"/>
    </row>
    <row r="31" spans="1:22" s="135" customFormat="1" ht="93.75">
      <c r="A31" s="221">
        <v>29</v>
      </c>
      <c r="B31" s="148" t="s">
        <v>545</v>
      </c>
      <c r="C31" s="148" t="s">
        <v>875</v>
      </c>
      <c r="D31" s="149" t="s">
        <v>546</v>
      </c>
      <c r="E31" s="150" t="s">
        <v>478</v>
      </c>
      <c r="F31" s="151">
        <v>1</v>
      </c>
      <c r="G31" s="150" t="s">
        <v>87</v>
      </c>
      <c r="H31" s="151">
        <v>0.03</v>
      </c>
      <c r="I31" s="152" t="s">
        <v>547</v>
      </c>
      <c r="J31" s="152" t="s">
        <v>547</v>
      </c>
      <c r="K31" s="153">
        <v>46023</v>
      </c>
      <c r="L31" s="154" t="s">
        <v>631</v>
      </c>
      <c r="M31" s="155"/>
      <c r="N31" s="155" t="s">
        <v>548</v>
      </c>
      <c r="O31" s="155" t="s">
        <v>269</v>
      </c>
      <c r="P31" s="344" t="s">
        <v>1023</v>
      </c>
      <c r="Q31" s="178" t="s">
        <v>788</v>
      </c>
      <c r="R31" s="163" t="s">
        <v>226</v>
      </c>
      <c r="S31" s="255"/>
      <c r="T31" s="178" t="s">
        <v>788</v>
      </c>
      <c r="U31" s="163" t="s">
        <v>226</v>
      </c>
      <c r="V31" s="255"/>
    </row>
    <row r="32" spans="1:22" s="135" customFormat="1" ht="93" customHeight="1">
      <c r="A32" s="223">
        <v>30</v>
      </c>
      <c r="B32" s="148" t="s">
        <v>549</v>
      </c>
      <c r="C32" s="148" t="s">
        <v>876</v>
      </c>
      <c r="D32" s="149" t="s">
        <v>550</v>
      </c>
      <c r="E32" s="150" t="s">
        <v>478</v>
      </c>
      <c r="F32" s="151">
        <v>1</v>
      </c>
      <c r="G32" s="150" t="s">
        <v>87</v>
      </c>
      <c r="H32" s="151">
        <v>0.01</v>
      </c>
      <c r="I32" s="152" t="s">
        <v>551</v>
      </c>
      <c r="J32" s="152" t="s">
        <v>551</v>
      </c>
      <c r="K32" s="153">
        <v>46023</v>
      </c>
      <c r="L32" s="154" t="s">
        <v>631</v>
      </c>
      <c r="M32" s="155"/>
      <c r="N32" s="155" t="s">
        <v>548</v>
      </c>
      <c r="O32" s="155" t="s">
        <v>269</v>
      </c>
      <c r="P32" s="344" t="s">
        <v>1023</v>
      </c>
      <c r="Q32" s="178" t="s">
        <v>788</v>
      </c>
      <c r="R32" s="163" t="s">
        <v>226</v>
      </c>
      <c r="S32" s="255"/>
      <c r="T32" s="178" t="s">
        <v>788</v>
      </c>
      <c r="U32" s="163" t="s">
        <v>226</v>
      </c>
      <c r="V32" s="255"/>
    </row>
    <row r="33" spans="1:22" s="135" customFormat="1" ht="122.45" customHeight="1">
      <c r="A33" s="221">
        <v>31</v>
      </c>
      <c r="B33" s="148" t="s">
        <v>553</v>
      </c>
      <c r="C33" s="148" t="s">
        <v>877</v>
      </c>
      <c r="D33" s="149" t="s">
        <v>554</v>
      </c>
      <c r="E33" s="150" t="s">
        <v>478</v>
      </c>
      <c r="F33" s="151">
        <v>1</v>
      </c>
      <c r="G33" s="150" t="s">
        <v>87</v>
      </c>
      <c r="H33" s="151">
        <v>0.02</v>
      </c>
      <c r="I33" s="152" t="s">
        <v>555</v>
      </c>
      <c r="J33" s="152" t="s">
        <v>807</v>
      </c>
      <c r="K33" s="153">
        <v>46023</v>
      </c>
      <c r="L33" s="154" t="s">
        <v>631</v>
      </c>
      <c r="M33" s="155"/>
      <c r="N33" s="155" t="s">
        <v>556</v>
      </c>
      <c r="O33" s="155" t="s">
        <v>269</v>
      </c>
      <c r="P33" s="344" t="s">
        <v>1024</v>
      </c>
      <c r="Q33" s="178" t="s">
        <v>788</v>
      </c>
      <c r="R33" s="163" t="s">
        <v>226</v>
      </c>
      <c r="S33" s="255"/>
      <c r="T33" s="178" t="s">
        <v>1025</v>
      </c>
      <c r="U33" s="163" t="s">
        <v>226</v>
      </c>
      <c r="V33" s="255"/>
    </row>
    <row r="34" spans="1:22" s="135" customFormat="1" ht="216" customHeight="1">
      <c r="A34" s="223">
        <v>32</v>
      </c>
      <c r="B34" s="148" t="s">
        <v>557</v>
      </c>
      <c r="C34" s="148" t="s">
        <v>878</v>
      </c>
      <c r="D34" s="149" t="s">
        <v>879</v>
      </c>
      <c r="E34" s="150" t="s">
        <v>478</v>
      </c>
      <c r="F34" s="151">
        <v>1</v>
      </c>
      <c r="G34" s="150" t="s">
        <v>87</v>
      </c>
      <c r="H34" s="151">
        <v>0.01</v>
      </c>
      <c r="I34" s="152" t="s">
        <v>559</v>
      </c>
      <c r="J34" s="152" t="s">
        <v>880</v>
      </c>
      <c r="K34" s="153">
        <v>46023</v>
      </c>
      <c r="L34" s="154" t="s">
        <v>631</v>
      </c>
      <c r="M34" s="155"/>
      <c r="N34" s="160" t="s">
        <v>881</v>
      </c>
      <c r="O34" s="155" t="s">
        <v>269</v>
      </c>
      <c r="P34" s="344" t="s">
        <v>1021</v>
      </c>
      <c r="Q34" s="178" t="s">
        <v>788</v>
      </c>
      <c r="R34" s="163" t="s">
        <v>226</v>
      </c>
      <c r="S34" s="255"/>
      <c r="T34" s="178" t="s">
        <v>788</v>
      </c>
      <c r="U34" s="163" t="s">
        <v>226</v>
      </c>
      <c r="V34" s="255"/>
    </row>
    <row r="35" spans="1:22" s="135" customFormat="1" ht="153" customHeight="1">
      <c r="A35" s="221">
        <v>33</v>
      </c>
      <c r="B35" s="148" t="s">
        <v>560</v>
      </c>
      <c r="C35" s="148" t="s">
        <v>882</v>
      </c>
      <c r="D35" s="149" t="s">
        <v>561</v>
      </c>
      <c r="E35" s="150" t="s">
        <v>562</v>
      </c>
      <c r="F35" s="150">
        <v>2</v>
      </c>
      <c r="G35" s="150" t="s">
        <v>87</v>
      </c>
      <c r="H35" s="151">
        <v>0.01</v>
      </c>
      <c r="I35" s="152" t="s">
        <v>563</v>
      </c>
      <c r="J35" s="152" t="s">
        <v>563</v>
      </c>
      <c r="K35" s="153">
        <v>46023</v>
      </c>
      <c r="L35" s="154" t="s">
        <v>631</v>
      </c>
      <c r="M35" s="155"/>
      <c r="N35" s="155" t="s">
        <v>463</v>
      </c>
      <c r="O35" s="155" t="s">
        <v>269</v>
      </c>
      <c r="P35" s="347" t="s">
        <v>1015</v>
      </c>
      <c r="Q35" s="178" t="s">
        <v>812</v>
      </c>
      <c r="R35" s="163" t="s">
        <v>226</v>
      </c>
      <c r="S35" s="255"/>
      <c r="T35" s="178" t="s">
        <v>812</v>
      </c>
      <c r="U35" s="163" t="s">
        <v>226</v>
      </c>
      <c r="V35" s="255"/>
    </row>
    <row r="36" spans="1:22" s="135" customFormat="1" ht="93.75">
      <c r="A36" s="223">
        <v>34</v>
      </c>
      <c r="B36" s="148" t="s">
        <v>564</v>
      </c>
      <c r="C36" s="148" t="s">
        <v>883</v>
      </c>
      <c r="D36" s="149" t="s">
        <v>565</v>
      </c>
      <c r="E36" s="150" t="s">
        <v>180</v>
      </c>
      <c r="F36" s="150">
        <v>1</v>
      </c>
      <c r="G36" s="150" t="s">
        <v>91</v>
      </c>
      <c r="H36" s="151">
        <v>0.01</v>
      </c>
      <c r="I36" s="152" t="s">
        <v>566</v>
      </c>
      <c r="J36" s="152" t="s">
        <v>814</v>
      </c>
      <c r="K36" s="153">
        <v>46023</v>
      </c>
      <c r="L36" s="154" t="s">
        <v>631</v>
      </c>
      <c r="M36" s="155"/>
      <c r="N36" s="155" t="s">
        <v>463</v>
      </c>
      <c r="O36" s="155" t="s">
        <v>269</v>
      </c>
      <c r="P36" s="347" t="s">
        <v>1015</v>
      </c>
      <c r="Q36" s="230" t="s">
        <v>884</v>
      </c>
      <c r="R36" s="163" t="s">
        <v>226</v>
      </c>
      <c r="S36" s="255"/>
      <c r="T36" s="230" t="s">
        <v>1026</v>
      </c>
      <c r="U36" s="261" t="s">
        <v>225</v>
      </c>
      <c r="V36" s="255"/>
    </row>
    <row r="37" spans="1:22" s="135" customFormat="1" ht="81" customHeight="1">
      <c r="A37" s="221">
        <v>35</v>
      </c>
      <c r="B37" s="148" t="s">
        <v>567</v>
      </c>
      <c r="C37" s="148" t="s">
        <v>885</v>
      </c>
      <c r="D37" s="149" t="s">
        <v>568</v>
      </c>
      <c r="E37" s="150" t="s">
        <v>569</v>
      </c>
      <c r="F37" s="151">
        <v>1</v>
      </c>
      <c r="G37" s="150" t="s">
        <v>87</v>
      </c>
      <c r="H37" s="151">
        <v>0.01</v>
      </c>
      <c r="I37" s="152" t="s">
        <v>570</v>
      </c>
      <c r="J37" s="152" t="s">
        <v>816</v>
      </c>
      <c r="K37" s="153">
        <v>46023</v>
      </c>
      <c r="L37" s="154" t="s">
        <v>631</v>
      </c>
      <c r="M37" s="155"/>
      <c r="N37" s="155" t="s">
        <v>571</v>
      </c>
      <c r="O37" s="155" t="s">
        <v>269</v>
      </c>
      <c r="P37" s="344" t="s">
        <v>1024</v>
      </c>
      <c r="Q37" s="29" t="s">
        <v>788</v>
      </c>
      <c r="R37" s="163" t="s">
        <v>226</v>
      </c>
      <c r="S37" s="255"/>
      <c r="T37" s="178" t="s">
        <v>788</v>
      </c>
      <c r="U37" s="163" t="s">
        <v>226</v>
      </c>
      <c r="V37" s="255"/>
    </row>
    <row r="38" spans="1:22" s="135" customFormat="1" ht="48" customHeight="1">
      <c r="A38" s="223">
        <v>36</v>
      </c>
      <c r="B38" s="148" t="s">
        <v>572</v>
      </c>
      <c r="C38" s="148" t="s">
        <v>886</v>
      </c>
      <c r="D38" s="149" t="s">
        <v>573</v>
      </c>
      <c r="E38" s="150" t="s">
        <v>569</v>
      </c>
      <c r="F38" s="151">
        <v>1</v>
      </c>
      <c r="G38" s="150" t="s">
        <v>87</v>
      </c>
      <c r="H38" s="151">
        <v>0.01</v>
      </c>
      <c r="I38" s="152" t="s">
        <v>574</v>
      </c>
      <c r="J38" s="152" t="s">
        <v>818</v>
      </c>
      <c r="K38" s="153">
        <v>46023</v>
      </c>
      <c r="L38" s="154" t="s">
        <v>631</v>
      </c>
      <c r="M38" s="155"/>
      <c r="N38" s="155" t="s">
        <v>517</v>
      </c>
      <c r="O38" s="155" t="s">
        <v>269</v>
      </c>
      <c r="P38" s="344" t="s">
        <v>1007</v>
      </c>
      <c r="Q38" s="29" t="s">
        <v>788</v>
      </c>
      <c r="R38" s="163" t="s">
        <v>226</v>
      </c>
      <c r="S38" s="255"/>
      <c r="T38" s="178" t="s">
        <v>788</v>
      </c>
      <c r="U38" s="163" t="s">
        <v>226</v>
      </c>
      <c r="V38" s="255"/>
    </row>
    <row r="39" spans="1:22" s="135" customFormat="1" ht="27" customHeight="1">
      <c r="A39" s="136">
        <v>37</v>
      </c>
      <c r="B39" s="180" t="s">
        <v>575</v>
      </c>
      <c r="C39" s="136" t="s">
        <v>887</v>
      </c>
      <c r="D39" s="137" t="s">
        <v>30</v>
      </c>
      <c r="E39" s="194"/>
      <c r="F39" s="194"/>
      <c r="G39" s="194"/>
      <c r="H39" s="195">
        <v>0.05</v>
      </c>
      <c r="I39" s="196"/>
      <c r="J39" s="196"/>
      <c r="K39" s="180"/>
      <c r="L39" s="180"/>
      <c r="M39" s="136"/>
      <c r="N39" s="136"/>
      <c r="O39" s="136"/>
      <c r="P39" s="342"/>
      <c r="Q39" s="259"/>
      <c r="R39" s="260" t="s">
        <v>226</v>
      </c>
      <c r="S39" s="259"/>
      <c r="T39" s="343"/>
      <c r="U39" s="260"/>
      <c r="V39" s="259"/>
    </row>
    <row r="40" spans="1:22" s="135" customFormat="1" ht="131.25">
      <c r="A40" s="221">
        <v>38</v>
      </c>
      <c r="B40" s="148" t="s">
        <v>576</v>
      </c>
      <c r="C40" s="148" t="s">
        <v>888</v>
      </c>
      <c r="D40" s="149" t="s">
        <v>196</v>
      </c>
      <c r="E40" s="150" t="s">
        <v>889</v>
      </c>
      <c r="F40" s="150" t="s">
        <v>890</v>
      </c>
      <c r="G40" s="150" t="s">
        <v>577</v>
      </c>
      <c r="H40" s="151">
        <v>0.01</v>
      </c>
      <c r="I40" s="152" t="s">
        <v>578</v>
      </c>
      <c r="J40" s="152" t="s">
        <v>823</v>
      </c>
      <c r="K40" s="153">
        <v>46023</v>
      </c>
      <c r="L40" s="154" t="s">
        <v>631</v>
      </c>
      <c r="M40" s="155"/>
      <c r="N40" s="155" t="s">
        <v>198</v>
      </c>
      <c r="O40" s="155" t="s">
        <v>269</v>
      </c>
      <c r="P40" s="344" t="s">
        <v>1027</v>
      </c>
      <c r="Q40" s="230" t="s">
        <v>891</v>
      </c>
      <c r="R40" s="261" t="s">
        <v>225</v>
      </c>
      <c r="S40" s="255"/>
      <c r="T40" s="230" t="s">
        <v>1028</v>
      </c>
      <c r="U40" s="261" t="s">
        <v>1029</v>
      </c>
      <c r="V40" s="348" t="s">
        <v>1030</v>
      </c>
    </row>
    <row r="41" spans="1:22" s="168" customFormat="1" ht="108.6" customHeight="1">
      <c r="A41" s="221">
        <v>39</v>
      </c>
      <c r="B41" s="148" t="s">
        <v>579</v>
      </c>
      <c r="C41" s="148" t="s">
        <v>892</v>
      </c>
      <c r="D41" s="149" t="s">
        <v>200</v>
      </c>
      <c r="E41" s="150" t="s">
        <v>889</v>
      </c>
      <c r="F41" s="150" t="s">
        <v>890</v>
      </c>
      <c r="G41" s="163" t="s">
        <v>201</v>
      </c>
      <c r="H41" s="151">
        <v>0.01</v>
      </c>
      <c r="I41" s="152" t="s">
        <v>578</v>
      </c>
      <c r="J41" s="152" t="s">
        <v>823</v>
      </c>
      <c r="K41" s="153">
        <v>46023</v>
      </c>
      <c r="L41" s="154" t="s">
        <v>631</v>
      </c>
      <c r="M41" s="155"/>
      <c r="N41" s="155" t="s">
        <v>198</v>
      </c>
      <c r="O41" s="155" t="s">
        <v>269</v>
      </c>
      <c r="P41" s="344" t="s">
        <v>1027</v>
      </c>
      <c r="Q41" s="29" t="s">
        <v>788</v>
      </c>
      <c r="R41" s="163" t="s">
        <v>226</v>
      </c>
      <c r="S41" s="178"/>
      <c r="T41" s="178" t="s">
        <v>788</v>
      </c>
      <c r="U41" s="163" t="s">
        <v>226</v>
      </c>
      <c r="V41" s="348" t="s">
        <v>1030</v>
      </c>
    </row>
    <row r="42" spans="1:22" s="168" customFormat="1" ht="115.15" customHeight="1">
      <c r="A42" s="221">
        <v>40</v>
      </c>
      <c r="B42" s="148" t="s">
        <v>580</v>
      </c>
      <c r="C42" s="148" t="s">
        <v>893</v>
      </c>
      <c r="D42" s="149" t="s">
        <v>581</v>
      </c>
      <c r="E42" s="262" t="s">
        <v>516</v>
      </c>
      <c r="F42" s="263">
        <v>1</v>
      </c>
      <c r="G42" s="264" t="s">
        <v>91</v>
      </c>
      <c r="H42" s="151">
        <v>0.02</v>
      </c>
      <c r="I42" s="152" t="s">
        <v>582</v>
      </c>
      <c r="J42" s="159" t="s">
        <v>1031</v>
      </c>
      <c r="K42" s="153">
        <v>46023</v>
      </c>
      <c r="L42" s="154" t="s">
        <v>631</v>
      </c>
      <c r="M42" s="155"/>
      <c r="N42" s="155" t="s">
        <v>198</v>
      </c>
      <c r="O42" s="155" t="s">
        <v>269</v>
      </c>
      <c r="P42" s="344" t="s">
        <v>1032</v>
      </c>
      <c r="Q42" s="29" t="s">
        <v>788</v>
      </c>
      <c r="R42" s="163" t="s">
        <v>226</v>
      </c>
      <c r="S42" s="178"/>
      <c r="T42" s="178" t="s">
        <v>788</v>
      </c>
      <c r="U42" s="163" t="s">
        <v>226</v>
      </c>
      <c r="V42" s="178"/>
    </row>
    <row r="43" spans="1:22" s="168" customFormat="1" ht="97.9" customHeight="1">
      <c r="A43" s="221">
        <v>41</v>
      </c>
      <c r="B43" s="148" t="s">
        <v>583</v>
      </c>
      <c r="C43" s="148" t="s">
        <v>894</v>
      </c>
      <c r="D43" s="149" t="s">
        <v>584</v>
      </c>
      <c r="E43" s="150" t="s">
        <v>895</v>
      </c>
      <c r="F43" s="150" t="s">
        <v>896</v>
      </c>
      <c r="G43" s="163" t="s">
        <v>201</v>
      </c>
      <c r="H43" s="151">
        <v>0.01</v>
      </c>
      <c r="I43" s="152" t="s">
        <v>586</v>
      </c>
      <c r="J43" s="152" t="s">
        <v>897</v>
      </c>
      <c r="K43" s="153">
        <v>46023</v>
      </c>
      <c r="L43" s="154" t="s">
        <v>631</v>
      </c>
      <c r="M43" s="155"/>
      <c r="N43" s="155" t="s">
        <v>198</v>
      </c>
      <c r="O43" s="155" t="s">
        <v>269</v>
      </c>
      <c r="P43" s="344" t="s">
        <v>1027</v>
      </c>
      <c r="Q43" s="29" t="s">
        <v>788</v>
      </c>
      <c r="R43" s="163" t="s">
        <v>226</v>
      </c>
      <c r="S43" s="178"/>
      <c r="T43" s="178" t="s">
        <v>788</v>
      </c>
      <c r="U43" s="163" t="s">
        <v>226</v>
      </c>
      <c r="V43" s="178"/>
    </row>
    <row r="44" spans="1:22" ht="45.6" customHeight="1">
      <c r="A44" s="438" t="s">
        <v>898</v>
      </c>
      <c r="B44" s="438"/>
      <c r="C44" s="438"/>
      <c r="D44" s="438"/>
      <c r="E44" s="438"/>
      <c r="F44" s="438"/>
      <c r="G44" s="438"/>
      <c r="H44" s="265">
        <f>SUM(H4+H5+H6+H8+H10+H9+H11+H12+H14+H15+H16+H18+H19+H20+H21+H22+H23+H25+H26+H27+H28+H29+H30+H31+H32+H34+H35+H36+H37+H38+H40+H42+H43+H41+H33)</f>
        <v>1.0000000000000002</v>
      </c>
      <c r="I44" s="349"/>
      <c r="J44" s="439" t="s">
        <v>899</v>
      </c>
      <c r="K44" s="439"/>
      <c r="L44" s="439"/>
      <c r="M44" s="439"/>
      <c r="N44" s="439"/>
      <c r="O44" s="439"/>
      <c r="P44" s="350"/>
      <c r="Q44" s="440" t="s">
        <v>391</v>
      </c>
      <c r="R44" s="441"/>
      <c r="S44" s="441"/>
      <c r="T44" s="442" t="s">
        <v>393</v>
      </c>
      <c r="U44" s="442"/>
      <c r="V44" s="442"/>
    </row>
    <row r="45" spans="1:22">
      <c r="C45" s="197"/>
      <c r="D45" s="198"/>
    </row>
    <row r="47" spans="1:22" s="201" customFormat="1">
      <c r="A47" s="125"/>
      <c r="B47" s="125"/>
      <c r="C47" s="125"/>
      <c r="D47" s="203"/>
      <c r="H47" s="200"/>
      <c r="I47" s="200"/>
      <c r="J47" s="200"/>
      <c r="K47" s="125"/>
      <c r="L47" s="125"/>
      <c r="M47" s="125"/>
      <c r="N47" s="125"/>
      <c r="O47" s="125"/>
      <c r="P47" s="338"/>
    </row>
  </sheetData>
  <autoFilter ref="A2:X2" xr:uid="{D8456189-BB23-475A-A7CA-FA57A3BB513F}"/>
  <mergeCells count="7">
    <mergeCell ref="A1:O1"/>
    <mergeCell ref="Q1:S1"/>
    <mergeCell ref="T1:V1"/>
    <mergeCell ref="A44:G44"/>
    <mergeCell ref="J44:O44"/>
    <mergeCell ref="Q44:S44"/>
    <mergeCell ref="T44:V44"/>
  </mergeCells>
  <printOptions horizontalCentered="1"/>
  <pageMargins left="0.25" right="0.25" top="0.25" bottom="0.25" header="0.25" footer="3.9370078740157501E-2"/>
  <pageSetup paperSize="9" scale="41"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7D9FF-D377-4633-ADCF-CABA7292CBA0}">
  <sheetPr>
    <tabColor rgb="FF92D050"/>
    <pageSetUpPr fitToPage="1"/>
  </sheetPr>
  <dimension ref="A2:R50"/>
  <sheetViews>
    <sheetView view="pageBreakPreview" topLeftCell="A19" zoomScale="40" zoomScaleNormal="40" zoomScaleSheetLayoutView="40" workbookViewId="0">
      <selection activeCell="N40" sqref="N40"/>
    </sheetView>
  </sheetViews>
  <sheetFormatPr defaultColWidth="9" defaultRowHeight="18.75"/>
  <cols>
    <col min="1" max="1" width="11.5703125" style="125" customWidth="1"/>
    <col min="2" max="2" width="46" style="125" customWidth="1"/>
    <col min="3" max="3" width="70.140625" style="125" customWidth="1"/>
    <col min="4" max="4" width="56.28515625" style="266" customWidth="1"/>
    <col min="5" max="5" width="28.28515625" style="266" customWidth="1"/>
    <col min="6" max="6" width="17" style="266" customWidth="1"/>
    <col min="7" max="7" width="13.28515625" style="314" bestFit="1" customWidth="1"/>
    <col min="8" max="8" width="165.7109375" style="314" hidden="1" customWidth="1"/>
    <col min="9" max="10" width="21.42578125" style="125" customWidth="1"/>
    <col min="11" max="11" width="10" style="125" hidden="1" customWidth="1"/>
    <col min="12" max="12" width="33.7109375" style="125" customWidth="1"/>
    <col min="13" max="13" width="23.85546875" style="125" customWidth="1"/>
    <col min="14" max="14" width="100.28515625" style="125" customWidth="1"/>
    <col min="15" max="15" width="28.28515625" style="125" customWidth="1"/>
    <col min="16" max="16" width="29.42578125" style="125" customWidth="1"/>
    <col min="17" max="17" width="9" style="125" customWidth="1"/>
    <col min="18" max="18" width="51.85546875" style="125" customWidth="1"/>
    <col min="19" max="19" width="9" style="125" customWidth="1"/>
    <col min="20" max="16384" width="9" style="125"/>
  </cols>
  <sheetData>
    <row r="2" spans="1:18" ht="85.9" customHeight="1">
      <c r="A2" s="443" t="s">
        <v>900</v>
      </c>
      <c r="B2" s="444"/>
      <c r="C2" s="444"/>
      <c r="D2" s="444"/>
      <c r="E2" s="444"/>
      <c r="F2" s="444"/>
      <c r="G2" s="444"/>
      <c r="H2" s="444"/>
      <c r="I2" s="444"/>
      <c r="J2" s="444"/>
      <c r="K2" s="444"/>
      <c r="L2" s="444"/>
      <c r="M2" s="445"/>
      <c r="N2" s="446" t="s">
        <v>999</v>
      </c>
      <c r="O2" s="446"/>
      <c r="P2" s="446"/>
    </row>
    <row r="3" spans="1:18" ht="153" customHeight="1">
      <c r="A3" s="316" t="s">
        <v>0</v>
      </c>
      <c r="B3" s="316" t="s">
        <v>625</v>
      </c>
      <c r="C3" s="316" t="s">
        <v>242</v>
      </c>
      <c r="D3" s="316" t="s">
        <v>75</v>
      </c>
      <c r="E3" s="316" t="s">
        <v>244</v>
      </c>
      <c r="F3" s="316" t="s">
        <v>77</v>
      </c>
      <c r="G3" s="317" t="s">
        <v>435</v>
      </c>
      <c r="H3" s="318" t="s">
        <v>78</v>
      </c>
      <c r="I3" s="316" t="s">
        <v>1</v>
      </c>
      <c r="J3" s="316" t="s">
        <v>2</v>
      </c>
      <c r="K3" s="316" t="s">
        <v>247</v>
      </c>
      <c r="L3" s="316" t="s">
        <v>436</v>
      </c>
      <c r="M3" s="316" t="s">
        <v>437</v>
      </c>
      <c r="N3" s="447" t="s">
        <v>1000</v>
      </c>
      <c r="O3" s="449" t="s">
        <v>901</v>
      </c>
      <c r="P3" s="449" t="s">
        <v>902</v>
      </c>
    </row>
    <row r="4" spans="1:18" s="267" customFormat="1" ht="156.6" customHeight="1">
      <c r="A4" s="319">
        <v>1</v>
      </c>
      <c r="B4" s="319" t="s">
        <v>903</v>
      </c>
      <c r="C4" s="320" t="s">
        <v>441</v>
      </c>
      <c r="D4" s="321" t="s">
        <v>443</v>
      </c>
      <c r="E4" s="321">
        <v>0</v>
      </c>
      <c r="F4" s="322" t="s">
        <v>91</v>
      </c>
      <c r="G4" s="323">
        <v>0.15</v>
      </c>
      <c r="H4" s="324"/>
      <c r="I4" s="325"/>
      <c r="J4" s="325"/>
      <c r="K4" s="319"/>
      <c r="L4" s="319"/>
      <c r="M4" s="319"/>
      <c r="N4" s="448"/>
      <c r="O4" s="450"/>
      <c r="P4" s="450"/>
    </row>
    <row r="5" spans="1:18" ht="130.9" customHeight="1">
      <c r="A5" s="470">
        <v>1</v>
      </c>
      <c r="B5" s="472" t="s">
        <v>904</v>
      </c>
      <c r="C5" s="461" t="s">
        <v>905</v>
      </c>
      <c r="D5" s="461" t="s">
        <v>450</v>
      </c>
      <c r="E5" s="474">
        <v>1</v>
      </c>
      <c r="F5" s="461" t="s">
        <v>91</v>
      </c>
      <c r="G5" s="270">
        <v>0.08</v>
      </c>
      <c r="H5" s="271" t="s">
        <v>906</v>
      </c>
      <c r="I5" s="272">
        <v>46023</v>
      </c>
      <c r="J5" s="273">
        <v>46387</v>
      </c>
      <c r="K5" s="274"/>
      <c r="L5" s="274" t="s">
        <v>452</v>
      </c>
      <c r="M5" s="274" t="s">
        <v>907</v>
      </c>
      <c r="N5" s="463" t="s">
        <v>905</v>
      </c>
      <c r="O5" s="276" t="s">
        <v>908</v>
      </c>
      <c r="P5" s="276"/>
    </row>
    <row r="6" spans="1:18" ht="115.9" customHeight="1">
      <c r="A6" s="471"/>
      <c r="B6" s="473"/>
      <c r="C6" s="462"/>
      <c r="D6" s="462"/>
      <c r="E6" s="475"/>
      <c r="F6" s="462"/>
      <c r="G6" s="270">
        <v>0.02</v>
      </c>
      <c r="H6" s="271" t="s">
        <v>909</v>
      </c>
      <c r="I6" s="272">
        <v>46023</v>
      </c>
      <c r="J6" s="273">
        <v>46387</v>
      </c>
      <c r="K6" s="274"/>
      <c r="L6" s="274" t="s">
        <v>452</v>
      </c>
      <c r="M6" s="274" t="s">
        <v>907</v>
      </c>
      <c r="N6" s="463"/>
      <c r="O6" s="276" t="s">
        <v>908</v>
      </c>
      <c r="P6" s="276"/>
    </row>
    <row r="7" spans="1:18" ht="143.44999999999999" customHeight="1">
      <c r="A7" s="277">
        <v>2</v>
      </c>
      <c r="B7" s="278" t="s">
        <v>910</v>
      </c>
      <c r="C7" s="271" t="s">
        <v>454</v>
      </c>
      <c r="D7" s="275" t="s">
        <v>450</v>
      </c>
      <c r="E7" s="279">
        <v>1</v>
      </c>
      <c r="F7" s="275" t="s">
        <v>91</v>
      </c>
      <c r="G7" s="269">
        <v>0.05</v>
      </c>
      <c r="H7" s="271" t="s">
        <v>911</v>
      </c>
      <c r="I7" s="272">
        <v>46023</v>
      </c>
      <c r="J7" s="273">
        <v>46387</v>
      </c>
      <c r="K7" s="274"/>
      <c r="L7" s="274" t="s">
        <v>452</v>
      </c>
      <c r="M7" s="274" t="s">
        <v>258</v>
      </c>
      <c r="N7" s="280" t="s">
        <v>454</v>
      </c>
      <c r="O7" s="276" t="s">
        <v>908</v>
      </c>
      <c r="P7" s="276"/>
    </row>
    <row r="8" spans="1:18" s="267" customFormat="1" ht="132.6" customHeight="1">
      <c r="A8" s="319">
        <v>2</v>
      </c>
      <c r="B8" s="319" t="s">
        <v>912</v>
      </c>
      <c r="C8" s="326" t="s">
        <v>84</v>
      </c>
      <c r="D8" s="321" t="s">
        <v>458</v>
      </c>
      <c r="E8" s="321" t="s">
        <v>459</v>
      </c>
      <c r="F8" s="322" t="s">
        <v>91</v>
      </c>
      <c r="G8" s="323">
        <v>0.2</v>
      </c>
      <c r="H8" s="327"/>
      <c r="I8" s="325"/>
      <c r="J8" s="325"/>
      <c r="K8" s="319"/>
      <c r="L8" s="319"/>
      <c r="M8" s="319"/>
      <c r="N8" s="281"/>
      <c r="O8" s="282"/>
      <c r="P8" s="282"/>
    </row>
    <row r="9" spans="1:18" s="267" customFormat="1" ht="90" customHeight="1">
      <c r="A9" s="277">
        <v>1</v>
      </c>
      <c r="B9" s="283" t="s">
        <v>913</v>
      </c>
      <c r="C9" s="284" t="s">
        <v>461</v>
      </c>
      <c r="D9" s="284" t="s">
        <v>119</v>
      </c>
      <c r="E9" s="284">
        <v>1</v>
      </c>
      <c r="F9" s="284" t="s">
        <v>201</v>
      </c>
      <c r="G9" s="285">
        <v>0.01</v>
      </c>
      <c r="H9" s="271" t="s">
        <v>914</v>
      </c>
      <c r="I9" s="286">
        <v>46023</v>
      </c>
      <c r="J9" s="287">
        <v>46387</v>
      </c>
      <c r="K9" s="288"/>
      <c r="L9" s="289" t="s">
        <v>463</v>
      </c>
      <c r="M9" s="289" t="s">
        <v>464</v>
      </c>
      <c r="N9" s="276" t="s">
        <v>915</v>
      </c>
      <c r="O9" s="290" t="s">
        <v>908</v>
      </c>
      <c r="P9" s="290"/>
    </row>
    <row r="10" spans="1:18" ht="262.89999999999998" customHeight="1">
      <c r="A10" s="291">
        <v>2</v>
      </c>
      <c r="B10" s="271" t="s">
        <v>916</v>
      </c>
      <c r="C10" s="271" t="s">
        <v>917</v>
      </c>
      <c r="D10" s="271" t="s">
        <v>97</v>
      </c>
      <c r="E10" s="271" t="s">
        <v>98</v>
      </c>
      <c r="F10" s="271" t="s">
        <v>91</v>
      </c>
      <c r="G10" s="292">
        <v>0.12</v>
      </c>
      <c r="H10" s="271" t="s">
        <v>918</v>
      </c>
      <c r="I10" s="272">
        <v>46023</v>
      </c>
      <c r="J10" s="273">
        <v>46387</v>
      </c>
      <c r="K10" s="274"/>
      <c r="L10" s="289" t="s">
        <v>268</v>
      </c>
      <c r="M10" s="274" t="s">
        <v>258</v>
      </c>
      <c r="N10" s="293" t="s">
        <v>1001</v>
      </c>
      <c r="O10" s="276" t="s">
        <v>908</v>
      </c>
      <c r="P10" s="276"/>
    </row>
    <row r="11" spans="1:18" ht="159" customHeight="1">
      <c r="A11" s="277">
        <v>3</v>
      </c>
      <c r="B11" s="283" t="s">
        <v>919</v>
      </c>
      <c r="C11" s="294" t="s">
        <v>920</v>
      </c>
      <c r="D11" s="275" t="s">
        <v>473</v>
      </c>
      <c r="E11" s="279" t="s">
        <v>474</v>
      </c>
      <c r="F11" s="268" t="s">
        <v>87</v>
      </c>
      <c r="G11" s="295">
        <v>0.04</v>
      </c>
      <c r="H11" s="271" t="s">
        <v>921</v>
      </c>
      <c r="I11" s="272">
        <v>46023</v>
      </c>
      <c r="J11" s="273">
        <v>46387</v>
      </c>
      <c r="K11" s="296"/>
      <c r="L11" s="296" t="s">
        <v>102</v>
      </c>
      <c r="M11" s="274" t="s">
        <v>258</v>
      </c>
      <c r="N11" s="276" t="s">
        <v>922</v>
      </c>
      <c r="O11" s="276" t="s">
        <v>908</v>
      </c>
      <c r="P11" s="276"/>
      <c r="R11" s="328"/>
    </row>
    <row r="12" spans="1:18" ht="129.6" customHeight="1">
      <c r="A12" s="277">
        <v>4</v>
      </c>
      <c r="B12" s="283" t="s">
        <v>923</v>
      </c>
      <c r="C12" s="271" t="s">
        <v>924</v>
      </c>
      <c r="D12" s="275" t="s">
        <v>113</v>
      </c>
      <c r="E12" s="279" t="s">
        <v>114</v>
      </c>
      <c r="F12" s="275" t="s">
        <v>91</v>
      </c>
      <c r="G12" s="295">
        <v>0.03</v>
      </c>
      <c r="H12" s="271" t="s">
        <v>925</v>
      </c>
      <c r="I12" s="272">
        <v>46023</v>
      </c>
      <c r="J12" s="273">
        <v>46387</v>
      </c>
      <c r="K12" s="274"/>
      <c r="L12" s="274" t="s">
        <v>482</v>
      </c>
      <c r="M12" s="274" t="s">
        <v>258</v>
      </c>
      <c r="N12" s="276" t="str">
        <f t="shared" ref="N12:N14" si="0">C12</f>
        <v>Triển khai hành động KPPN, căn cứ theo KL điều tra sự cố</v>
      </c>
      <c r="O12" s="276" t="s">
        <v>908</v>
      </c>
      <c r="P12" s="276"/>
    </row>
    <row r="13" spans="1:18" s="267" customFormat="1" ht="141" customHeight="1">
      <c r="A13" s="319">
        <v>3</v>
      </c>
      <c r="B13" s="319" t="s">
        <v>926</v>
      </c>
      <c r="C13" s="320" t="s">
        <v>16</v>
      </c>
      <c r="D13" s="321" t="s">
        <v>117</v>
      </c>
      <c r="E13" s="321">
        <v>0</v>
      </c>
      <c r="F13" s="322"/>
      <c r="G13" s="323">
        <v>0.15</v>
      </c>
      <c r="H13" s="327"/>
      <c r="I13" s="321"/>
      <c r="J13" s="321"/>
      <c r="K13" s="319"/>
      <c r="L13" s="319"/>
      <c r="M13" s="319"/>
      <c r="N13" s="281"/>
      <c r="O13" s="282"/>
      <c r="P13" s="282"/>
    </row>
    <row r="14" spans="1:18" ht="159" customHeight="1">
      <c r="A14" s="277">
        <v>1</v>
      </c>
      <c r="B14" s="283" t="s">
        <v>927</v>
      </c>
      <c r="C14" s="271" t="s">
        <v>118</v>
      </c>
      <c r="D14" s="275" t="s">
        <v>119</v>
      </c>
      <c r="E14" s="275">
        <v>1</v>
      </c>
      <c r="F14" s="275" t="s">
        <v>91</v>
      </c>
      <c r="G14" s="270">
        <v>0.05</v>
      </c>
      <c r="H14" s="271" t="s">
        <v>928</v>
      </c>
      <c r="I14" s="272">
        <v>46023</v>
      </c>
      <c r="J14" s="273">
        <v>46387</v>
      </c>
      <c r="K14" s="274"/>
      <c r="L14" s="274" t="s">
        <v>310</v>
      </c>
      <c r="M14" s="274" t="s">
        <v>258</v>
      </c>
      <c r="N14" s="276" t="str">
        <f t="shared" si="0"/>
        <v xml:space="preserve">Tổ chức kiểm tra an toàn cấp 2 đầy đủ, nghiêm túc </v>
      </c>
      <c r="O14" s="276" t="s">
        <v>908</v>
      </c>
      <c r="P14" s="276"/>
    </row>
    <row r="15" spans="1:18" ht="123" customHeight="1">
      <c r="A15" s="291">
        <v>2</v>
      </c>
      <c r="B15" s="283" t="s">
        <v>929</v>
      </c>
      <c r="C15" s="271" t="s">
        <v>122</v>
      </c>
      <c r="D15" s="275" t="s">
        <v>123</v>
      </c>
      <c r="E15" s="275">
        <v>96</v>
      </c>
      <c r="F15" s="275" t="s">
        <v>87</v>
      </c>
      <c r="G15" s="279">
        <v>0.08</v>
      </c>
      <c r="H15" s="271" t="s">
        <v>930</v>
      </c>
      <c r="I15" s="272">
        <v>46023</v>
      </c>
      <c r="J15" s="273">
        <v>46387</v>
      </c>
      <c r="K15" s="274"/>
      <c r="L15" s="274" t="s">
        <v>310</v>
      </c>
      <c r="M15" s="274" t="s">
        <v>258</v>
      </c>
      <c r="N15" s="293" t="s">
        <v>1002</v>
      </c>
      <c r="O15" s="297" t="s">
        <v>931</v>
      </c>
      <c r="P15" s="276"/>
      <c r="R15" s="125" t="s">
        <v>932</v>
      </c>
    </row>
    <row r="16" spans="1:18" ht="134.44999999999999" customHeight="1">
      <c r="A16" s="277">
        <v>3</v>
      </c>
      <c r="B16" s="283" t="s">
        <v>933</v>
      </c>
      <c r="C16" s="271" t="s">
        <v>125</v>
      </c>
      <c r="D16" s="275" t="s">
        <v>126</v>
      </c>
      <c r="E16" s="279">
        <v>1</v>
      </c>
      <c r="F16" s="275" t="s">
        <v>87</v>
      </c>
      <c r="G16" s="269">
        <v>0.02</v>
      </c>
      <c r="H16" s="271" t="s">
        <v>934</v>
      </c>
      <c r="I16" s="272">
        <v>46023</v>
      </c>
      <c r="J16" s="273">
        <v>46387</v>
      </c>
      <c r="K16" s="274"/>
      <c r="L16" s="274" t="s">
        <v>310</v>
      </c>
      <c r="M16" s="274" t="s">
        <v>258</v>
      </c>
      <c r="N16" s="276" t="s">
        <v>935</v>
      </c>
      <c r="O16" s="276" t="s">
        <v>908</v>
      </c>
      <c r="P16" s="276"/>
    </row>
    <row r="17" spans="1:18" s="267" customFormat="1" ht="71.45" customHeight="1">
      <c r="A17" s="319">
        <v>4</v>
      </c>
      <c r="B17" s="319" t="s">
        <v>936</v>
      </c>
      <c r="C17" s="464" t="s">
        <v>135</v>
      </c>
      <c r="D17" s="465"/>
      <c r="E17" s="465"/>
      <c r="F17" s="465"/>
      <c r="G17" s="323">
        <v>0.2</v>
      </c>
      <c r="H17" s="327"/>
      <c r="I17" s="325"/>
      <c r="J17" s="325"/>
      <c r="K17" s="319"/>
      <c r="L17" s="319"/>
      <c r="M17" s="319"/>
      <c r="N17" s="329"/>
      <c r="O17" s="330"/>
      <c r="P17" s="330"/>
    </row>
    <row r="18" spans="1:18" ht="85.15" customHeight="1">
      <c r="A18" s="277">
        <v>1</v>
      </c>
      <c r="B18" s="283" t="s">
        <v>937</v>
      </c>
      <c r="C18" s="271" t="s">
        <v>501</v>
      </c>
      <c r="D18" s="275" t="s">
        <v>141</v>
      </c>
      <c r="E18" s="279">
        <v>1</v>
      </c>
      <c r="F18" s="275" t="s">
        <v>938</v>
      </c>
      <c r="G18" s="270">
        <v>0.04</v>
      </c>
      <c r="H18" s="271" t="s">
        <v>939</v>
      </c>
      <c r="I18" s="272">
        <v>46023</v>
      </c>
      <c r="J18" s="273">
        <v>46387</v>
      </c>
      <c r="K18" s="274"/>
      <c r="L18" s="274" t="s">
        <v>503</v>
      </c>
      <c r="M18" s="274" t="s">
        <v>258</v>
      </c>
      <c r="N18" s="276" t="s">
        <v>940</v>
      </c>
      <c r="O18" s="276" t="s">
        <v>908</v>
      </c>
      <c r="P18" s="276"/>
    </row>
    <row r="19" spans="1:18" ht="86.45" customHeight="1">
      <c r="A19" s="277">
        <v>2</v>
      </c>
      <c r="B19" s="283" t="s">
        <v>941</v>
      </c>
      <c r="C19" s="271" t="s">
        <v>505</v>
      </c>
      <c r="D19" s="275" t="s">
        <v>141</v>
      </c>
      <c r="E19" s="279">
        <v>1</v>
      </c>
      <c r="F19" s="275" t="s">
        <v>938</v>
      </c>
      <c r="G19" s="279">
        <v>0.04</v>
      </c>
      <c r="H19" s="271" t="s">
        <v>939</v>
      </c>
      <c r="I19" s="272">
        <v>46023</v>
      </c>
      <c r="J19" s="273">
        <v>46387</v>
      </c>
      <c r="K19" s="274"/>
      <c r="L19" s="274" t="s">
        <v>517</v>
      </c>
      <c r="M19" s="274" t="s">
        <v>258</v>
      </c>
      <c r="N19" s="276" t="s">
        <v>940</v>
      </c>
      <c r="O19" s="276" t="s">
        <v>908</v>
      </c>
      <c r="P19" s="276"/>
    </row>
    <row r="20" spans="1:18" ht="82.9" customHeight="1">
      <c r="A20" s="277">
        <v>3</v>
      </c>
      <c r="B20" s="283" t="s">
        <v>942</v>
      </c>
      <c r="C20" s="271" t="s">
        <v>508</v>
      </c>
      <c r="D20" s="275" t="s">
        <v>141</v>
      </c>
      <c r="E20" s="279">
        <v>1</v>
      </c>
      <c r="F20" s="275" t="s">
        <v>938</v>
      </c>
      <c r="G20" s="279">
        <v>0.04</v>
      </c>
      <c r="H20" s="271" t="s">
        <v>939</v>
      </c>
      <c r="I20" s="272">
        <v>46023</v>
      </c>
      <c r="J20" s="273">
        <v>46387</v>
      </c>
      <c r="K20" s="274"/>
      <c r="L20" s="274" t="s">
        <v>463</v>
      </c>
      <c r="M20" s="274" t="s">
        <v>258</v>
      </c>
      <c r="N20" s="276" t="s">
        <v>940</v>
      </c>
      <c r="O20" s="276" t="s">
        <v>908</v>
      </c>
      <c r="P20" s="276"/>
    </row>
    <row r="21" spans="1:18" s="267" customFormat="1" ht="75" customHeight="1">
      <c r="A21" s="298">
        <v>4</v>
      </c>
      <c r="B21" s="278" t="s">
        <v>943</v>
      </c>
      <c r="C21" s="271" t="s">
        <v>511</v>
      </c>
      <c r="D21" s="275" t="s">
        <v>141</v>
      </c>
      <c r="E21" s="279">
        <v>1</v>
      </c>
      <c r="F21" s="275" t="s">
        <v>938</v>
      </c>
      <c r="G21" s="279">
        <v>0.04</v>
      </c>
      <c r="H21" s="299" t="s">
        <v>939</v>
      </c>
      <c r="I21" s="272">
        <v>46023</v>
      </c>
      <c r="J21" s="273">
        <v>46387</v>
      </c>
      <c r="K21" s="274"/>
      <c r="L21" s="274" t="s">
        <v>257</v>
      </c>
      <c r="M21" s="274" t="s">
        <v>258</v>
      </c>
      <c r="N21" s="276" t="s">
        <v>940</v>
      </c>
      <c r="O21" s="290" t="s">
        <v>908</v>
      </c>
      <c r="P21" s="290"/>
    </row>
    <row r="22" spans="1:18" ht="79.900000000000006" customHeight="1">
      <c r="A22" s="277">
        <v>5</v>
      </c>
      <c r="B22" s="283" t="s">
        <v>944</v>
      </c>
      <c r="C22" s="271" t="s">
        <v>515</v>
      </c>
      <c r="D22" s="275" t="s">
        <v>516</v>
      </c>
      <c r="E22" s="279">
        <v>1</v>
      </c>
      <c r="F22" s="275" t="s">
        <v>938</v>
      </c>
      <c r="G22" s="269">
        <v>0.04</v>
      </c>
      <c r="H22" s="271" t="s">
        <v>939</v>
      </c>
      <c r="I22" s="272">
        <v>46023</v>
      </c>
      <c r="J22" s="273">
        <v>46387</v>
      </c>
      <c r="K22" s="274"/>
      <c r="L22" s="274" t="s">
        <v>517</v>
      </c>
      <c r="M22" s="274" t="s">
        <v>258</v>
      </c>
      <c r="N22" s="276" t="s">
        <v>940</v>
      </c>
      <c r="O22" s="276" t="s">
        <v>908</v>
      </c>
      <c r="P22" s="276"/>
    </row>
    <row r="23" spans="1:18" s="300" customFormat="1" ht="76.150000000000006" customHeight="1">
      <c r="A23" s="331">
        <v>5</v>
      </c>
      <c r="B23" s="319" t="s">
        <v>945</v>
      </c>
      <c r="C23" s="464" t="s">
        <v>521</v>
      </c>
      <c r="D23" s="465"/>
      <c r="E23" s="465"/>
      <c r="F23" s="465"/>
      <c r="G23" s="323">
        <v>0.25</v>
      </c>
      <c r="H23" s="332"/>
      <c r="I23" s="333"/>
      <c r="J23" s="333"/>
      <c r="K23" s="333"/>
      <c r="L23" s="333"/>
      <c r="M23" s="332"/>
      <c r="N23" s="329"/>
      <c r="O23" s="330"/>
      <c r="P23" s="330"/>
    </row>
    <row r="24" spans="1:18" ht="105" customHeight="1">
      <c r="A24" s="277">
        <v>1</v>
      </c>
      <c r="B24" s="278" t="s">
        <v>946</v>
      </c>
      <c r="C24" s="301" t="s">
        <v>149</v>
      </c>
      <c r="D24" s="275" t="s">
        <v>150</v>
      </c>
      <c r="E24" s="275">
        <v>2</v>
      </c>
      <c r="F24" s="275" t="s">
        <v>938</v>
      </c>
      <c r="G24" s="270">
        <v>0.04</v>
      </c>
      <c r="H24" s="271" t="s">
        <v>947</v>
      </c>
      <c r="I24" s="272">
        <v>46023</v>
      </c>
      <c r="J24" s="273">
        <v>46387</v>
      </c>
      <c r="K24" s="274"/>
      <c r="L24" s="274" t="s">
        <v>463</v>
      </c>
      <c r="M24" s="274" t="s">
        <v>258</v>
      </c>
      <c r="N24" s="301" t="s">
        <v>948</v>
      </c>
      <c r="O24" s="276" t="s">
        <v>908</v>
      </c>
      <c r="P24" s="276"/>
    </row>
    <row r="25" spans="1:18" ht="121.9" customHeight="1">
      <c r="A25" s="277">
        <v>2</v>
      </c>
      <c r="B25" s="278" t="s">
        <v>949</v>
      </c>
      <c r="C25" s="301" t="s">
        <v>154</v>
      </c>
      <c r="D25" s="275" t="s">
        <v>525</v>
      </c>
      <c r="E25" s="275">
        <v>10</v>
      </c>
      <c r="F25" s="275" t="s">
        <v>938</v>
      </c>
      <c r="G25" s="279">
        <v>0.04</v>
      </c>
      <c r="H25" s="271" t="s">
        <v>950</v>
      </c>
      <c r="I25" s="272">
        <v>46023</v>
      </c>
      <c r="J25" s="273">
        <v>46387</v>
      </c>
      <c r="K25" s="274"/>
      <c r="L25" s="274" t="s">
        <v>463</v>
      </c>
      <c r="M25" s="274" t="s">
        <v>258</v>
      </c>
      <c r="N25" s="301" t="s">
        <v>948</v>
      </c>
      <c r="O25" s="302" t="s">
        <v>908</v>
      </c>
      <c r="P25" s="276"/>
    </row>
    <row r="26" spans="1:18" ht="118.9" customHeight="1">
      <c r="A26" s="277">
        <v>3</v>
      </c>
      <c r="B26" s="278" t="s">
        <v>951</v>
      </c>
      <c r="C26" s="301" t="s">
        <v>528</v>
      </c>
      <c r="D26" s="275" t="s">
        <v>529</v>
      </c>
      <c r="E26" s="275">
        <v>1</v>
      </c>
      <c r="F26" s="275" t="s">
        <v>938</v>
      </c>
      <c r="G26" s="279">
        <v>0.01</v>
      </c>
      <c r="H26" s="271" t="s">
        <v>952</v>
      </c>
      <c r="I26" s="272">
        <v>46023</v>
      </c>
      <c r="J26" s="273">
        <v>46387</v>
      </c>
      <c r="K26" s="274"/>
      <c r="L26" s="274" t="s">
        <v>531</v>
      </c>
      <c r="M26" s="274" t="s">
        <v>258</v>
      </c>
      <c r="N26" s="301" t="s">
        <v>953</v>
      </c>
      <c r="O26" s="276" t="s">
        <v>908</v>
      </c>
      <c r="P26" s="276"/>
      <c r="R26" s="125" t="s">
        <v>954</v>
      </c>
    </row>
    <row r="27" spans="1:18" ht="124.9" customHeight="1">
      <c r="A27" s="277">
        <v>4</v>
      </c>
      <c r="B27" s="283" t="s">
        <v>955</v>
      </c>
      <c r="C27" s="271" t="s">
        <v>956</v>
      </c>
      <c r="D27" s="275" t="s">
        <v>119</v>
      </c>
      <c r="E27" s="275">
        <v>1</v>
      </c>
      <c r="F27" s="275" t="s">
        <v>938</v>
      </c>
      <c r="G27" s="279">
        <v>0.03</v>
      </c>
      <c r="H27" s="271" t="s">
        <v>957</v>
      </c>
      <c r="I27" s="272">
        <v>46023</v>
      </c>
      <c r="J27" s="273">
        <v>46387</v>
      </c>
      <c r="K27" s="274"/>
      <c r="L27" s="274" t="s">
        <v>310</v>
      </c>
      <c r="M27" s="274" t="s">
        <v>258</v>
      </c>
      <c r="N27" s="271" t="s">
        <v>958</v>
      </c>
      <c r="O27" s="276" t="s">
        <v>908</v>
      </c>
      <c r="P27" s="276"/>
      <c r="R27" s="125" t="s">
        <v>959</v>
      </c>
    </row>
    <row r="28" spans="1:18" ht="117.6" customHeight="1">
      <c r="A28" s="277">
        <v>5</v>
      </c>
      <c r="B28" s="283" t="s">
        <v>960</v>
      </c>
      <c r="C28" s="271" t="s">
        <v>536</v>
      </c>
      <c r="D28" s="275" t="s">
        <v>478</v>
      </c>
      <c r="E28" s="275">
        <v>1</v>
      </c>
      <c r="F28" s="275" t="s">
        <v>938</v>
      </c>
      <c r="G28" s="279">
        <v>0.02</v>
      </c>
      <c r="H28" s="271" t="s">
        <v>961</v>
      </c>
      <c r="I28" s="272">
        <v>46023</v>
      </c>
      <c r="J28" s="273">
        <v>46387</v>
      </c>
      <c r="K28" s="274"/>
      <c r="L28" s="274" t="s">
        <v>531</v>
      </c>
      <c r="M28" s="274" t="s">
        <v>258</v>
      </c>
      <c r="N28" s="271" t="s">
        <v>962</v>
      </c>
      <c r="O28" s="276" t="s">
        <v>908</v>
      </c>
      <c r="P28" s="276"/>
    </row>
    <row r="29" spans="1:18" ht="118.9" customHeight="1">
      <c r="A29" s="277">
        <v>6</v>
      </c>
      <c r="B29" s="283" t="s">
        <v>963</v>
      </c>
      <c r="C29" s="271" t="s">
        <v>539</v>
      </c>
      <c r="D29" s="275" t="s">
        <v>478</v>
      </c>
      <c r="E29" s="275">
        <v>1</v>
      </c>
      <c r="F29" s="275" t="s">
        <v>938</v>
      </c>
      <c r="G29" s="279">
        <v>0.02</v>
      </c>
      <c r="H29" s="271" t="s">
        <v>964</v>
      </c>
      <c r="I29" s="272">
        <v>46023</v>
      </c>
      <c r="J29" s="273">
        <v>46387</v>
      </c>
      <c r="K29" s="274"/>
      <c r="L29" s="274" t="s">
        <v>531</v>
      </c>
      <c r="M29" s="274" t="s">
        <v>258</v>
      </c>
      <c r="N29" s="301" t="s">
        <v>965</v>
      </c>
      <c r="O29" s="276" t="s">
        <v>908</v>
      </c>
      <c r="P29" s="276"/>
      <c r="R29" s="125" t="s">
        <v>966</v>
      </c>
    </row>
    <row r="30" spans="1:18" ht="105.6" customHeight="1">
      <c r="A30" s="277">
        <v>7</v>
      </c>
      <c r="B30" s="283" t="s">
        <v>967</v>
      </c>
      <c r="C30" s="271" t="s">
        <v>968</v>
      </c>
      <c r="D30" s="275" t="s">
        <v>478</v>
      </c>
      <c r="E30" s="275">
        <v>1</v>
      </c>
      <c r="F30" s="275" t="s">
        <v>938</v>
      </c>
      <c r="G30" s="279">
        <v>0.02</v>
      </c>
      <c r="H30" s="271" t="s">
        <v>969</v>
      </c>
      <c r="I30" s="272">
        <v>46023</v>
      </c>
      <c r="J30" s="273">
        <v>46387</v>
      </c>
      <c r="K30" s="274"/>
      <c r="L30" s="274" t="s">
        <v>531</v>
      </c>
      <c r="M30" s="274" t="s">
        <v>258</v>
      </c>
      <c r="N30" s="301" t="s">
        <v>1003</v>
      </c>
      <c r="O30" s="276" t="s">
        <v>908</v>
      </c>
      <c r="P30" s="276"/>
      <c r="R30" s="125" t="s">
        <v>970</v>
      </c>
    </row>
    <row r="31" spans="1:18" s="267" customFormat="1" ht="78" hidden="1" customHeight="1">
      <c r="A31" s="277">
        <v>32</v>
      </c>
      <c r="B31" s="283" t="s">
        <v>971</v>
      </c>
      <c r="C31" s="271" t="s">
        <v>546</v>
      </c>
      <c r="D31" s="275" t="s">
        <v>478</v>
      </c>
      <c r="E31" s="279">
        <v>1</v>
      </c>
      <c r="F31" s="275" t="s">
        <v>938</v>
      </c>
      <c r="G31" s="279">
        <v>0.01</v>
      </c>
      <c r="H31" s="299" t="s">
        <v>547</v>
      </c>
      <c r="I31" s="272">
        <v>46023</v>
      </c>
      <c r="J31" s="273">
        <v>46387</v>
      </c>
      <c r="K31" s="274"/>
      <c r="L31" s="274" t="s">
        <v>548</v>
      </c>
      <c r="M31" s="274" t="s">
        <v>258</v>
      </c>
      <c r="N31" s="271" t="s">
        <v>546</v>
      </c>
      <c r="O31" s="290"/>
      <c r="P31" s="290"/>
    </row>
    <row r="32" spans="1:18" s="267" customFormat="1" ht="90" hidden="1" customHeight="1">
      <c r="A32" s="291">
        <v>33</v>
      </c>
      <c r="B32" s="283" t="s">
        <v>972</v>
      </c>
      <c r="C32" s="271" t="s">
        <v>550</v>
      </c>
      <c r="D32" s="275" t="s">
        <v>478</v>
      </c>
      <c r="E32" s="279">
        <v>1</v>
      </c>
      <c r="F32" s="275" t="s">
        <v>938</v>
      </c>
      <c r="G32" s="279">
        <v>0.01</v>
      </c>
      <c r="H32" s="299" t="s">
        <v>551</v>
      </c>
      <c r="I32" s="272">
        <v>46023</v>
      </c>
      <c r="J32" s="273">
        <v>46387</v>
      </c>
      <c r="K32" s="274"/>
      <c r="L32" s="274" t="s">
        <v>552</v>
      </c>
      <c r="M32" s="274" t="s">
        <v>258</v>
      </c>
      <c r="N32" s="271" t="s">
        <v>550</v>
      </c>
      <c r="O32" s="290"/>
      <c r="P32" s="290"/>
    </row>
    <row r="33" spans="1:18" s="267" customFormat="1" ht="159.6" customHeight="1">
      <c r="A33" s="277">
        <v>8</v>
      </c>
      <c r="B33" s="283" t="s">
        <v>973</v>
      </c>
      <c r="C33" s="271" t="s">
        <v>554</v>
      </c>
      <c r="D33" s="275" t="s">
        <v>478</v>
      </c>
      <c r="E33" s="279">
        <v>1</v>
      </c>
      <c r="F33" s="275" t="s">
        <v>938</v>
      </c>
      <c r="G33" s="279">
        <v>0.01</v>
      </c>
      <c r="H33" s="303" t="s">
        <v>555</v>
      </c>
      <c r="I33" s="272">
        <v>46023</v>
      </c>
      <c r="J33" s="273">
        <v>46387</v>
      </c>
      <c r="K33" s="274"/>
      <c r="L33" s="274" t="s">
        <v>556</v>
      </c>
      <c r="M33" s="274" t="s">
        <v>258</v>
      </c>
      <c r="N33" s="301" t="s">
        <v>974</v>
      </c>
      <c r="O33" s="290" t="s">
        <v>908</v>
      </c>
      <c r="P33" s="290"/>
    </row>
    <row r="34" spans="1:18" ht="105.6" customHeight="1">
      <c r="A34" s="277">
        <v>9</v>
      </c>
      <c r="B34" s="304" t="s">
        <v>975</v>
      </c>
      <c r="C34" s="271" t="s">
        <v>561</v>
      </c>
      <c r="D34" s="275" t="s">
        <v>562</v>
      </c>
      <c r="E34" s="275">
        <v>2</v>
      </c>
      <c r="F34" s="275" t="s">
        <v>87</v>
      </c>
      <c r="G34" s="279">
        <v>0.01</v>
      </c>
      <c r="H34" s="271" t="s">
        <v>976</v>
      </c>
      <c r="I34" s="272">
        <v>46023</v>
      </c>
      <c r="J34" s="273">
        <v>46387</v>
      </c>
      <c r="K34" s="274"/>
      <c r="L34" s="274" t="s">
        <v>463</v>
      </c>
      <c r="M34" s="274" t="s">
        <v>258</v>
      </c>
      <c r="N34" s="301" t="s">
        <v>977</v>
      </c>
      <c r="O34" s="276" t="s">
        <v>908</v>
      </c>
      <c r="P34" s="276"/>
    </row>
    <row r="35" spans="1:18" ht="106.9" customHeight="1">
      <c r="A35" s="277">
        <v>10</v>
      </c>
      <c r="B35" s="305" t="s">
        <v>978</v>
      </c>
      <c r="C35" s="271" t="s">
        <v>565</v>
      </c>
      <c r="D35" s="275" t="s">
        <v>180</v>
      </c>
      <c r="E35" s="275">
        <v>1</v>
      </c>
      <c r="F35" s="275" t="s">
        <v>938</v>
      </c>
      <c r="G35" s="279">
        <v>0.01</v>
      </c>
      <c r="H35" s="271" t="s">
        <v>979</v>
      </c>
      <c r="I35" s="272">
        <v>46023</v>
      </c>
      <c r="J35" s="273">
        <v>46387</v>
      </c>
      <c r="K35" s="274"/>
      <c r="L35" s="274" t="s">
        <v>463</v>
      </c>
      <c r="M35" s="274" t="s">
        <v>258</v>
      </c>
      <c r="N35" s="301" t="s">
        <v>980</v>
      </c>
      <c r="O35" s="297" t="s">
        <v>981</v>
      </c>
      <c r="P35" s="276"/>
      <c r="R35" s="125" t="str">
        <f>N35</f>
        <v>3 ý tưởng/CTKT được công nhận</v>
      </c>
    </row>
    <row r="36" spans="1:18" ht="107.45" customHeight="1">
      <c r="A36" s="277">
        <v>11</v>
      </c>
      <c r="B36" s="278" t="s">
        <v>982</v>
      </c>
      <c r="C36" s="271" t="s">
        <v>568</v>
      </c>
      <c r="D36" s="275" t="s">
        <v>569</v>
      </c>
      <c r="E36" s="279">
        <v>1</v>
      </c>
      <c r="F36" s="275" t="s">
        <v>938</v>
      </c>
      <c r="G36" s="279">
        <v>0.01</v>
      </c>
      <c r="H36" s="271" t="s">
        <v>979</v>
      </c>
      <c r="I36" s="272">
        <v>46023</v>
      </c>
      <c r="J36" s="273">
        <v>46387</v>
      </c>
      <c r="K36" s="274"/>
      <c r="L36" s="274" t="s">
        <v>571</v>
      </c>
      <c r="M36" s="274" t="s">
        <v>258</v>
      </c>
      <c r="N36" s="301" t="s">
        <v>983</v>
      </c>
      <c r="O36" s="276" t="s">
        <v>908</v>
      </c>
      <c r="P36" s="276"/>
    </row>
    <row r="37" spans="1:18" ht="102.6" customHeight="1">
      <c r="A37" s="277">
        <v>12</v>
      </c>
      <c r="B37" s="278" t="s">
        <v>984</v>
      </c>
      <c r="C37" s="271" t="s">
        <v>573</v>
      </c>
      <c r="D37" s="275" t="s">
        <v>569</v>
      </c>
      <c r="E37" s="275">
        <v>1</v>
      </c>
      <c r="F37" s="275" t="s">
        <v>938</v>
      </c>
      <c r="G37" s="269">
        <v>0.01</v>
      </c>
      <c r="H37" s="271" t="s">
        <v>976</v>
      </c>
      <c r="I37" s="272">
        <v>46023</v>
      </c>
      <c r="J37" s="273">
        <v>46387</v>
      </c>
      <c r="K37" s="274"/>
      <c r="L37" s="274" t="s">
        <v>517</v>
      </c>
      <c r="M37" s="274" t="s">
        <v>258</v>
      </c>
      <c r="N37" s="301" t="s">
        <v>985</v>
      </c>
      <c r="O37" s="276" t="s">
        <v>908</v>
      </c>
      <c r="P37" s="276"/>
    </row>
    <row r="38" spans="1:18" s="267" customFormat="1" ht="57" customHeight="1">
      <c r="A38" s="319">
        <v>6</v>
      </c>
      <c r="B38" s="334" t="s">
        <v>986</v>
      </c>
      <c r="C38" s="320" t="s">
        <v>30</v>
      </c>
      <c r="D38" s="335"/>
      <c r="E38" s="335"/>
      <c r="F38" s="336"/>
      <c r="G38" s="323">
        <v>0.05</v>
      </c>
      <c r="H38" s="337"/>
      <c r="I38" s="321"/>
      <c r="J38" s="321"/>
      <c r="K38" s="319"/>
      <c r="L38" s="319"/>
      <c r="M38" s="319"/>
      <c r="N38" s="329"/>
      <c r="O38" s="330"/>
      <c r="P38" s="330"/>
    </row>
    <row r="39" spans="1:18" s="267" customFormat="1" ht="110.45" customHeight="1">
      <c r="A39" s="306">
        <v>1</v>
      </c>
      <c r="B39" s="278" t="s">
        <v>987</v>
      </c>
      <c r="C39" s="301" t="s">
        <v>196</v>
      </c>
      <c r="D39" s="275" t="s">
        <v>119</v>
      </c>
      <c r="E39" s="275">
        <v>2</v>
      </c>
      <c r="F39" s="275" t="s">
        <v>988</v>
      </c>
      <c r="G39" s="270">
        <v>0.03</v>
      </c>
      <c r="H39" s="299" t="s">
        <v>989</v>
      </c>
      <c r="I39" s="272">
        <v>46023</v>
      </c>
      <c r="J39" s="273">
        <v>46387</v>
      </c>
      <c r="K39" s="274"/>
      <c r="L39" s="274" t="s">
        <v>198</v>
      </c>
      <c r="M39" s="274" t="s">
        <v>269</v>
      </c>
      <c r="N39" s="311" t="s">
        <v>915</v>
      </c>
      <c r="O39" s="276" t="s">
        <v>908</v>
      </c>
      <c r="P39" s="290"/>
      <c r="R39" s="267" t="str">
        <f>N39</f>
        <v xml:space="preserve">Triển khai theo đầu mối tổ chức </v>
      </c>
    </row>
    <row r="40" spans="1:18" ht="86.45" customHeight="1">
      <c r="A40" s="277">
        <v>2</v>
      </c>
      <c r="B40" s="283" t="s">
        <v>990</v>
      </c>
      <c r="C40" s="271" t="s">
        <v>200</v>
      </c>
      <c r="D40" s="275" t="s">
        <v>119</v>
      </c>
      <c r="E40" s="275">
        <v>1</v>
      </c>
      <c r="F40" s="275" t="s">
        <v>988</v>
      </c>
      <c r="G40" s="279">
        <v>0.01</v>
      </c>
      <c r="H40" s="271" t="s">
        <v>991</v>
      </c>
      <c r="I40" s="272">
        <v>46023</v>
      </c>
      <c r="J40" s="273">
        <v>46387</v>
      </c>
      <c r="K40" s="274"/>
      <c r="L40" s="274" t="s">
        <v>198</v>
      </c>
      <c r="M40" s="274" t="s">
        <v>269</v>
      </c>
      <c r="N40" s="311" t="s">
        <v>1004</v>
      </c>
      <c r="O40" s="307" t="s">
        <v>981</v>
      </c>
      <c r="P40" s="276"/>
    </row>
    <row r="41" spans="1:18" ht="94.15" customHeight="1">
      <c r="A41" s="306">
        <v>3</v>
      </c>
      <c r="B41" s="278" t="s">
        <v>992</v>
      </c>
      <c r="C41" s="301" t="s">
        <v>581</v>
      </c>
      <c r="D41" s="275" t="s">
        <v>119</v>
      </c>
      <c r="E41" s="308">
        <v>3</v>
      </c>
      <c r="F41" s="275" t="s">
        <v>988</v>
      </c>
      <c r="G41" s="279">
        <v>0.01</v>
      </c>
      <c r="H41" s="299" t="s">
        <v>993</v>
      </c>
      <c r="I41" s="272">
        <v>46023</v>
      </c>
      <c r="J41" s="273">
        <v>46387</v>
      </c>
      <c r="K41" s="274"/>
      <c r="L41" s="274" t="s">
        <v>198</v>
      </c>
      <c r="M41" s="274" t="s">
        <v>269</v>
      </c>
      <c r="N41" s="276" t="s">
        <v>915</v>
      </c>
      <c r="O41" s="276" t="s">
        <v>908</v>
      </c>
      <c r="P41" s="276"/>
    </row>
    <row r="42" spans="1:18" ht="78" customHeight="1">
      <c r="A42" s="466"/>
      <c r="B42" s="467"/>
      <c r="C42" s="467"/>
      <c r="D42" s="467"/>
      <c r="E42" s="467"/>
      <c r="F42" s="468"/>
      <c r="G42" s="309">
        <f>SUM(G4,G8,G13,G17,G23,G38)</f>
        <v>1</v>
      </c>
      <c r="H42" s="310"/>
      <c r="I42" s="311"/>
      <c r="J42" s="469" t="s">
        <v>994</v>
      </c>
      <c r="K42" s="469"/>
      <c r="L42" s="469"/>
      <c r="M42" s="469"/>
      <c r="N42" s="469"/>
      <c r="O42" s="312" t="s">
        <v>981</v>
      </c>
      <c r="P42" s="311"/>
    </row>
    <row r="43" spans="1:18" ht="22.9" customHeight="1">
      <c r="A43" s="451"/>
      <c r="B43" s="452"/>
      <c r="C43" s="452"/>
      <c r="D43" s="452"/>
      <c r="E43" s="452"/>
      <c r="F43" s="452"/>
      <c r="G43" s="452"/>
      <c r="H43" s="452"/>
      <c r="I43" s="452"/>
      <c r="J43" s="452"/>
      <c r="K43" s="452"/>
      <c r="L43" s="452"/>
      <c r="M43" s="453"/>
      <c r="N43" s="460" t="s">
        <v>995</v>
      </c>
      <c r="O43" s="460"/>
      <c r="P43" s="460"/>
    </row>
    <row r="44" spans="1:18" ht="22.9" customHeight="1">
      <c r="A44" s="454"/>
      <c r="B44" s="455"/>
      <c r="C44" s="455"/>
      <c r="D44" s="455"/>
      <c r="E44" s="455"/>
      <c r="F44" s="455"/>
      <c r="G44" s="455"/>
      <c r="H44" s="455"/>
      <c r="I44" s="455"/>
      <c r="J44" s="455"/>
      <c r="K44" s="455"/>
      <c r="L44" s="455"/>
      <c r="M44" s="456"/>
      <c r="N44" s="460"/>
      <c r="O44" s="460"/>
      <c r="P44" s="460"/>
    </row>
    <row r="45" spans="1:18" s="266" customFormat="1" ht="22.9" customHeight="1">
      <c r="A45" s="457"/>
      <c r="B45" s="458"/>
      <c r="C45" s="458"/>
      <c r="D45" s="458"/>
      <c r="E45" s="458"/>
      <c r="F45" s="458"/>
      <c r="G45" s="458"/>
      <c r="H45" s="458"/>
      <c r="I45" s="458"/>
      <c r="J45" s="458"/>
      <c r="K45" s="458"/>
      <c r="L45" s="458"/>
      <c r="M45" s="459"/>
      <c r="N45" s="460"/>
      <c r="O45" s="460"/>
      <c r="P45" s="460"/>
    </row>
    <row r="50" spans="13:13" ht="26.25">
      <c r="M50" s="313"/>
    </row>
  </sheetData>
  <mergeCells count="18">
    <mergeCell ref="A43:M45"/>
    <mergeCell ref="N43:P45"/>
    <mergeCell ref="F5:F6"/>
    <mergeCell ref="N5:N6"/>
    <mergeCell ref="C17:F17"/>
    <mergeCell ref="C23:F23"/>
    <mergeCell ref="A42:F42"/>
    <mergeCell ref="J42:N42"/>
    <mergeCell ref="A5:A6"/>
    <mergeCell ref="B5:B6"/>
    <mergeCell ref="C5:C6"/>
    <mergeCell ref="D5:D6"/>
    <mergeCell ref="E5:E6"/>
    <mergeCell ref="A2:M2"/>
    <mergeCell ref="N2:P2"/>
    <mergeCell ref="N3:N4"/>
    <mergeCell ref="O3:O4"/>
    <mergeCell ref="P3:P4"/>
  </mergeCells>
  <pageMargins left="0.25" right="0.25" top="0.5" bottom="0.5" header="0.3" footer="0.3"/>
  <pageSetup paperSize="9" scale="19" fitToHeight="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DE017-8AD1-4162-ADEE-044B7CE52717}">
  <dimension ref="A1:C10"/>
  <sheetViews>
    <sheetView zoomScaleNormal="100" zoomScaleSheetLayoutView="100" workbookViewId="0">
      <selection activeCell="C4" sqref="C4"/>
    </sheetView>
  </sheetViews>
  <sheetFormatPr defaultColWidth="39.7109375" defaultRowHeight="16.5"/>
  <cols>
    <col min="1" max="1" width="15.7109375" style="109" customWidth="1"/>
    <col min="2" max="2" width="39.7109375" style="109"/>
    <col min="3" max="3" width="99" style="109" customWidth="1"/>
    <col min="4" max="16384" width="39.7109375" style="109"/>
  </cols>
  <sheetData>
    <row r="1" spans="1:3" ht="36.6" customHeight="1">
      <c r="A1" s="476" t="s">
        <v>388</v>
      </c>
      <c r="B1" s="476"/>
      <c r="C1" s="476"/>
    </row>
    <row r="2" spans="1:3" ht="49.5" customHeight="1">
      <c r="A2" s="110">
        <v>1</v>
      </c>
      <c r="B2" s="111" t="s">
        <v>389</v>
      </c>
      <c r="C2" s="112" t="s">
        <v>390</v>
      </c>
    </row>
    <row r="3" spans="1:3" ht="49.5" customHeight="1">
      <c r="A3" s="110">
        <v>2</v>
      </c>
      <c r="B3" s="111" t="s">
        <v>391</v>
      </c>
      <c r="C3" s="112" t="s">
        <v>392</v>
      </c>
    </row>
    <row r="4" spans="1:3" ht="129.75" customHeight="1">
      <c r="A4" s="110">
        <v>3</v>
      </c>
      <c r="B4" s="111" t="s">
        <v>393</v>
      </c>
      <c r="C4" s="113" t="s">
        <v>587</v>
      </c>
    </row>
    <row r="5" spans="1:3" ht="82.5" customHeight="1">
      <c r="A5" s="110">
        <v>4</v>
      </c>
      <c r="B5" s="111" t="s">
        <v>394</v>
      </c>
      <c r="C5" s="112" t="s">
        <v>588</v>
      </c>
    </row>
    <row r="6" spans="1:3" ht="78" customHeight="1">
      <c r="A6" s="477" t="s">
        <v>589</v>
      </c>
      <c r="B6" s="478"/>
      <c r="C6" s="478"/>
    </row>
    <row r="10" spans="1:3">
      <c r="B10" s="114"/>
    </row>
  </sheetData>
  <mergeCells count="2">
    <mergeCell ref="A1:C1"/>
    <mergeCell ref="A6:C6"/>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EC1B9-CB85-4E90-AA46-DC8E4B77C564}">
  <dimension ref="A1:I17"/>
  <sheetViews>
    <sheetView topLeftCell="A2" zoomScale="115" zoomScaleNormal="115" zoomScaleSheetLayoutView="130" workbookViewId="0">
      <selection activeCell="B7" sqref="B7"/>
    </sheetView>
  </sheetViews>
  <sheetFormatPr defaultRowHeight="15"/>
  <cols>
    <col min="1" max="1" width="15.7109375" customWidth="1"/>
    <col min="2" max="2" width="165.85546875" customWidth="1"/>
  </cols>
  <sheetData>
    <row r="1" spans="1:9" ht="32.450000000000003" customHeight="1">
      <c r="A1" s="479" t="s">
        <v>395</v>
      </c>
      <c r="B1" s="479"/>
    </row>
    <row r="2" spans="1:9" ht="28.15" customHeight="1">
      <c r="A2" s="115" t="s">
        <v>396</v>
      </c>
      <c r="B2" s="115" t="s">
        <v>397</v>
      </c>
    </row>
    <row r="3" spans="1:9" ht="48.75" customHeight="1">
      <c r="A3" s="116" t="s">
        <v>398</v>
      </c>
      <c r="B3" s="117" t="s">
        <v>399</v>
      </c>
      <c r="C3" s="118"/>
      <c r="D3" s="118"/>
      <c r="E3" s="118"/>
      <c r="F3" s="118"/>
      <c r="G3" s="118"/>
      <c r="H3" s="118"/>
      <c r="I3" s="118"/>
    </row>
    <row r="4" spans="1:9" ht="48.75" customHeight="1">
      <c r="A4" s="116" t="s">
        <v>400</v>
      </c>
      <c r="B4" s="117" t="s">
        <v>401</v>
      </c>
      <c r="C4" s="118"/>
      <c r="D4" s="118"/>
      <c r="E4" s="118"/>
      <c r="F4" s="118"/>
      <c r="G4" s="118"/>
      <c r="H4" s="118"/>
      <c r="I4" s="118"/>
    </row>
    <row r="5" spans="1:9" ht="48.75" customHeight="1">
      <c r="A5" s="116" t="s">
        <v>402</v>
      </c>
      <c r="B5" s="117" t="s">
        <v>590</v>
      </c>
      <c r="C5" s="118"/>
      <c r="D5" s="118"/>
      <c r="E5" s="118"/>
      <c r="F5" s="118"/>
      <c r="G5" s="118"/>
      <c r="H5" s="118"/>
      <c r="I5" s="118"/>
    </row>
    <row r="6" spans="1:9" ht="48.75" customHeight="1">
      <c r="A6" s="116" t="s">
        <v>403</v>
      </c>
      <c r="B6" s="117" t="s">
        <v>404</v>
      </c>
      <c r="C6" s="118"/>
      <c r="D6" s="118"/>
      <c r="E6" s="118"/>
      <c r="F6" s="118"/>
      <c r="G6" s="118"/>
      <c r="H6" s="118"/>
      <c r="I6" s="118"/>
    </row>
    <row r="7" spans="1:9" ht="48.75" customHeight="1">
      <c r="A7" s="116" t="s">
        <v>405</v>
      </c>
      <c r="B7" s="117" t="s">
        <v>406</v>
      </c>
    </row>
    <row r="8" spans="1:9" ht="48.75" customHeight="1">
      <c r="A8" s="116" t="s">
        <v>407</v>
      </c>
      <c r="B8" s="117" t="s">
        <v>408</v>
      </c>
      <c r="C8" s="118"/>
      <c r="D8" s="118"/>
      <c r="E8" s="118"/>
      <c r="F8" s="118"/>
      <c r="G8" s="118"/>
      <c r="H8" s="118"/>
      <c r="I8" s="118"/>
    </row>
    <row r="9" spans="1:9" ht="48.75" customHeight="1">
      <c r="A9" s="116" t="s">
        <v>409</v>
      </c>
      <c r="B9" s="117" t="s">
        <v>410</v>
      </c>
      <c r="C9" s="118"/>
      <c r="D9" s="118"/>
      <c r="E9" s="118"/>
      <c r="F9" s="118"/>
      <c r="G9" s="118"/>
      <c r="H9" s="118"/>
      <c r="I9" s="118"/>
    </row>
    <row r="10" spans="1:9" ht="48.75" customHeight="1">
      <c r="A10" s="116" t="s">
        <v>411</v>
      </c>
      <c r="B10" s="117" t="s">
        <v>412</v>
      </c>
      <c r="C10" s="118"/>
      <c r="D10" s="118"/>
      <c r="E10" s="118"/>
      <c r="F10" s="118"/>
      <c r="G10" s="118"/>
      <c r="H10" s="118"/>
      <c r="I10" s="118"/>
    </row>
    <row r="11" spans="1:9" ht="48.75" customHeight="1">
      <c r="A11" s="116" t="s">
        <v>413</v>
      </c>
      <c r="B11" s="117" t="s">
        <v>591</v>
      </c>
      <c r="C11" s="118"/>
      <c r="D11" s="118"/>
      <c r="E11" s="118"/>
      <c r="F11" s="118"/>
      <c r="G11" s="118"/>
      <c r="H11" s="118"/>
      <c r="I11" s="118"/>
    </row>
    <row r="12" spans="1:9" ht="48.75" customHeight="1">
      <c r="A12" s="116" t="s">
        <v>414</v>
      </c>
      <c r="B12" s="117" t="s">
        <v>592</v>
      </c>
      <c r="C12" s="118"/>
      <c r="D12" s="118"/>
      <c r="E12" s="118"/>
      <c r="F12" s="118"/>
      <c r="G12" s="118"/>
      <c r="H12" s="118"/>
      <c r="I12" s="118"/>
    </row>
    <row r="13" spans="1:9" ht="48.75" customHeight="1">
      <c r="A13" s="116" t="s">
        <v>415</v>
      </c>
      <c r="B13" s="117" t="s">
        <v>593</v>
      </c>
      <c r="C13" s="118"/>
      <c r="D13" s="118"/>
      <c r="E13" s="118"/>
      <c r="F13" s="118"/>
      <c r="G13" s="118"/>
      <c r="H13" s="118"/>
      <c r="I13" s="118"/>
    </row>
    <row r="14" spans="1:9" ht="48.75" customHeight="1">
      <c r="A14" s="116" t="s">
        <v>416</v>
      </c>
      <c r="B14" s="117" t="s">
        <v>594</v>
      </c>
    </row>
    <row r="15" spans="1:9" ht="48.75" customHeight="1">
      <c r="A15" s="205" t="s">
        <v>595</v>
      </c>
      <c r="B15" s="206" t="s">
        <v>596</v>
      </c>
    </row>
    <row r="16" spans="1:9" ht="48.75" customHeight="1">
      <c r="A16" s="205" t="s">
        <v>597</v>
      </c>
      <c r="B16" s="206" t="s">
        <v>417</v>
      </c>
    </row>
    <row r="17" spans="1:2" ht="48.75" customHeight="1">
      <c r="A17" s="205" t="s">
        <v>598</v>
      </c>
      <c r="B17" s="206" t="s">
        <v>599</v>
      </c>
    </row>
  </sheetData>
  <mergeCells count="1">
    <mergeCell ref="A1:B1"/>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9F702-5005-43E6-9C68-CA09D219A864}">
  <sheetPr codeName="Sheet5">
    <pageSetUpPr fitToPage="1"/>
  </sheetPr>
  <dimension ref="A1:U930"/>
  <sheetViews>
    <sheetView zoomScale="70" zoomScaleNormal="70" zoomScaleSheetLayoutView="70" workbookViewId="0">
      <pane xSplit="3" ySplit="2" topLeftCell="D138" activePane="bottomRight" state="frozen"/>
      <selection activeCell="B1" sqref="B1"/>
      <selection pane="topRight" activeCell="D1" sqref="D1"/>
      <selection pane="bottomLeft" activeCell="B3" sqref="B3"/>
      <selection pane="bottomRight" activeCell="F139" sqref="F139:F142"/>
    </sheetView>
  </sheetViews>
  <sheetFormatPr defaultColWidth="9" defaultRowHeight="15.75"/>
  <cols>
    <col min="1" max="1" width="6.7109375" style="4" customWidth="1"/>
    <col min="2" max="2" width="10.5703125" style="4" customWidth="1"/>
    <col min="3" max="3" width="15" style="4" bestFit="1" customWidth="1"/>
    <col min="4" max="4" width="67.42578125" style="8" customWidth="1"/>
    <col min="5" max="5" width="33.7109375" style="66" customWidth="1"/>
    <col min="6" max="6" width="24" style="66" customWidth="1"/>
    <col min="7" max="7" width="12.85546875" style="66" customWidth="1"/>
    <col min="8" max="8" width="9.7109375" style="9" bestFit="1" customWidth="1"/>
    <col min="9" max="9" width="106" style="9" customWidth="1"/>
    <col min="10" max="11" width="17.7109375" style="4" customWidth="1"/>
    <col min="12" max="12" width="20.28515625" style="4" customWidth="1"/>
    <col min="13" max="14" width="20.140625" style="4" customWidth="1"/>
    <col min="15" max="15" width="33.140625" customWidth="1"/>
    <col min="16" max="16" width="15.7109375" customWidth="1"/>
    <col min="17" max="17" width="16.140625" customWidth="1"/>
    <col min="18" max="18" width="15" customWidth="1"/>
    <col min="19" max="19" width="13.7109375" customWidth="1"/>
    <col min="20" max="20" width="26" customWidth="1"/>
    <col min="21" max="21" width="12.28515625" customWidth="1"/>
    <col min="22" max="26" width="9" style="4" customWidth="1"/>
    <col min="27" max="27" width="9.42578125" style="4" customWidth="1"/>
    <col min="28" max="28" width="9" style="4" customWidth="1"/>
    <col min="29" max="16384" width="9" style="4"/>
  </cols>
  <sheetData>
    <row r="1" spans="1:21" ht="30.6" customHeight="1">
      <c r="A1" s="390" t="s">
        <v>239</v>
      </c>
      <c r="B1" s="391"/>
      <c r="C1" s="391"/>
      <c r="D1" s="391"/>
      <c r="E1" s="391"/>
      <c r="F1" s="391"/>
      <c r="G1" s="391"/>
      <c r="H1" s="391"/>
      <c r="I1" s="391"/>
      <c r="J1" s="391"/>
      <c r="K1" s="391"/>
      <c r="L1" s="391"/>
      <c r="M1" s="391"/>
      <c r="N1" s="392"/>
      <c r="O1" s="387" t="s">
        <v>240</v>
      </c>
      <c r="P1" s="388"/>
      <c r="Q1" s="388"/>
      <c r="R1" s="388"/>
      <c r="S1" s="388"/>
      <c r="T1" s="388"/>
      <c r="U1" s="389"/>
    </row>
    <row r="2" spans="1:21" ht="69.599999999999994" customHeight="1">
      <c r="A2" s="1" t="s">
        <v>0</v>
      </c>
      <c r="B2" s="1" t="s">
        <v>4</v>
      </c>
      <c r="C2" s="1" t="s">
        <v>241</v>
      </c>
      <c r="D2" s="1" t="s">
        <v>242</v>
      </c>
      <c r="E2" s="1" t="s">
        <v>243</v>
      </c>
      <c r="F2" s="1" t="s">
        <v>244</v>
      </c>
      <c r="G2" s="1" t="s">
        <v>77</v>
      </c>
      <c r="H2" s="27" t="s">
        <v>245</v>
      </c>
      <c r="I2" s="27" t="s">
        <v>246</v>
      </c>
      <c r="J2" s="1" t="s">
        <v>1</v>
      </c>
      <c r="K2" s="1" t="s">
        <v>2</v>
      </c>
      <c r="L2" s="1" t="s">
        <v>247</v>
      </c>
      <c r="M2" s="1" t="s">
        <v>248</v>
      </c>
      <c r="N2" s="1" t="s">
        <v>249</v>
      </c>
      <c r="O2" s="98" t="s">
        <v>250</v>
      </c>
      <c r="P2" s="39" t="s">
        <v>251</v>
      </c>
      <c r="Q2" s="39" t="s">
        <v>252</v>
      </c>
      <c r="R2" s="39" t="s">
        <v>253</v>
      </c>
      <c r="S2" s="39" t="s">
        <v>254</v>
      </c>
      <c r="T2" s="39" t="s">
        <v>255</v>
      </c>
      <c r="U2" s="39" t="s">
        <v>31</v>
      </c>
    </row>
    <row r="3" spans="1:21" s="5" customFormat="1" ht="47.25" customHeight="1">
      <c r="A3" s="10">
        <v>1</v>
      </c>
      <c r="B3" s="10" t="s">
        <v>11</v>
      </c>
      <c r="C3" s="10" t="s">
        <v>7</v>
      </c>
      <c r="D3" s="11" t="s">
        <v>84</v>
      </c>
      <c r="E3" s="40" t="s">
        <v>85</v>
      </c>
      <c r="F3" s="40" t="s">
        <v>86</v>
      </c>
      <c r="G3" s="40" t="s">
        <v>87</v>
      </c>
      <c r="H3" s="23">
        <v>0.5</v>
      </c>
      <c r="I3" s="23"/>
      <c r="J3" s="12"/>
      <c r="K3" s="12"/>
      <c r="L3" s="10"/>
      <c r="M3" s="10"/>
      <c r="N3" s="10"/>
      <c r="O3" s="41"/>
      <c r="P3" s="41"/>
      <c r="Q3" s="41"/>
      <c r="R3" s="99"/>
      <c r="S3" s="99"/>
      <c r="T3" s="41"/>
      <c r="U3" s="41"/>
    </row>
    <row r="4" spans="1:21" s="6" customFormat="1" ht="48" customHeight="1">
      <c r="A4" s="480"/>
      <c r="B4" s="480"/>
      <c r="C4" s="395" t="s">
        <v>8</v>
      </c>
      <c r="D4" s="399" t="s">
        <v>88</v>
      </c>
      <c r="E4" s="399" t="s">
        <v>89</v>
      </c>
      <c r="F4" s="486" t="s">
        <v>90</v>
      </c>
      <c r="G4" s="399" t="s">
        <v>91</v>
      </c>
      <c r="H4" s="483">
        <v>0.2</v>
      </c>
      <c r="I4" s="100" t="s">
        <v>256</v>
      </c>
      <c r="J4" s="18">
        <v>45658</v>
      </c>
      <c r="K4" s="17">
        <v>45717</v>
      </c>
      <c r="L4" s="45"/>
      <c r="M4" s="45" t="s">
        <v>257</v>
      </c>
      <c r="N4" s="45" t="s">
        <v>258</v>
      </c>
      <c r="O4" s="28"/>
      <c r="P4" s="28"/>
      <c r="Q4" s="7"/>
      <c r="R4" s="28"/>
      <c r="S4" s="99"/>
      <c r="T4" s="7"/>
      <c r="U4" s="7"/>
    </row>
    <row r="5" spans="1:21" s="6" customFormat="1" ht="48" customHeight="1">
      <c r="A5" s="481"/>
      <c r="B5" s="481"/>
      <c r="C5" s="502"/>
      <c r="D5" s="489"/>
      <c r="E5" s="489"/>
      <c r="F5" s="487"/>
      <c r="G5" s="489"/>
      <c r="H5" s="484"/>
      <c r="I5" s="100" t="s">
        <v>259</v>
      </c>
      <c r="J5" s="18">
        <v>45658</v>
      </c>
      <c r="K5" s="17">
        <v>45717</v>
      </c>
      <c r="L5" s="45"/>
      <c r="M5" s="45" t="s">
        <v>257</v>
      </c>
      <c r="N5" s="45" t="s">
        <v>258</v>
      </c>
      <c r="O5" s="28"/>
      <c r="P5" s="28"/>
      <c r="Q5" s="7"/>
      <c r="R5" s="28"/>
      <c r="S5" s="99"/>
      <c r="T5" s="7"/>
      <c r="U5" s="7"/>
    </row>
    <row r="6" spans="1:21" s="6" customFormat="1" ht="48" customHeight="1">
      <c r="A6" s="481"/>
      <c r="B6" s="481"/>
      <c r="C6" s="502"/>
      <c r="D6" s="489"/>
      <c r="E6" s="489"/>
      <c r="F6" s="487"/>
      <c r="G6" s="489"/>
      <c r="H6" s="484"/>
      <c r="I6" s="100" t="s">
        <v>260</v>
      </c>
      <c r="J6" s="18">
        <v>45717</v>
      </c>
      <c r="K6" s="17" t="s">
        <v>261</v>
      </c>
      <c r="L6" s="45"/>
      <c r="M6" s="45" t="s">
        <v>257</v>
      </c>
      <c r="N6" s="45" t="s">
        <v>258</v>
      </c>
      <c r="O6" s="28"/>
      <c r="P6" s="28"/>
      <c r="Q6" s="7"/>
      <c r="R6" s="28"/>
      <c r="S6" s="99"/>
      <c r="T6" s="7"/>
      <c r="U6" s="7"/>
    </row>
    <row r="7" spans="1:21" s="6" customFormat="1" ht="48" customHeight="1">
      <c r="A7" s="481"/>
      <c r="B7" s="481"/>
      <c r="C7" s="502"/>
      <c r="D7" s="489"/>
      <c r="E7" s="489"/>
      <c r="F7" s="487"/>
      <c r="G7" s="489"/>
      <c r="H7" s="484"/>
      <c r="I7" s="100" t="s">
        <v>262</v>
      </c>
      <c r="J7" s="18">
        <v>45717</v>
      </c>
      <c r="K7" s="17" t="s">
        <v>261</v>
      </c>
      <c r="L7" s="45"/>
      <c r="M7" s="45" t="s">
        <v>257</v>
      </c>
      <c r="N7" s="45" t="s">
        <v>258</v>
      </c>
      <c r="O7" s="28"/>
      <c r="P7" s="28"/>
      <c r="Q7" s="7"/>
      <c r="R7" s="28"/>
      <c r="S7" s="99"/>
      <c r="T7" s="7"/>
      <c r="U7" s="7"/>
    </row>
    <row r="8" spans="1:21" s="6" customFormat="1" ht="48" customHeight="1">
      <c r="A8" s="481"/>
      <c r="B8" s="481"/>
      <c r="C8" s="502"/>
      <c r="D8" s="489"/>
      <c r="E8" s="489"/>
      <c r="F8" s="487"/>
      <c r="G8" s="489"/>
      <c r="H8" s="484"/>
      <c r="I8" s="100" t="s">
        <v>263</v>
      </c>
      <c r="J8" s="18">
        <v>45717</v>
      </c>
      <c r="K8" s="17" t="s">
        <v>264</v>
      </c>
      <c r="L8" s="45"/>
      <c r="M8" s="45" t="s">
        <v>257</v>
      </c>
      <c r="N8" s="45" t="s">
        <v>258</v>
      </c>
      <c r="O8" s="28"/>
      <c r="P8" s="28"/>
      <c r="Q8" s="7"/>
      <c r="R8" s="28"/>
      <c r="S8" s="99"/>
      <c r="T8" s="7"/>
      <c r="U8" s="7"/>
    </row>
    <row r="9" spans="1:21" s="6" customFormat="1" ht="48" customHeight="1">
      <c r="A9" s="481"/>
      <c r="B9" s="481"/>
      <c r="C9" s="502"/>
      <c r="D9" s="489"/>
      <c r="E9" s="489"/>
      <c r="F9" s="487"/>
      <c r="G9" s="489"/>
      <c r="H9" s="484"/>
      <c r="I9" s="100" t="s">
        <v>265</v>
      </c>
      <c r="J9" s="18">
        <v>45717</v>
      </c>
      <c r="K9" s="17" t="s">
        <v>264</v>
      </c>
      <c r="L9" s="45"/>
      <c r="M9" s="45" t="s">
        <v>257</v>
      </c>
      <c r="N9" s="45" t="s">
        <v>258</v>
      </c>
      <c r="O9" s="28"/>
      <c r="P9" s="28"/>
      <c r="Q9" s="7"/>
      <c r="R9" s="28"/>
      <c r="S9" s="99"/>
      <c r="T9" s="7"/>
      <c r="U9" s="7"/>
    </row>
    <row r="10" spans="1:21" s="6" customFormat="1" ht="48" customHeight="1">
      <c r="A10" s="482"/>
      <c r="B10" s="482"/>
      <c r="C10" s="396"/>
      <c r="D10" s="400"/>
      <c r="E10" s="400"/>
      <c r="F10" s="488"/>
      <c r="G10" s="400"/>
      <c r="H10" s="485"/>
      <c r="I10" s="100" t="s">
        <v>266</v>
      </c>
      <c r="J10" s="18">
        <v>45741</v>
      </c>
      <c r="K10" s="17" t="s">
        <v>264</v>
      </c>
      <c r="L10" s="45"/>
      <c r="M10" s="45" t="s">
        <v>257</v>
      </c>
      <c r="N10" s="45" t="s">
        <v>258</v>
      </c>
      <c r="O10" s="28"/>
      <c r="P10" s="28"/>
      <c r="Q10" s="7"/>
      <c r="R10" s="28"/>
      <c r="S10" s="99"/>
      <c r="T10" s="7"/>
      <c r="U10" s="7"/>
    </row>
    <row r="11" spans="1:21" ht="47.25" customHeight="1">
      <c r="A11" s="393"/>
      <c r="B11" s="393"/>
      <c r="C11" s="395" t="s">
        <v>9</v>
      </c>
      <c r="D11" s="399" t="s">
        <v>96</v>
      </c>
      <c r="E11" s="399" t="s">
        <v>97</v>
      </c>
      <c r="F11" s="486" t="s">
        <v>98</v>
      </c>
      <c r="G11" s="399" t="s">
        <v>91</v>
      </c>
      <c r="H11" s="401">
        <v>0.2</v>
      </c>
      <c r="I11" s="100" t="s">
        <v>267</v>
      </c>
      <c r="J11" s="18">
        <v>45658</v>
      </c>
      <c r="K11" s="17">
        <v>45717</v>
      </c>
      <c r="L11" s="45"/>
      <c r="M11" s="45" t="s">
        <v>268</v>
      </c>
      <c r="N11" s="45" t="s">
        <v>269</v>
      </c>
      <c r="O11" s="28"/>
      <c r="P11" s="28"/>
      <c r="Q11" s="7"/>
      <c r="R11" s="28"/>
      <c r="S11" s="99"/>
      <c r="T11" s="7"/>
      <c r="U11" s="7"/>
    </row>
    <row r="12" spans="1:21" ht="47.25" customHeight="1">
      <c r="A12" s="501"/>
      <c r="B12" s="501"/>
      <c r="C12" s="502"/>
      <c r="D12" s="489"/>
      <c r="E12" s="489"/>
      <c r="F12" s="487"/>
      <c r="G12" s="489"/>
      <c r="H12" s="491"/>
      <c r="I12" s="101" t="s">
        <v>270</v>
      </c>
      <c r="J12" s="18">
        <v>45658</v>
      </c>
      <c r="K12" s="17">
        <v>45717</v>
      </c>
      <c r="L12" s="45"/>
      <c r="M12" s="45" t="s">
        <v>268</v>
      </c>
      <c r="N12" s="45" t="s">
        <v>269</v>
      </c>
      <c r="O12" s="102"/>
      <c r="P12" s="102"/>
      <c r="Q12" s="103"/>
      <c r="R12" s="102"/>
      <c r="S12" s="104"/>
      <c r="T12" s="103"/>
      <c r="U12" s="103"/>
    </row>
    <row r="13" spans="1:21" ht="47.25" customHeight="1">
      <c r="A13" s="501"/>
      <c r="B13" s="501"/>
      <c r="C13" s="502"/>
      <c r="D13" s="489"/>
      <c r="E13" s="489"/>
      <c r="F13" s="487"/>
      <c r="G13" s="489"/>
      <c r="H13" s="491"/>
      <c r="I13" s="101" t="s">
        <v>271</v>
      </c>
      <c r="J13" s="18">
        <v>45717</v>
      </c>
      <c r="K13" s="17" t="s">
        <v>261</v>
      </c>
      <c r="L13" s="45"/>
      <c r="M13" s="45" t="s">
        <v>268</v>
      </c>
      <c r="N13" s="45" t="s">
        <v>269</v>
      </c>
      <c r="O13" s="102"/>
      <c r="P13" s="102"/>
      <c r="Q13" s="103"/>
      <c r="R13" s="102"/>
      <c r="S13" s="104"/>
      <c r="T13" s="103"/>
      <c r="U13" s="103"/>
    </row>
    <row r="14" spans="1:21" ht="47.25" customHeight="1">
      <c r="A14" s="501"/>
      <c r="B14" s="501"/>
      <c r="C14" s="502"/>
      <c r="D14" s="489"/>
      <c r="E14" s="489"/>
      <c r="F14" s="487"/>
      <c r="G14" s="489"/>
      <c r="H14" s="491"/>
      <c r="I14" s="101" t="s">
        <v>272</v>
      </c>
      <c r="J14" s="18">
        <v>45717</v>
      </c>
      <c r="K14" s="17" t="s">
        <v>261</v>
      </c>
      <c r="L14" s="45"/>
      <c r="M14" s="45" t="s">
        <v>268</v>
      </c>
      <c r="N14" s="45" t="s">
        <v>269</v>
      </c>
      <c r="O14" s="102"/>
      <c r="P14" s="102"/>
      <c r="Q14" s="103"/>
      <c r="R14" s="102"/>
      <c r="S14" s="104"/>
      <c r="T14" s="103"/>
      <c r="U14" s="103"/>
    </row>
    <row r="15" spans="1:21" ht="47.25" customHeight="1">
      <c r="A15" s="501"/>
      <c r="B15" s="501"/>
      <c r="C15" s="502"/>
      <c r="D15" s="489"/>
      <c r="E15" s="489"/>
      <c r="F15" s="487"/>
      <c r="G15" s="489"/>
      <c r="H15" s="491"/>
      <c r="I15" s="101" t="s">
        <v>273</v>
      </c>
      <c r="J15" s="18">
        <v>45717</v>
      </c>
      <c r="K15" s="17" t="s">
        <v>264</v>
      </c>
      <c r="L15" s="45"/>
      <c r="M15" s="45" t="s">
        <v>268</v>
      </c>
      <c r="N15" s="45" t="s">
        <v>269</v>
      </c>
      <c r="O15" s="102"/>
      <c r="P15" s="102"/>
      <c r="Q15" s="103"/>
      <c r="R15" s="102"/>
      <c r="S15" s="104"/>
      <c r="T15" s="103"/>
      <c r="U15" s="103"/>
    </row>
    <row r="16" spans="1:21" ht="47.25" customHeight="1">
      <c r="A16" s="501"/>
      <c r="B16" s="501"/>
      <c r="C16" s="502"/>
      <c r="D16" s="489"/>
      <c r="E16" s="489"/>
      <c r="F16" s="487"/>
      <c r="G16" s="489"/>
      <c r="H16" s="491"/>
      <c r="I16" s="101" t="s">
        <v>274</v>
      </c>
      <c r="J16" s="18">
        <v>45717</v>
      </c>
      <c r="K16" s="17" t="s">
        <v>264</v>
      </c>
      <c r="L16" s="45"/>
      <c r="M16" s="45" t="s">
        <v>268</v>
      </c>
      <c r="N16" s="45" t="s">
        <v>269</v>
      </c>
      <c r="O16" s="102"/>
      <c r="P16" s="102"/>
      <c r="Q16" s="103"/>
      <c r="R16" s="102"/>
      <c r="S16" s="104"/>
      <c r="T16" s="103"/>
      <c r="U16" s="103"/>
    </row>
    <row r="17" spans="1:21" ht="47.25" customHeight="1">
      <c r="A17" s="394"/>
      <c r="B17" s="394"/>
      <c r="C17" s="396"/>
      <c r="D17" s="400"/>
      <c r="E17" s="400"/>
      <c r="F17" s="488"/>
      <c r="G17" s="400"/>
      <c r="H17" s="402"/>
      <c r="I17" s="101" t="s">
        <v>275</v>
      </c>
      <c r="J17" s="18">
        <v>45717</v>
      </c>
      <c r="K17" s="17" t="s">
        <v>264</v>
      </c>
      <c r="L17" s="45"/>
      <c r="M17" s="45" t="s">
        <v>268</v>
      </c>
      <c r="N17" s="45" t="s">
        <v>269</v>
      </c>
      <c r="O17" s="102"/>
      <c r="P17" s="102"/>
      <c r="Q17" s="103"/>
      <c r="R17" s="102"/>
      <c r="S17" s="104"/>
      <c r="T17" s="103"/>
      <c r="U17" s="103"/>
    </row>
    <row r="18" spans="1:21" ht="50.25" customHeight="1">
      <c r="A18" s="393"/>
      <c r="B18" s="393"/>
      <c r="C18" s="395" t="s">
        <v>10</v>
      </c>
      <c r="D18" s="399" t="s">
        <v>100</v>
      </c>
      <c r="E18" s="399" t="s">
        <v>276</v>
      </c>
      <c r="F18" s="486" t="s">
        <v>277</v>
      </c>
      <c r="G18" s="399" t="s">
        <v>87</v>
      </c>
      <c r="H18" s="401">
        <v>0.3</v>
      </c>
      <c r="I18" s="100" t="s">
        <v>278</v>
      </c>
      <c r="J18" s="18">
        <v>45689</v>
      </c>
      <c r="K18" s="17" t="s">
        <v>279</v>
      </c>
      <c r="L18" s="46"/>
      <c r="M18" s="46" t="s">
        <v>102</v>
      </c>
      <c r="N18" s="45" t="s">
        <v>258</v>
      </c>
      <c r="O18" s="95"/>
      <c r="P18" s="95"/>
      <c r="Q18" s="95"/>
      <c r="R18" s="95"/>
      <c r="S18" s="95"/>
      <c r="T18" s="95"/>
      <c r="U18" s="95"/>
    </row>
    <row r="19" spans="1:21" ht="41.25" customHeight="1">
      <c r="A19" s="501"/>
      <c r="B19" s="501"/>
      <c r="C19" s="502"/>
      <c r="D19" s="489"/>
      <c r="E19" s="489"/>
      <c r="F19" s="487"/>
      <c r="G19" s="489"/>
      <c r="H19" s="491"/>
      <c r="I19" s="105" t="s">
        <v>280</v>
      </c>
      <c r="J19" s="18">
        <v>45689</v>
      </c>
      <c r="K19" s="17" t="s">
        <v>279</v>
      </c>
      <c r="L19" s="46"/>
      <c r="M19" s="46" t="s">
        <v>102</v>
      </c>
      <c r="N19" s="45" t="s">
        <v>258</v>
      </c>
      <c r="O19" s="96"/>
      <c r="P19" s="96"/>
      <c r="Q19" s="96"/>
      <c r="R19" s="96"/>
      <c r="S19" s="96"/>
      <c r="T19" s="96"/>
      <c r="U19" s="96"/>
    </row>
    <row r="20" spans="1:21" ht="41.25" customHeight="1">
      <c r="A20" s="501"/>
      <c r="B20" s="501"/>
      <c r="C20" s="502"/>
      <c r="D20" s="489"/>
      <c r="E20" s="489"/>
      <c r="F20" s="487"/>
      <c r="G20" s="489"/>
      <c r="H20" s="491"/>
      <c r="I20" s="105" t="s">
        <v>281</v>
      </c>
      <c r="J20" s="18">
        <v>45689</v>
      </c>
      <c r="K20" s="17" t="s">
        <v>279</v>
      </c>
      <c r="L20" s="46"/>
      <c r="M20" s="46" t="s">
        <v>102</v>
      </c>
      <c r="N20" s="45" t="s">
        <v>258</v>
      </c>
      <c r="O20" s="96"/>
      <c r="P20" s="96"/>
      <c r="Q20" s="96"/>
      <c r="R20" s="96"/>
      <c r="S20" s="96"/>
      <c r="T20" s="96"/>
      <c r="U20" s="96"/>
    </row>
    <row r="21" spans="1:21" ht="41.25" customHeight="1">
      <c r="A21" s="501"/>
      <c r="B21" s="501"/>
      <c r="C21" s="502"/>
      <c r="D21" s="489"/>
      <c r="E21" s="489"/>
      <c r="F21" s="487"/>
      <c r="G21" s="489"/>
      <c r="H21" s="491"/>
      <c r="I21" s="105" t="s">
        <v>282</v>
      </c>
      <c r="J21" s="18">
        <v>45689</v>
      </c>
      <c r="K21" s="17" t="s">
        <v>279</v>
      </c>
      <c r="L21" s="46"/>
      <c r="M21" s="46" t="s">
        <v>102</v>
      </c>
      <c r="N21" s="45" t="s">
        <v>258</v>
      </c>
      <c r="O21" s="96"/>
      <c r="P21" s="96"/>
      <c r="Q21" s="96"/>
      <c r="R21" s="96"/>
      <c r="S21" s="96"/>
      <c r="T21" s="96"/>
      <c r="U21" s="96"/>
    </row>
    <row r="22" spans="1:21" ht="41.25" customHeight="1">
      <c r="A22" s="501"/>
      <c r="B22" s="501"/>
      <c r="C22" s="502"/>
      <c r="D22" s="489"/>
      <c r="E22" s="489"/>
      <c r="F22" s="487"/>
      <c r="G22" s="489"/>
      <c r="H22" s="491"/>
      <c r="I22" s="105" t="s">
        <v>283</v>
      </c>
      <c r="J22" s="18">
        <v>45689</v>
      </c>
      <c r="K22" s="17" t="s">
        <v>279</v>
      </c>
      <c r="L22" s="96"/>
      <c r="M22" s="46" t="s">
        <v>102</v>
      </c>
      <c r="N22" s="45" t="s">
        <v>258</v>
      </c>
      <c r="O22" s="96"/>
      <c r="P22" s="96"/>
      <c r="Q22" s="96"/>
      <c r="R22" s="96"/>
      <c r="S22" s="96"/>
      <c r="T22" s="96"/>
      <c r="U22" s="96"/>
    </row>
    <row r="23" spans="1:21" ht="41.25" customHeight="1">
      <c r="A23" s="501"/>
      <c r="B23" s="501"/>
      <c r="C23" s="502"/>
      <c r="D23" s="489"/>
      <c r="E23" s="489"/>
      <c r="F23" s="487"/>
      <c r="G23" s="489"/>
      <c r="H23" s="491"/>
      <c r="I23" s="105" t="s">
        <v>284</v>
      </c>
      <c r="J23" s="18">
        <v>45689</v>
      </c>
      <c r="K23" s="17" t="s">
        <v>279</v>
      </c>
      <c r="L23" s="96"/>
      <c r="M23" s="46" t="s">
        <v>102</v>
      </c>
      <c r="N23" s="45" t="s">
        <v>258</v>
      </c>
      <c r="O23" s="96"/>
      <c r="P23" s="96"/>
      <c r="Q23" s="96"/>
      <c r="R23" s="96"/>
      <c r="S23" s="96"/>
      <c r="T23" s="96"/>
      <c r="U23" s="96"/>
    </row>
    <row r="24" spans="1:21" ht="41.25" customHeight="1">
      <c r="A24" s="501"/>
      <c r="B24" s="501"/>
      <c r="C24" s="502"/>
      <c r="D24" s="489"/>
      <c r="E24" s="489"/>
      <c r="F24" s="487"/>
      <c r="G24" s="489"/>
      <c r="H24" s="491"/>
      <c r="I24" s="105" t="s">
        <v>285</v>
      </c>
      <c r="J24" s="97" t="s">
        <v>286</v>
      </c>
      <c r="K24" s="17" t="s">
        <v>287</v>
      </c>
      <c r="L24" s="96"/>
      <c r="M24" s="46" t="s">
        <v>102</v>
      </c>
      <c r="N24" s="45" t="s">
        <v>258</v>
      </c>
      <c r="O24" s="96"/>
      <c r="P24" s="96"/>
      <c r="Q24" s="96"/>
      <c r="R24" s="96"/>
      <c r="S24" s="96"/>
      <c r="T24" s="96"/>
      <c r="U24" s="96"/>
    </row>
    <row r="25" spans="1:21" ht="41.25" customHeight="1">
      <c r="A25" s="501"/>
      <c r="B25" s="501"/>
      <c r="C25" s="502"/>
      <c r="D25" s="489"/>
      <c r="E25" s="489"/>
      <c r="F25" s="487"/>
      <c r="G25" s="489"/>
      <c r="H25" s="491"/>
      <c r="I25" s="105" t="s">
        <v>288</v>
      </c>
      <c r="J25" s="97" t="s">
        <v>286</v>
      </c>
      <c r="K25" s="17" t="s">
        <v>287</v>
      </c>
      <c r="L25" s="96"/>
      <c r="M25" s="46" t="s">
        <v>102</v>
      </c>
      <c r="N25" s="45" t="s">
        <v>258</v>
      </c>
      <c r="O25" s="96"/>
      <c r="P25" s="96"/>
      <c r="Q25" s="96"/>
      <c r="R25" s="96"/>
      <c r="S25" s="96"/>
      <c r="T25" s="96"/>
      <c r="U25" s="96"/>
    </row>
    <row r="26" spans="1:21" ht="41.25" customHeight="1">
      <c r="A26" s="394"/>
      <c r="B26" s="394"/>
      <c r="C26" s="396"/>
      <c r="D26" s="400"/>
      <c r="E26" s="400"/>
      <c r="F26" s="488"/>
      <c r="G26" s="400"/>
      <c r="H26" s="402"/>
      <c r="I26" s="105" t="s">
        <v>289</v>
      </c>
      <c r="J26" s="17" t="s">
        <v>287</v>
      </c>
      <c r="K26" s="17" t="s">
        <v>290</v>
      </c>
      <c r="L26" s="96"/>
      <c r="M26" s="46" t="s">
        <v>102</v>
      </c>
      <c r="N26" s="45" t="s">
        <v>258</v>
      </c>
      <c r="O26" s="96"/>
      <c r="P26" s="96"/>
      <c r="Q26" s="96"/>
      <c r="R26" s="96"/>
      <c r="S26" s="96"/>
      <c r="T26" s="96"/>
      <c r="U26" s="96"/>
    </row>
    <row r="27" spans="1:21" ht="60" customHeight="1">
      <c r="A27" s="393"/>
      <c r="B27" s="393"/>
      <c r="C27" s="395" t="s">
        <v>23</v>
      </c>
      <c r="D27" s="399" t="s">
        <v>105</v>
      </c>
      <c r="E27" s="399" t="s">
        <v>106</v>
      </c>
      <c r="F27" s="486">
        <v>1</v>
      </c>
      <c r="G27" s="399" t="s">
        <v>87</v>
      </c>
      <c r="H27" s="401">
        <v>0.1</v>
      </c>
      <c r="I27" s="100" t="s">
        <v>291</v>
      </c>
      <c r="J27" s="18">
        <v>45658</v>
      </c>
      <c r="K27" s="17">
        <v>45689</v>
      </c>
      <c r="L27" s="46"/>
      <c r="M27" s="46" t="s">
        <v>102</v>
      </c>
      <c r="N27" s="45" t="s">
        <v>258</v>
      </c>
      <c r="O27" s="7"/>
      <c r="P27" s="7"/>
      <c r="Q27" s="7"/>
      <c r="R27" s="28"/>
      <c r="S27" s="99"/>
      <c r="T27" s="7"/>
      <c r="U27" s="7"/>
    </row>
    <row r="28" spans="1:21" ht="50.25" customHeight="1">
      <c r="A28" s="501"/>
      <c r="B28" s="501"/>
      <c r="C28" s="502"/>
      <c r="D28" s="489"/>
      <c r="E28" s="489"/>
      <c r="F28" s="487"/>
      <c r="G28" s="489"/>
      <c r="H28" s="491"/>
      <c r="I28" s="100" t="s">
        <v>292</v>
      </c>
      <c r="J28" s="18">
        <v>45658</v>
      </c>
      <c r="K28" s="17">
        <v>45689</v>
      </c>
      <c r="L28" s="46"/>
      <c r="M28" s="46" t="s">
        <v>102</v>
      </c>
      <c r="N28" s="45" t="s">
        <v>258</v>
      </c>
      <c r="O28" s="7"/>
      <c r="P28" s="7"/>
      <c r="Q28" s="7"/>
      <c r="R28" s="28"/>
      <c r="S28" s="99"/>
      <c r="T28" s="7"/>
      <c r="U28" s="7"/>
    </row>
    <row r="29" spans="1:21" ht="51" customHeight="1">
      <c r="A29" s="501"/>
      <c r="B29" s="501"/>
      <c r="C29" s="502"/>
      <c r="D29" s="489"/>
      <c r="E29" s="489"/>
      <c r="F29" s="487"/>
      <c r="G29" s="489"/>
      <c r="H29" s="491"/>
      <c r="I29" s="100" t="s">
        <v>293</v>
      </c>
      <c r="J29" s="18">
        <v>45658</v>
      </c>
      <c r="K29" s="17">
        <v>45809</v>
      </c>
      <c r="L29" s="46"/>
      <c r="M29" s="46" t="s">
        <v>102</v>
      </c>
      <c r="N29" s="45" t="s">
        <v>258</v>
      </c>
      <c r="O29" s="7"/>
      <c r="P29" s="7"/>
      <c r="Q29" s="7"/>
      <c r="R29" s="28"/>
      <c r="S29" s="99"/>
      <c r="T29" s="7"/>
      <c r="U29" s="7"/>
    </row>
    <row r="30" spans="1:21" ht="51" customHeight="1">
      <c r="A30" s="501"/>
      <c r="B30" s="501"/>
      <c r="C30" s="502"/>
      <c r="D30" s="489"/>
      <c r="E30" s="489"/>
      <c r="F30" s="487"/>
      <c r="G30" s="489"/>
      <c r="H30" s="491"/>
      <c r="I30" s="100" t="s">
        <v>294</v>
      </c>
      <c r="J30" s="17">
        <v>45689</v>
      </c>
      <c r="K30" s="17">
        <v>45809</v>
      </c>
      <c r="L30" s="46"/>
      <c r="M30" s="46" t="s">
        <v>102</v>
      </c>
      <c r="N30" s="45" t="s">
        <v>258</v>
      </c>
      <c r="O30" s="7"/>
      <c r="P30" s="7"/>
      <c r="Q30" s="7"/>
      <c r="R30" s="28"/>
      <c r="S30" s="99"/>
      <c r="T30" s="7"/>
      <c r="U30" s="7"/>
    </row>
    <row r="31" spans="1:21" ht="51" customHeight="1">
      <c r="A31" s="501"/>
      <c r="B31" s="501"/>
      <c r="C31" s="502"/>
      <c r="D31" s="489"/>
      <c r="E31" s="489"/>
      <c r="F31" s="487"/>
      <c r="G31" s="489"/>
      <c r="H31" s="491"/>
      <c r="I31" s="100" t="s">
        <v>295</v>
      </c>
      <c r="J31" s="17">
        <v>45689</v>
      </c>
      <c r="K31" s="97">
        <v>45809</v>
      </c>
      <c r="L31" s="46"/>
      <c r="M31" s="46" t="s">
        <v>102</v>
      </c>
      <c r="N31" s="45" t="s">
        <v>258</v>
      </c>
      <c r="O31" s="7"/>
      <c r="P31" s="7"/>
      <c r="Q31" s="7"/>
      <c r="R31" s="28"/>
      <c r="S31" s="99"/>
      <c r="T31" s="7"/>
      <c r="U31" s="7"/>
    </row>
    <row r="32" spans="1:21" ht="51" customHeight="1">
      <c r="A32" s="501"/>
      <c r="B32" s="501"/>
      <c r="C32" s="502"/>
      <c r="D32" s="489"/>
      <c r="E32" s="489"/>
      <c r="F32" s="487"/>
      <c r="G32" s="489"/>
      <c r="H32" s="491"/>
      <c r="I32" s="100" t="s">
        <v>296</v>
      </c>
      <c r="J32" s="97">
        <v>45809</v>
      </c>
      <c r="K32" s="17" t="s">
        <v>279</v>
      </c>
      <c r="L32" s="46"/>
      <c r="M32" s="46" t="s">
        <v>102</v>
      </c>
      <c r="N32" s="45" t="s">
        <v>258</v>
      </c>
      <c r="O32" s="7"/>
      <c r="P32" s="7"/>
      <c r="Q32" s="7"/>
      <c r="R32" s="28"/>
      <c r="S32" s="99"/>
      <c r="T32" s="7"/>
      <c r="U32" s="7"/>
    </row>
    <row r="33" spans="1:21" ht="51" customHeight="1">
      <c r="A33" s="501"/>
      <c r="B33" s="501"/>
      <c r="C33" s="502"/>
      <c r="D33" s="489"/>
      <c r="E33" s="489"/>
      <c r="F33" s="487"/>
      <c r="G33" s="489"/>
      <c r="H33" s="491"/>
      <c r="I33" s="100" t="s">
        <v>297</v>
      </c>
      <c r="J33" s="97" t="s">
        <v>286</v>
      </c>
      <c r="K33" s="17" t="s">
        <v>287</v>
      </c>
      <c r="L33" s="46"/>
      <c r="M33" s="46" t="s">
        <v>102</v>
      </c>
      <c r="N33" s="45" t="s">
        <v>258</v>
      </c>
      <c r="O33" s="7"/>
      <c r="P33" s="7"/>
      <c r="Q33" s="7"/>
      <c r="R33" s="28"/>
      <c r="S33" s="99"/>
      <c r="T33" s="7"/>
      <c r="U33" s="7"/>
    </row>
    <row r="34" spans="1:21" ht="51" customHeight="1">
      <c r="A34" s="394"/>
      <c r="B34" s="394"/>
      <c r="C34" s="396"/>
      <c r="D34" s="400"/>
      <c r="E34" s="400"/>
      <c r="F34" s="488"/>
      <c r="G34" s="400"/>
      <c r="H34" s="402"/>
      <c r="I34" s="100" t="s">
        <v>298</v>
      </c>
      <c r="J34" s="17" t="s">
        <v>287</v>
      </c>
      <c r="K34" s="17" t="s">
        <v>290</v>
      </c>
      <c r="L34" s="46"/>
      <c r="M34" s="46" t="s">
        <v>102</v>
      </c>
      <c r="N34" s="45" t="s">
        <v>258</v>
      </c>
      <c r="O34" s="7"/>
      <c r="P34" s="7"/>
      <c r="Q34" s="7"/>
      <c r="R34" s="28"/>
      <c r="S34" s="99"/>
      <c r="T34" s="7"/>
      <c r="U34" s="7"/>
    </row>
    <row r="35" spans="1:21" ht="56.25" customHeight="1">
      <c r="A35" s="486"/>
      <c r="B35" s="486"/>
      <c r="C35" s="395" t="s">
        <v>24</v>
      </c>
      <c r="D35" s="399" t="s">
        <v>107</v>
      </c>
      <c r="E35" s="399" t="s">
        <v>106</v>
      </c>
      <c r="F35" s="486">
        <v>1</v>
      </c>
      <c r="G35" s="486" t="s">
        <v>87</v>
      </c>
      <c r="H35" s="486">
        <v>0.1</v>
      </c>
      <c r="I35" s="100" t="s">
        <v>291</v>
      </c>
      <c r="J35" s="18">
        <v>45658</v>
      </c>
      <c r="K35" s="17">
        <v>45689</v>
      </c>
      <c r="L35" s="46"/>
      <c r="M35" s="46" t="s">
        <v>102</v>
      </c>
      <c r="N35" s="45" t="s">
        <v>258</v>
      </c>
      <c r="O35" s="47"/>
      <c r="P35" s="47"/>
      <c r="Q35" s="47"/>
      <c r="R35" s="47"/>
      <c r="S35" s="47"/>
      <c r="T35" s="47"/>
      <c r="U35" s="47"/>
    </row>
    <row r="36" spans="1:21" ht="52.5" customHeight="1">
      <c r="A36" s="487"/>
      <c r="B36" s="487"/>
      <c r="C36" s="502"/>
      <c r="D36" s="489"/>
      <c r="E36" s="489"/>
      <c r="F36" s="487"/>
      <c r="G36" s="487"/>
      <c r="H36" s="487"/>
      <c r="I36" s="100" t="s">
        <v>299</v>
      </c>
      <c r="J36" s="18">
        <v>45658</v>
      </c>
      <c r="K36" s="17">
        <v>45689</v>
      </c>
      <c r="L36" s="46"/>
      <c r="M36" s="46" t="s">
        <v>102</v>
      </c>
      <c r="N36" s="45" t="s">
        <v>258</v>
      </c>
      <c r="O36" s="47"/>
      <c r="P36" s="47"/>
      <c r="Q36" s="47"/>
      <c r="R36" s="47"/>
      <c r="S36" s="47"/>
      <c r="T36" s="47"/>
      <c r="U36" s="47"/>
    </row>
    <row r="37" spans="1:21" ht="52.5" customHeight="1">
      <c r="A37" s="487"/>
      <c r="B37" s="487"/>
      <c r="C37" s="502"/>
      <c r="D37" s="489"/>
      <c r="E37" s="489"/>
      <c r="F37" s="487"/>
      <c r="G37" s="487"/>
      <c r="H37" s="487"/>
      <c r="I37" s="100" t="s">
        <v>294</v>
      </c>
      <c r="J37" s="17">
        <v>45689</v>
      </c>
      <c r="K37" s="17">
        <v>45838</v>
      </c>
      <c r="L37" s="46"/>
      <c r="M37" s="46" t="s">
        <v>102</v>
      </c>
      <c r="N37" s="45" t="s">
        <v>258</v>
      </c>
      <c r="O37" s="47"/>
      <c r="P37" s="47"/>
      <c r="Q37" s="47"/>
      <c r="R37" s="47"/>
      <c r="S37" s="47"/>
      <c r="T37" s="47"/>
      <c r="U37" s="47"/>
    </row>
    <row r="38" spans="1:21" ht="52.5" customHeight="1">
      <c r="A38" s="487"/>
      <c r="B38" s="487"/>
      <c r="C38" s="502"/>
      <c r="D38" s="489"/>
      <c r="E38" s="489"/>
      <c r="F38" s="487"/>
      <c r="G38" s="487"/>
      <c r="H38" s="487"/>
      <c r="I38" s="100" t="s">
        <v>300</v>
      </c>
      <c r="J38" s="97" t="s">
        <v>286</v>
      </c>
      <c r="K38" s="17" t="s">
        <v>287</v>
      </c>
      <c r="L38" s="46"/>
      <c r="M38" s="46" t="s">
        <v>102</v>
      </c>
      <c r="N38" s="45" t="s">
        <v>258</v>
      </c>
      <c r="O38" s="47"/>
      <c r="P38" s="47"/>
      <c r="Q38" s="47"/>
      <c r="R38" s="47"/>
      <c r="S38" s="47"/>
      <c r="T38" s="47"/>
      <c r="U38" s="47"/>
    </row>
    <row r="39" spans="1:21" ht="52.5" customHeight="1">
      <c r="A39" s="488"/>
      <c r="B39" s="488"/>
      <c r="C39" s="396"/>
      <c r="D39" s="400"/>
      <c r="E39" s="400"/>
      <c r="F39" s="488"/>
      <c r="G39" s="488"/>
      <c r="H39" s="488"/>
      <c r="I39" s="100" t="s">
        <v>298</v>
      </c>
      <c r="J39" s="17" t="s">
        <v>287</v>
      </c>
      <c r="K39" s="17" t="s">
        <v>290</v>
      </c>
      <c r="L39" s="46"/>
      <c r="M39" s="46" t="s">
        <v>102</v>
      </c>
      <c r="N39" s="45" t="s">
        <v>258</v>
      </c>
      <c r="O39" s="47"/>
      <c r="P39" s="47"/>
      <c r="Q39" s="47"/>
      <c r="R39" s="47"/>
      <c r="S39" s="47"/>
      <c r="T39" s="47"/>
      <c r="U39" s="47"/>
    </row>
    <row r="40" spans="1:21" ht="48.75" customHeight="1">
      <c r="A40" s="393"/>
      <c r="B40" s="393"/>
      <c r="C40" s="393" t="s">
        <v>108</v>
      </c>
      <c r="D40" s="393" t="s">
        <v>109</v>
      </c>
      <c r="E40" s="393" t="s">
        <v>106</v>
      </c>
      <c r="F40" s="393" t="s">
        <v>110</v>
      </c>
      <c r="G40" s="393" t="s">
        <v>87</v>
      </c>
      <c r="H40" s="401">
        <v>0.05</v>
      </c>
      <c r="I40" s="100" t="s">
        <v>301</v>
      </c>
      <c r="J40" s="18">
        <v>45717</v>
      </c>
      <c r="K40" s="17">
        <v>46022</v>
      </c>
      <c r="L40" s="46"/>
      <c r="M40" s="45" t="s">
        <v>257</v>
      </c>
      <c r="N40" s="45" t="s">
        <v>258</v>
      </c>
      <c r="O40" s="47"/>
      <c r="P40" s="47"/>
      <c r="Q40" s="47"/>
      <c r="R40" s="47"/>
      <c r="S40" s="47"/>
      <c r="T40" s="47"/>
      <c r="U40" s="47"/>
    </row>
    <row r="41" spans="1:21" ht="46.5" customHeight="1">
      <c r="A41" s="501"/>
      <c r="B41" s="501"/>
      <c r="C41" s="501"/>
      <c r="D41" s="501"/>
      <c r="E41" s="501"/>
      <c r="F41" s="501"/>
      <c r="G41" s="501"/>
      <c r="H41" s="491"/>
      <c r="I41" s="100" t="s">
        <v>302</v>
      </c>
      <c r="J41" s="18">
        <v>45717</v>
      </c>
      <c r="K41" s="17">
        <v>46022</v>
      </c>
      <c r="L41" s="46"/>
      <c r="M41" s="45" t="s">
        <v>257</v>
      </c>
      <c r="N41" s="45" t="s">
        <v>258</v>
      </c>
      <c r="O41" s="47"/>
      <c r="P41" s="47"/>
      <c r="Q41" s="47"/>
      <c r="R41" s="47"/>
      <c r="S41" s="47"/>
      <c r="T41" s="47"/>
      <c r="U41" s="47"/>
    </row>
    <row r="42" spans="1:21" ht="46.5" customHeight="1">
      <c r="A42" s="501"/>
      <c r="B42" s="501"/>
      <c r="C42" s="501"/>
      <c r="D42" s="501"/>
      <c r="E42" s="501"/>
      <c r="F42" s="501"/>
      <c r="G42" s="501"/>
      <c r="H42" s="491"/>
      <c r="I42" s="100" t="s">
        <v>303</v>
      </c>
      <c r="J42" s="18">
        <v>45717</v>
      </c>
      <c r="K42" s="17">
        <v>46022</v>
      </c>
      <c r="L42" s="46"/>
      <c r="M42" s="45" t="s">
        <v>257</v>
      </c>
      <c r="N42" s="45" t="s">
        <v>258</v>
      </c>
      <c r="O42" s="47"/>
      <c r="P42" s="47"/>
      <c r="Q42" s="47"/>
      <c r="R42" s="47"/>
      <c r="S42" s="47"/>
      <c r="T42" s="47"/>
      <c r="U42" s="47"/>
    </row>
    <row r="43" spans="1:21" ht="46.5" customHeight="1">
      <c r="A43" s="394"/>
      <c r="B43" s="394"/>
      <c r="C43" s="394"/>
      <c r="D43" s="394"/>
      <c r="E43" s="394"/>
      <c r="F43" s="394"/>
      <c r="G43" s="394"/>
      <c r="H43" s="402"/>
      <c r="I43" s="100" t="s">
        <v>304</v>
      </c>
      <c r="J43" s="18">
        <v>45717</v>
      </c>
      <c r="K43" s="17">
        <v>46022</v>
      </c>
      <c r="L43" s="46"/>
      <c r="M43" s="45" t="s">
        <v>257</v>
      </c>
      <c r="N43" s="45" t="s">
        <v>258</v>
      </c>
      <c r="O43" s="47"/>
      <c r="P43" s="47"/>
      <c r="Q43" s="47"/>
      <c r="R43" s="47"/>
      <c r="S43" s="47"/>
      <c r="T43" s="47"/>
      <c r="U43" s="47"/>
    </row>
    <row r="44" spans="1:21" s="6" customFormat="1" ht="56.25" customHeight="1">
      <c r="A44" s="480"/>
      <c r="B44" s="480"/>
      <c r="C44" s="480" t="s">
        <v>111</v>
      </c>
      <c r="D44" s="480" t="s">
        <v>112</v>
      </c>
      <c r="E44" s="480" t="s">
        <v>113</v>
      </c>
      <c r="F44" s="480" t="s">
        <v>114</v>
      </c>
      <c r="G44" s="480" t="s">
        <v>87</v>
      </c>
      <c r="H44" s="401">
        <v>0.05</v>
      </c>
      <c r="I44" s="100" t="s">
        <v>305</v>
      </c>
      <c r="J44" s="18">
        <v>45717</v>
      </c>
      <c r="K44" s="17">
        <v>46022</v>
      </c>
      <c r="L44" s="45"/>
      <c r="M44" s="45" t="s">
        <v>306</v>
      </c>
      <c r="N44" s="45" t="s">
        <v>269</v>
      </c>
      <c r="O44" s="29"/>
      <c r="P44" s="29"/>
      <c r="Q44" s="29"/>
      <c r="R44" s="29"/>
      <c r="S44" s="29"/>
      <c r="T44" s="29"/>
      <c r="U44" s="29"/>
    </row>
    <row r="45" spans="1:21" s="6" customFormat="1" ht="56.25" customHeight="1">
      <c r="A45" s="481"/>
      <c r="B45" s="481"/>
      <c r="C45" s="481"/>
      <c r="D45" s="481"/>
      <c r="E45" s="481"/>
      <c r="F45" s="481"/>
      <c r="G45" s="481"/>
      <c r="H45" s="491"/>
      <c r="I45" s="100" t="s">
        <v>307</v>
      </c>
      <c r="J45" s="18">
        <v>45717</v>
      </c>
      <c r="K45" s="17">
        <v>46022</v>
      </c>
      <c r="L45" s="45"/>
      <c r="M45" s="45" t="s">
        <v>306</v>
      </c>
      <c r="N45" s="45" t="s">
        <v>269</v>
      </c>
      <c r="O45" s="29"/>
      <c r="P45" s="29"/>
      <c r="Q45" s="29"/>
      <c r="R45" s="29"/>
      <c r="S45" s="29"/>
      <c r="T45" s="29"/>
      <c r="U45" s="29"/>
    </row>
    <row r="46" spans="1:21" s="6" customFormat="1" ht="56.25" customHeight="1">
      <c r="A46" s="482"/>
      <c r="B46" s="482"/>
      <c r="C46" s="482"/>
      <c r="D46" s="482"/>
      <c r="E46" s="482"/>
      <c r="F46" s="482"/>
      <c r="G46" s="482"/>
      <c r="H46" s="402"/>
      <c r="I46" s="100" t="s">
        <v>308</v>
      </c>
      <c r="J46" s="18">
        <v>45717</v>
      </c>
      <c r="K46" s="17">
        <v>46022</v>
      </c>
      <c r="L46" s="45"/>
      <c r="M46" s="45" t="s">
        <v>306</v>
      </c>
      <c r="N46" s="45" t="s">
        <v>269</v>
      </c>
      <c r="O46" s="29"/>
      <c r="P46" s="29"/>
      <c r="Q46" s="29"/>
      <c r="R46" s="29"/>
      <c r="S46" s="29"/>
      <c r="T46" s="29"/>
      <c r="U46" s="29"/>
    </row>
    <row r="47" spans="1:21" s="5" customFormat="1" ht="38.1" customHeight="1">
      <c r="A47" s="10">
        <v>2</v>
      </c>
      <c r="B47" s="10" t="s">
        <v>116</v>
      </c>
      <c r="C47" s="10" t="s">
        <v>12</v>
      </c>
      <c r="D47" s="11" t="s">
        <v>16</v>
      </c>
      <c r="E47" s="40" t="s">
        <v>117</v>
      </c>
      <c r="F47" s="40">
        <v>0</v>
      </c>
      <c r="G47" s="40"/>
      <c r="H47" s="23">
        <v>0.05</v>
      </c>
      <c r="I47" s="23"/>
      <c r="J47" s="19"/>
      <c r="K47" s="19"/>
      <c r="L47" s="10"/>
      <c r="M47" s="10"/>
      <c r="N47" s="10"/>
      <c r="O47" s="7"/>
      <c r="P47" s="7"/>
      <c r="Q47" s="7"/>
      <c r="R47" s="28"/>
      <c r="S47" s="99"/>
      <c r="T47" s="7"/>
      <c r="U47" s="7"/>
    </row>
    <row r="48" spans="1:21" s="6" customFormat="1" ht="74.25" customHeight="1">
      <c r="A48" s="480"/>
      <c r="B48" s="480"/>
      <c r="C48" s="480" t="s">
        <v>13</v>
      </c>
      <c r="D48" s="480" t="s">
        <v>118</v>
      </c>
      <c r="E48" s="480" t="s">
        <v>119</v>
      </c>
      <c r="F48" s="480">
        <v>1</v>
      </c>
      <c r="G48" s="480" t="s">
        <v>91</v>
      </c>
      <c r="H48" s="483">
        <v>0.3</v>
      </c>
      <c r="I48" s="100" t="s">
        <v>309</v>
      </c>
      <c r="J48" s="18">
        <v>45717</v>
      </c>
      <c r="K48" s="17" t="s">
        <v>264</v>
      </c>
      <c r="L48" s="45"/>
      <c r="M48" s="45" t="s">
        <v>310</v>
      </c>
      <c r="N48" s="45" t="s">
        <v>269</v>
      </c>
      <c r="O48" s="7"/>
      <c r="P48" s="7"/>
      <c r="Q48" s="7"/>
      <c r="R48" s="7"/>
      <c r="S48" s="7"/>
      <c r="T48" s="7"/>
      <c r="U48" s="7"/>
    </row>
    <row r="49" spans="1:21" s="6" customFormat="1" ht="74.25" customHeight="1">
      <c r="A49" s="481"/>
      <c r="B49" s="481"/>
      <c r="C49" s="481"/>
      <c r="D49" s="481"/>
      <c r="E49" s="481"/>
      <c r="F49" s="481"/>
      <c r="G49" s="481"/>
      <c r="H49" s="484"/>
      <c r="I49" s="100" t="s">
        <v>311</v>
      </c>
      <c r="J49" s="18">
        <v>45717</v>
      </c>
      <c r="K49" s="17" t="s">
        <v>264</v>
      </c>
      <c r="L49" s="45"/>
      <c r="M49" s="45" t="s">
        <v>310</v>
      </c>
      <c r="N49" s="45" t="s">
        <v>269</v>
      </c>
      <c r="O49" s="7"/>
      <c r="P49" s="7"/>
      <c r="Q49" s="7"/>
      <c r="R49" s="7"/>
      <c r="S49" s="7"/>
      <c r="T49" s="7"/>
      <c r="U49" s="7"/>
    </row>
    <row r="50" spans="1:21" s="6" customFormat="1" ht="74.25" customHeight="1">
      <c r="A50" s="481"/>
      <c r="B50" s="481"/>
      <c r="C50" s="481"/>
      <c r="D50" s="481"/>
      <c r="E50" s="481"/>
      <c r="F50" s="481"/>
      <c r="G50" s="481"/>
      <c r="H50" s="484"/>
      <c r="I50" s="100" t="s">
        <v>312</v>
      </c>
      <c r="J50" s="18">
        <v>45717</v>
      </c>
      <c r="K50" s="17" t="s">
        <v>264</v>
      </c>
      <c r="L50" s="45"/>
      <c r="M50" s="45" t="s">
        <v>310</v>
      </c>
      <c r="N50" s="45" t="s">
        <v>269</v>
      </c>
      <c r="O50" s="7"/>
      <c r="P50" s="7"/>
      <c r="Q50" s="7"/>
      <c r="R50" s="7"/>
      <c r="S50" s="7"/>
      <c r="T50" s="7"/>
      <c r="U50" s="7"/>
    </row>
    <row r="51" spans="1:21" s="6" customFormat="1" ht="74.25" customHeight="1">
      <c r="A51" s="482"/>
      <c r="B51" s="482"/>
      <c r="C51" s="482"/>
      <c r="D51" s="482"/>
      <c r="E51" s="482"/>
      <c r="F51" s="482"/>
      <c r="G51" s="482"/>
      <c r="H51" s="485"/>
      <c r="I51" s="100" t="s">
        <v>313</v>
      </c>
      <c r="J51" s="18">
        <v>45717</v>
      </c>
      <c r="K51" s="17" t="s">
        <v>264</v>
      </c>
      <c r="L51" s="45"/>
      <c r="M51" s="45" t="s">
        <v>310</v>
      </c>
      <c r="N51" s="45" t="s">
        <v>269</v>
      </c>
      <c r="O51" s="7"/>
      <c r="P51" s="7"/>
      <c r="Q51" s="7"/>
      <c r="R51" s="7"/>
      <c r="S51" s="7"/>
      <c r="T51" s="7"/>
      <c r="U51" s="7"/>
    </row>
    <row r="52" spans="1:21" s="6" customFormat="1" ht="69.75" customHeight="1">
      <c r="A52" s="480"/>
      <c r="B52" s="480"/>
      <c r="C52" s="480" t="s">
        <v>14</v>
      </c>
      <c r="D52" s="480" t="s">
        <v>122</v>
      </c>
      <c r="E52" s="480" t="s">
        <v>123</v>
      </c>
      <c r="F52" s="480">
        <v>200</v>
      </c>
      <c r="G52" s="480" t="s">
        <v>87</v>
      </c>
      <c r="H52" s="483">
        <v>0.5</v>
      </c>
      <c r="I52" s="100" t="s">
        <v>314</v>
      </c>
      <c r="J52" s="18">
        <v>45717</v>
      </c>
      <c r="K52" s="17">
        <v>46022</v>
      </c>
      <c r="L52" s="45"/>
      <c r="M52" s="45" t="s">
        <v>310</v>
      </c>
      <c r="N52" s="45" t="s">
        <v>269</v>
      </c>
      <c r="O52" s="49"/>
      <c r="P52" s="7"/>
      <c r="Q52" s="7"/>
      <c r="R52" s="7"/>
      <c r="S52" s="7"/>
      <c r="T52" s="7"/>
      <c r="U52" s="7"/>
    </row>
    <row r="53" spans="1:21" s="6" customFormat="1" ht="69.75" customHeight="1">
      <c r="A53" s="481"/>
      <c r="B53" s="481"/>
      <c r="C53" s="481"/>
      <c r="D53" s="481"/>
      <c r="E53" s="481"/>
      <c r="F53" s="481"/>
      <c r="G53" s="481"/>
      <c r="H53" s="484"/>
      <c r="I53" s="100" t="s">
        <v>315</v>
      </c>
      <c r="J53" s="18">
        <v>45717</v>
      </c>
      <c r="K53" s="17">
        <v>46022</v>
      </c>
      <c r="L53" s="45"/>
      <c r="M53" s="45" t="s">
        <v>310</v>
      </c>
      <c r="N53" s="45" t="s">
        <v>269</v>
      </c>
      <c r="O53" s="49"/>
      <c r="P53" s="7"/>
      <c r="Q53" s="7"/>
      <c r="R53" s="7"/>
      <c r="S53" s="7"/>
      <c r="T53" s="7"/>
      <c r="U53" s="7"/>
    </row>
    <row r="54" spans="1:21" s="6" customFormat="1" ht="69.75" customHeight="1">
      <c r="A54" s="482"/>
      <c r="B54" s="482"/>
      <c r="C54" s="482"/>
      <c r="D54" s="482"/>
      <c r="E54" s="482"/>
      <c r="F54" s="482"/>
      <c r="G54" s="482"/>
      <c r="H54" s="485"/>
      <c r="I54" s="100" t="s">
        <v>316</v>
      </c>
      <c r="J54" s="18">
        <v>45717</v>
      </c>
      <c r="K54" s="17">
        <v>46022</v>
      </c>
      <c r="L54" s="45"/>
      <c r="M54" s="45" t="s">
        <v>310</v>
      </c>
      <c r="N54" s="45" t="s">
        <v>269</v>
      </c>
      <c r="O54" s="49"/>
      <c r="P54" s="7"/>
      <c r="Q54" s="7"/>
      <c r="R54" s="7"/>
      <c r="S54" s="7"/>
      <c r="T54" s="7"/>
      <c r="U54" s="7"/>
    </row>
    <row r="55" spans="1:21" s="6" customFormat="1" ht="72.75" customHeight="1">
      <c r="A55" s="480"/>
      <c r="B55" s="480"/>
      <c r="C55" s="480" t="s">
        <v>15</v>
      </c>
      <c r="D55" s="480" t="s">
        <v>125</v>
      </c>
      <c r="E55" s="480" t="s">
        <v>126</v>
      </c>
      <c r="F55" s="480">
        <v>1</v>
      </c>
      <c r="G55" s="480" t="s">
        <v>87</v>
      </c>
      <c r="H55" s="483">
        <v>0.2</v>
      </c>
      <c r="I55" s="100" t="s">
        <v>317</v>
      </c>
      <c r="J55" s="18">
        <v>45717</v>
      </c>
      <c r="K55" s="17">
        <v>46022</v>
      </c>
      <c r="L55" s="45"/>
      <c r="M55" s="45" t="s">
        <v>310</v>
      </c>
      <c r="N55" s="45" t="s">
        <v>269</v>
      </c>
      <c r="O55" s="7"/>
      <c r="P55" s="7"/>
      <c r="Q55" s="7"/>
      <c r="R55" s="7"/>
      <c r="S55" s="7"/>
      <c r="T55" s="7"/>
      <c r="U55" s="7"/>
    </row>
    <row r="56" spans="1:21" s="6" customFormat="1" ht="72.75" customHeight="1">
      <c r="A56" s="481"/>
      <c r="B56" s="481"/>
      <c r="C56" s="481"/>
      <c r="D56" s="481"/>
      <c r="E56" s="481"/>
      <c r="F56" s="481"/>
      <c r="G56" s="481"/>
      <c r="H56" s="484"/>
      <c r="I56" s="100" t="s">
        <v>318</v>
      </c>
      <c r="J56" s="18">
        <v>45717</v>
      </c>
      <c r="K56" s="17">
        <v>46022</v>
      </c>
      <c r="L56" s="45"/>
      <c r="M56" s="45" t="s">
        <v>310</v>
      </c>
      <c r="N56" s="45" t="s">
        <v>269</v>
      </c>
      <c r="O56" s="7"/>
      <c r="P56" s="7"/>
      <c r="Q56" s="7"/>
      <c r="R56" s="7"/>
      <c r="S56" s="7"/>
      <c r="T56" s="7"/>
      <c r="U56" s="7"/>
    </row>
    <row r="57" spans="1:21" s="6" customFormat="1" ht="72.75" customHeight="1">
      <c r="A57" s="482"/>
      <c r="B57" s="482"/>
      <c r="C57" s="482"/>
      <c r="D57" s="482"/>
      <c r="E57" s="482"/>
      <c r="F57" s="482"/>
      <c r="G57" s="482"/>
      <c r="H57" s="485"/>
      <c r="I57" s="100" t="s">
        <v>319</v>
      </c>
      <c r="J57" s="18">
        <v>45717</v>
      </c>
      <c r="K57" s="17">
        <v>46022</v>
      </c>
      <c r="L57" s="45"/>
      <c r="M57" s="45" t="s">
        <v>310</v>
      </c>
      <c r="N57" s="45" t="s">
        <v>269</v>
      </c>
      <c r="O57" s="7"/>
      <c r="P57" s="7"/>
      <c r="Q57" s="7"/>
      <c r="R57" s="7"/>
      <c r="S57" s="7"/>
      <c r="T57" s="7"/>
      <c r="U57" s="7"/>
    </row>
    <row r="58" spans="1:21" s="5" customFormat="1" ht="49.5" customHeight="1">
      <c r="A58" s="10">
        <v>3</v>
      </c>
      <c r="B58" s="10" t="s">
        <v>28</v>
      </c>
      <c r="C58" s="10" t="s">
        <v>17</v>
      </c>
      <c r="D58" s="11" t="s">
        <v>127</v>
      </c>
      <c r="E58" s="40" t="s">
        <v>128</v>
      </c>
      <c r="F58" s="40" t="s">
        <v>129</v>
      </c>
      <c r="G58" s="40"/>
      <c r="H58" s="23">
        <v>0.15</v>
      </c>
      <c r="I58" s="23"/>
      <c r="J58" s="12"/>
      <c r="K58" s="12"/>
      <c r="L58" s="10"/>
      <c r="M58" s="10"/>
      <c r="N58" s="10"/>
      <c r="O58" s="7"/>
      <c r="P58" s="7"/>
      <c r="Q58" s="7"/>
      <c r="R58" s="7"/>
      <c r="S58" s="7"/>
      <c r="T58" s="7"/>
      <c r="U58" s="7"/>
    </row>
    <row r="59" spans="1:21" s="5" customFormat="1" ht="63.75" customHeight="1">
      <c r="A59" s="492"/>
      <c r="B59" s="492"/>
      <c r="C59" s="492" t="s">
        <v>18</v>
      </c>
      <c r="D59" s="495" t="s">
        <v>27</v>
      </c>
      <c r="E59" s="492" t="s">
        <v>130</v>
      </c>
      <c r="F59" s="492">
        <v>1</v>
      </c>
      <c r="G59" s="492" t="s">
        <v>91</v>
      </c>
      <c r="H59" s="498">
        <v>0.1</v>
      </c>
      <c r="I59" s="100" t="s">
        <v>320</v>
      </c>
      <c r="J59" s="18">
        <v>45717</v>
      </c>
      <c r="K59" s="17" t="s">
        <v>264</v>
      </c>
      <c r="L59" s="45"/>
      <c r="M59" s="45" t="s">
        <v>257</v>
      </c>
      <c r="N59" s="45" t="s">
        <v>258</v>
      </c>
      <c r="O59" s="7"/>
      <c r="P59" s="7"/>
      <c r="Q59" s="7"/>
      <c r="R59" s="7"/>
      <c r="S59" s="7"/>
      <c r="T59" s="7"/>
      <c r="U59" s="7"/>
    </row>
    <row r="60" spans="1:21" s="5" customFormat="1" ht="63.75" customHeight="1">
      <c r="A60" s="493"/>
      <c r="B60" s="493"/>
      <c r="C60" s="493"/>
      <c r="D60" s="496"/>
      <c r="E60" s="493"/>
      <c r="F60" s="493"/>
      <c r="G60" s="493"/>
      <c r="H60" s="499"/>
      <c r="I60" s="100" t="s">
        <v>321</v>
      </c>
      <c r="J60" s="18">
        <v>45717</v>
      </c>
      <c r="K60" s="17" t="s">
        <v>261</v>
      </c>
      <c r="L60" s="45"/>
      <c r="M60" s="45" t="s">
        <v>257</v>
      </c>
      <c r="N60" s="45" t="s">
        <v>258</v>
      </c>
      <c r="O60" s="7"/>
      <c r="P60" s="7"/>
      <c r="Q60" s="7"/>
      <c r="R60" s="7"/>
      <c r="S60" s="7"/>
      <c r="T60" s="7"/>
      <c r="U60" s="7"/>
    </row>
    <row r="61" spans="1:21" s="5" customFormat="1" ht="63.75" customHeight="1">
      <c r="A61" s="493"/>
      <c r="B61" s="493"/>
      <c r="C61" s="493"/>
      <c r="D61" s="496"/>
      <c r="E61" s="493"/>
      <c r="F61" s="493"/>
      <c r="G61" s="493"/>
      <c r="H61" s="499"/>
      <c r="I61" s="100" t="s">
        <v>322</v>
      </c>
      <c r="J61" s="18">
        <v>45717</v>
      </c>
      <c r="K61" s="17" t="s">
        <v>264</v>
      </c>
      <c r="L61" s="45"/>
      <c r="M61" s="45" t="s">
        <v>257</v>
      </c>
      <c r="N61" s="45" t="s">
        <v>258</v>
      </c>
      <c r="O61" s="7"/>
      <c r="P61" s="7"/>
      <c r="Q61" s="7"/>
      <c r="R61" s="7"/>
      <c r="S61" s="7"/>
      <c r="T61" s="7"/>
      <c r="U61" s="7"/>
    </row>
    <row r="62" spans="1:21" s="5" customFormat="1" ht="63.75" customHeight="1">
      <c r="A62" s="494"/>
      <c r="B62" s="494"/>
      <c r="C62" s="494"/>
      <c r="D62" s="497"/>
      <c r="E62" s="494"/>
      <c r="F62" s="494"/>
      <c r="G62" s="494"/>
      <c r="H62" s="500"/>
      <c r="I62" s="100" t="s">
        <v>323</v>
      </c>
      <c r="J62" s="18">
        <v>45717</v>
      </c>
      <c r="K62" s="17" t="s">
        <v>264</v>
      </c>
      <c r="L62" s="45"/>
      <c r="M62" s="45" t="s">
        <v>257</v>
      </c>
      <c r="N62" s="45" t="s">
        <v>258</v>
      </c>
      <c r="O62" s="7"/>
      <c r="P62" s="7"/>
      <c r="Q62" s="7"/>
      <c r="R62" s="7"/>
      <c r="S62" s="7"/>
      <c r="T62" s="7"/>
      <c r="U62" s="7"/>
    </row>
    <row r="63" spans="1:21" s="6" customFormat="1" ht="60.75" customHeight="1">
      <c r="A63" s="480"/>
      <c r="B63" s="480"/>
      <c r="C63" s="480" t="s">
        <v>131</v>
      </c>
      <c r="D63" s="480" t="s">
        <v>88</v>
      </c>
      <c r="E63" s="480" t="s">
        <v>89</v>
      </c>
      <c r="F63" s="480" t="s">
        <v>90</v>
      </c>
      <c r="G63" s="480" t="s">
        <v>91</v>
      </c>
      <c r="H63" s="483">
        <v>0.4</v>
      </c>
      <c r="I63" s="100" t="s">
        <v>256</v>
      </c>
      <c r="J63" s="18">
        <v>45658</v>
      </c>
      <c r="K63" s="17">
        <v>45717</v>
      </c>
      <c r="L63" s="45"/>
      <c r="M63" s="45" t="s">
        <v>257</v>
      </c>
      <c r="N63" s="45" t="s">
        <v>258</v>
      </c>
      <c r="O63" s="7"/>
      <c r="P63" s="7"/>
      <c r="Q63" s="7"/>
      <c r="R63" s="7"/>
      <c r="S63" s="7"/>
      <c r="T63" s="7"/>
      <c r="U63" s="7"/>
    </row>
    <row r="64" spans="1:21" s="6" customFormat="1" ht="46.5" customHeight="1">
      <c r="A64" s="481"/>
      <c r="B64" s="481"/>
      <c r="C64" s="481"/>
      <c r="D64" s="481"/>
      <c r="E64" s="481"/>
      <c r="F64" s="481"/>
      <c r="G64" s="481"/>
      <c r="H64" s="484"/>
      <c r="I64" s="100" t="s">
        <v>259</v>
      </c>
      <c r="J64" s="18">
        <v>45658</v>
      </c>
      <c r="K64" s="17">
        <v>45717</v>
      </c>
      <c r="L64" s="45"/>
      <c r="M64" s="45" t="s">
        <v>257</v>
      </c>
      <c r="N64" s="45" t="s">
        <v>258</v>
      </c>
      <c r="O64" s="7"/>
      <c r="P64" s="7"/>
      <c r="Q64" s="7"/>
      <c r="R64" s="7"/>
      <c r="S64" s="7"/>
      <c r="T64" s="7"/>
      <c r="U64" s="7"/>
    </row>
    <row r="65" spans="1:21" s="6" customFormat="1" ht="46.5" customHeight="1">
      <c r="A65" s="481"/>
      <c r="B65" s="481"/>
      <c r="C65" s="481"/>
      <c r="D65" s="481"/>
      <c r="E65" s="481"/>
      <c r="F65" s="481"/>
      <c r="G65" s="481"/>
      <c r="H65" s="484"/>
      <c r="I65" s="100" t="s">
        <v>260</v>
      </c>
      <c r="J65" s="18">
        <v>45717</v>
      </c>
      <c r="K65" s="17" t="s">
        <v>261</v>
      </c>
      <c r="L65" s="45"/>
      <c r="M65" s="45" t="s">
        <v>257</v>
      </c>
      <c r="N65" s="45" t="s">
        <v>258</v>
      </c>
      <c r="O65" s="7"/>
      <c r="P65" s="7"/>
      <c r="Q65" s="7"/>
      <c r="R65" s="7"/>
      <c r="S65" s="7"/>
      <c r="T65" s="7"/>
      <c r="U65" s="7"/>
    </row>
    <row r="66" spans="1:21" s="6" customFormat="1" ht="46.5" customHeight="1">
      <c r="A66" s="481"/>
      <c r="B66" s="481"/>
      <c r="C66" s="481"/>
      <c r="D66" s="481"/>
      <c r="E66" s="481"/>
      <c r="F66" s="481"/>
      <c r="G66" s="481"/>
      <c r="H66" s="484"/>
      <c r="I66" s="100" t="s">
        <v>262</v>
      </c>
      <c r="J66" s="18">
        <v>45717</v>
      </c>
      <c r="K66" s="17" t="s">
        <v>261</v>
      </c>
      <c r="L66" s="45"/>
      <c r="M66" s="45" t="s">
        <v>257</v>
      </c>
      <c r="N66" s="45" t="s">
        <v>258</v>
      </c>
      <c r="O66" s="7"/>
      <c r="P66" s="7"/>
      <c r="Q66" s="7"/>
      <c r="R66" s="7"/>
      <c r="S66" s="7"/>
      <c r="T66" s="7"/>
      <c r="U66" s="7"/>
    </row>
    <row r="67" spans="1:21" s="6" customFormat="1" ht="46.5" customHeight="1">
      <c r="A67" s="481"/>
      <c r="B67" s="481"/>
      <c r="C67" s="481"/>
      <c r="D67" s="481"/>
      <c r="E67" s="481"/>
      <c r="F67" s="481"/>
      <c r="G67" s="481"/>
      <c r="H67" s="484"/>
      <c r="I67" s="100" t="s">
        <v>263</v>
      </c>
      <c r="J67" s="18">
        <v>45717</v>
      </c>
      <c r="K67" s="17" t="s">
        <v>264</v>
      </c>
      <c r="L67" s="45"/>
      <c r="M67" s="45" t="s">
        <v>257</v>
      </c>
      <c r="N67" s="45" t="s">
        <v>258</v>
      </c>
      <c r="O67" s="7"/>
      <c r="P67" s="7"/>
      <c r="Q67" s="7"/>
      <c r="R67" s="7"/>
      <c r="S67" s="7"/>
      <c r="T67" s="7"/>
      <c r="U67" s="7"/>
    </row>
    <row r="68" spans="1:21" s="6" customFormat="1" ht="46.5" customHeight="1">
      <c r="A68" s="481"/>
      <c r="B68" s="481"/>
      <c r="C68" s="481"/>
      <c r="D68" s="481"/>
      <c r="E68" s="481"/>
      <c r="F68" s="481"/>
      <c r="G68" s="481"/>
      <c r="H68" s="484"/>
      <c r="I68" s="100" t="s">
        <v>265</v>
      </c>
      <c r="J68" s="18">
        <v>45717</v>
      </c>
      <c r="K68" s="17" t="s">
        <v>264</v>
      </c>
      <c r="L68" s="45"/>
      <c r="M68" s="45" t="s">
        <v>257</v>
      </c>
      <c r="N68" s="45" t="s">
        <v>258</v>
      </c>
      <c r="O68" s="7"/>
      <c r="P68" s="7"/>
      <c r="Q68" s="7"/>
      <c r="R68" s="7"/>
      <c r="S68" s="7"/>
      <c r="T68" s="7"/>
      <c r="U68" s="7"/>
    </row>
    <row r="69" spans="1:21" s="6" customFormat="1" ht="46.5" customHeight="1">
      <c r="A69" s="482"/>
      <c r="B69" s="482"/>
      <c r="C69" s="482"/>
      <c r="D69" s="482"/>
      <c r="E69" s="482"/>
      <c r="F69" s="482"/>
      <c r="G69" s="482"/>
      <c r="H69" s="485"/>
      <c r="I69" s="100" t="s">
        <v>266</v>
      </c>
      <c r="J69" s="18">
        <v>45741</v>
      </c>
      <c r="K69" s="17" t="s">
        <v>264</v>
      </c>
      <c r="L69" s="45"/>
      <c r="M69" s="45" t="s">
        <v>257</v>
      </c>
      <c r="N69" s="45" t="s">
        <v>258</v>
      </c>
      <c r="O69" s="7"/>
      <c r="P69" s="7"/>
      <c r="Q69" s="7"/>
      <c r="R69" s="7"/>
      <c r="S69" s="7"/>
      <c r="T69" s="7"/>
      <c r="U69" s="7"/>
    </row>
    <row r="70" spans="1:21" s="6" customFormat="1" ht="64.5" customHeight="1">
      <c r="A70" s="480"/>
      <c r="B70" s="480"/>
      <c r="C70" s="480" t="s">
        <v>132</v>
      </c>
      <c r="D70" s="480" t="s">
        <v>133</v>
      </c>
      <c r="E70" s="480" t="s">
        <v>97</v>
      </c>
      <c r="F70" s="480" t="s">
        <v>98</v>
      </c>
      <c r="G70" s="480" t="s">
        <v>91</v>
      </c>
      <c r="H70" s="401">
        <v>0.3</v>
      </c>
      <c r="I70" s="100" t="s">
        <v>267</v>
      </c>
      <c r="J70" s="18">
        <v>45658</v>
      </c>
      <c r="K70" s="17">
        <v>45717</v>
      </c>
      <c r="L70" s="45"/>
      <c r="M70" s="45" t="s">
        <v>268</v>
      </c>
      <c r="N70" s="45" t="s">
        <v>269</v>
      </c>
      <c r="O70" s="7"/>
      <c r="P70" s="7"/>
      <c r="Q70" s="7"/>
      <c r="R70" s="7"/>
      <c r="S70" s="7"/>
      <c r="T70" s="7"/>
      <c r="U70" s="7"/>
    </row>
    <row r="71" spans="1:21" s="6" customFormat="1" ht="54" customHeight="1">
      <c r="A71" s="481"/>
      <c r="B71" s="481"/>
      <c r="C71" s="481"/>
      <c r="D71" s="481"/>
      <c r="E71" s="481"/>
      <c r="F71" s="481"/>
      <c r="G71" s="481"/>
      <c r="H71" s="491"/>
      <c r="I71" s="100" t="s">
        <v>270</v>
      </c>
      <c r="J71" s="18">
        <v>45658</v>
      </c>
      <c r="K71" s="17">
        <v>45717</v>
      </c>
      <c r="L71" s="45"/>
      <c r="M71" s="45" t="s">
        <v>268</v>
      </c>
      <c r="N71" s="45" t="s">
        <v>269</v>
      </c>
      <c r="O71" s="7"/>
      <c r="P71" s="7"/>
      <c r="Q71" s="7"/>
      <c r="R71" s="7"/>
      <c r="S71" s="7"/>
      <c r="T71" s="7"/>
      <c r="U71" s="7"/>
    </row>
    <row r="72" spans="1:21" s="6" customFormat="1" ht="54" customHeight="1">
      <c r="A72" s="481"/>
      <c r="B72" s="481"/>
      <c r="C72" s="481"/>
      <c r="D72" s="481"/>
      <c r="E72" s="481"/>
      <c r="F72" s="481"/>
      <c r="G72" s="481"/>
      <c r="H72" s="491"/>
      <c r="I72" s="100" t="s">
        <v>324</v>
      </c>
      <c r="J72" s="18">
        <v>45717</v>
      </c>
      <c r="K72" s="17" t="s">
        <v>261</v>
      </c>
      <c r="L72" s="45"/>
      <c r="M72" s="45" t="s">
        <v>268</v>
      </c>
      <c r="N72" s="45" t="s">
        <v>269</v>
      </c>
      <c r="O72" s="7"/>
      <c r="P72" s="7"/>
      <c r="Q72" s="7"/>
      <c r="R72" s="7"/>
      <c r="S72" s="7"/>
      <c r="T72" s="7"/>
      <c r="U72" s="7"/>
    </row>
    <row r="73" spans="1:21" s="6" customFormat="1" ht="54" customHeight="1">
      <c r="A73" s="481"/>
      <c r="B73" s="481"/>
      <c r="C73" s="481"/>
      <c r="D73" s="481"/>
      <c r="E73" s="481"/>
      <c r="F73" s="481"/>
      <c r="G73" s="481"/>
      <c r="H73" s="491"/>
      <c r="I73" s="100" t="s">
        <v>325</v>
      </c>
      <c r="J73" s="18">
        <v>45717</v>
      </c>
      <c r="K73" s="17" t="s">
        <v>261</v>
      </c>
      <c r="L73" s="45"/>
      <c r="M73" s="45" t="s">
        <v>268</v>
      </c>
      <c r="N73" s="45" t="s">
        <v>269</v>
      </c>
      <c r="O73" s="7"/>
      <c r="P73" s="7"/>
      <c r="Q73" s="7"/>
      <c r="R73" s="7"/>
      <c r="S73" s="7"/>
      <c r="T73" s="7"/>
      <c r="U73" s="7"/>
    </row>
    <row r="74" spans="1:21" s="6" customFormat="1" ht="54" customHeight="1">
      <c r="A74" s="481"/>
      <c r="B74" s="481"/>
      <c r="C74" s="481"/>
      <c r="D74" s="481"/>
      <c r="E74" s="481"/>
      <c r="F74" s="481"/>
      <c r="G74" s="481"/>
      <c r="H74" s="491"/>
      <c r="I74" s="100" t="s">
        <v>273</v>
      </c>
      <c r="J74" s="18">
        <v>45717</v>
      </c>
      <c r="K74" s="17" t="s">
        <v>264</v>
      </c>
      <c r="L74" s="45"/>
      <c r="M74" s="45" t="s">
        <v>268</v>
      </c>
      <c r="N74" s="45" t="s">
        <v>269</v>
      </c>
      <c r="O74" s="7"/>
      <c r="P74" s="7"/>
      <c r="Q74" s="7"/>
      <c r="R74" s="7"/>
      <c r="S74" s="7"/>
      <c r="T74" s="7"/>
      <c r="U74" s="7"/>
    </row>
    <row r="75" spans="1:21" s="6" customFormat="1" ht="54" customHeight="1">
      <c r="A75" s="481"/>
      <c r="B75" s="481"/>
      <c r="C75" s="481"/>
      <c r="D75" s="481"/>
      <c r="E75" s="481"/>
      <c r="F75" s="481"/>
      <c r="G75" s="481"/>
      <c r="H75" s="491"/>
      <c r="I75" s="100" t="s">
        <v>274</v>
      </c>
      <c r="J75" s="18">
        <v>45717</v>
      </c>
      <c r="K75" s="17" t="s">
        <v>264</v>
      </c>
      <c r="L75" s="45"/>
      <c r="M75" s="45" t="s">
        <v>268</v>
      </c>
      <c r="N75" s="45" t="s">
        <v>269</v>
      </c>
      <c r="O75" s="7"/>
      <c r="P75" s="7"/>
      <c r="Q75" s="7"/>
      <c r="R75" s="7"/>
      <c r="S75" s="7"/>
      <c r="T75" s="7"/>
      <c r="U75" s="7"/>
    </row>
    <row r="76" spans="1:21" s="6" customFormat="1" ht="54" customHeight="1">
      <c r="A76" s="482"/>
      <c r="B76" s="482"/>
      <c r="C76" s="482"/>
      <c r="D76" s="482"/>
      <c r="E76" s="482"/>
      <c r="F76" s="482"/>
      <c r="G76" s="482"/>
      <c r="H76" s="402"/>
      <c r="I76" s="100" t="s">
        <v>275</v>
      </c>
      <c r="J76" s="18">
        <v>45717</v>
      </c>
      <c r="K76" s="17" t="s">
        <v>264</v>
      </c>
      <c r="L76" s="45"/>
      <c r="M76" s="45" t="s">
        <v>268</v>
      </c>
      <c r="N76" s="45" t="s">
        <v>269</v>
      </c>
      <c r="O76" s="7"/>
      <c r="P76" s="7"/>
      <c r="Q76" s="7"/>
      <c r="R76" s="7"/>
      <c r="S76" s="7"/>
      <c r="T76" s="7"/>
      <c r="U76" s="7"/>
    </row>
    <row r="77" spans="1:21" s="6" customFormat="1" ht="31.5">
      <c r="A77" s="480"/>
      <c r="B77" s="480"/>
      <c r="C77" s="480" t="s">
        <v>134</v>
      </c>
      <c r="D77" s="480" t="s">
        <v>109</v>
      </c>
      <c r="E77" s="480" t="s">
        <v>106</v>
      </c>
      <c r="F77" s="480" t="s">
        <v>110</v>
      </c>
      <c r="G77" s="480" t="s">
        <v>87</v>
      </c>
      <c r="H77" s="401">
        <v>0.2</v>
      </c>
      <c r="I77" s="100" t="s">
        <v>301</v>
      </c>
      <c r="J77" s="18">
        <v>45717</v>
      </c>
      <c r="K77" s="17">
        <v>46022</v>
      </c>
      <c r="L77" s="45"/>
      <c r="M77" s="45" t="s">
        <v>257</v>
      </c>
      <c r="N77" s="45" t="s">
        <v>258</v>
      </c>
      <c r="O77" s="7"/>
      <c r="P77" s="7"/>
      <c r="Q77" s="7"/>
      <c r="R77" s="7"/>
      <c r="S77" s="7"/>
      <c r="T77" s="7"/>
      <c r="U77" s="7"/>
    </row>
    <row r="78" spans="1:21" s="6" customFormat="1" ht="31.5">
      <c r="A78" s="481"/>
      <c r="B78" s="481"/>
      <c r="C78" s="481"/>
      <c r="D78" s="481"/>
      <c r="E78" s="481"/>
      <c r="F78" s="481"/>
      <c r="G78" s="481"/>
      <c r="H78" s="491"/>
      <c r="I78" s="100" t="s">
        <v>302</v>
      </c>
      <c r="J78" s="18">
        <v>45717</v>
      </c>
      <c r="K78" s="17">
        <v>46022</v>
      </c>
      <c r="L78" s="45"/>
      <c r="M78" s="45" t="s">
        <v>257</v>
      </c>
      <c r="N78" s="45" t="s">
        <v>258</v>
      </c>
      <c r="O78" s="7"/>
      <c r="P78" s="7"/>
      <c r="Q78" s="7"/>
      <c r="R78" s="7"/>
      <c r="S78" s="7"/>
      <c r="T78" s="7"/>
      <c r="U78" s="7"/>
    </row>
    <row r="79" spans="1:21" s="6" customFormat="1" ht="31.5">
      <c r="A79" s="481"/>
      <c r="B79" s="481"/>
      <c r="C79" s="481"/>
      <c r="D79" s="481"/>
      <c r="E79" s="481"/>
      <c r="F79" s="481"/>
      <c r="G79" s="481"/>
      <c r="H79" s="491"/>
      <c r="I79" s="100" t="s">
        <v>303</v>
      </c>
      <c r="J79" s="18">
        <v>45717</v>
      </c>
      <c r="K79" s="17">
        <v>46022</v>
      </c>
      <c r="L79" s="45"/>
      <c r="M79" s="45" t="s">
        <v>257</v>
      </c>
      <c r="N79" s="45" t="s">
        <v>258</v>
      </c>
      <c r="O79" s="7"/>
      <c r="P79" s="7"/>
      <c r="Q79" s="7"/>
      <c r="R79" s="7"/>
      <c r="S79" s="7"/>
      <c r="T79" s="7"/>
      <c r="U79" s="7"/>
    </row>
    <row r="80" spans="1:21" s="6" customFormat="1" ht="31.5">
      <c r="A80" s="482"/>
      <c r="B80" s="482"/>
      <c r="C80" s="482"/>
      <c r="D80" s="482"/>
      <c r="E80" s="482"/>
      <c r="F80" s="482"/>
      <c r="G80" s="482"/>
      <c r="H80" s="402"/>
      <c r="I80" s="100" t="s">
        <v>304</v>
      </c>
      <c r="J80" s="18">
        <v>45717</v>
      </c>
      <c r="K80" s="17">
        <v>46022</v>
      </c>
      <c r="L80" s="45"/>
      <c r="M80" s="45" t="s">
        <v>257</v>
      </c>
      <c r="N80" s="45" t="s">
        <v>258</v>
      </c>
      <c r="O80" s="7"/>
      <c r="P80" s="7"/>
      <c r="Q80" s="7"/>
      <c r="R80" s="7"/>
      <c r="S80" s="7"/>
      <c r="T80" s="7"/>
      <c r="U80" s="7"/>
    </row>
    <row r="81" spans="1:21" s="5" customFormat="1" ht="38.1" customHeight="1">
      <c r="A81" s="10">
        <v>4</v>
      </c>
      <c r="B81" s="10" t="s">
        <v>29</v>
      </c>
      <c r="C81" s="10" t="s">
        <v>19</v>
      </c>
      <c r="D81" s="11" t="s">
        <v>135</v>
      </c>
      <c r="E81" s="40"/>
      <c r="F81" s="40"/>
      <c r="G81" s="40"/>
      <c r="H81" s="23">
        <v>0.05</v>
      </c>
      <c r="I81" s="23"/>
      <c r="J81" s="12"/>
      <c r="K81" s="12"/>
      <c r="L81" s="10"/>
      <c r="M81" s="10"/>
      <c r="N81" s="10"/>
      <c r="O81" s="7"/>
      <c r="P81" s="7"/>
      <c r="Q81" s="7"/>
      <c r="R81" s="7"/>
      <c r="S81" s="7"/>
      <c r="T81" s="7"/>
      <c r="U81" s="7"/>
    </row>
    <row r="82" spans="1:21" s="5" customFormat="1" ht="31.5">
      <c r="A82" s="480"/>
      <c r="B82" s="480"/>
      <c r="C82" s="480" t="s">
        <v>136</v>
      </c>
      <c r="D82" s="480" t="s">
        <v>137</v>
      </c>
      <c r="E82" s="480" t="s">
        <v>138</v>
      </c>
      <c r="F82" s="490">
        <v>1</v>
      </c>
      <c r="G82" s="480" t="s">
        <v>87</v>
      </c>
      <c r="H82" s="483">
        <v>0.4</v>
      </c>
      <c r="I82" s="100" t="s">
        <v>326</v>
      </c>
      <c r="J82" s="18">
        <v>45717</v>
      </c>
      <c r="K82" s="17">
        <v>46022</v>
      </c>
      <c r="L82" s="45"/>
      <c r="M82" s="45" t="s">
        <v>257</v>
      </c>
      <c r="N82" s="45" t="s">
        <v>258</v>
      </c>
      <c r="O82" s="7"/>
      <c r="P82" s="7"/>
      <c r="Q82" s="7"/>
      <c r="R82" s="7"/>
      <c r="S82" s="7"/>
      <c r="T82" s="7"/>
      <c r="U82" s="7"/>
    </row>
    <row r="83" spans="1:21" s="5" customFormat="1" ht="31.5">
      <c r="A83" s="481"/>
      <c r="B83" s="481"/>
      <c r="C83" s="481"/>
      <c r="D83" s="481"/>
      <c r="E83" s="481"/>
      <c r="F83" s="481"/>
      <c r="G83" s="481"/>
      <c r="H83" s="484"/>
      <c r="I83" s="100" t="s">
        <v>327</v>
      </c>
      <c r="J83" s="18">
        <v>45717</v>
      </c>
      <c r="K83" s="17">
        <v>46022</v>
      </c>
      <c r="L83" s="45"/>
      <c r="M83" s="45" t="s">
        <v>257</v>
      </c>
      <c r="N83" s="45" t="s">
        <v>258</v>
      </c>
      <c r="O83" s="7"/>
      <c r="P83" s="7"/>
      <c r="Q83" s="7"/>
      <c r="R83" s="7"/>
      <c r="S83" s="7"/>
      <c r="T83" s="7"/>
      <c r="U83" s="7"/>
    </row>
    <row r="84" spans="1:21" s="5" customFormat="1" ht="31.5">
      <c r="A84" s="481"/>
      <c r="B84" s="481"/>
      <c r="C84" s="481"/>
      <c r="D84" s="481"/>
      <c r="E84" s="481"/>
      <c r="F84" s="481"/>
      <c r="G84" s="481"/>
      <c r="H84" s="484"/>
      <c r="I84" s="100" t="s">
        <v>328</v>
      </c>
      <c r="J84" s="18">
        <v>45717</v>
      </c>
      <c r="K84" s="17">
        <v>46022</v>
      </c>
      <c r="L84" s="45"/>
      <c r="M84" s="45" t="s">
        <v>257</v>
      </c>
      <c r="N84" s="45" t="s">
        <v>258</v>
      </c>
      <c r="O84" s="7"/>
      <c r="P84" s="7"/>
      <c r="Q84" s="7"/>
      <c r="R84" s="7"/>
      <c r="S84" s="7"/>
      <c r="T84" s="7"/>
      <c r="U84" s="7"/>
    </row>
    <row r="85" spans="1:21" s="5" customFormat="1" ht="31.5">
      <c r="A85" s="481"/>
      <c r="B85" s="481"/>
      <c r="C85" s="481"/>
      <c r="D85" s="481"/>
      <c r="E85" s="481"/>
      <c r="F85" s="481"/>
      <c r="G85" s="481"/>
      <c r="H85" s="484"/>
      <c r="I85" s="100" t="s">
        <v>329</v>
      </c>
      <c r="J85" s="18">
        <v>45717</v>
      </c>
      <c r="K85" s="17">
        <v>46022</v>
      </c>
      <c r="L85" s="45"/>
      <c r="M85" s="45" t="s">
        <v>257</v>
      </c>
      <c r="N85" s="45" t="s">
        <v>258</v>
      </c>
      <c r="O85" s="7"/>
      <c r="P85" s="7"/>
      <c r="Q85" s="7"/>
      <c r="R85" s="7"/>
      <c r="S85" s="7"/>
      <c r="T85" s="7"/>
      <c r="U85" s="7"/>
    </row>
    <row r="86" spans="1:21" s="5" customFormat="1" ht="31.5">
      <c r="A86" s="482"/>
      <c r="B86" s="482"/>
      <c r="C86" s="482"/>
      <c r="D86" s="482"/>
      <c r="E86" s="482"/>
      <c r="F86" s="482"/>
      <c r="G86" s="482"/>
      <c r="H86" s="485"/>
      <c r="I86" s="100" t="s">
        <v>308</v>
      </c>
      <c r="J86" s="18">
        <v>45717</v>
      </c>
      <c r="K86" s="17">
        <v>46022</v>
      </c>
      <c r="L86" s="45"/>
      <c r="M86" s="45" t="s">
        <v>257</v>
      </c>
      <c r="N86" s="45" t="s">
        <v>258</v>
      </c>
      <c r="O86" s="7"/>
      <c r="P86" s="7"/>
      <c r="Q86" s="7"/>
      <c r="R86" s="7"/>
      <c r="S86" s="7"/>
      <c r="T86" s="7"/>
      <c r="U86" s="7"/>
    </row>
    <row r="87" spans="1:21" s="5" customFormat="1" ht="31.5">
      <c r="A87" s="480"/>
      <c r="B87" s="480"/>
      <c r="C87" s="480" t="s">
        <v>139</v>
      </c>
      <c r="D87" s="480" t="s">
        <v>140</v>
      </c>
      <c r="E87" s="480" t="s">
        <v>141</v>
      </c>
      <c r="F87" s="490">
        <v>1</v>
      </c>
      <c r="G87" s="480" t="s">
        <v>87</v>
      </c>
      <c r="H87" s="483">
        <v>0.2</v>
      </c>
      <c r="I87" s="100" t="s">
        <v>330</v>
      </c>
      <c r="J87" s="18">
        <v>45717</v>
      </c>
      <c r="K87" s="17">
        <v>46022</v>
      </c>
      <c r="L87" s="45"/>
      <c r="M87" s="45" t="s">
        <v>331</v>
      </c>
      <c r="N87" s="45" t="s">
        <v>258</v>
      </c>
      <c r="O87" s="7"/>
      <c r="P87" s="7"/>
      <c r="Q87" s="7"/>
      <c r="R87" s="7"/>
      <c r="S87" s="7"/>
      <c r="T87" s="7"/>
      <c r="U87" s="7"/>
    </row>
    <row r="88" spans="1:21" s="5" customFormat="1" ht="31.5">
      <c r="A88" s="481"/>
      <c r="B88" s="481"/>
      <c r="C88" s="481"/>
      <c r="D88" s="481"/>
      <c r="E88" s="481"/>
      <c r="F88" s="481"/>
      <c r="G88" s="481"/>
      <c r="H88" s="484"/>
      <c r="I88" s="100" t="s">
        <v>332</v>
      </c>
      <c r="J88" s="18">
        <v>45717</v>
      </c>
      <c r="K88" s="17">
        <v>46022</v>
      </c>
      <c r="L88" s="45"/>
      <c r="M88" s="45" t="s">
        <v>331</v>
      </c>
      <c r="N88" s="45" t="s">
        <v>258</v>
      </c>
      <c r="O88" s="7"/>
      <c r="P88" s="7"/>
      <c r="Q88" s="7"/>
      <c r="R88" s="7"/>
      <c r="S88" s="7"/>
      <c r="T88" s="7"/>
      <c r="U88" s="7"/>
    </row>
    <row r="89" spans="1:21" s="5" customFormat="1" ht="31.5">
      <c r="A89" s="481"/>
      <c r="B89" s="481"/>
      <c r="C89" s="481"/>
      <c r="D89" s="481"/>
      <c r="E89" s="481"/>
      <c r="F89" s="481"/>
      <c r="G89" s="481"/>
      <c r="H89" s="484"/>
      <c r="I89" s="100" t="s">
        <v>333</v>
      </c>
      <c r="J89" s="18">
        <v>45717</v>
      </c>
      <c r="K89" s="17">
        <v>46022</v>
      </c>
      <c r="L89" s="45"/>
      <c r="M89" s="45" t="s">
        <v>331</v>
      </c>
      <c r="N89" s="45" t="s">
        <v>258</v>
      </c>
      <c r="O89" s="7"/>
      <c r="P89" s="7"/>
      <c r="Q89" s="7"/>
      <c r="R89" s="7"/>
      <c r="S89" s="7"/>
      <c r="T89" s="7"/>
      <c r="U89" s="7"/>
    </row>
    <row r="90" spans="1:21" s="5" customFormat="1" ht="31.5">
      <c r="A90" s="481"/>
      <c r="B90" s="481"/>
      <c r="C90" s="481"/>
      <c r="D90" s="481"/>
      <c r="E90" s="481"/>
      <c r="F90" s="481"/>
      <c r="G90" s="481"/>
      <c r="H90" s="484"/>
      <c r="I90" s="100" t="s">
        <v>334</v>
      </c>
      <c r="J90" s="18">
        <v>45717</v>
      </c>
      <c r="K90" s="17">
        <v>46022</v>
      </c>
      <c r="L90" s="45"/>
      <c r="M90" s="45" t="s">
        <v>331</v>
      </c>
      <c r="N90" s="45" t="s">
        <v>258</v>
      </c>
      <c r="O90" s="7"/>
      <c r="P90" s="7"/>
      <c r="Q90" s="7"/>
      <c r="R90" s="7"/>
      <c r="S90" s="7"/>
      <c r="T90" s="7"/>
      <c r="U90" s="7"/>
    </row>
    <row r="91" spans="1:21" s="5" customFormat="1" ht="31.5">
      <c r="A91" s="481"/>
      <c r="B91" s="481"/>
      <c r="C91" s="481"/>
      <c r="D91" s="481"/>
      <c r="E91" s="481"/>
      <c r="F91" s="481"/>
      <c r="G91" s="481"/>
      <c r="H91" s="484"/>
      <c r="I91" s="100" t="s">
        <v>335</v>
      </c>
      <c r="J91" s="18">
        <v>45717</v>
      </c>
      <c r="K91" s="17">
        <v>46022</v>
      </c>
      <c r="L91" s="45"/>
      <c r="M91" s="45" t="s">
        <v>331</v>
      </c>
      <c r="N91" s="45" t="s">
        <v>258</v>
      </c>
      <c r="O91" s="7"/>
      <c r="P91" s="7"/>
      <c r="Q91" s="7"/>
      <c r="R91" s="7"/>
      <c r="S91" s="7"/>
      <c r="T91" s="7"/>
      <c r="U91" s="7"/>
    </row>
    <row r="92" spans="1:21" s="5" customFormat="1" ht="31.5">
      <c r="A92" s="481"/>
      <c r="B92" s="481"/>
      <c r="C92" s="481"/>
      <c r="D92" s="481"/>
      <c r="E92" s="481"/>
      <c r="F92" s="481"/>
      <c r="G92" s="481"/>
      <c r="H92" s="484"/>
      <c r="I92" s="100" t="s">
        <v>336</v>
      </c>
      <c r="J92" s="18">
        <v>45717</v>
      </c>
      <c r="K92" s="17">
        <v>46022</v>
      </c>
      <c r="L92" s="45"/>
      <c r="M92" s="45" t="s">
        <v>331</v>
      </c>
      <c r="N92" s="45" t="s">
        <v>258</v>
      </c>
      <c r="O92" s="7"/>
      <c r="P92" s="7"/>
      <c r="Q92" s="7"/>
      <c r="R92" s="7"/>
      <c r="S92" s="7"/>
      <c r="T92" s="7"/>
      <c r="U92" s="7"/>
    </row>
    <row r="93" spans="1:21" s="5" customFormat="1" ht="31.5">
      <c r="A93" s="482"/>
      <c r="B93" s="482"/>
      <c r="C93" s="482"/>
      <c r="D93" s="482"/>
      <c r="E93" s="482"/>
      <c r="F93" s="482"/>
      <c r="G93" s="482"/>
      <c r="H93" s="485"/>
      <c r="I93" s="100" t="s">
        <v>337</v>
      </c>
      <c r="J93" s="18">
        <v>45962</v>
      </c>
      <c r="K93" s="17">
        <v>46022</v>
      </c>
      <c r="L93" s="45"/>
      <c r="M93" s="45" t="s">
        <v>331</v>
      </c>
      <c r="N93" s="45" t="s">
        <v>258</v>
      </c>
      <c r="O93" s="7"/>
      <c r="P93" s="7"/>
      <c r="Q93" s="7"/>
      <c r="R93" s="7"/>
      <c r="S93" s="7"/>
      <c r="T93" s="7"/>
      <c r="U93" s="7"/>
    </row>
    <row r="94" spans="1:21" s="5" customFormat="1" ht="31.5">
      <c r="A94" s="480"/>
      <c r="B94" s="480"/>
      <c r="C94" s="480" t="s">
        <v>142</v>
      </c>
      <c r="D94" s="480" t="s">
        <v>143</v>
      </c>
      <c r="E94" s="480" t="s">
        <v>141</v>
      </c>
      <c r="F94" s="486">
        <v>1</v>
      </c>
      <c r="G94" s="480" t="s">
        <v>87</v>
      </c>
      <c r="H94" s="483">
        <v>0.2</v>
      </c>
      <c r="I94" s="100" t="s">
        <v>338</v>
      </c>
      <c r="J94" s="18">
        <v>45809</v>
      </c>
      <c r="K94" s="17">
        <v>46022</v>
      </c>
      <c r="L94" s="45"/>
      <c r="M94" s="45" t="s">
        <v>331</v>
      </c>
      <c r="N94" s="45" t="s">
        <v>258</v>
      </c>
      <c r="O94" s="7"/>
      <c r="P94" s="7"/>
      <c r="Q94" s="7"/>
      <c r="R94" s="7"/>
      <c r="S94" s="7"/>
      <c r="T94" s="7"/>
      <c r="U94" s="7"/>
    </row>
    <row r="95" spans="1:21" s="5" customFormat="1" ht="31.5">
      <c r="A95" s="481"/>
      <c r="B95" s="481"/>
      <c r="C95" s="481"/>
      <c r="D95" s="481"/>
      <c r="E95" s="481"/>
      <c r="F95" s="487"/>
      <c r="G95" s="481"/>
      <c r="H95" s="484"/>
      <c r="I95" s="100" t="s">
        <v>333</v>
      </c>
      <c r="J95" s="18">
        <v>45809</v>
      </c>
      <c r="K95" s="17">
        <v>46022</v>
      </c>
      <c r="L95" s="45"/>
      <c r="M95" s="45" t="s">
        <v>331</v>
      </c>
      <c r="N95" s="45" t="s">
        <v>258</v>
      </c>
      <c r="O95" s="7"/>
      <c r="P95" s="7"/>
      <c r="Q95" s="7"/>
      <c r="R95" s="7"/>
      <c r="S95" s="7"/>
      <c r="T95" s="7"/>
      <c r="U95" s="7"/>
    </row>
    <row r="96" spans="1:21" s="5" customFormat="1" ht="31.5">
      <c r="A96" s="481"/>
      <c r="B96" s="481"/>
      <c r="C96" s="481"/>
      <c r="D96" s="481"/>
      <c r="E96" s="481"/>
      <c r="F96" s="487"/>
      <c r="G96" s="481"/>
      <c r="H96" s="484"/>
      <c r="I96" s="100" t="s">
        <v>334</v>
      </c>
      <c r="J96" s="18">
        <v>45809</v>
      </c>
      <c r="K96" s="17">
        <v>46022</v>
      </c>
      <c r="L96" s="45"/>
      <c r="M96" s="45" t="s">
        <v>331</v>
      </c>
      <c r="N96" s="45" t="s">
        <v>258</v>
      </c>
      <c r="O96" s="7"/>
      <c r="P96" s="7"/>
      <c r="Q96" s="7"/>
      <c r="R96" s="7"/>
      <c r="S96" s="7"/>
      <c r="T96" s="7"/>
      <c r="U96" s="7"/>
    </row>
    <row r="97" spans="1:21" s="5" customFormat="1" ht="31.5">
      <c r="A97" s="481"/>
      <c r="B97" s="481"/>
      <c r="C97" s="481"/>
      <c r="D97" s="481"/>
      <c r="E97" s="481"/>
      <c r="F97" s="487"/>
      <c r="G97" s="481"/>
      <c r="H97" s="484"/>
      <c r="I97" s="100" t="s">
        <v>335</v>
      </c>
      <c r="J97" s="18">
        <v>45809</v>
      </c>
      <c r="K97" s="17">
        <v>46022</v>
      </c>
      <c r="L97" s="45"/>
      <c r="M97" s="45" t="s">
        <v>331</v>
      </c>
      <c r="N97" s="45" t="s">
        <v>258</v>
      </c>
      <c r="O97" s="7"/>
      <c r="P97" s="7"/>
      <c r="Q97" s="7"/>
      <c r="R97" s="7"/>
      <c r="S97" s="7"/>
      <c r="T97" s="7"/>
      <c r="U97" s="7"/>
    </row>
    <row r="98" spans="1:21" s="5" customFormat="1" ht="31.5">
      <c r="A98" s="481"/>
      <c r="B98" s="481"/>
      <c r="C98" s="481"/>
      <c r="D98" s="481"/>
      <c r="E98" s="481"/>
      <c r="F98" s="487"/>
      <c r="G98" s="481"/>
      <c r="H98" s="484"/>
      <c r="I98" s="100" t="s">
        <v>336</v>
      </c>
      <c r="J98" s="18">
        <v>45809</v>
      </c>
      <c r="K98" s="17">
        <v>46022</v>
      </c>
      <c r="L98" s="45"/>
      <c r="M98" s="45" t="s">
        <v>331</v>
      </c>
      <c r="N98" s="45" t="s">
        <v>258</v>
      </c>
      <c r="O98" s="7"/>
      <c r="P98" s="7"/>
      <c r="Q98" s="7"/>
      <c r="R98" s="7"/>
      <c r="S98" s="7"/>
      <c r="T98" s="7"/>
      <c r="U98" s="7"/>
    </row>
    <row r="99" spans="1:21" s="5" customFormat="1" ht="31.5">
      <c r="A99" s="482"/>
      <c r="B99" s="482"/>
      <c r="C99" s="482"/>
      <c r="D99" s="482"/>
      <c r="E99" s="482"/>
      <c r="F99" s="488"/>
      <c r="G99" s="482"/>
      <c r="H99" s="485"/>
      <c r="I99" s="100" t="s">
        <v>337</v>
      </c>
      <c r="J99" s="18">
        <v>45962</v>
      </c>
      <c r="K99" s="17">
        <v>46022</v>
      </c>
      <c r="L99" s="45"/>
      <c r="M99" s="45" t="s">
        <v>331</v>
      </c>
      <c r="N99" s="45" t="s">
        <v>258</v>
      </c>
      <c r="O99" s="7"/>
      <c r="P99" s="7"/>
      <c r="Q99" s="7"/>
      <c r="R99" s="7"/>
      <c r="S99" s="7"/>
      <c r="T99" s="7"/>
      <c r="U99" s="7"/>
    </row>
    <row r="100" spans="1:21" s="5" customFormat="1" ht="31.5">
      <c r="A100" s="480"/>
      <c r="B100" s="480"/>
      <c r="C100" s="480" t="s">
        <v>144</v>
      </c>
      <c r="D100" s="480" t="s">
        <v>145</v>
      </c>
      <c r="E100" s="480" t="s">
        <v>141</v>
      </c>
      <c r="F100" s="486">
        <v>1</v>
      </c>
      <c r="G100" s="399" t="s">
        <v>87</v>
      </c>
      <c r="H100" s="483">
        <v>0.2</v>
      </c>
      <c r="I100" s="100" t="s">
        <v>339</v>
      </c>
      <c r="J100" s="18">
        <v>45658</v>
      </c>
      <c r="K100" s="17">
        <v>45723</v>
      </c>
      <c r="L100" s="45"/>
      <c r="M100" s="45" t="s">
        <v>331</v>
      </c>
      <c r="N100" s="45" t="s">
        <v>258</v>
      </c>
      <c r="O100" s="7"/>
      <c r="P100" s="7"/>
      <c r="Q100" s="7"/>
      <c r="R100" s="7"/>
      <c r="S100" s="7"/>
      <c r="T100" s="7"/>
      <c r="U100" s="7"/>
    </row>
    <row r="101" spans="1:21" s="5" customFormat="1" ht="31.5">
      <c r="A101" s="481"/>
      <c r="B101" s="481"/>
      <c r="C101" s="481"/>
      <c r="D101" s="481"/>
      <c r="E101" s="481"/>
      <c r="F101" s="487"/>
      <c r="G101" s="489"/>
      <c r="H101" s="484"/>
      <c r="I101" s="100" t="s">
        <v>340</v>
      </c>
      <c r="J101" s="18">
        <v>45658</v>
      </c>
      <c r="K101" s="17">
        <v>45723</v>
      </c>
      <c r="L101" s="45"/>
      <c r="M101" s="45" t="s">
        <v>331</v>
      </c>
      <c r="N101" s="45" t="s">
        <v>258</v>
      </c>
      <c r="O101" s="7"/>
      <c r="P101" s="7"/>
      <c r="Q101" s="7"/>
      <c r="R101" s="7"/>
      <c r="S101" s="7"/>
      <c r="T101" s="7"/>
      <c r="U101" s="7"/>
    </row>
    <row r="102" spans="1:21" s="5" customFormat="1" ht="31.5">
      <c r="A102" s="481"/>
      <c r="B102" s="481"/>
      <c r="C102" s="481"/>
      <c r="D102" s="481"/>
      <c r="E102" s="481"/>
      <c r="F102" s="487"/>
      <c r="G102" s="489"/>
      <c r="H102" s="484"/>
      <c r="I102" s="100" t="s">
        <v>341</v>
      </c>
      <c r="J102" s="18">
        <v>45723</v>
      </c>
      <c r="K102" s="17">
        <v>45945</v>
      </c>
      <c r="L102" s="45"/>
      <c r="M102" s="45" t="s">
        <v>331</v>
      </c>
      <c r="N102" s="45" t="s">
        <v>258</v>
      </c>
      <c r="O102" s="7"/>
      <c r="P102" s="7"/>
      <c r="Q102" s="7"/>
      <c r="R102" s="7"/>
      <c r="S102" s="7"/>
      <c r="T102" s="7"/>
      <c r="U102" s="7"/>
    </row>
    <row r="103" spans="1:21" s="5" customFormat="1" ht="31.5">
      <c r="A103" s="481"/>
      <c r="B103" s="481"/>
      <c r="C103" s="481"/>
      <c r="D103" s="481"/>
      <c r="E103" s="481"/>
      <c r="F103" s="487"/>
      <c r="G103" s="489"/>
      <c r="H103" s="484"/>
      <c r="I103" s="100" t="s">
        <v>342</v>
      </c>
      <c r="J103" s="18">
        <v>45723</v>
      </c>
      <c r="K103" s="17">
        <v>45945</v>
      </c>
      <c r="L103" s="45"/>
      <c r="M103" s="45" t="s">
        <v>331</v>
      </c>
      <c r="N103" s="45" t="s">
        <v>258</v>
      </c>
      <c r="O103" s="7"/>
      <c r="P103" s="7"/>
      <c r="Q103" s="7"/>
      <c r="R103" s="7"/>
      <c r="S103" s="7"/>
      <c r="T103" s="7"/>
      <c r="U103" s="7"/>
    </row>
    <row r="104" spans="1:21" s="5" customFormat="1" ht="31.5">
      <c r="A104" s="481"/>
      <c r="B104" s="481"/>
      <c r="C104" s="481"/>
      <c r="D104" s="481"/>
      <c r="E104" s="481"/>
      <c r="F104" s="487"/>
      <c r="G104" s="489"/>
      <c r="H104" s="484"/>
      <c r="I104" s="100" t="s">
        <v>343</v>
      </c>
      <c r="J104" s="18">
        <v>45723</v>
      </c>
      <c r="K104" s="17">
        <v>45945</v>
      </c>
      <c r="L104" s="45"/>
      <c r="M104" s="45" t="s">
        <v>331</v>
      </c>
      <c r="N104" s="45" t="s">
        <v>258</v>
      </c>
      <c r="O104" s="7"/>
      <c r="P104" s="7"/>
      <c r="Q104" s="7"/>
      <c r="R104" s="7"/>
      <c r="S104" s="7"/>
      <c r="T104" s="7"/>
      <c r="U104" s="7"/>
    </row>
    <row r="105" spans="1:21" s="5" customFormat="1" ht="31.5">
      <c r="A105" s="482"/>
      <c r="B105" s="482"/>
      <c r="C105" s="482"/>
      <c r="D105" s="482"/>
      <c r="E105" s="482"/>
      <c r="F105" s="488"/>
      <c r="G105" s="400"/>
      <c r="H105" s="485"/>
      <c r="I105" s="100" t="s">
        <v>344</v>
      </c>
      <c r="J105" s="18">
        <v>45962</v>
      </c>
      <c r="K105" s="17">
        <v>46022</v>
      </c>
      <c r="L105" s="45"/>
      <c r="M105" s="45" t="s">
        <v>331</v>
      </c>
      <c r="N105" s="45" t="s">
        <v>258</v>
      </c>
      <c r="O105" s="7"/>
      <c r="P105" s="7"/>
      <c r="Q105" s="7"/>
      <c r="R105" s="7"/>
      <c r="S105" s="7"/>
      <c r="T105" s="7"/>
      <c r="U105" s="7"/>
    </row>
    <row r="106" spans="1:21" s="5" customFormat="1" ht="38.1" customHeight="1">
      <c r="A106" s="10">
        <v>5</v>
      </c>
      <c r="B106" s="10" t="s">
        <v>146</v>
      </c>
      <c r="C106" s="10" t="s">
        <v>20</v>
      </c>
      <c r="D106" s="11" t="s">
        <v>147</v>
      </c>
      <c r="E106" s="40"/>
      <c r="F106" s="40"/>
      <c r="G106" s="40"/>
      <c r="H106" s="23">
        <v>0.1</v>
      </c>
      <c r="I106" s="23"/>
      <c r="J106" s="12"/>
      <c r="K106" s="12"/>
      <c r="L106" s="10"/>
      <c r="M106" s="10"/>
      <c r="N106" s="10"/>
      <c r="O106" s="7"/>
      <c r="P106" s="7"/>
      <c r="Q106" s="7"/>
      <c r="R106" s="7"/>
      <c r="S106" s="7"/>
      <c r="T106" s="7"/>
      <c r="U106" s="7"/>
    </row>
    <row r="107" spans="1:21" s="5" customFormat="1" ht="78.75">
      <c r="A107" s="480"/>
      <c r="B107" s="480"/>
      <c r="C107" s="480" t="s">
        <v>148</v>
      </c>
      <c r="D107" s="480" t="s">
        <v>149</v>
      </c>
      <c r="E107" s="480" t="s">
        <v>150</v>
      </c>
      <c r="F107" s="480">
        <v>15</v>
      </c>
      <c r="G107" s="480" t="s">
        <v>87</v>
      </c>
      <c r="H107" s="483">
        <v>0.3</v>
      </c>
      <c r="I107" s="100" t="s">
        <v>345</v>
      </c>
      <c r="J107" s="18">
        <v>45717</v>
      </c>
      <c r="K107" s="17">
        <v>46022</v>
      </c>
      <c r="L107" s="45"/>
      <c r="M107" s="45" t="s">
        <v>346</v>
      </c>
      <c r="N107" s="45" t="s">
        <v>269</v>
      </c>
      <c r="O107" s="7"/>
      <c r="P107" s="7"/>
      <c r="Q107" s="7"/>
      <c r="R107" s="7"/>
      <c r="S107" s="7"/>
      <c r="T107" s="7"/>
      <c r="U107" s="7"/>
    </row>
    <row r="108" spans="1:21" s="5" customFormat="1" ht="78.75">
      <c r="A108" s="481"/>
      <c r="B108" s="481"/>
      <c r="C108" s="481"/>
      <c r="D108" s="481"/>
      <c r="E108" s="481"/>
      <c r="F108" s="481"/>
      <c r="G108" s="481"/>
      <c r="H108" s="484"/>
      <c r="I108" s="100" t="s">
        <v>347</v>
      </c>
      <c r="J108" s="18">
        <v>45717</v>
      </c>
      <c r="K108" s="17">
        <v>46022</v>
      </c>
      <c r="L108" s="45"/>
      <c r="M108" s="45" t="s">
        <v>346</v>
      </c>
      <c r="N108" s="45" t="s">
        <v>269</v>
      </c>
      <c r="O108" s="7"/>
      <c r="P108" s="7"/>
      <c r="Q108" s="7"/>
      <c r="R108" s="7"/>
      <c r="S108" s="7"/>
      <c r="T108" s="7"/>
      <c r="U108" s="7"/>
    </row>
    <row r="109" spans="1:21" s="5" customFormat="1" ht="78.75">
      <c r="A109" s="481"/>
      <c r="B109" s="481"/>
      <c r="C109" s="481"/>
      <c r="D109" s="481"/>
      <c r="E109" s="481"/>
      <c r="F109" s="481"/>
      <c r="G109" s="481"/>
      <c r="H109" s="484"/>
      <c r="I109" s="100" t="s">
        <v>348</v>
      </c>
      <c r="J109" s="18">
        <v>45717</v>
      </c>
      <c r="K109" s="17">
        <v>46022</v>
      </c>
      <c r="L109" s="45"/>
      <c r="M109" s="45" t="s">
        <v>346</v>
      </c>
      <c r="N109" s="45" t="s">
        <v>269</v>
      </c>
      <c r="O109" s="7"/>
      <c r="P109" s="7"/>
      <c r="Q109" s="7"/>
      <c r="R109" s="7"/>
      <c r="S109" s="7"/>
      <c r="T109" s="7"/>
      <c r="U109" s="7"/>
    </row>
    <row r="110" spans="1:21" s="5" customFormat="1" ht="78.75">
      <c r="A110" s="481"/>
      <c r="B110" s="481"/>
      <c r="C110" s="481"/>
      <c r="D110" s="481"/>
      <c r="E110" s="481"/>
      <c r="F110" s="481"/>
      <c r="G110" s="481"/>
      <c r="H110" s="484"/>
      <c r="I110" s="100" t="s">
        <v>349</v>
      </c>
      <c r="J110" s="18">
        <v>45717</v>
      </c>
      <c r="K110" s="17">
        <v>46022</v>
      </c>
      <c r="L110" s="45"/>
      <c r="M110" s="45" t="s">
        <v>346</v>
      </c>
      <c r="N110" s="45" t="s">
        <v>269</v>
      </c>
      <c r="O110" s="7"/>
      <c r="P110" s="7"/>
      <c r="Q110" s="7"/>
      <c r="R110" s="7"/>
      <c r="S110" s="7"/>
      <c r="T110" s="7"/>
      <c r="U110" s="7"/>
    </row>
    <row r="111" spans="1:21" s="5" customFormat="1" ht="78.75">
      <c r="A111" s="481"/>
      <c r="B111" s="481"/>
      <c r="C111" s="481"/>
      <c r="D111" s="481"/>
      <c r="E111" s="481"/>
      <c r="F111" s="481"/>
      <c r="G111" s="481"/>
      <c r="H111" s="484"/>
      <c r="I111" s="100" t="s">
        <v>350</v>
      </c>
      <c r="J111" s="18">
        <v>45717</v>
      </c>
      <c r="K111" s="17">
        <v>46022</v>
      </c>
      <c r="L111" s="45"/>
      <c r="M111" s="45" t="s">
        <v>346</v>
      </c>
      <c r="N111" s="45" t="s">
        <v>269</v>
      </c>
      <c r="O111" s="7"/>
      <c r="P111" s="7"/>
      <c r="Q111" s="7"/>
      <c r="R111" s="7"/>
      <c r="S111" s="7"/>
      <c r="T111" s="7"/>
      <c r="U111" s="7"/>
    </row>
    <row r="112" spans="1:21" s="5" customFormat="1" ht="78.75">
      <c r="A112" s="481"/>
      <c r="B112" s="481"/>
      <c r="C112" s="481"/>
      <c r="D112" s="481"/>
      <c r="E112" s="481"/>
      <c r="F112" s="481"/>
      <c r="G112" s="481"/>
      <c r="H112" s="484"/>
      <c r="I112" s="100" t="s">
        <v>351</v>
      </c>
      <c r="J112" s="18">
        <v>45717</v>
      </c>
      <c r="K112" s="17">
        <v>46022</v>
      </c>
      <c r="L112" s="45"/>
      <c r="M112" s="45" t="s">
        <v>346</v>
      </c>
      <c r="N112" s="45" t="s">
        <v>269</v>
      </c>
      <c r="O112" s="7"/>
      <c r="P112" s="7"/>
      <c r="Q112" s="7"/>
      <c r="R112" s="7"/>
      <c r="S112" s="7"/>
      <c r="T112" s="7"/>
      <c r="U112" s="7"/>
    </row>
    <row r="113" spans="1:21" s="5" customFormat="1" ht="78.75">
      <c r="A113" s="481"/>
      <c r="B113" s="481"/>
      <c r="C113" s="481"/>
      <c r="D113" s="481"/>
      <c r="E113" s="481"/>
      <c r="F113" s="481"/>
      <c r="G113" s="481"/>
      <c r="H113" s="484"/>
      <c r="I113" s="100" t="s">
        <v>352</v>
      </c>
      <c r="J113" s="18">
        <v>45717</v>
      </c>
      <c r="K113" s="17">
        <v>46022</v>
      </c>
      <c r="L113" s="45"/>
      <c r="M113" s="45" t="s">
        <v>346</v>
      </c>
      <c r="N113" s="45" t="s">
        <v>269</v>
      </c>
      <c r="O113" s="7"/>
      <c r="P113" s="7"/>
      <c r="Q113" s="7"/>
      <c r="R113" s="7"/>
      <c r="S113" s="7"/>
      <c r="T113" s="7"/>
      <c r="U113" s="7"/>
    </row>
    <row r="114" spans="1:21" s="5" customFormat="1" ht="78.75">
      <c r="A114" s="482"/>
      <c r="B114" s="482"/>
      <c r="C114" s="482"/>
      <c r="D114" s="482"/>
      <c r="E114" s="482"/>
      <c r="F114" s="482"/>
      <c r="G114" s="482"/>
      <c r="H114" s="485"/>
      <c r="I114" s="100" t="s">
        <v>353</v>
      </c>
      <c r="J114" s="18" t="s">
        <v>354</v>
      </c>
      <c r="K114" s="17">
        <v>46022</v>
      </c>
      <c r="L114" s="45"/>
      <c r="M114" s="45" t="s">
        <v>346</v>
      </c>
      <c r="N114" s="45" t="s">
        <v>269</v>
      </c>
      <c r="O114" s="7"/>
      <c r="P114" s="7"/>
      <c r="Q114" s="7"/>
      <c r="R114" s="7"/>
      <c r="S114" s="7"/>
      <c r="T114" s="7"/>
      <c r="U114" s="7"/>
    </row>
    <row r="115" spans="1:21" s="5" customFormat="1" ht="63">
      <c r="A115" s="480"/>
      <c r="B115" s="480"/>
      <c r="C115" s="480" t="s">
        <v>153</v>
      </c>
      <c r="D115" s="480" t="s">
        <v>154</v>
      </c>
      <c r="E115" s="480" t="s">
        <v>155</v>
      </c>
      <c r="F115" s="480">
        <v>32</v>
      </c>
      <c r="G115" s="480" t="s">
        <v>87</v>
      </c>
      <c r="H115" s="483">
        <v>0.5</v>
      </c>
      <c r="I115" s="100" t="s">
        <v>355</v>
      </c>
      <c r="J115" s="18">
        <v>45901</v>
      </c>
      <c r="K115" s="17">
        <v>46022</v>
      </c>
      <c r="L115" s="45"/>
      <c r="M115" s="45" t="s">
        <v>310</v>
      </c>
      <c r="N115" s="45" t="s">
        <v>269</v>
      </c>
      <c r="O115" s="7"/>
      <c r="P115" s="7"/>
      <c r="Q115" s="7"/>
      <c r="R115" s="7"/>
      <c r="S115" s="7"/>
      <c r="T115" s="7"/>
      <c r="U115" s="7"/>
    </row>
    <row r="116" spans="1:21" s="5" customFormat="1" ht="63">
      <c r="A116" s="481"/>
      <c r="B116" s="481"/>
      <c r="C116" s="481"/>
      <c r="D116" s="481"/>
      <c r="E116" s="481"/>
      <c r="F116" s="481"/>
      <c r="G116" s="481"/>
      <c r="H116" s="484"/>
      <c r="I116" s="100" t="s">
        <v>356</v>
      </c>
      <c r="J116" s="18">
        <v>45901</v>
      </c>
      <c r="K116" s="17">
        <v>46022</v>
      </c>
      <c r="L116" s="45"/>
      <c r="M116" s="45" t="s">
        <v>310</v>
      </c>
      <c r="N116" s="45" t="s">
        <v>269</v>
      </c>
      <c r="O116" s="7"/>
      <c r="P116" s="7"/>
      <c r="Q116" s="7"/>
      <c r="R116" s="7"/>
      <c r="S116" s="7"/>
      <c r="T116" s="7"/>
      <c r="U116" s="7"/>
    </row>
    <row r="117" spans="1:21" s="5" customFormat="1" ht="63">
      <c r="A117" s="481"/>
      <c r="B117" s="481"/>
      <c r="C117" s="481"/>
      <c r="D117" s="481"/>
      <c r="E117" s="481"/>
      <c r="F117" s="481"/>
      <c r="G117" s="481"/>
      <c r="H117" s="484"/>
      <c r="I117" s="100" t="s">
        <v>357</v>
      </c>
      <c r="J117" s="18">
        <v>45901</v>
      </c>
      <c r="K117" s="17">
        <v>46022</v>
      </c>
      <c r="L117" s="45"/>
      <c r="M117" s="45" t="s">
        <v>310</v>
      </c>
      <c r="N117" s="45" t="s">
        <v>269</v>
      </c>
      <c r="O117" s="7"/>
      <c r="P117" s="7"/>
      <c r="Q117" s="7"/>
      <c r="R117" s="7"/>
      <c r="S117" s="7"/>
      <c r="T117" s="7"/>
      <c r="U117" s="7"/>
    </row>
    <row r="118" spans="1:21" s="5" customFormat="1" ht="63">
      <c r="A118" s="481"/>
      <c r="B118" s="481"/>
      <c r="C118" s="481"/>
      <c r="D118" s="481"/>
      <c r="E118" s="481"/>
      <c r="F118" s="481"/>
      <c r="G118" s="481"/>
      <c r="H118" s="484"/>
      <c r="I118" s="100" t="s">
        <v>358</v>
      </c>
      <c r="J118" s="18">
        <v>45901</v>
      </c>
      <c r="K118" s="17">
        <v>46022</v>
      </c>
      <c r="L118" s="45"/>
      <c r="M118" s="45" t="s">
        <v>310</v>
      </c>
      <c r="N118" s="45" t="s">
        <v>269</v>
      </c>
      <c r="O118" s="7"/>
      <c r="P118" s="7"/>
      <c r="Q118" s="7"/>
      <c r="R118" s="7"/>
      <c r="S118" s="7"/>
      <c r="T118" s="7"/>
      <c r="U118" s="7"/>
    </row>
    <row r="119" spans="1:21" s="5" customFormat="1" ht="63">
      <c r="A119" s="481"/>
      <c r="B119" s="481"/>
      <c r="C119" s="481"/>
      <c r="D119" s="481"/>
      <c r="E119" s="481"/>
      <c r="F119" s="481"/>
      <c r="G119" s="481"/>
      <c r="H119" s="484"/>
      <c r="I119" s="100" t="s">
        <v>352</v>
      </c>
      <c r="J119" s="18">
        <v>45901</v>
      </c>
      <c r="K119" s="17">
        <v>46022</v>
      </c>
      <c r="L119" s="45"/>
      <c r="M119" s="45" t="s">
        <v>310</v>
      </c>
      <c r="N119" s="45" t="s">
        <v>269</v>
      </c>
      <c r="O119" s="7"/>
      <c r="P119" s="7"/>
      <c r="Q119" s="7"/>
      <c r="R119" s="7"/>
      <c r="S119" s="7"/>
      <c r="T119" s="7"/>
      <c r="U119" s="7"/>
    </row>
    <row r="120" spans="1:21" s="5" customFormat="1" ht="63">
      <c r="A120" s="481"/>
      <c r="B120" s="481"/>
      <c r="C120" s="481"/>
      <c r="D120" s="481"/>
      <c r="E120" s="481"/>
      <c r="F120" s="481"/>
      <c r="G120" s="481"/>
      <c r="H120" s="484"/>
      <c r="I120" s="100" t="s">
        <v>359</v>
      </c>
      <c r="J120" s="18">
        <v>45901</v>
      </c>
      <c r="K120" s="17">
        <v>46022</v>
      </c>
      <c r="L120" s="45"/>
      <c r="M120" s="45" t="s">
        <v>310</v>
      </c>
      <c r="N120" s="45" t="s">
        <v>269</v>
      </c>
      <c r="O120" s="7"/>
      <c r="P120" s="7"/>
      <c r="Q120" s="7"/>
      <c r="R120" s="7"/>
      <c r="S120" s="7"/>
      <c r="T120" s="7"/>
      <c r="U120" s="7"/>
    </row>
    <row r="121" spans="1:21" s="5" customFormat="1" ht="63">
      <c r="A121" s="481"/>
      <c r="B121" s="481"/>
      <c r="C121" s="481"/>
      <c r="D121" s="481"/>
      <c r="E121" s="481"/>
      <c r="F121" s="481"/>
      <c r="G121" s="481"/>
      <c r="H121" s="484"/>
      <c r="I121" s="100" t="s">
        <v>351</v>
      </c>
      <c r="J121" s="18">
        <v>45901</v>
      </c>
      <c r="K121" s="17">
        <v>46022</v>
      </c>
      <c r="L121" s="45"/>
      <c r="M121" s="45" t="s">
        <v>310</v>
      </c>
      <c r="N121" s="45" t="s">
        <v>269</v>
      </c>
      <c r="O121" s="7"/>
      <c r="P121" s="7"/>
      <c r="Q121" s="7"/>
      <c r="R121" s="7"/>
      <c r="S121" s="7"/>
      <c r="T121" s="7"/>
      <c r="U121" s="7"/>
    </row>
    <row r="122" spans="1:21" s="5" customFormat="1" ht="63">
      <c r="A122" s="482"/>
      <c r="B122" s="482"/>
      <c r="C122" s="482"/>
      <c r="D122" s="482"/>
      <c r="E122" s="482"/>
      <c r="F122" s="482"/>
      <c r="G122" s="482"/>
      <c r="H122" s="485"/>
      <c r="I122" s="100" t="s">
        <v>353</v>
      </c>
      <c r="J122" s="18">
        <v>45901</v>
      </c>
      <c r="K122" s="17">
        <v>46022</v>
      </c>
      <c r="L122" s="45"/>
      <c r="M122" s="45" t="s">
        <v>310</v>
      </c>
      <c r="N122" s="45" t="s">
        <v>269</v>
      </c>
      <c r="O122" s="7"/>
      <c r="P122" s="7"/>
      <c r="Q122" s="7"/>
      <c r="R122" s="7"/>
      <c r="S122" s="7"/>
      <c r="T122" s="7"/>
      <c r="U122" s="7"/>
    </row>
    <row r="123" spans="1:21" s="5" customFormat="1" ht="63">
      <c r="A123" s="480"/>
      <c r="B123" s="480"/>
      <c r="C123" s="480" t="s">
        <v>156</v>
      </c>
      <c r="D123" s="480" t="s">
        <v>157</v>
      </c>
      <c r="E123" s="480" t="s">
        <v>126</v>
      </c>
      <c r="F123" s="486" t="s">
        <v>158</v>
      </c>
      <c r="G123" s="480" t="s">
        <v>87</v>
      </c>
      <c r="H123" s="483">
        <v>0.05</v>
      </c>
      <c r="I123" s="100" t="s">
        <v>360</v>
      </c>
      <c r="J123" s="18">
        <v>45717</v>
      </c>
      <c r="K123" s="17">
        <v>46022</v>
      </c>
      <c r="L123" s="45"/>
      <c r="M123" s="45" t="s">
        <v>310</v>
      </c>
      <c r="N123" s="45" t="s">
        <v>269</v>
      </c>
      <c r="O123" s="7"/>
      <c r="P123" s="7"/>
      <c r="Q123" s="7"/>
      <c r="R123" s="7"/>
      <c r="S123" s="7"/>
      <c r="T123" s="7"/>
      <c r="U123" s="7"/>
    </row>
    <row r="124" spans="1:21" s="5" customFormat="1" ht="63">
      <c r="A124" s="481"/>
      <c r="B124" s="481"/>
      <c r="C124" s="481"/>
      <c r="D124" s="481"/>
      <c r="E124" s="481"/>
      <c r="F124" s="487"/>
      <c r="G124" s="481"/>
      <c r="H124" s="484"/>
      <c r="I124" s="100" t="s">
        <v>361</v>
      </c>
      <c r="J124" s="18">
        <v>45717</v>
      </c>
      <c r="K124" s="17">
        <v>46022</v>
      </c>
      <c r="L124" s="45"/>
      <c r="M124" s="45" t="s">
        <v>310</v>
      </c>
      <c r="N124" s="45" t="s">
        <v>269</v>
      </c>
      <c r="O124" s="7"/>
      <c r="P124" s="7"/>
      <c r="Q124" s="7"/>
      <c r="R124" s="7"/>
      <c r="S124" s="7"/>
      <c r="T124" s="7"/>
      <c r="U124" s="7"/>
    </row>
    <row r="125" spans="1:21" s="5" customFormat="1" ht="63">
      <c r="A125" s="482"/>
      <c r="B125" s="482"/>
      <c r="C125" s="482"/>
      <c r="D125" s="482"/>
      <c r="E125" s="482"/>
      <c r="F125" s="488"/>
      <c r="G125" s="482"/>
      <c r="H125" s="485"/>
      <c r="I125" s="100" t="s">
        <v>362</v>
      </c>
      <c r="J125" s="18">
        <v>45717</v>
      </c>
      <c r="K125" s="17">
        <v>46022</v>
      </c>
      <c r="L125" s="45"/>
      <c r="M125" s="45" t="s">
        <v>310</v>
      </c>
      <c r="N125" s="45" t="s">
        <v>269</v>
      </c>
      <c r="O125" s="7"/>
      <c r="P125" s="7"/>
      <c r="Q125" s="7"/>
      <c r="R125" s="7"/>
      <c r="S125" s="7"/>
      <c r="T125" s="7"/>
      <c r="U125" s="7"/>
    </row>
    <row r="126" spans="1:21" s="5" customFormat="1" ht="57" customHeight="1">
      <c r="A126" s="480"/>
      <c r="B126" s="480"/>
      <c r="C126" s="480" t="s">
        <v>159</v>
      </c>
      <c r="D126" s="480" t="s">
        <v>160</v>
      </c>
      <c r="E126" s="480" t="s">
        <v>161</v>
      </c>
      <c r="F126" s="480">
        <v>2</v>
      </c>
      <c r="G126" s="480" t="s">
        <v>87</v>
      </c>
      <c r="H126" s="401">
        <v>0.05</v>
      </c>
      <c r="I126" s="100" t="s">
        <v>363</v>
      </c>
      <c r="J126" s="18">
        <v>45717</v>
      </c>
      <c r="K126" s="17">
        <v>46022</v>
      </c>
      <c r="L126" s="45"/>
      <c r="M126" s="45" t="s">
        <v>364</v>
      </c>
      <c r="N126" s="45" t="s">
        <v>364</v>
      </c>
      <c r="O126" s="7"/>
      <c r="P126" s="7"/>
      <c r="Q126" s="7"/>
      <c r="R126" s="7"/>
      <c r="S126" s="7"/>
      <c r="T126" s="7"/>
      <c r="U126" s="7"/>
    </row>
    <row r="127" spans="1:21" s="5" customFormat="1" ht="48.75" customHeight="1">
      <c r="A127" s="482"/>
      <c r="B127" s="482"/>
      <c r="C127" s="482"/>
      <c r="D127" s="482"/>
      <c r="E127" s="482"/>
      <c r="F127" s="482"/>
      <c r="G127" s="482"/>
      <c r="H127" s="402"/>
      <c r="I127" s="100" t="s">
        <v>365</v>
      </c>
      <c r="J127" s="18">
        <v>45717</v>
      </c>
      <c r="K127" s="17">
        <v>46022</v>
      </c>
      <c r="L127" s="45"/>
      <c r="M127" s="45" t="s">
        <v>364</v>
      </c>
      <c r="N127" s="45" t="s">
        <v>364</v>
      </c>
      <c r="O127" s="7"/>
      <c r="P127" s="7"/>
      <c r="Q127" s="7"/>
      <c r="R127" s="7"/>
      <c r="S127" s="7"/>
      <c r="T127" s="7"/>
      <c r="U127" s="7"/>
    </row>
    <row r="128" spans="1:21" s="5" customFormat="1" ht="51" customHeight="1">
      <c r="A128" s="480"/>
      <c r="B128" s="480"/>
      <c r="C128" s="480" t="s">
        <v>163</v>
      </c>
      <c r="D128" s="480" t="s">
        <v>164</v>
      </c>
      <c r="E128" s="480" t="s">
        <v>165</v>
      </c>
      <c r="F128" s="486">
        <v>1</v>
      </c>
      <c r="G128" s="480" t="s">
        <v>87</v>
      </c>
      <c r="H128" s="483">
        <v>0.05</v>
      </c>
      <c r="I128" s="100" t="s">
        <v>366</v>
      </c>
      <c r="J128" s="18">
        <v>45717</v>
      </c>
      <c r="K128" s="17">
        <v>46022</v>
      </c>
      <c r="L128" s="45"/>
      <c r="M128" s="45" t="s">
        <v>367</v>
      </c>
      <c r="N128" s="45" t="s">
        <v>269</v>
      </c>
      <c r="O128" s="7"/>
      <c r="P128" s="7"/>
      <c r="Q128" s="7"/>
      <c r="R128" s="7"/>
      <c r="S128" s="7"/>
      <c r="T128" s="7"/>
      <c r="U128" s="7"/>
    </row>
    <row r="129" spans="1:21" s="5" customFormat="1" ht="43.5" customHeight="1">
      <c r="A129" s="481"/>
      <c r="B129" s="481"/>
      <c r="C129" s="481"/>
      <c r="D129" s="481"/>
      <c r="E129" s="481"/>
      <c r="F129" s="487"/>
      <c r="G129" s="481"/>
      <c r="H129" s="484"/>
      <c r="I129" s="100" t="s">
        <v>368</v>
      </c>
      <c r="J129" s="18">
        <v>45717</v>
      </c>
      <c r="K129" s="17">
        <v>46022</v>
      </c>
      <c r="L129" s="45"/>
      <c r="M129" s="45" t="s">
        <v>367</v>
      </c>
      <c r="N129" s="45" t="s">
        <v>269</v>
      </c>
      <c r="O129" s="7"/>
      <c r="P129" s="7"/>
      <c r="Q129" s="7"/>
      <c r="R129" s="7"/>
      <c r="S129" s="7"/>
      <c r="T129" s="7"/>
      <c r="U129" s="7"/>
    </row>
    <row r="130" spans="1:21" s="5" customFormat="1" ht="43.5" customHeight="1">
      <c r="A130" s="481"/>
      <c r="B130" s="481"/>
      <c r="C130" s="481"/>
      <c r="D130" s="481"/>
      <c r="E130" s="481"/>
      <c r="F130" s="487"/>
      <c r="G130" s="481"/>
      <c r="H130" s="484"/>
      <c r="I130" s="100" t="s">
        <v>369</v>
      </c>
      <c r="J130" s="18">
        <v>45717</v>
      </c>
      <c r="K130" s="17">
        <v>46022</v>
      </c>
      <c r="L130" s="45"/>
      <c r="M130" s="45" t="s">
        <v>367</v>
      </c>
      <c r="N130" s="45" t="s">
        <v>269</v>
      </c>
      <c r="O130" s="7"/>
      <c r="P130" s="7"/>
      <c r="Q130" s="7"/>
      <c r="R130" s="7"/>
      <c r="S130" s="7"/>
      <c r="T130" s="7"/>
      <c r="U130" s="7"/>
    </row>
    <row r="131" spans="1:21" s="5" customFormat="1" ht="43.5" customHeight="1">
      <c r="A131" s="482"/>
      <c r="B131" s="482"/>
      <c r="C131" s="482"/>
      <c r="D131" s="482"/>
      <c r="E131" s="482"/>
      <c r="F131" s="488"/>
      <c r="G131" s="482"/>
      <c r="H131" s="485"/>
      <c r="I131" s="100" t="s">
        <v>370</v>
      </c>
      <c r="J131" s="18">
        <v>45717</v>
      </c>
      <c r="K131" s="17">
        <v>46022</v>
      </c>
      <c r="L131" s="45"/>
      <c r="M131" s="45" t="s">
        <v>367</v>
      </c>
      <c r="N131" s="45" t="s">
        <v>269</v>
      </c>
      <c r="O131" s="7"/>
      <c r="P131" s="7"/>
      <c r="Q131" s="7"/>
      <c r="R131" s="7"/>
      <c r="S131" s="7"/>
      <c r="T131" s="7"/>
      <c r="U131" s="7"/>
    </row>
    <row r="132" spans="1:21" s="5" customFormat="1" ht="53.25" customHeight="1">
      <c r="A132" s="480"/>
      <c r="B132" s="480"/>
      <c r="C132" s="480" t="s">
        <v>166</v>
      </c>
      <c r="D132" s="480" t="s">
        <v>167</v>
      </c>
      <c r="E132" s="480" t="s">
        <v>168</v>
      </c>
      <c r="F132" s="480" t="s">
        <v>169</v>
      </c>
      <c r="G132" s="480" t="s">
        <v>87</v>
      </c>
      <c r="H132" s="483">
        <v>0.05</v>
      </c>
      <c r="I132" s="100" t="s">
        <v>371</v>
      </c>
      <c r="J132" s="18">
        <v>45717</v>
      </c>
      <c r="K132" s="17">
        <v>46022</v>
      </c>
      <c r="L132" s="45"/>
      <c r="M132" s="45" t="s">
        <v>95</v>
      </c>
      <c r="N132" s="45" t="s">
        <v>99</v>
      </c>
      <c r="O132" s="7"/>
      <c r="P132" s="7"/>
      <c r="Q132" s="7"/>
      <c r="R132" s="7"/>
      <c r="S132" s="7"/>
      <c r="T132" s="7"/>
      <c r="U132" s="7"/>
    </row>
    <row r="133" spans="1:21" s="5" customFormat="1" ht="53.25" customHeight="1">
      <c r="A133" s="481"/>
      <c r="B133" s="481"/>
      <c r="C133" s="481"/>
      <c r="D133" s="481"/>
      <c r="E133" s="481"/>
      <c r="F133" s="481"/>
      <c r="G133" s="481"/>
      <c r="H133" s="484"/>
      <c r="I133" s="100" t="s">
        <v>372</v>
      </c>
      <c r="J133" s="18">
        <v>45717</v>
      </c>
      <c r="K133" s="17">
        <v>46022</v>
      </c>
      <c r="L133" s="45"/>
      <c r="M133" s="45" t="s">
        <v>95</v>
      </c>
      <c r="N133" s="45" t="s">
        <v>99</v>
      </c>
      <c r="O133" s="7"/>
      <c r="P133" s="7"/>
      <c r="Q133" s="7"/>
      <c r="R133" s="7"/>
      <c r="S133" s="7"/>
      <c r="T133" s="7"/>
      <c r="U133" s="7"/>
    </row>
    <row r="134" spans="1:21" s="5" customFormat="1" ht="53.25" customHeight="1">
      <c r="A134" s="481"/>
      <c r="B134" s="481"/>
      <c r="C134" s="481"/>
      <c r="D134" s="481"/>
      <c r="E134" s="481"/>
      <c r="F134" s="481"/>
      <c r="G134" s="481"/>
      <c r="H134" s="484"/>
      <c r="I134" s="100" t="s">
        <v>373</v>
      </c>
      <c r="J134" s="18">
        <v>45717</v>
      </c>
      <c r="K134" s="17">
        <v>46022</v>
      </c>
      <c r="L134" s="45"/>
      <c r="M134" s="45" t="s">
        <v>95</v>
      </c>
      <c r="N134" s="45" t="s">
        <v>99</v>
      </c>
      <c r="O134" s="7"/>
      <c r="P134" s="7"/>
      <c r="Q134" s="7"/>
      <c r="R134" s="7"/>
      <c r="S134" s="7"/>
      <c r="T134" s="7"/>
      <c r="U134" s="7"/>
    </row>
    <row r="135" spans="1:21" s="5" customFormat="1" ht="53.25" customHeight="1">
      <c r="A135" s="482"/>
      <c r="B135" s="482"/>
      <c r="C135" s="482"/>
      <c r="D135" s="482"/>
      <c r="E135" s="482"/>
      <c r="F135" s="482"/>
      <c r="G135" s="482"/>
      <c r="H135" s="485"/>
      <c r="I135" s="100" t="s">
        <v>374</v>
      </c>
      <c r="J135" s="18">
        <v>45717</v>
      </c>
      <c r="K135" s="17">
        <v>46022</v>
      </c>
      <c r="L135" s="45"/>
      <c r="M135" s="45" t="s">
        <v>95</v>
      </c>
      <c r="N135" s="45" t="s">
        <v>99</v>
      </c>
      <c r="O135" s="7"/>
      <c r="P135" s="7"/>
      <c r="Q135" s="7"/>
      <c r="R135" s="7"/>
      <c r="S135" s="7"/>
      <c r="T135" s="7"/>
      <c r="U135" s="7"/>
    </row>
    <row r="136" spans="1:21" s="5" customFormat="1" ht="38.1" customHeight="1">
      <c r="A136" s="10">
        <v>6</v>
      </c>
      <c r="B136" s="10" t="s">
        <v>170</v>
      </c>
      <c r="C136" s="10" t="s">
        <v>21</v>
      </c>
      <c r="D136" s="11" t="s">
        <v>171</v>
      </c>
      <c r="E136" s="40"/>
      <c r="F136" s="40"/>
      <c r="G136" s="40"/>
      <c r="H136" s="23">
        <v>0.1</v>
      </c>
      <c r="I136" s="23"/>
      <c r="J136" s="19"/>
      <c r="K136" s="19"/>
      <c r="L136" s="10"/>
      <c r="M136" s="10"/>
      <c r="N136" s="10"/>
      <c r="O136" s="7"/>
      <c r="P136" s="7"/>
      <c r="Q136" s="7"/>
      <c r="R136" s="7"/>
      <c r="S136" s="7"/>
      <c r="T136" s="7"/>
      <c r="U136" s="7"/>
    </row>
    <row r="137" spans="1:21" s="5" customFormat="1" ht="69" customHeight="1">
      <c r="A137" s="480"/>
      <c r="B137" s="480"/>
      <c r="C137" s="480" t="s">
        <v>22</v>
      </c>
      <c r="D137" s="480" t="s">
        <v>172</v>
      </c>
      <c r="E137" s="480" t="s">
        <v>173</v>
      </c>
      <c r="F137" s="486">
        <v>1</v>
      </c>
      <c r="G137" s="480" t="s">
        <v>87</v>
      </c>
      <c r="H137" s="483">
        <v>0.2</v>
      </c>
      <c r="I137" s="100" t="s">
        <v>366</v>
      </c>
      <c r="J137" s="18">
        <v>45717</v>
      </c>
      <c r="K137" s="17">
        <v>46022</v>
      </c>
      <c r="L137" s="45"/>
      <c r="M137" s="45" t="s">
        <v>310</v>
      </c>
      <c r="N137" s="45" t="s">
        <v>269</v>
      </c>
      <c r="O137" s="7"/>
      <c r="P137" s="7"/>
      <c r="Q137" s="7"/>
      <c r="R137" s="7"/>
      <c r="S137" s="7"/>
      <c r="T137" s="7"/>
      <c r="U137" s="7"/>
    </row>
    <row r="138" spans="1:21" s="5" customFormat="1" ht="69" customHeight="1">
      <c r="A138" s="482"/>
      <c r="B138" s="482"/>
      <c r="C138" s="482"/>
      <c r="D138" s="482"/>
      <c r="E138" s="482"/>
      <c r="F138" s="488"/>
      <c r="G138" s="482"/>
      <c r="H138" s="485"/>
      <c r="I138" s="100" t="s">
        <v>375</v>
      </c>
      <c r="J138" s="18">
        <v>45717</v>
      </c>
      <c r="K138" s="17">
        <v>46022</v>
      </c>
      <c r="L138" s="45"/>
      <c r="M138" s="45" t="s">
        <v>310</v>
      </c>
      <c r="N138" s="45" t="s">
        <v>269</v>
      </c>
      <c r="O138" s="7"/>
      <c r="P138" s="7"/>
      <c r="Q138" s="7"/>
      <c r="R138" s="7"/>
      <c r="S138" s="7"/>
      <c r="T138" s="7"/>
      <c r="U138" s="7"/>
    </row>
    <row r="139" spans="1:21" s="6" customFormat="1" ht="85.5" customHeight="1">
      <c r="A139" s="480"/>
      <c r="B139" s="480"/>
      <c r="C139" s="480" t="s">
        <v>174</v>
      </c>
      <c r="D139" s="480" t="s">
        <v>175</v>
      </c>
      <c r="E139" s="480" t="s">
        <v>176</v>
      </c>
      <c r="F139" s="480">
        <v>8</v>
      </c>
      <c r="G139" s="480" t="s">
        <v>87</v>
      </c>
      <c r="H139" s="483">
        <v>0.4</v>
      </c>
      <c r="I139" s="100" t="s">
        <v>376</v>
      </c>
      <c r="J139" s="18">
        <v>45717</v>
      </c>
      <c r="K139" s="17">
        <v>46022</v>
      </c>
      <c r="L139" s="45"/>
      <c r="M139" s="45" t="s">
        <v>310</v>
      </c>
      <c r="N139" s="45" t="s">
        <v>377</v>
      </c>
      <c r="O139" s="7"/>
      <c r="P139" s="7"/>
      <c r="Q139" s="7"/>
      <c r="R139" s="7"/>
      <c r="S139" s="7"/>
      <c r="T139" s="7"/>
      <c r="U139" s="7"/>
    </row>
    <row r="140" spans="1:21" s="6" customFormat="1" ht="63.75" customHeight="1">
      <c r="A140" s="481"/>
      <c r="B140" s="481"/>
      <c r="C140" s="481"/>
      <c r="D140" s="481"/>
      <c r="E140" s="481"/>
      <c r="F140" s="481"/>
      <c r="G140" s="481"/>
      <c r="H140" s="484"/>
      <c r="I140" s="100" t="s">
        <v>378</v>
      </c>
      <c r="J140" s="18">
        <v>45717</v>
      </c>
      <c r="K140" s="17">
        <v>46022</v>
      </c>
      <c r="L140" s="45"/>
      <c r="M140" s="45" t="s">
        <v>310</v>
      </c>
      <c r="N140" s="45" t="s">
        <v>377</v>
      </c>
      <c r="O140" s="7"/>
      <c r="P140" s="7"/>
      <c r="Q140" s="7"/>
      <c r="R140" s="7"/>
      <c r="S140" s="7"/>
      <c r="T140" s="7"/>
      <c r="U140" s="7"/>
    </row>
    <row r="141" spans="1:21" s="6" customFormat="1" ht="63.75" customHeight="1">
      <c r="A141" s="481"/>
      <c r="B141" s="481"/>
      <c r="C141" s="481"/>
      <c r="D141" s="481"/>
      <c r="E141" s="481"/>
      <c r="F141" s="481"/>
      <c r="G141" s="481"/>
      <c r="H141" s="484"/>
      <c r="I141" s="100" t="s">
        <v>379</v>
      </c>
      <c r="J141" s="18">
        <v>45717</v>
      </c>
      <c r="K141" s="17">
        <v>46022</v>
      </c>
      <c r="L141" s="45"/>
      <c r="M141" s="45" t="s">
        <v>310</v>
      </c>
      <c r="N141" s="45" t="s">
        <v>377</v>
      </c>
      <c r="O141" s="7"/>
      <c r="P141" s="7"/>
      <c r="Q141" s="7"/>
      <c r="R141" s="7"/>
      <c r="S141" s="7"/>
      <c r="T141" s="7"/>
      <c r="U141" s="7"/>
    </row>
    <row r="142" spans="1:21" s="6" customFormat="1" ht="63.75" customHeight="1">
      <c r="A142" s="482"/>
      <c r="B142" s="482"/>
      <c r="C142" s="482"/>
      <c r="D142" s="482"/>
      <c r="E142" s="482"/>
      <c r="F142" s="482"/>
      <c r="G142" s="482"/>
      <c r="H142" s="485"/>
      <c r="I142" s="100" t="s">
        <v>380</v>
      </c>
      <c r="J142" s="18">
        <v>45717</v>
      </c>
      <c r="K142" s="17">
        <v>46022</v>
      </c>
      <c r="L142" s="45"/>
      <c r="M142" s="45" t="s">
        <v>310</v>
      </c>
      <c r="N142" s="45" t="s">
        <v>377</v>
      </c>
      <c r="O142" s="7"/>
      <c r="P142" s="7"/>
      <c r="Q142" s="7"/>
      <c r="R142" s="7"/>
      <c r="S142" s="7"/>
      <c r="T142" s="7"/>
      <c r="U142" s="7"/>
    </row>
    <row r="143" spans="1:21" s="6" customFormat="1" ht="74.25" customHeight="1">
      <c r="A143" s="480"/>
      <c r="B143" s="480"/>
      <c r="C143" s="480" t="s">
        <v>178</v>
      </c>
      <c r="D143" s="480" t="s">
        <v>182</v>
      </c>
      <c r="E143" s="480" t="s">
        <v>183</v>
      </c>
      <c r="F143" s="486">
        <v>1</v>
      </c>
      <c r="G143" s="480" t="s">
        <v>91</v>
      </c>
      <c r="H143" s="483">
        <v>0.3</v>
      </c>
      <c r="I143" s="100" t="s">
        <v>381</v>
      </c>
      <c r="J143" s="18">
        <v>45717</v>
      </c>
      <c r="K143" s="17" t="s">
        <v>264</v>
      </c>
      <c r="L143" s="45"/>
      <c r="M143" s="45" t="s">
        <v>310</v>
      </c>
      <c r="N143" s="45" t="s">
        <v>269</v>
      </c>
      <c r="O143" s="7"/>
      <c r="P143" s="7"/>
      <c r="Q143" s="7"/>
      <c r="R143" s="7"/>
      <c r="S143" s="7"/>
      <c r="T143" s="7"/>
      <c r="U143" s="7"/>
    </row>
    <row r="144" spans="1:21" s="6" customFormat="1" ht="74.25" customHeight="1">
      <c r="A144" s="481"/>
      <c r="B144" s="481"/>
      <c r="C144" s="481"/>
      <c r="D144" s="481"/>
      <c r="E144" s="481"/>
      <c r="F144" s="487"/>
      <c r="G144" s="481"/>
      <c r="H144" s="484"/>
      <c r="I144" s="100" t="s">
        <v>382</v>
      </c>
      <c r="J144" s="18">
        <v>45717</v>
      </c>
      <c r="K144" s="17" t="s">
        <v>264</v>
      </c>
      <c r="L144" s="45"/>
      <c r="M144" s="45" t="s">
        <v>310</v>
      </c>
      <c r="N144" s="45" t="s">
        <v>269</v>
      </c>
      <c r="O144" s="7"/>
      <c r="P144" s="7"/>
      <c r="Q144" s="7"/>
      <c r="R144" s="7"/>
      <c r="S144" s="7"/>
      <c r="T144" s="7"/>
      <c r="U144" s="7"/>
    </row>
    <row r="145" spans="1:21" s="6" customFormat="1" ht="74.25" customHeight="1">
      <c r="A145" s="482"/>
      <c r="B145" s="482"/>
      <c r="C145" s="482"/>
      <c r="D145" s="482"/>
      <c r="E145" s="482"/>
      <c r="F145" s="488"/>
      <c r="G145" s="482"/>
      <c r="H145" s="485"/>
      <c r="I145" s="100" t="s">
        <v>383</v>
      </c>
      <c r="J145" s="18">
        <v>45717</v>
      </c>
      <c r="K145" s="17" t="s">
        <v>264</v>
      </c>
      <c r="L145" s="45"/>
      <c r="M145" s="45" t="s">
        <v>310</v>
      </c>
      <c r="N145" s="45" t="s">
        <v>269</v>
      </c>
      <c r="O145" s="7"/>
      <c r="P145" s="7"/>
      <c r="Q145" s="7"/>
      <c r="R145" s="7"/>
      <c r="S145" s="7"/>
      <c r="T145" s="7"/>
      <c r="U145" s="7"/>
    </row>
    <row r="146" spans="1:21" s="6" customFormat="1" ht="81" customHeight="1">
      <c r="A146" s="480"/>
      <c r="B146" s="480"/>
      <c r="C146" s="480" t="s">
        <v>181</v>
      </c>
      <c r="D146" s="480" t="s">
        <v>195</v>
      </c>
      <c r="E146" s="480" t="s">
        <v>138</v>
      </c>
      <c r="F146" s="486">
        <v>1</v>
      </c>
      <c r="G146" s="480" t="s">
        <v>87</v>
      </c>
      <c r="H146" s="483">
        <v>0.1</v>
      </c>
      <c r="I146" s="100" t="s">
        <v>366</v>
      </c>
      <c r="J146" s="18">
        <v>45717</v>
      </c>
      <c r="K146" s="17">
        <v>46022</v>
      </c>
      <c r="L146" s="45"/>
      <c r="M146" s="45" t="s">
        <v>367</v>
      </c>
      <c r="N146" s="45" t="s">
        <v>269</v>
      </c>
      <c r="O146" s="7"/>
      <c r="P146" s="7"/>
      <c r="Q146" s="7"/>
      <c r="R146" s="7"/>
      <c r="S146" s="7"/>
      <c r="T146" s="7"/>
      <c r="U146" s="7"/>
    </row>
    <row r="147" spans="1:21" s="6" customFormat="1" ht="55.5" customHeight="1">
      <c r="A147" s="481"/>
      <c r="B147" s="481"/>
      <c r="C147" s="481"/>
      <c r="D147" s="481"/>
      <c r="E147" s="481"/>
      <c r="F147" s="487"/>
      <c r="G147" s="481"/>
      <c r="H147" s="484"/>
      <c r="I147" s="100" t="s">
        <v>351</v>
      </c>
      <c r="J147" s="18">
        <v>45717</v>
      </c>
      <c r="K147" s="17">
        <v>46022</v>
      </c>
      <c r="L147" s="45"/>
      <c r="M147" s="45" t="s">
        <v>367</v>
      </c>
      <c r="N147" s="45" t="s">
        <v>269</v>
      </c>
      <c r="O147" s="7"/>
      <c r="P147" s="7"/>
      <c r="Q147" s="7"/>
      <c r="R147" s="7"/>
      <c r="S147" s="7"/>
      <c r="T147" s="7"/>
      <c r="U147" s="7"/>
    </row>
    <row r="148" spans="1:21" s="6" customFormat="1" ht="55.5" customHeight="1">
      <c r="A148" s="482"/>
      <c r="B148" s="482"/>
      <c r="C148" s="482"/>
      <c r="D148" s="482"/>
      <c r="E148" s="482"/>
      <c r="F148" s="488"/>
      <c r="G148" s="482"/>
      <c r="H148" s="485"/>
      <c r="I148" s="100" t="s">
        <v>370</v>
      </c>
      <c r="J148" s="18">
        <v>45717</v>
      </c>
      <c r="K148" s="17">
        <v>46022</v>
      </c>
      <c r="L148" s="45"/>
      <c r="M148" s="45" t="s">
        <v>367</v>
      </c>
      <c r="N148" s="45" t="s">
        <v>269</v>
      </c>
      <c r="O148" s="7"/>
      <c r="P148" s="7"/>
      <c r="Q148" s="7"/>
      <c r="R148" s="7"/>
      <c r="S148" s="7"/>
      <c r="T148" s="7"/>
      <c r="U148" s="7"/>
    </row>
    <row r="149" spans="1:21" s="5" customFormat="1" ht="38.1" customHeight="1">
      <c r="A149" s="10">
        <v>7</v>
      </c>
      <c r="B149" s="10" t="s">
        <v>94</v>
      </c>
      <c r="C149" s="10" t="s">
        <v>25</v>
      </c>
      <c r="D149" s="11" t="s">
        <v>30</v>
      </c>
      <c r="E149" s="60"/>
      <c r="F149" s="60"/>
      <c r="G149" s="60"/>
      <c r="H149" s="23">
        <v>0.05</v>
      </c>
      <c r="I149" s="61"/>
      <c r="J149" s="19"/>
      <c r="K149" s="19"/>
      <c r="L149" s="10"/>
      <c r="M149" s="10"/>
      <c r="N149" s="10"/>
      <c r="O149" s="7"/>
      <c r="P149" s="7"/>
      <c r="Q149" s="7"/>
      <c r="R149" s="7"/>
      <c r="S149" s="7"/>
      <c r="T149" s="7"/>
      <c r="U149" s="7"/>
    </row>
    <row r="150" spans="1:21" s="5" customFormat="1" ht="75" customHeight="1">
      <c r="A150" s="480"/>
      <c r="B150" s="480"/>
      <c r="C150" s="480" t="s">
        <v>26</v>
      </c>
      <c r="D150" s="480" t="s">
        <v>196</v>
      </c>
      <c r="E150" s="480" t="s">
        <v>119</v>
      </c>
      <c r="F150" s="480">
        <v>1</v>
      </c>
      <c r="G150" s="480" t="s">
        <v>197</v>
      </c>
      <c r="H150" s="483">
        <v>0.6</v>
      </c>
      <c r="I150" s="100" t="s">
        <v>384</v>
      </c>
      <c r="J150" s="18">
        <v>45717</v>
      </c>
      <c r="K150" s="17" t="s">
        <v>264</v>
      </c>
      <c r="L150" s="45"/>
      <c r="M150" s="45" t="s">
        <v>310</v>
      </c>
      <c r="N150" s="45" t="s">
        <v>269</v>
      </c>
      <c r="O150" s="7"/>
      <c r="P150" s="7"/>
      <c r="Q150" s="7"/>
      <c r="R150" s="7"/>
      <c r="S150" s="7"/>
      <c r="T150" s="7"/>
      <c r="U150" s="7"/>
    </row>
    <row r="151" spans="1:21" s="5" customFormat="1" ht="75" customHeight="1">
      <c r="A151" s="481"/>
      <c r="B151" s="481"/>
      <c r="C151" s="481"/>
      <c r="D151" s="481"/>
      <c r="E151" s="481"/>
      <c r="F151" s="481"/>
      <c r="G151" s="481"/>
      <c r="H151" s="484"/>
      <c r="I151" s="100" t="s">
        <v>385</v>
      </c>
      <c r="J151" s="18">
        <v>45717</v>
      </c>
      <c r="K151" s="17" t="s">
        <v>264</v>
      </c>
      <c r="L151" s="45"/>
      <c r="M151" s="45" t="s">
        <v>310</v>
      </c>
      <c r="N151" s="45" t="s">
        <v>269</v>
      </c>
      <c r="O151" s="7"/>
      <c r="P151" s="7"/>
      <c r="Q151" s="7"/>
      <c r="R151" s="7"/>
      <c r="S151" s="7"/>
      <c r="T151" s="7"/>
      <c r="U151" s="7"/>
    </row>
    <row r="152" spans="1:21" s="5" customFormat="1" ht="75" customHeight="1">
      <c r="A152" s="482"/>
      <c r="B152" s="482"/>
      <c r="C152" s="482"/>
      <c r="D152" s="482"/>
      <c r="E152" s="482"/>
      <c r="F152" s="482"/>
      <c r="G152" s="482"/>
      <c r="H152" s="485"/>
      <c r="I152" s="100" t="s">
        <v>386</v>
      </c>
      <c r="J152" s="18">
        <v>45717</v>
      </c>
      <c r="K152" s="17" t="s">
        <v>264</v>
      </c>
      <c r="L152" s="45"/>
      <c r="M152" s="45" t="s">
        <v>310</v>
      </c>
      <c r="N152" s="45" t="s">
        <v>269</v>
      </c>
      <c r="O152" s="7"/>
      <c r="P152" s="7"/>
      <c r="Q152" s="7"/>
      <c r="R152" s="7"/>
      <c r="S152" s="7"/>
      <c r="T152" s="7"/>
      <c r="U152" s="7"/>
    </row>
    <row r="153" spans="1:21" s="6" customFormat="1" ht="72.75" customHeight="1">
      <c r="A153" s="480"/>
      <c r="B153" s="480"/>
      <c r="C153" s="480" t="s">
        <v>199</v>
      </c>
      <c r="D153" s="480" t="s">
        <v>200</v>
      </c>
      <c r="E153" s="480" t="s">
        <v>119</v>
      </c>
      <c r="F153" s="480">
        <v>1</v>
      </c>
      <c r="G153" s="480" t="s">
        <v>201</v>
      </c>
      <c r="H153" s="483">
        <v>0.2</v>
      </c>
      <c r="I153" s="100" t="s">
        <v>384</v>
      </c>
      <c r="J153" s="18">
        <v>45717</v>
      </c>
      <c r="K153" s="17" t="s">
        <v>387</v>
      </c>
      <c r="L153" s="45"/>
      <c r="M153" s="45" t="s">
        <v>310</v>
      </c>
      <c r="N153" s="45" t="s">
        <v>269</v>
      </c>
      <c r="O153" s="7"/>
      <c r="P153" s="7"/>
      <c r="Q153" s="7"/>
      <c r="R153" s="7"/>
      <c r="S153" s="7"/>
      <c r="T153" s="7"/>
      <c r="U153" s="7"/>
    </row>
    <row r="154" spans="1:21" s="6" customFormat="1" ht="72.75" customHeight="1">
      <c r="A154" s="481"/>
      <c r="B154" s="481"/>
      <c r="C154" s="481"/>
      <c r="D154" s="481"/>
      <c r="E154" s="481"/>
      <c r="F154" s="481"/>
      <c r="G154" s="481"/>
      <c r="H154" s="484"/>
      <c r="I154" s="100" t="s">
        <v>385</v>
      </c>
      <c r="J154" s="18">
        <v>45717</v>
      </c>
      <c r="K154" s="17" t="s">
        <v>387</v>
      </c>
      <c r="L154" s="45"/>
      <c r="M154" s="45" t="s">
        <v>310</v>
      </c>
      <c r="N154" s="45" t="s">
        <v>269</v>
      </c>
      <c r="O154" s="106"/>
      <c r="P154" s="7"/>
      <c r="Q154" s="7"/>
      <c r="R154" s="7"/>
      <c r="S154" s="7"/>
      <c r="T154" s="7"/>
      <c r="U154" s="7"/>
    </row>
    <row r="155" spans="1:21" s="6" customFormat="1" ht="72.75" customHeight="1">
      <c r="A155" s="482"/>
      <c r="B155" s="482"/>
      <c r="C155" s="482"/>
      <c r="D155" s="482"/>
      <c r="E155" s="482"/>
      <c r="F155" s="482"/>
      <c r="G155" s="482"/>
      <c r="H155" s="485"/>
      <c r="I155" s="100" t="s">
        <v>386</v>
      </c>
      <c r="J155" s="18">
        <v>45717</v>
      </c>
      <c r="K155" s="17" t="s">
        <v>387</v>
      </c>
      <c r="L155" s="45"/>
      <c r="M155" s="45" t="s">
        <v>310</v>
      </c>
      <c r="N155" s="45" t="s">
        <v>269</v>
      </c>
      <c r="O155" s="106"/>
      <c r="P155" s="7"/>
      <c r="Q155" s="7"/>
      <c r="R155" s="7"/>
      <c r="S155" s="7"/>
      <c r="T155" s="7"/>
      <c r="U155" s="7"/>
    </row>
    <row r="156" spans="1:21" s="6" customFormat="1" ht="72.75" customHeight="1">
      <c r="A156" s="480"/>
      <c r="B156" s="480"/>
      <c r="C156" s="480" t="s">
        <v>202</v>
      </c>
      <c r="D156" s="480" t="s">
        <v>203</v>
      </c>
      <c r="E156" s="480" t="s">
        <v>119</v>
      </c>
      <c r="F156" s="480">
        <v>5</v>
      </c>
      <c r="G156" s="480" t="s">
        <v>87</v>
      </c>
      <c r="H156" s="483">
        <v>0.2</v>
      </c>
      <c r="I156" s="100" t="s">
        <v>384</v>
      </c>
      <c r="J156" s="18">
        <v>45717</v>
      </c>
      <c r="K156" s="17">
        <v>46022</v>
      </c>
      <c r="L156" s="45"/>
      <c r="M156" s="45" t="s">
        <v>310</v>
      </c>
      <c r="N156" s="45" t="s">
        <v>364</v>
      </c>
      <c r="O156" s="7"/>
      <c r="P156" s="7"/>
      <c r="Q156" s="7"/>
      <c r="R156" s="7"/>
      <c r="S156" s="7"/>
      <c r="T156" s="7"/>
      <c r="U156" s="7"/>
    </row>
    <row r="157" spans="1:21" s="6" customFormat="1" ht="72.75" customHeight="1">
      <c r="A157" s="481"/>
      <c r="B157" s="481"/>
      <c r="C157" s="481"/>
      <c r="D157" s="481"/>
      <c r="E157" s="481"/>
      <c r="F157" s="481"/>
      <c r="G157" s="481"/>
      <c r="H157" s="484"/>
      <c r="I157" s="100" t="s">
        <v>385</v>
      </c>
      <c r="J157" s="18">
        <v>45717</v>
      </c>
      <c r="K157" s="17">
        <v>46022</v>
      </c>
      <c r="L157" s="45"/>
      <c r="M157" s="45" t="s">
        <v>310</v>
      </c>
      <c r="N157" s="45" t="s">
        <v>364</v>
      </c>
      <c r="O157" s="7"/>
      <c r="P157" s="7"/>
      <c r="Q157" s="7"/>
      <c r="R157" s="7"/>
      <c r="S157" s="7"/>
      <c r="T157" s="7"/>
      <c r="U157" s="7"/>
    </row>
    <row r="158" spans="1:21" s="6" customFormat="1" ht="72.75" customHeight="1">
      <c r="A158" s="482"/>
      <c r="B158" s="482"/>
      <c r="C158" s="482"/>
      <c r="D158" s="482"/>
      <c r="E158" s="482"/>
      <c r="F158" s="482"/>
      <c r="G158" s="482"/>
      <c r="H158" s="485"/>
      <c r="I158" s="100" t="s">
        <v>386</v>
      </c>
      <c r="J158" s="18">
        <v>45717</v>
      </c>
      <c r="K158" s="17">
        <v>46022</v>
      </c>
      <c r="L158" s="45"/>
      <c r="M158" s="45" t="s">
        <v>310</v>
      </c>
      <c r="N158" s="45" t="s">
        <v>364</v>
      </c>
      <c r="O158" s="7"/>
      <c r="P158" s="7"/>
      <c r="Q158" s="7"/>
      <c r="R158" s="7"/>
      <c r="S158" s="7"/>
      <c r="T158" s="7"/>
      <c r="U158" s="7"/>
    </row>
    <row r="159" spans="1:21" s="6" customFormat="1" ht="55.9" customHeight="1">
      <c r="A159" s="107"/>
      <c r="B159" s="107"/>
      <c r="C159" s="107"/>
      <c r="D159" s="65"/>
      <c r="E159" s="66"/>
      <c r="F159" s="66"/>
      <c r="G159" s="66"/>
      <c r="H159" s="67">
        <f>H3+H47+H58+H81+H106+H136+H149</f>
        <v>1</v>
      </c>
      <c r="I159" s="9"/>
      <c r="J159" s="68"/>
      <c r="K159" s="69"/>
      <c r="L159" s="70"/>
      <c r="M159" s="70"/>
      <c r="N159" s="70"/>
      <c r="O159" s="4"/>
      <c r="P159" s="4"/>
      <c r="Q159" s="4"/>
      <c r="R159" s="4"/>
      <c r="S159" s="4"/>
      <c r="T159" s="4"/>
      <c r="U159" s="4"/>
    </row>
    <row r="160" spans="1:21">
      <c r="B160" s="20"/>
      <c r="C160" s="20"/>
      <c r="D160" s="21"/>
      <c r="E160" s="71"/>
      <c r="F160" s="71"/>
      <c r="G160" s="71"/>
      <c r="O160" s="4"/>
      <c r="P160" s="4"/>
      <c r="Q160" s="4"/>
      <c r="R160" s="4"/>
      <c r="S160" s="4"/>
      <c r="T160" s="4"/>
      <c r="U160" s="4"/>
    </row>
    <row r="161" spans="1:21">
      <c r="C161" s="20"/>
      <c r="D161" s="21"/>
      <c r="O161" s="4"/>
      <c r="P161" s="4"/>
      <c r="Q161" s="4"/>
      <c r="R161" s="4"/>
      <c r="S161" s="4"/>
      <c r="T161" s="4"/>
      <c r="U161" s="4"/>
    </row>
    <row r="162" spans="1:21">
      <c r="O162" s="4"/>
      <c r="P162" s="4"/>
      <c r="Q162" s="4"/>
      <c r="R162" s="4"/>
      <c r="S162" s="4"/>
      <c r="T162" s="4"/>
      <c r="U162" s="4"/>
    </row>
    <row r="163" spans="1:21" s="66" customFormat="1">
      <c r="A163" s="4"/>
      <c r="B163" s="4"/>
      <c r="C163" s="4"/>
      <c r="D163" s="22"/>
      <c r="H163" s="9"/>
      <c r="I163" s="9"/>
      <c r="J163" s="4"/>
      <c r="K163" s="4"/>
      <c r="L163" s="4"/>
      <c r="M163" s="4"/>
      <c r="N163" s="4"/>
      <c r="O163" s="4"/>
      <c r="P163" s="4"/>
      <c r="Q163" s="4"/>
      <c r="R163" s="4"/>
      <c r="S163" s="4"/>
      <c r="T163" s="4"/>
      <c r="U163" s="4"/>
    </row>
    <row r="164" spans="1:21">
      <c r="O164" s="4"/>
      <c r="P164" s="4"/>
      <c r="Q164" s="4"/>
      <c r="R164" s="4"/>
      <c r="S164" s="4"/>
      <c r="T164" s="4"/>
      <c r="U164" s="4"/>
    </row>
    <row r="165" spans="1:21">
      <c r="O165" s="4"/>
      <c r="P165" s="4"/>
      <c r="Q165" s="4"/>
      <c r="R165" s="4"/>
      <c r="S165" s="4"/>
      <c r="T165" s="4"/>
      <c r="U165" s="4"/>
    </row>
    <row r="166" spans="1:21">
      <c r="O166" s="4"/>
      <c r="P166" s="4"/>
      <c r="Q166" s="4"/>
      <c r="R166" s="4"/>
      <c r="S166" s="4"/>
      <c r="T166" s="4"/>
      <c r="U166" s="4"/>
    </row>
    <row r="167" spans="1:21">
      <c r="O167" s="4"/>
      <c r="P167" s="4"/>
      <c r="Q167" s="4"/>
      <c r="R167" s="4"/>
      <c r="S167" s="4"/>
      <c r="T167" s="4"/>
      <c r="U167" s="4"/>
    </row>
    <row r="168" spans="1:21">
      <c r="O168" s="4"/>
      <c r="P168" s="4"/>
      <c r="Q168" s="4"/>
      <c r="R168" s="4"/>
      <c r="S168" s="4"/>
      <c r="T168" s="4"/>
      <c r="U168" s="4"/>
    </row>
    <row r="169" spans="1:21">
      <c r="O169" s="4"/>
      <c r="P169" s="4"/>
      <c r="Q169" s="4"/>
      <c r="R169" s="4"/>
      <c r="S169" s="4"/>
      <c r="T169" s="4"/>
      <c r="U169" s="4"/>
    </row>
    <row r="170" spans="1:21">
      <c r="O170" s="4"/>
      <c r="P170" s="4"/>
      <c r="Q170" s="4"/>
      <c r="R170" s="4"/>
      <c r="S170" s="4"/>
      <c r="T170" s="4"/>
      <c r="U170" s="4"/>
    </row>
    <row r="171" spans="1:21">
      <c r="O171" s="4"/>
      <c r="P171" s="4"/>
      <c r="Q171" s="4"/>
      <c r="R171" s="4"/>
      <c r="S171" s="4"/>
      <c r="T171" s="4"/>
      <c r="U171" s="4"/>
    </row>
    <row r="172" spans="1:21">
      <c r="O172" s="4"/>
      <c r="P172" s="4"/>
      <c r="Q172" s="4"/>
      <c r="R172" s="4"/>
      <c r="S172" s="4"/>
      <c r="T172" s="4"/>
      <c r="U172" s="4"/>
    </row>
    <row r="173" spans="1:21">
      <c r="O173" s="4"/>
      <c r="P173" s="4"/>
      <c r="Q173" s="4"/>
      <c r="R173" s="4"/>
      <c r="S173" s="4"/>
      <c r="T173" s="4"/>
      <c r="U173" s="4"/>
    </row>
    <row r="174" spans="1:21">
      <c r="O174" s="4"/>
      <c r="P174" s="4"/>
      <c r="Q174" s="4"/>
      <c r="R174" s="4"/>
      <c r="S174" s="4"/>
      <c r="T174" s="4"/>
      <c r="U174" s="4"/>
    </row>
    <row r="175" spans="1:21">
      <c r="O175" s="4"/>
      <c r="P175" s="4"/>
      <c r="Q175" s="4"/>
      <c r="R175" s="4"/>
      <c r="S175" s="4"/>
      <c r="T175" s="4"/>
      <c r="U175" s="4"/>
    </row>
    <row r="176" spans="1:21">
      <c r="O176" s="4"/>
      <c r="P176" s="4"/>
      <c r="Q176" s="4"/>
      <c r="R176" s="4"/>
      <c r="S176" s="4"/>
      <c r="T176" s="4"/>
      <c r="U176" s="4"/>
    </row>
    <row r="177" spans="15:21">
      <c r="O177" s="4"/>
      <c r="P177" s="4"/>
      <c r="Q177" s="4"/>
      <c r="R177" s="4"/>
      <c r="S177" s="4"/>
      <c r="T177" s="4"/>
      <c r="U177" s="4"/>
    </row>
    <row r="178" spans="15:21">
      <c r="O178" s="4"/>
      <c r="P178" s="4"/>
      <c r="Q178" s="4"/>
      <c r="R178" s="4"/>
      <c r="S178" s="4"/>
      <c r="T178" s="4"/>
      <c r="U178" s="4"/>
    </row>
    <row r="179" spans="15:21">
      <c r="O179" s="4"/>
      <c r="P179" s="4"/>
      <c r="Q179" s="4"/>
      <c r="R179" s="4"/>
      <c r="S179" s="4"/>
      <c r="T179" s="4"/>
      <c r="U179" s="4"/>
    </row>
    <row r="180" spans="15:21">
      <c r="O180" s="4"/>
      <c r="P180" s="4"/>
      <c r="Q180" s="4"/>
      <c r="R180" s="4"/>
      <c r="S180" s="4"/>
      <c r="T180" s="4"/>
      <c r="U180" s="4"/>
    </row>
    <row r="181" spans="15:21">
      <c r="O181" s="4"/>
      <c r="P181" s="4"/>
      <c r="Q181" s="4"/>
      <c r="R181" s="4"/>
      <c r="S181" s="4"/>
      <c r="T181" s="4"/>
      <c r="U181" s="4"/>
    </row>
    <row r="182" spans="15:21">
      <c r="O182" s="4"/>
      <c r="P182" s="4"/>
      <c r="Q182" s="4"/>
      <c r="R182" s="4"/>
      <c r="S182" s="4"/>
      <c r="T182" s="4"/>
      <c r="U182" s="4"/>
    </row>
    <row r="183" spans="15:21">
      <c r="O183" s="4"/>
      <c r="P183" s="4"/>
      <c r="Q183" s="4"/>
      <c r="R183" s="4"/>
      <c r="S183" s="4"/>
      <c r="T183" s="4"/>
      <c r="U183" s="4"/>
    </row>
    <row r="184" spans="15:21">
      <c r="O184" s="4"/>
      <c r="P184" s="4"/>
      <c r="Q184" s="4"/>
      <c r="R184" s="4"/>
      <c r="S184" s="4"/>
      <c r="T184" s="4"/>
      <c r="U184" s="4"/>
    </row>
    <row r="185" spans="15:21">
      <c r="O185" s="4"/>
      <c r="P185" s="4"/>
      <c r="Q185" s="4"/>
      <c r="R185" s="4"/>
      <c r="S185" s="4"/>
      <c r="T185" s="4"/>
      <c r="U185" s="4"/>
    </row>
    <row r="186" spans="15:21">
      <c r="O186" s="4"/>
      <c r="P186" s="4"/>
      <c r="Q186" s="4"/>
      <c r="R186" s="4"/>
      <c r="S186" s="4"/>
      <c r="T186" s="4"/>
      <c r="U186" s="4"/>
    </row>
    <row r="187" spans="15:21">
      <c r="O187" s="4"/>
      <c r="P187" s="4"/>
      <c r="Q187" s="4"/>
      <c r="R187" s="4"/>
      <c r="S187" s="4"/>
      <c r="T187" s="4"/>
      <c r="U187" s="4"/>
    </row>
    <row r="188" spans="15:21">
      <c r="O188" s="4"/>
      <c r="P188" s="4"/>
      <c r="Q188" s="4"/>
      <c r="R188" s="4"/>
      <c r="S188" s="4"/>
      <c r="T188" s="4"/>
      <c r="U188" s="4"/>
    </row>
    <row r="189" spans="15:21">
      <c r="O189" s="4"/>
      <c r="P189" s="4"/>
      <c r="Q189" s="4"/>
      <c r="R189" s="4"/>
      <c r="S189" s="4"/>
      <c r="T189" s="4"/>
      <c r="U189" s="4"/>
    </row>
    <row r="190" spans="15:21">
      <c r="O190" s="4"/>
      <c r="P190" s="4"/>
      <c r="Q190" s="4"/>
      <c r="R190" s="4"/>
      <c r="S190" s="4"/>
      <c r="T190" s="4"/>
      <c r="U190" s="4"/>
    </row>
    <row r="191" spans="15:21">
      <c r="O191" s="4"/>
      <c r="P191" s="4"/>
      <c r="Q191" s="4"/>
      <c r="R191" s="4"/>
      <c r="S191" s="4"/>
      <c r="T191" s="4"/>
      <c r="U191" s="4"/>
    </row>
    <row r="192" spans="15:21">
      <c r="O192" s="4"/>
      <c r="P192" s="4"/>
      <c r="Q192" s="4"/>
      <c r="R192" s="4"/>
      <c r="S192" s="4"/>
      <c r="T192" s="4"/>
      <c r="U192" s="4"/>
    </row>
    <row r="193" spans="15:21">
      <c r="O193" s="4"/>
      <c r="P193" s="4"/>
      <c r="Q193" s="4"/>
      <c r="R193" s="4"/>
      <c r="S193" s="4"/>
      <c r="T193" s="4"/>
      <c r="U193" s="4"/>
    </row>
    <row r="194" spans="15:21">
      <c r="O194" s="4"/>
      <c r="P194" s="4"/>
      <c r="Q194" s="4"/>
      <c r="R194" s="4"/>
      <c r="S194" s="4"/>
      <c r="T194" s="4"/>
      <c r="U194" s="4"/>
    </row>
    <row r="195" spans="15:21">
      <c r="O195" s="4"/>
      <c r="P195" s="4"/>
      <c r="Q195" s="4"/>
      <c r="R195" s="4"/>
      <c r="S195" s="4"/>
      <c r="T195" s="4"/>
      <c r="U195" s="4"/>
    </row>
    <row r="196" spans="15:21">
      <c r="O196" s="4"/>
      <c r="P196" s="4"/>
      <c r="Q196" s="4"/>
      <c r="R196" s="4"/>
      <c r="S196" s="4"/>
      <c r="T196" s="4"/>
      <c r="U196" s="4"/>
    </row>
    <row r="197" spans="15:21">
      <c r="O197" s="4"/>
      <c r="P197" s="4"/>
      <c r="Q197" s="4"/>
      <c r="R197" s="4"/>
      <c r="S197" s="4"/>
      <c r="T197" s="4"/>
      <c r="U197" s="4"/>
    </row>
    <row r="198" spans="15:21">
      <c r="O198" s="4"/>
      <c r="P198" s="4"/>
      <c r="Q198" s="4"/>
      <c r="R198" s="4"/>
      <c r="S198" s="4"/>
      <c r="T198" s="4"/>
      <c r="U198" s="4"/>
    </row>
    <row r="199" spans="15:21">
      <c r="O199" s="4"/>
      <c r="P199" s="4"/>
      <c r="Q199" s="4"/>
      <c r="R199" s="4"/>
      <c r="S199" s="4"/>
      <c r="T199" s="4"/>
      <c r="U199" s="4"/>
    </row>
    <row r="200" spans="15:21">
      <c r="O200" s="4"/>
      <c r="P200" s="4"/>
      <c r="Q200" s="4"/>
      <c r="R200" s="4"/>
      <c r="S200" s="4"/>
      <c r="T200" s="4"/>
      <c r="U200" s="4"/>
    </row>
    <row r="201" spans="15:21">
      <c r="O201" s="4"/>
      <c r="P201" s="4"/>
      <c r="Q201" s="4"/>
      <c r="R201" s="4"/>
      <c r="S201" s="4"/>
      <c r="T201" s="4"/>
      <c r="U201" s="4"/>
    </row>
    <row r="202" spans="15:21">
      <c r="O202" s="4"/>
      <c r="P202" s="4"/>
      <c r="Q202" s="4"/>
      <c r="R202" s="4"/>
      <c r="S202" s="4"/>
      <c r="T202" s="4"/>
      <c r="U202" s="4"/>
    </row>
    <row r="203" spans="15:21">
      <c r="O203" s="4"/>
      <c r="P203" s="4"/>
      <c r="Q203" s="4"/>
      <c r="R203" s="4"/>
      <c r="S203" s="4"/>
      <c r="T203" s="4"/>
      <c r="U203" s="4"/>
    </row>
    <row r="204" spans="15:21">
      <c r="O204" s="4"/>
      <c r="P204" s="4"/>
      <c r="Q204" s="4"/>
      <c r="R204" s="4"/>
      <c r="S204" s="4"/>
      <c r="T204" s="4"/>
      <c r="U204" s="4"/>
    </row>
    <row r="205" spans="15:21">
      <c r="O205" s="4"/>
      <c r="P205" s="4"/>
      <c r="Q205" s="4"/>
      <c r="R205" s="4"/>
      <c r="S205" s="4"/>
      <c r="T205" s="4"/>
      <c r="U205" s="4"/>
    </row>
    <row r="206" spans="15:21">
      <c r="O206" s="4"/>
      <c r="P206" s="4"/>
      <c r="Q206" s="4"/>
      <c r="R206" s="4"/>
      <c r="S206" s="4"/>
      <c r="T206" s="4"/>
      <c r="U206" s="4"/>
    </row>
    <row r="207" spans="15:21">
      <c r="O207" s="4"/>
      <c r="P207" s="4"/>
      <c r="Q207" s="4"/>
      <c r="R207" s="4"/>
      <c r="S207" s="4"/>
      <c r="T207" s="4"/>
      <c r="U207" s="4"/>
    </row>
    <row r="208" spans="15:21">
      <c r="O208" s="4"/>
      <c r="P208" s="4"/>
      <c r="Q208" s="4"/>
      <c r="R208" s="4"/>
      <c r="S208" s="4"/>
      <c r="T208" s="4"/>
      <c r="U208" s="4"/>
    </row>
    <row r="209" spans="15:21">
      <c r="O209" s="4"/>
      <c r="P209" s="4"/>
      <c r="Q209" s="4"/>
      <c r="R209" s="4"/>
      <c r="S209" s="4"/>
      <c r="T209" s="4"/>
      <c r="U209" s="4"/>
    </row>
    <row r="210" spans="15:21">
      <c r="O210" s="4"/>
      <c r="P210" s="4"/>
      <c r="Q210" s="4"/>
      <c r="R210" s="4"/>
      <c r="S210" s="4"/>
      <c r="T210" s="4"/>
      <c r="U210" s="4"/>
    </row>
    <row r="211" spans="15:21">
      <c r="O211" s="4"/>
      <c r="P211" s="4"/>
      <c r="Q211" s="4"/>
      <c r="R211" s="4"/>
      <c r="S211" s="4"/>
      <c r="T211" s="4"/>
      <c r="U211" s="4"/>
    </row>
    <row r="212" spans="15:21">
      <c r="O212" s="4"/>
      <c r="P212" s="4"/>
      <c r="Q212" s="4"/>
      <c r="R212" s="4"/>
      <c r="S212" s="4"/>
      <c r="T212" s="4"/>
      <c r="U212" s="4"/>
    </row>
    <row r="213" spans="15:21">
      <c r="O213" s="4"/>
      <c r="P213" s="4"/>
      <c r="Q213" s="4"/>
      <c r="R213" s="4"/>
      <c r="S213" s="4"/>
      <c r="T213" s="4"/>
      <c r="U213" s="4"/>
    </row>
    <row r="214" spans="15:21">
      <c r="O214" s="4"/>
      <c r="P214" s="4"/>
      <c r="Q214" s="4"/>
      <c r="R214" s="4"/>
      <c r="S214" s="4"/>
      <c r="T214" s="4"/>
      <c r="U214" s="4"/>
    </row>
    <row r="215" spans="15:21">
      <c r="O215" s="4"/>
      <c r="P215" s="4"/>
      <c r="Q215" s="4"/>
      <c r="R215" s="4"/>
      <c r="S215" s="4"/>
      <c r="T215" s="4"/>
      <c r="U215" s="4"/>
    </row>
    <row r="216" spans="15:21">
      <c r="O216" s="4"/>
      <c r="P216" s="4"/>
      <c r="Q216" s="4"/>
      <c r="R216" s="4"/>
      <c r="S216" s="4"/>
      <c r="T216" s="4"/>
      <c r="U216" s="4"/>
    </row>
    <row r="217" spans="15:21">
      <c r="O217" s="4"/>
      <c r="P217" s="4"/>
      <c r="Q217" s="4"/>
      <c r="R217" s="4"/>
      <c r="S217" s="4"/>
      <c r="T217" s="4"/>
      <c r="U217" s="4"/>
    </row>
    <row r="218" spans="15:21">
      <c r="O218" s="4"/>
      <c r="P218" s="4"/>
      <c r="Q218" s="4"/>
      <c r="R218" s="4"/>
      <c r="S218" s="4"/>
      <c r="T218" s="4"/>
      <c r="U218" s="4"/>
    </row>
    <row r="219" spans="15:21">
      <c r="O219" s="4"/>
      <c r="P219" s="4"/>
      <c r="Q219" s="4"/>
      <c r="R219" s="4"/>
      <c r="S219" s="4"/>
      <c r="T219" s="4"/>
      <c r="U219" s="4"/>
    </row>
    <row r="220" spans="15:21">
      <c r="O220" s="4"/>
      <c r="P220" s="4"/>
      <c r="Q220" s="4"/>
      <c r="R220" s="4"/>
      <c r="S220" s="4"/>
      <c r="T220" s="4"/>
      <c r="U220" s="4"/>
    </row>
    <row r="221" spans="15:21">
      <c r="O221" s="4"/>
      <c r="P221" s="4"/>
      <c r="Q221" s="4"/>
      <c r="R221" s="4"/>
      <c r="S221" s="4"/>
      <c r="T221" s="4"/>
      <c r="U221" s="4"/>
    </row>
    <row r="222" spans="15:21">
      <c r="O222" s="4"/>
      <c r="P222" s="4"/>
      <c r="Q222" s="4"/>
      <c r="R222" s="4"/>
      <c r="S222" s="4"/>
      <c r="T222" s="4"/>
      <c r="U222" s="4"/>
    </row>
    <row r="223" spans="15:21">
      <c r="O223" s="4"/>
      <c r="P223" s="4"/>
      <c r="Q223" s="4"/>
      <c r="R223" s="4"/>
      <c r="S223" s="4"/>
      <c r="T223" s="4"/>
      <c r="U223" s="4"/>
    </row>
    <row r="224" spans="15:21">
      <c r="O224" s="4"/>
      <c r="P224" s="4"/>
      <c r="Q224" s="4"/>
      <c r="R224" s="4"/>
      <c r="S224" s="4"/>
      <c r="T224" s="4"/>
      <c r="U224" s="4"/>
    </row>
    <row r="225" spans="15:21">
      <c r="O225" s="4"/>
      <c r="P225" s="4"/>
      <c r="Q225" s="4"/>
      <c r="R225" s="4"/>
      <c r="S225" s="4"/>
      <c r="T225" s="4"/>
      <c r="U225" s="4"/>
    </row>
    <row r="226" spans="15:21">
      <c r="O226" s="4"/>
      <c r="P226" s="4"/>
      <c r="Q226" s="4"/>
      <c r="R226" s="4"/>
      <c r="S226" s="4"/>
      <c r="T226" s="4"/>
      <c r="U226" s="4"/>
    </row>
    <row r="227" spans="15:21">
      <c r="O227" s="4"/>
      <c r="P227" s="4"/>
      <c r="Q227" s="4"/>
      <c r="R227" s="4"/>
      <c r="S227" s="4"/>
      <c r="T227" s="4"/>
      <c r="U227" s="4"/>
    </row>
    <row r="228" spans="15:21">
      <c r="O228" s="4"/>
      <c r="P228" s="4"/>
      <c r="Q228" s="4"/>
      <c r="R228" s="4"/>
      <c r="S228" s="4"/>
      <c r="T228" s="4"/>
      <c r="U228" s="4"/>
    </row>
    <row r="229" spans="15:21">
      <c r="O229" s="4"/>
      <c r="P229" s="4"/>
      <c r="Q229" s="4"/>
      <c r="R229" s="4"/>
      <c r="S229" s="4"/>
      <c r="T229" s="4"/>
      <c r="U229" s="4"/>
    </row>
    <row r="230" spans="15:21">
      <c r="O230" s="4"/>
      <c r="P230" s="4"/>
      <c r="Q230" s="4"/>
      <c r="R230" s="4"/>
      <c r="S230" s="4"/>
      <c r="T230" s="4"/>
      <c r="U230" s="4"/>
    </row>
    <row r="231" spans="15:21">
      <c r="O231" s="4"/>
      <c r="P231" s="4"/>
      <c r="Q231" s="4"/>
      <c r="R231" s="4"/>
      <c r="S231" s="4"/>
      <c r="T231" s="4"/>
      <c r="U231" s="4"/>
    </row>
    <row r="232" spans="15:21">
      <c r="O232" s="4"/>
      <c r="P232" s="4"/>
      <c r="Q232" s="4"/>
      <c r="R232" s="4"/>
      <c r="S232" s="4"/>
      <c r="T232" s="4"/>
      <c r="U232" s="4"/>
    </row>
    <row r="233" spans="15:21">
      <c r="O233" s="4"/>
      <c r="P233" s="4"/>
      <c r="Q233" s="4"/>
      <c r="R233" s="4"/>
      <c r="S233" s="4"/>
      <c r="T233" s="4"/>
      <c r="U233" s="4"/>
    </row>
    <row r="234" spans="15:21">
      <c r="O234" s="4"/>
      <c r="P234" s="4"/>
      <c r="Q234" s="4"/>
      <c r="R234" s="4"/>
      <c r="S234" s="4"/>
      <c r="T234" s="4"/>
      <c r="U234" s="4"/>
    </row>
    <row r="235" spans="15:21">
      <c r="O235" s="4"/>
      <c r="P235" s="4"/>
      <c r="Q235" s="4"/>
      <c r="R235" s="4"/>
      <c r="S235" s="4"/>
      <c r="T235" s="4"/>
      <c r="U235" s="4"/>
    </row>
    <row r="236" spans="15:21">
      <c r="O236" s="4"/>
      <c r="P236" s="4"/>
      <c r="Q236" s="4"/>
      <c r="R236" s="4"/>
      <c r="S236" s="4"/>
      <c r="T236" s="4"/>
      <c r="U236" s="4"/>
    </row>
    <row r="237" spans="15:21">
      <c r="O237" s="4"/>
      <c r="P237" s="4"/>
      <c r="Q237" s="4"/>
      <c r="R237" s="4"/>
      <c r="S237" s="4"/>
      <c r="T237" s="4"/>
      <c r="U237" s="4"/>
    </row>
    <row r="238" spans="15:21">
      <c r="O238" s="4"/>
      <c r="P238" s="4"/>
      <c r="Q238" s="4"/>
      <c r="R238" s="4"/>
      <c r="S238" s="4"/>
      <c r="T238" s="4"/>
      <c r="U238" s="4"/>
    </row>
    <row r="239" spans="15:21">
      <c r="O239" s="4"/>
      <c r="P239" s="4"/>
      <c r="Q239" s="4"/>
      <c r="R239" s="4"/>
      <c r="S239" s="4"/>
      <c r="T239" s="4"/>
      <c r="U239" s="4"/>
    </row>
    <row r="240" spans="15:21">
      <c r="O240" s="4"/>
      <c r="P240" s="4"/>
      <c r="Q240" s="4"/>
      <c r="R240" s="4"/>
      <c r="S240" s="4"/>
      <c r="T240" s="4"/>
      <c r="U240" s="4"/>
    </row>
    <row r="241" spans="15:21">
      <c r="O241" s="4"/>
      <c r="P241" s="4"/>
      <c r="Q241" s="4"/>
      <c r="R241" s="4"/>
      <c r="S241" s="4"/>
      <c r="T241" s="4"/>
      <c r="U241" s="4"/>
    </row>
    <row r="242" spans="15:21">
      <c r="O242" s="4"/>
      <c r="P242" s="4"/>
      <c r="Q242" s="4"/>
      <c r="R242" s="4"/>
      <c r="S242" s="4"/>
      <c r="T242" s="4"/>
      <c r="U242" s="4"/>
    </row>
    <row r="243" spans="15:21">
      <c r="O243" s="4"/>
      <c r="P243" s="4"/>
      <c r="Q243" s="4"/>
      <c r="R243" s="4"/>
      <c r="S243" s="4"/>
      <c r="T243" s="4"/>
      <c r="U243" s="4"/>
    </row>
    <row r="244" spans="15:21">
      <c r="O244" s="4"/>
      <c r="P244" s="4"/>
      <c r="Q244" s="4"/>
      <c r="R244" s="4"/>
      <c r="S244" s="4"/>
      <c r="T244" s="4"/>
      <c r="U244" s="4"/>
    </row>
    <row r="245" spans="15:21">
      <c r="O245" s="4"/>
      <c r="P245" s="4"/>
      <c r="Q245" s="4"/>
      <c r="R245" s="4"/>
      <c r="S245" s="4"/>
      <c r="T245" s="4"/>
      <c r="U245" s="4"/>
    </row>
    <row r="246" spans="15:21">
      <c r="O246" s="4"/>
      <c r="P246" s="4"/>
      <c r="Q246" s="4"/>
      <c r="R246" s="4"/>
      <c r="S246" s="4"/>
      <c r="T246" s="4"/>
      <c r="U246" s="4"/>
    </row>
    <row r="247" spans="15:21">
      <c r="O247" s="4"/>
      <c r="P247" s="4"/>
      <c r="Q247" s="4"/>
      <c r="R247" s="4"/>
      <c r="S247" s="4"/>
      <c r="T247" s="4"/>
      <c r="U247" s="4"/>
    </row>
    <row r="248" spans="15:21">
      <c r="O248" s="4"/>
      <c r="P248" s="4"/>
      <c r="Q248" s="4"/>
      <c r="R248" s="4"/>
      <c r="S248" s="4"/>
      <c r="T248" s="4"/>
      <c r="U248" s="4"/>
    </row>
    <row r="249" spans="15:21">
      <c r="O249" s="4"/>
      <c r="P249" s="4"/>
      <c r="Q249" s="4"/>
      <c r="R249" s="4"/>
      <c r="S249" s="4"/>
      <c r="T249" s="4"/>
      <c r="U249" s="4"/>
    </row>
    <row r="250" spans="15:21">
      <c r="O250" s="4"/>
      <c r="P250" s="4"/>
      <c r="Q250" s="4"/>
      <c r="R250" s="4"/>
      <c r="S250" s="4"/>
      <c r="T250" s="4"/>
      <c r="U250" s="4"/>
    </row>
    <row r="251" spans="15:21">
      <c r="O251" s="4"/>
      <c r="P251" s="4"/>
      <c r="Q251" s="4"/>
      <c r="R251" s="4"/>
      <c r="S251" s="4"/>
      <c r="T251" s="4"/>
      <c r="U251" s="4"/>
    </row>
    <row r="252" spans="15:21">
      <c r="O252" s="4"/>
      <c r="P252" s="4"/>
      <c r="Q252" s="4"/>
      <c r="R252" s="4"/>
      <c r="S252" s="4"/>
      <c r="T252" s="4"/>
      <c r="U252" s="4"/>
    </row>
    <row r="253" spans="15:21">
      <c r="O253" s="4"/>
      <c r="P253" s="4"/>
      <c r="Q253" s="4"/>
      <c r="R253" s="4"/>
      <c r="S253" s="4"/>
      <c r="T253" s="4"/>
      <c r="U253" s="4"/>
    </row>
    <row r="254" spans="15:21">
      <c r="O254" s="4"/>
      <c r="P254" s="4"/>
      <c r="Q254" s="4"/>
      <c r="R254" s="4"/>
      <c r="S254" s="4"/>
      <c r="T254" s="4"/>
      <c r="U254" s="4"/>
    </row>
    <row r="255" spans="15:21">
      <c r="O255" s="4"/>
      <c r="P255" s="4"/>
      <c r="Q255" s="4"/>
      <c r="R255" s="4"/>
      <c r="S255" s="4"/>
      <c r="T255" s="4"/>
      <c r="U255" s="4"/>
    </row>
    <row r="256" spans="15:21">
      <c r="O256" s="4"/>
      <c r="P256" s="4"/>
      <c r="Q256" s="4"/>
      <c r="R256" s="4"/>
      <c r="S256" s="4"/>
      <c r="T256" s="4"/>
      <c r="U256" s="4"/>
    </row>
    <row r="257" spans="15:21">
      <c r="O257" s="4"/>
      <c r="P257" s="4"/>
      <c r="Q257" s="4"/>
      <c r="R257" s="4"/>
      <c r="S257" s="4"/>
      <c r="T257" s="4"/>
      <c r="U257" s="4"/>
    </row>
    <row r="258" spans="15:21">
      <c r="O258" s="4"/>
      <c r="P258" s="4"/>
      <c r="Q258" s="4"/>
      <c r="R258" s="4"/>
      <c r="S258" s="4"/>
      <c r="T258" s="4"/>
      <c r="U258" s="4"/>
    </row>
    <row r="259" spans="15:21">
      <c r="O259" s="4"/>
      <c r="P259" s="4"/>
      <c r="Q259" s="4"/>
      <c r="R259" s="4"/>
      <c r="S259" s="4"/>
      <c r="T259" s="4"/>
      <c r="U259" s="4"/>
    </row>
    <row r="260" spans="15:21">
      <c r="O260" s="4"/>
      <c r="P260" s="4"/>
      <c r="Q260" s="4"/>
      <c r="R260" s="4"/>
      <c r="S260" s="4"/>
      <c r="T260" s="4"/>
      <c r="U260" s="4"/>
    </row>
    <row r="261" spans="15:21">
      <c r="O261" s="4"/>
      <c r="P261" s="4"/>
      <c r="Q261" s="4"/>
      <c r="R261" s="4"/>
      <c r="S261" s="4"/>
      <c r="T261" s="4"/>
      <c r="U261" s="4"/>
    </row>
    <row r="262" spans="15:21">
      <c r="O262" s="4"/>
      <c r="P262" s="4"/>
      <c r="Q262" s="4"/>
      <c r="R262" s="4"/>
      <c r="S262" s="4"/>
      <c r="T262" s="4"/>
      <c r="U262" s="4"/>
    </row>
    <row r="263" spans="15:21">
      <c r="O263" s="4"/>
      <c r="P263" s="4"/>
      <c r="Q263" s="4"/>
      <c r="R263" s="4"/>
      <c r="S263" s="4"/>
      <c r="T263" s="4"/>
      <c r="U263" s="4"/>
    </row>
    <row r="264" spans="15:21">
      <c r="O264" s="4"/>
      <c r="P264" s="4"/>
      <c r="Q264" s="4"/>
      <c r="R264" s="4"/>
      <c r="S264" s="4"/>
      <c r="T264" s="4"/>
      <c r="U264" s="4"/>
    </row>
    <row r="265" spans="15:21">
      <c r="O265" s="4"/>
      <c r="P265" s="4"/>
      <c r="Q265" s="4"/>
      <c r="R265" s="4"/>
      <c r="S265" s="4"/>
      <c r="T265" s="4"/>
      <c r="U265" s="4"/>
    </row>
    <row r="266" spans="15:21">
      <c r="O266" s="4"/>
      <c r="P266" s="4"/>
      <c r="Q266" s="4"/>
      <c r="R266" s="4"/>
      <c r="S266" s="4"/>
      <c r="T266" s="4"/>
      <c r="U266" s="4"/>
    </row>
    <row r="267" spans="15:21">
      <c r="O267" s="4"/>
      <c r="P267" s="4"/>
      <c r="Q267" s="4"/>
      <c r="R267" s="4"/>
      <c r="S267" s="4"/>
      <c r="T267" s="4"/>
      <c r="U267" s="4"/>
    </row>
    <row r="268" spans="15:21">
      <c r="O268" s="4"/>
      <c r="P268" s="4"/>
      <c r="Q268" s="4"/>
      <c r="R268" s="4"/>
      <c r="S268" s="4"/>
      <c r="T268" s="4"/>
      <c r="U268" s="4"/>
    </row>
    <row r="269" spans="15:21">
      <c r="O269" s="4"/>
      <c r="P269" s="4"/>
      <c r="Q269" s="4"/>
      <c r="R269" s="4"/>
      <c r="S269" s="4"/>
      <c r="T269" s="4"/>
      <c r="U269" s="4"/>
    </row>
    <row r="270" spans="15:21">
      <c r="O270" s="4"/>
      <c r="P270" s="4"/>
      <c r="Q270" s="4"/>
      <c r="R270" s="4"/>
      <c r="S270" s="4"/>
      <c r="T270" s="4"/>
      <c r="U270" s="4"/>
    </row>
    <row r="271" spans="15:21">
      <c r="O271" s="4"/>
      <c r="P271" s="4"/>
      <c r="Q271" s="4"/>
      <c r="R271" s="4"/>
      <c r="S271" s="4"/>
      <c r="T271" s="4"/>
      <c r="U271" s="4"/>
    </row>
    <row r="272" spans="15:21">
      <c r="O272" s="4"/>
      <c r="P272" s="4"/>
      <c r="Q272" s="4"/>
      <c r="R272" s="4"/>
      <c r="S272" s="4"/>
      <c r="T272" s="4"/>
      <c r="U272" s="4"/>
    </row>
    <row r="273" spans="15:21">
      <c r="O273" s="4"/>
      <c r="P273" s="4"/>
      <c r="Q273" s="4"/>
      <c r="R273" s="4"/>
      <c r="S273" s="4"/>
      <c r="T273" s="4"/>
      <c r="U273" s="4"/>
    </row>
    <row r="274" spans="15:21">
      <c r="O274" s="4"/>
      <c r="P274" s="4"/>
      <c r="Q274" s="4"/>
      <c r="R274" s="4"/>
      <c r="S274" s="4"/>
      <c r="T274" s="4"/>
      <c r="U274" s="4"/>
    </row>
    <row r="275" spans="15:21">
      <c r="O275" s="4"/>
      <c r="P275" s="4"/>
      <c r="Q275" s="4"/>
      <c r="R275" s="4"/>
      <c r="S275" s="4"/>
      <c r="T275" s="4"/>
      <c r="U275" s="4"/>
    </row>
    <row r="276" spans="15:21">
      <c r="O276" s="4"/>
      <c r="P276" s="4"/>
      <c r="Q276" s="4"/>
      <c r="R276" s="4"/>
      <c r="S276" s="4"/>
      <c r="T276" s="4"/>
      <c r="U276" s="4"/>
    </row>
    <row r="277" spans="15:21">
      <c r="O277" s="4"/>
      <c r="P277" s="4"/>
      <c r="Q277" s="4"/>
      <c r="R277" s="4"/>
      <c r="S277" s="4"/>
      <c r="T277" s="4"/>
      <c r="U277" s="4"/>
    </row>
    <row r="278" spans="15:21">
      <c r="O278" s="4"/>
      <c r="P278" s="4"/>
      <c r="Q278" s="4"/>
      <c r="R278" s="4"/>
      <c r="S278" s="4"/>
      <c r="T278" s="4"/>
      <c r="U278" s="4"/>
    </row>
    <row r="279" spans="15:21">
      <c r="O279" s="4"/>
      <c r="P279" s="4"/>
      <c r="Q279" s="4"/>
      <c r="R279" s="4"/>
      <c r="S279" s="4"/>
      <c r="T279" s="4"/>
      <c r="U279" s="4"/>
    </row>
    <row r="280" spans="15:21">
      <c r="O280" s="4"/>
      <c r="P280" s="4"/>
      <c r="Q280" s="4"/>
      <c r="R280" s="4"/>
      <c r="S280" s="4"/>
      <c r="T280" s="4"/>
      <c r="U280" s="4"/>
    </row>
    <row r="281" spans="15:21">
      <c r="O281" s="4"/>
      <c r="P281" s="4"/>
      <c r="Q281" s="4"/>
      <c r="R281" s="4"/>
      <c r="S281" s="4"/>
      <c r="T281" s="4"/>
      <c r="U281" s="4"/>
    </row>
    <row r="282" spans="15:21">
      <c r="O282" s="4"/>
      <c r="P282" s="4"/>
      <c r="Q282" s="4"/>
      <c r="R282" s="4"/>
      <c r="S282" s="4"/>
      <c r="T282" s="4"/>
      <c r="U282" s="4"/>
    </row>
    <row r="283" spans="15:21">
      <c r="O283" s="4"/>
      <c r="P283" s="4"/>
      <c r="Q283" s="4"/>
      <c r="R283" s="4"/>
      <c r="S283" s="4"/>
      <c r="T283" s="4"/>
      <c r="U283" s="4"/>
    </row>
    <row r="284" spans="15:21">
      <c r="O284" s="4"/>
      <c r="P284" s="4"/>
      <c r="Q284" s="4"/>
      <c r="R284" s="4"/>
      <c r="S284" s="4"/>
      <c r="T284" s="4"/>
      <c r="U284" s="4"/>
    </row>
    <row r="285" spans="15:21">
      <c r="O285" s="4"/>
      <c r="P285" s="4"/>
      <c r="Q285" s="4"/>
      <c r="R285" s="4"/>
      <c r="S285" s="4"/>
      <c r="T285" s="4"/>
      <c r="U285" s="4"/>
    </row>
    <row r="286" spans="15:21">
      <c r="O286" s="4"/>
      <c r="P286" s="4"/>
      <c r="Q286" s="4"/>
      <c r="R286" s="4"/>
      <c r="S286" s="4"/>
      <c r="T286" s="4"/>
      <c r="U286" s="4"/>
    </row>
    <row r="287" spans="15:21">
      <c r="O287" s="4"/>
      <c r="P287" s="4"/>
      <c r="Q287" s="4"/>
      <c r="R287" s="4"/>
      <c r="S287" s="4"/>
      <c r="T287" s="4"/>
      <c r="U287" s="4"/>
    </row>
    <row r="288" spans="15:21">
      <c r="O288" s="4"/>
      <c r="P288" s="4"/>
      <c r="Q288" s="4"/>
      <c r="R288" s="4"/>
      <c r="S288" s="4"/>
      <c r="T288" s="4"/>
      <c r="U288" s="4"/>
    </row>
    <row r="289" spans="15:21">
      <c r="O289" s="4"/>
      <c r="P289" s="4"/>
      <c r="Q289" s="4"/>
      <c r="R289" s="4"/>
      <c r="S289" s="4"/>
      <c r="T289" s="4"/>
      <c r="U289" s="4"/>
    </row>
    <row r="290" spans="15:21">
      <c r="O290" s="4"/>
      <c r="P290" s="4"/>
      <c r="Q290" s="4"/>
      <c r="R290" s="4"/>
      <c r="S290" s="4"/>
      <c r="T290" s="4"/>
      <c r="U290" s="4"/>
    </row>
    <row r="291" spans="15:21">
      <c r="O291" s="4"/>
      <c r="P291" s="4"/>
      <c r="Q291" s="4"/>
      <c r="R291" s="4"/>
      <c r="S291" s="4"/>
      <c r="T291" s="4"/>
      <c r="U291" s="4"/>
    </row>
    <row r="292" spans="15:21">
      <c r="O292" s="4"/>
      <c r="P292" s="4"/>
      <c r="Q292" s="4"/>
      <c r="R292" s="4"/>
      <c r="S292" s="4"/>
      <c r="T292" s="4"/>
      <c r="U292" s="4"/>
    </row>
    <row r="293" spans="15:21">
      <c r="O293" s="4"/>
      <c r="P293" s="4"/>
      <c r="Q293" s="4"/>
      <c r="R293" s="4"/>
      <c r="S293" s="4"/>
      <c r="T293" s="4"/>
      <c r="U293" s="4"/>
    </row>
    <row r="294" spans="15:21">
      <c r="O294" s="4"/>
      <c r="P294" s="4"/>
      <c r="Q294" s="4"/>
      <c r="R294" s="4"/>
      <c r="S294" s="4"/>
      <c r="T294" s="4"/>
      <c r="U294" s="4"/>
    </row>
    <row r="295" spans="15:21">
      <c r="O295" s="4"/>
      <c r="P295" s="4"/>
      <c r="Q295" s="4"/>
      <c r="R295" s="4"/>
      <c r="S295" s="4"/>
      <c r="T295" s="4"/>
      <c r="U295" s="4"/>
    </row>
    <row r="296" spans="15:21">
      <c r="O296" s="4"/>
      <c r="P296" s="4"/>
      <c r="Q296" s="4"/>
      <c r="R296" s="4"/>
      <c r="S296" s="4"/>
      <c r="T296" s="4"/>
      <c r="U296" s="4"/>
    </row>
    <row r="297" spans="15:21">
      <c r="O297" s="4"/>
      <c r="P297" s="4"/>
      <c r="Q297" s="4"/>
      <c r="R297" s="4"/>
      <c r="S297" s="4"/>
      <c r="T297" s="4"/>
      <c r="U297" s="4"/>
    </row>
    <row r="298" spans="15:21">
      <c r="O298" s="4"/>
      <c r="P298" s="4"/>
      <c r="Q298" s="4"/>
      <c r="R298" s="4"/>
      <c r="S298" s="4"/>
      <c r="T298" s="4"/>
      <c r="U298" s="4"/>
    </row>
    <row r="299" spans="15:21">
      <c r="O299" s="4"/>
      <c r="P299" s="4"/>
      <c r="Q299" s="4"/>
      <c r="R299" s="4"/>
      <c r="S299" s="4"/>
      <c r="T299" s="4"/>
      <c r="U299" s="4"/>
    </row>
    <row r="300" spans="15:21">
      <c r="O300" s="4"/>
      <c r="P300" s="4"/>
      <c r="Q300" s="4"/>
      <c r="R300" s="4"/>
      <c r="S300" s="4"/>
      <c r="T300" s="4"/>
      <c r="U300" s="4"/>
    </row>
    <row r="301" spans="15:21">
      <c r="O301" s="4"/>
      <c r="P301" s="4"/>
      <c r="Q301" s="4"/>
      <c r="R301" s="4"/>
      <c r="S301" s="4"/>
      <c r="T301" s="4"/>
      <c r="U301" s="4"/>
    </row>
    <row r="302" spans="15:21">
      <c r="O302" s="4"/>
      <c r="P302" s="4"/>
      <c r="Q302" s="4"/>
      <c r="R302" s="4"/>
      <c r="S302" s="4"/>
      <c r="T302" s="4"/>
      <c r="U302" s="4"/>
    </row>
    <row r="303" spans="15:21">
      <c r="O303" s="4"/>
      <c r="P303" s="4"/>
      <c r="Q303" s="4"/>
      <c r="R303" s="4"/>
      <c r="S303" s="4"/>
      <c r="T303" s="4"/>
      <c r="U303" s="4"/>
    </row>
    <row r="304" spans="15:21">
      <c r="O304" s="4"/>
      <c r="P304" s="4"/>
      <c r="Q304" s="4"/>
      <c r="R304" s="4"/>
      <c r="S304" s="4"/>
      <c r="T304" s="4"/>
      <c r="U304" s="4"/>
    </row>
    <row r="305" spans="15:21">
      <c r="O305" s="4"/>
      <c r="P305" s="4"/>
      <c r="Q305" s="4"/>
      <c r="R305" s="4"/>
      <c r="S305" s="4"/>
      <c r="T305" s="4"/>
      <c r="U305" s="4"/>
    </row>
    <row r="306" spans="15:21">
      <c r="O306" s="4"/>
      <c r="P306" s="4"/>
      <c r="Q306" s="4"/>
      <c r="R306" s="4"/>
      <c r="S306" s="4"/>
      <c r="T306" s="4"/>
      <c r="U306" s="4"/>
    </row>
    <row r="307" spans="15:21">
      <c r="O307" s="4"/>
      <c r="P307" s="4"/>
      <c r="Q307" s="4"/>
      <c r="R307" s="4"/>
      <c r="S307" s="4"/>
      <c r="T307" s="4"/>
      <c r="U307" s="4"/>
    </row>
    <row r="308" spans="15:21">
      <c r="O308" s="4"/>
      <c r="P308" s="4"/>
      <c r="Q308" s="4"/>
      <c r="R308" s="4"/>
      <c r="S308" s="4"/>
      <c r="T308" s="4"/>
      <c r="U308" s="4"/>
    </row>
    <row r="309" spans="15:21">
      <c r="O309" s="4"/>
      <c r="P309" s="4"/>
      <c r="Q309" s="4"/>
      <c r="R309" s="4"/>
      <c r="S309" s="4"/>
      <c r="T309" s="4"/>
      <c r="U309" s="4"/>
    </row>
    <row r="310" spans="15:21">
      <c r="O310" s="4"/>
      <c r="P310" s="4"/>
      <c r="Q310" s="4"/>
      <c r="R310" s="4"/>
      <c r="S310" s="4"/>
      <c r="T310" s="4"/>
      <c r="U310" s="4"/>
    </row>
    <row r="311" spans="15:21">
      <c r="O311" s="4"/>
      <c r="P311" s="4"/>
      <c r="Q311" s="4"/>
      <c r="R311" s="4"/>
      <c r="S311" s="4"/>
      <c r="T311" s="4"/>
      <c r="U311" s="4"/>
    </row>
    <row r="312" spans="15:21">
      <c r="O312" s="4"/>
      <c r="P312" s="4"/>
      <c r="Q312" s="4"/>
      <c r="R312" s="4"/>
      <c r="S312" s="4"/>
      <c r="T312" s="4"/>
      <c r="U312" s="4"/>
    </row>
    <row r="313" spans="15:21">
      <c r="O313" s="4"/>
      <c r="P313" s="4"/>
      <c r="Q313" s="4"/>
      <c r="R313" s="4"/>
      <c r="S313" s="4"/>
      <c r="T313" s="4"/>
      <c r="U313" s="4"/>
    </row>
    <row r="314" spans="15:21">
      <c r="O314" s="4"/>
      <c r="P314" s="4"/>
      <c r="Q314" s="4"/>
      <c r="R314" s="4"/>
      <c r="S314" s="4"/>
      <c r="T314" s="4"/>
      <c r="U314" s="4"/>
    </row>
    <row r="315" spans="15:21">
      <c r="O315" s="4"/>
      <c r="P315" s="4"/>
      <c r="Q315" s="4"/>
      <c r="R315" s="4"/>
      <c r="S315" s="4"/>
      <c r="T315" s="4"/>
      <c r="U315" s="4"/>
    </row>
    <row r="316" spans="15:21">
      <c r="O316" s="4"/>
      <c r="P316" s="4"/>
      <c r="Q316" s="4"/>
      <c r="R316" s="4"/>
      <c r="S316" s="4"/>
      <c r="T316" s="4"/>
      <c r="U316" s="4"/>
    </row>
    <row r="317" spans="15:21">
      <c r="O317" s="4"/>
      <c r="P317" s="4"/>
      <c r="Q317" s="4"/>
      <c r="R317" s="4"/>
      <c r="S317" s="4"/>
      <c r="T317" s="4"/>
      <c r="U317" s="4"/>
    </row>
    <row r="318" spans="15:21">
      <c r="O318" s="4"/>
      <c r="P318" s="4"/>
      <c r="Q318" s="4"/>
      <c r="R318" s="4"/>
      <c r="S318" s="4"/>
      <c r="T318" s="4"/>
      <c r="U318" s="4"/>
    </row>
    <row r="319" spans="15:21">
      <c r="O319" s="4"/>
      <c r="P319" s="4"/>
      <c r="Q319" s="4"/>
      <c r="R319" s="4"/>
      <c r="S319" s="4"/>
      <c r="T319" s="4"/>
      <c r="U319" s="4"/>
    </row>
    <row r="320" spans="15:21">
      <c r="O320" s="4"/>
      <c r="P320" s="4"/>
      <c r="Q320" s="4"/>
      <c r="R320" s="4"/>
      <c r="S320" s="4"/>
      <c r="T320" s="4"/>
      <c r="U320" s="4"/>
    </row>
    <row r="321" spans="15:21">
      <c r="O321" s="4"/>
      <c r="P321" s="4"/>
      <c r="Q321" s="4"/>
      <c r="R321" s="4"/>
      <c r="S321" s="4"/>
      <c r="T321" s="4"/>
      <c r="U321" s="4"/>
    </row>
    <row r="322" spans="15:21">
      <c r="O322" s="4"/>
      <c r="P322" s="4"/>
      <c r="Q322" s="4"/>
      <c r="R322" s="4"/>
      <c r="S322" s="4"/>
      <c r="T322" s="4"/>
      <c r="U322" s="4"/>
    </row>
    <row r="323" spans="15:21">
      <c r="O323" s="4"/>
      <c r="P323" s="4"/>
      <c r="Q323" s="4"/>
      <c r="R323" s="4"/>
      <c r="S323" s="4"/>
      <c r="T323" s="4"/>
      <c r="U323" s="4"/>
    </row>
    <row r="324" spans="15:21">
      <c r="O324" s="4"/>
      <c r="P324" s="4"/>
      <c r="Q324" s="4"/>
      <c r="R324" s="4"/>
      <c r="S324" s="4"/>
      <c r="T324" s="4"/>
      <c r="U324" s="4"/>
    </row>
    <row r="325" spans="15:21">
      <c r="O325" s="4"/>
      <c r="P325" s="4"/>
      <c r="Q325" s="4"/>
      <c r="R325" s="4"/>
      <c r="S325" s="4"/>
      <c r="T325" s="4"/>
      <c r="U325" s="4"/>
    </row>
    <row r="326" spans="15:21">
      <c r="O326" s="4"/>
      <c r="P326" s="4"/>
      <c r="Q326" s="4"/>
      <c r="R326" s="4"/>
      <c r="S326" s="4"/>
      <c r="T326" s="4"/>
      <c r="U326" s="4"/>
    </row>
    <row r="327" spans="15:21">
      <c r="O327" s="4"/>
      <c r="P327" s="4"/>
      <c r="Q327" s="4"/>
      <c r="R327" s="4"/>
      <c r="S327" s="4"/>
      <c r="T327" s="4"/>
      <c r="U327" s="4"/>
    </row>
    <row r="328" spans="15:21">
      <c r="O328" s="4"/>
      <c r="P328" s="4"/>
      <c r="Q328" s="4"/>
      <c r="R328" s="4"/>
      <c r="S328" s="4"/>
      <c r="T328" s="4"/>
      <c r="U328" s="4"/>
    </row>
    <row r="329" spans="15:21">
      <c r="O329" s="4"/>
      <c r="P329" s="4"/>
      <c r="Q329" s="4"/>
      <c r="R329" s="4"/>
      <c r="S329" s="4"/>
      <c r="T329" s="4"/>
      <c r="U329" s="4"/>
    </row>
    <row r="330" spans="15:21">
      <c r="O330" s="4"/>
      <c r="P330" s="4"/>
      <c r="Q330" s="4"/>
      <c r="R330" s="4"/>
      <c r="S330" s="4"/>
      <c r="T330" s="4"/>
      <c r="U330" s="4"/>
    </row>
    <row r="331" spans="15:21">
      <c r="O331" s="4"/>
      <c r="P331" s="4"/>
      <c r="Q331" s="4"/>
      <c r="R331" s="4"/>
      <c r="S331" s="4"/>
      <c r="T331" s="4"/>
      <c r="U331" s="4"/>
    </row>
    <row r="332" spans="15:21">
      <c r="O332" s="4"/>
      <c r="P332" s="4"/>
      <c r="Q332" s="4"/>
      <c r="R332" s="4"/>
      <c r="S332" s="4"/>
      <c r="T332" s="4"/>
      <c r="U332" s="4"/>
    </row>
    <row r="333" spans="15:21">
      <c r="O333" s="4"/>
      <c r="P333" s="4"/>
      <c r="Q333" s="4"/>
      <c r="R333" s="4"/>
      <c r="S333" s="4"/>
      <c r="T333" s="4"/>
      <c r="U333" s="4"/>
    </row>
    <row r="334" spans="15:21">
      <c r="O334" s="4"/>
      <c r="P334" s="4"/>
      <c r="Q334" s="4"/>
      <c r="R334" s="4"/>
      <c r="S334" s="4"/>
      <c r="T334" s="4"/>
      <c r="U334" s="4"/>
    </row>
    <row r="335" spans="15:21">
      <c r="O335" s="4"/>
      <c r="P335" s="4"/>
      <c r="Q335" s="4"/>
      <c r="R335" s="4"/>
      <c r="S335" s="4"/>
      <c r="T335" s="4"/>
      <c r="U335" s="4"/>
    </row>
    <row r="336" spans="15:21">
      <c r="O336" s="4"/>
      <c r="P336" s="4"/>
      <c r="Q336" s="4"/>
      <c r="R336" s="4"/>
      <c r="S336" s="4"/>
      <c r="T336" s="4"/>
      <c r="U336" s="4"/>
    </row>
    <row r="337" spans="15:21">
      <c r="O337" s="4"/>
      <c r="P337" s="4"/>
      <c r="Q337" s="4"/>
      <c r="R337" s="4"/>
      <c r="S337" s="4"/>
      <c r="T337" s="4"/>
      <c r="U337" s="4"/>
    </row>
    <row r="338" spans="15:21">
      <c r="O338" s="4"/>
      <c r="P338" s="4"/>
      <c r="Q338" s="4"/>
      <c r="R338" s="4"/>
      <c r="S338" s="4"/>
      <c r="T338" s="4"/>
      <c r="U338" s="4"/>
    </row>
    <row r="339" spans="15:21">
      <c r="O339" s="4"/>
      <c r="P339" s="4"/>
      <c r="Q339" s="4"/>
      <c r="R339" s="4"/>
      <c r="S339" s="4"/>
      <c r="T339" s="4"/>
      <c r="U339" s="4"/>
    </row>
    <row r="340" spans="15:21">
      <c r="O340" s="4"/>
      <c r="P340" s="4"/>
      <c r="Q340" s="4"/>
      <c r="R340" s="4"/>
      <c r="S340" s="4"/>
      <c r="T340" s="4"/>
      <c r="U340" s="4"/>
    </row>
    <row r="341" spans="15:21">
      <c r="O341" s="4"/>
      <c r="P341" s="4"/>
      <c r="Q341" s="4"/>
      <c r="R341" s="4"/>
      <c r="S341" s="4"/>
      <c r="T341" s="4"/>
      <c r="U341" s="4"/>
    </row>
    <row r="342" spans="15:21">
      <c r="O342" s="4"/>
      <c r="P342" s="4"/>
      <c r="Q342" s="4"/>
      <c r="R342" s="4"/>
      <c r="S342" s="4"/>
      <c r="T342" s="4"/>
      <c r="U342" s="4"/>
    </row>
    <row r="343" spans="15:21">
      <c r="O343" s="4"/>
      <c r="P343" s="4"/>
      <c r="Q343" s="4"/>
      <c r="R343" s="4"/>
      <c r="S343" s="4"/>
      <c r="T343" s="4"/>
      <c r="U343" s="4"/>
    </row>
    <row r="344" spans="15:21">
      <c r="O344" s="4"/>
      <c r="P344" s="4"/>
      <c r="Q344" s="4"/>
      <c r="R344" s="4"/>
      <c r="S344" s="4"/>
      <c r="T344" s="4"/>
      <c r="U344" s="4"/>
    </row>
    <row r="345" spans="15:21">
      <c r="O345" s="4"/>
      <c r="P345" s="4"/>
      <c r="Q345" s="4"/>
      <c r="R345" s="4"/>
      <c r="S345" s="4"/>
      <c r="T345" s="4"/>
      <c r="U345" s="4"/>
    </row>
    <row r="346" spans="15:21">
      <c r="O346" s="4"/>
      <c r="P346" s="4"/>
      <c r="Q346" s="4"/>
      <c r="R346" s="4"/>
      <c r="S346" s="4"/>
      <c r="T346" s="4"/>
      <c r="U346" s="4"/>
    </row>
    <row r="347" spans="15:21">
      <c r="O347" s="4"/>
      <c r="P347" s="4"/>
      <c r="Q347" s="4"/>
      <c r="R347" s="4"/>
      <c r="S347" s="4"/>
      <c r="T347" s="4"/>
      <c r="U347" s="4"/>
    </row>
    <row r="348" spans="15:21">
      <c r="O348" s="4"/>
      <c r="P348" s="4"/>
      <c r="Q348" s="4"/>
      <c r="R348" s="4"/>
      <c r="S348" s="4"/>
      <c r="T348" s="4"/>
      <c r="U348" s="4"/>
    </row>
    <row r="349" spans="15:21">
      <c r="O349" s="4"/>
      <c r="P349" s="4"/>
      <c r="Q349" s="4"/>
      <c r="R349" s="4"/>
      <c r="S349" s="4"/>
      <c r="T349" s="4"/>
      <c r="U349" s="4"/>
    </row>
    <row r="350" spans="15:21">
      <c r="O350" s="4"/>
      <c r="P350" s="4"/>
      <c r="Q350" s="4"/>
      <c r="R350" s="4"/>
      <c r="S350" s="4"/>
      <c r="T350" s="4"/>
      <c r="U350" s="4"/>
    </row>
    <row r="351" spans="15:21">
      <c r="O351" s="4"/>
      <c r="P351" s="4"/>
      <c r="Q351" s="4"/>
      <c r="R351" s="4"/>
      <c r="S351" s="4"/>
      <c r="T351" s="4"/>
      <c r="U351" s="4"/>
    </row>
    <row r="352" spans="15:21">
      <c r="O352" s="4"/>
      <c r="P352" s="4"/>
      <c r="Q352" s="4"/>
      <c r="R352" s="4"/>
      <c r="S352" s="4"/>
      <c r="T352" s="4"/>
      <c r="U352" s="4"/>
    </row>
    <row r="353" spans="15:21">
      <c r="O353" s="4"/>
      <c r="P353" s="4"/>
      <c r="Q353" s="4"/>
      <c r="R353" s="4"/>
      <c r="S353" s="4"/>
      <c r="T353" s="4"/>
      <c r="U353" s="4"/>
    </row>
    <row r="354" spans="15:21">
      <c r="O354" s="4"/>
      <c r="P354" s="4"/>
      <c r="Q354" s="4"/>
      <c r="R354" s="4"/>
      <c r="S354" s="4"/>
      <c r="T354" s="4"/>
      <c r="U354" s="4"/>
    </row>
    <row r="355" spans="15:21">
      <c r="O355" s="4"/>
      <c r="P355" s="4"/>
      <c r="Q355" s="4"/>
      <c r="R355" s="4"/>
      <c r="S355" s="4"/>
      <c r="T355" s="4"/>
      <c r="U355" s="4"/>
    </row>
    <row r="356" spans="15:21">
      <c r="O356" s="4"/>
      <c r="P356" s="4"/>
      <c r="Q356" s="4"/>
      <c r="R356" s="4"/>
      <c r="S356" s="4"/>
      <c r="T356" s="4"/>
      <c r="U356" s="4"/>
    </row>
    <row r="357" spans="15:21">
      <c r="O357" s="4"/>
      <c r="P357" s="4"/>
      <c r="Q357" s="4"/>
      <c r="R357" s="4"/>
      <c r="S357" s="4"/>
      <c r="T357" s="4"/>
      <c r="U357" s="4"/>
    </row>
    <row r="358" spans="15:21">
      <c r="O358" s="4"/>
      <c r="P358" s="4"/>
      <c r="Q358" s="4"/>
      <c r="R358" s="4"/>
      <c r="S358" s="4"/>
      <c r="T358" s="4"/>
      <c r="U358" s="4"/>
    </row>
    <row r="359" spans="15:21">
      <c r="O359" s="4"/>
      <c r="P359" s="4"/>
      <c r="Q359" s="4"/>
      <c r="R359" s="4"/>
      <c r="S359" s="4"/>
      <c r="T359" s="4"/>
      <c r="U359" s="4"/>
    </row>
    <row r="360" spans="15:21">
      <c r="O360" s="4"/>
      <c r="P360" s="4"/>
      <c r="Q360" s="4"/>
      <c r="R360" s="4"/>
      <c r="S360" s="4"/>
      <c r="T360" s="4"/>
      <c r="U360" s="4"/>
    </row>
    <row r="361" spans="15:21">
      <c r="O361" s="4"/>
      <c r="P361" s="4"/>
      <c r="Q361" s="4"/>
      <c r="R361" s="4"/>
      <c r="S361" s="4"/>
      <c r="T361" s="4"/>
      <c r="U361" s="4"/>
    </row>
    <row r="362" spans="15:21">
      <c r="O362" s="4"/>
      <c r="P362" s="4"/>
      <c r="Q362" s="4"/>
      <c r="R362" s="4"/>
      <c r="S362" s="4"/>
      <c r="T362" s="4"/>
      <c r="U362" s="4"/>
    </row>
    <row r="363" spans="15:21">
      <c r="O363" s="4"/>
      <c r="P363" s="4"/>
      <c r="Q363" s="4"/>
      <c r="R363" s="4"/>
      <c r="S363" s="4"/>
      <c r="T363" s="4"/>
      <c r="U363" s="4"/>
    </row>
    <row r="364" spans="15:21">
      <c r="O364" s="4"/>
      <c r="P364" s="4"/>
      <c r="Q364" s="4"/>
      <c r="R364" s="4"/>
      <c r="S364" s="4"/>
      <c r="T364" s="4"/>
      <c r="U364" s="4"/>
    </row>
    <row r="365" spans="15:21">
      <c r="O365" s="4"/>
      <c r="P365" s="4"/>
      <c r="Q365" s="4"/>
      <c r="R365" s="4"/>
      <c r="S365" s="4"/>
      <c r="T365" s="4"/>
      <c r="U365" s="4"/>
    </row>
    <row r="366" spans="15:21">
      <c r="O366" s="4"/>
      <c r="P366" s="4"/>
      <c r="Q366" s="4"/>
      <c r="R366" s="4"/>
      <c r="S366" s="4"/>
      <c r="T366" s="4"/>
      <c r="U366" s="4"/>
    </row>
    <row r="367" spans="15:21">
      <c r="O367" s="4"/>
      <c r="P367" s="4"/>
      <c r="Q367" s="4"/>
      <c r="R367" s="4"/>
      <c r="S367" s="4"/>
      <c r="T367" s="4"/>
      <c r="U367" s="4"/>
    </row>
    <row r="368" spans="15:21">
      <c r="O368" s="4"/>
      <c r="P368" s="4"/>
      <c r="Q368" s="4"/>
      <c r="R368" s="4"/>
      <c r="S368" s="4"/>
      <c r="T368" s="4"/>
      <c r="U368" s="4"/>
    </row>
    <row r="369" spans="15:21">
      <c r="O369" s="4"/>
      <c r="P369" s="4"/>
      <c r="Q369" s="4"/>
      <c r="R369" s="4"/>
      <c r="S369" s="4"/>
      <c r="T369" s="4"/>
      <c r="U369" s="4"/>
    </row>
    <row r="370" spans="15:21">
      <c r="O370" s="4"/>
      <c r="P370" s="4"/>
      <c r="Q370" s="4"/>
      <c r="R370" s="4"/>
      <c r="S370" s="4"/>
      <c r="T370" s="4"/>
      <c r="U370" s="4"/>
    </row>
    <row r="371" spans="15:21">
      <c r="O371" s="4"/>
      <c r="P371" s="4"/>
      <c r="Q371" s="4"/>
      <c r="R371" s="4"/>
      <c r="S371" s="4"/>
      <c r="T371" s="4"/>
      <c r="U371" s="4"/>
    </row>
    <row r="372" spans="15:21">
      <c r="O372" s="4"/>
      <c r="P372" s="4"/>
      <c r="Q372" s="4"/>
      <c r="R372" s="4"/>
      <c r="S372" s="4"/>
      <c r="T372" s="4"/>
      <c r="U372" s="4"/>
    </row>
    <row r="373" spans="15:21">
      <c r="O373" s="4"/>
      <c r="P373" s="4"/>
      <c r="Q373" s="4"/>
      <c r="R373" s="4"/>
      <c r="S373" s="4"/>
      <c r="T373" s="4"/>
      <c r="U373" s="4"/>
    </row>
    <row r="374" spans="15:21">
      <c r="O374" s="4"/>
      <c r="P374" s="4"/>
      <c r="Q374" s="4"/>
      <c r="R374" s="4"/>
      <c r="S374" s="4"/>
      <c r="T374" s="4"/>
      <c r="U374" s="4"/>
    </row>
    <row r="375" spans="15:21">
      <c r="O375" s="4"/>
      <c r="P375" s="4"/>
      <c r="Q375" s="4"/>
      <c r="R375" s="4"/>
      <c r="S375" s="4"/>
      <c r="T375" s="4"/>
      <c r="U375" s="4"/>
    </row>
    <row r="376" spans="15:21">
      <c r="O376" s="4"/>
      <c r="P376" s="4"/>
      <c r="Q376" s="4"/>
      <c r="R376" s="4"/>
      <c r="S376" s="4"/>
      <c r="T376" s="4"/>
      <c r="U376" s="4"/>
    </row>
    <row r="377" spans="15:21">
      <c r="O377" s="4"/>
      <c r="P377" s="4"/>
      <c r="Q377" s="4"/>
      <c r="R377" s="4"/>
      <c r="S377" s="4"/>
      <c r="T377" s="4"/>
      <c r="U377" s="4"/>
    </row>
    <row r="378" spans="15:21">
      <c r="O378" s="4"/>
      <c r="P378" s="4"/>
      <c r="Q378" s="4"/>
      <c r="R378" s="4"/>
      <c r="S378" s="4"/>
      <c r="T378" s="4"/>
      <c r="U378" s="4"/>
    </row>
    <row r="379" spans="15:21">
      <c r="O379" s="4"/>
      <c r="P379" s="4"/>
      <c r="Q379" s="4"/>
      <c r="R379" s="4"/>
      <c r="S379" s="4"/>
      <c r="T379" s="4"/>
      <c r="U379" s="4"/>
    </row>
    <row r="380" spans="15:21">
      <c r="O380" s="4"/>
      <c r="P380" s="4"/>
      <c r="Q380" s="4"/>
      <c r="R380" s="4"/>
      <c r="S380" s="4"/>
      <c r="T380" s="4"/>
      <c r="U380" s="4"/>
    </row>
    <row r="381" spans="15:21">
      <c r="O381" s="4"/>
      <c r="P381" s="4"/>
      <c r="Q381" s="4"/>
      <c r="R381" s="4"/>
      <c r="S381" s="4"/>
      <c r="T381" s="4"/>
      <c r="U381" s="4"/>
    </row>
    <row r="382" spans="15:21">
      <c r="O382" s="4"/>
      <c r="P382" s="4"/>
      <c r="Q382" s="4"/>
      <c r="R382" s="4"/>
      <c r="S382" s="4"/>
      <c r="T382" s="4"/>
      <c r="U382" s="4"/>
    </row>
    <row r="383" spans="15:21">
      <c r="O383" s="4"/>
      <c r="P383" s="4"/>
      <c r="Q383" s="4"/>
      <c r="R383" s="4"/>
      <c r="S383" s="4"/>
      <c r="T383" s="4"/>
      <c r="U383" s="4"/>
    </row>
    <row r="384" spans="15:21">
      <c r="O384" s="4"/>
      <c r="P384" s="4"/>
      <c r="Q384" s="4"/>
      <c r="R384" s="4"/>
      <c r="S384" s="4"/>
      <c r="T384" s="4"/>
      <c r="U384" s="4"/>
    </row>
    <row r="385" spans="15:21">
      <c r="O385" s="4"/>
      <c r="P385" s="4"/>
      <c r="Q385" s="4"/>
      <c r="R385" s="4"/>
      <c r="S385" s="4"/>
      <c r="T385" s="4"/>
      <c r="U385" s="4"/>
    </row>
    <row r="386" spans="15:21">
      <c r="O386" s="4"/>
      <c r="P386" s="4"/>
      <c r="Q386" s="4"/>
      <c r="R386" s="4"/>
      <c r="S386" s="4"/>
      <c r="T386" s="4"/>
      <c r="U386" s="4"/>
    </row>
    <row r="387" spans="15:21">
      <c r="O387" s="4"/>
      <c r="P387" s="4"/>
      <c r="Q387" s="4"/>
      <c r="R387" s="4"/>
      <c r="S387" s="4"/>
      <c r="T387" s="4"/>
      <c r="U387" s="4"/>
    </row>
    <row r="388" spans="15:21">
      <c r="O388" s="4"/>
      <c r="P388" s="4"/>
      <c r="Q388" s="4"/>
      <c r="R388" s="4"/>
      <c r="S388" s="4"/>
      <c r="T388" s="4"/>
      <c r="U388" s="4"/>
    </row>
    <row r="389" spans="15:21">
      <c r="O389" s="4"/>
      <c r="P389" s="4"/>
      <c r="Q389" s="4"/>
      <c r="R389" s="4"/>
      <c r="S389" s="4"/>
      <c r="T389" s="4"/>
      <c r="U389" s="4"/>
    </row>
    <row r="390" spans="15:21">
      <c r="O390" s="4"/>
      <c r="P390" s="4"/>
      <c r="Q390" s="4"/>
      <c r="R390" s="4"/>
      <c r="S390" s="4"/>
      <c r="T390" s="4"/>
      <c r="U390" s="4"/>
    </row>
    <row r="391" spans="15:21">
      <c r="O391" s="4"/>
      <c r="P391" s="4"/>
      <c r="Q391" s="4"/>
      <c r="R391" s="4"/>
      <c r="S391" s="4"/>
      <c r="T391" s="4"/>
      <c r="U391" s="4"/>
    </row>
    <row r="392" spans="15:21">
      <c r="O392" s="4"/>
      <c r="P392" s="4"/>
      <c r="Q392" s="4"/>
      <c r="R392" s="4"/>
      <c r="S392" s="4"/>
      <c r="T392" s="4"/>
      <c r="U392" s="4"/>
    </row>
    <row r="393" spans="15:21">
      <c r="O393" s="4"/>
      <c r="P393" s="4"/>
      <c r="Q393" s="4"/>
      <c r="R393" s="4"/>
      <c r="S393" s="4"/>
      <c r="T393" s="4"/>
      <c r="U393" s="4"/>
    </row>
    <row r="394" spans="15:21">
      <c r="O394" s="4"/>
      <c r="P394" s="4"/>
      <c r="Q394" s="4"/>
      <c r="R394" s="4"/>
      <c r="S394" s="4"/>
      <c r="T394" s="4"/>
      <c r="U394" s="4"/>
    </row>
    <row r="395" spans="15:21">
      <c r="O395" s="4"/>
      <c r="P395" s="4"/>
      <c r="Q395" s="4"/>
      <c r="R395" s="4"/>
      <c r="S395" s="4"/>
      <c r="T395" s="4"/>
      <c r="U395" s="4"/>
    </row>
    <row r="396" spans="15:21">
      <c r="O396" s="4"/>
      <c r="P396" s="4"/>
      <c r="Q396" s="4"/>
      <c r="R396" s="4"/>
      <c r="S396" s="4"/>
      <c r="T396" s="4"/>
      <c r="U396" s="4"/>
    </row>
    <row r="397" spans="15:21">
      <c r="O397" s="4"/>
      <c r="P397" s="4"/>
      <c r="Q397" s="4"/>
      <c r="R397" s="4"/>
      <c r="S397" s="4"/>
      <c r="T397" s="4"/>
      <c r="U397" s="4"/>
    </row>
    <row r="398" spans="15:21">
      <c r="O398" s="4"/>
      <c r="P398" s="4"/>
      <c r="Q398" s="4"/>
      <c r="R398" s="4"/>
      <c r="S398" s="4"/>
      <c r="T398" s="4"/>
      <c r="U398" s="4"/>
    </row>
    <row r="399" spans="15:21">
      <c r="O399" s="4"/>
      <c r="P399" s="4"/>
      <c r="Q399" s="4"/>
      <c r="R399" s="4"/>
      <c r="S399" s="4"/>
      <c r="T399" s="4"/>
      <c r="U399" s="4"/>
    </row>
    <row r="400" spans="15:21">
      <c r="O400" s="4"/>
      <c r="P400" s="4"/>
      <c r="Q400" s="4"/>
      <c r="R400" s="4"/>
      <c r="S400" s="4"/>
      <c r="T400" s="4"/>
      <c r="U400" s="4"/>
    </row>
    <row r="401" spans="15:21">
      <c r="O401" s="4"/>
      <c r="P401" s="4"/>
      <c r="Q401" s="4"/>
      <c r="R401" s="4"/>
      <c r="S401" s="4"/>
      <c r="T401" s="4"/>
      <c r="U401" s="4"/>
    </row>
    <row r="402" spans="15:21">
      <c r="O402" s="4"/>
      <c r="P402" s="4"/>
      <c r="Q402" s="4"/>
      <c r="R402" s="4"/>
      <c r="S402" s="4"/>
      <c r="T402" s="4"/>
      <c r="U402" s="4"/>
    </row>
    <row r="403" spans="15:21">
      <c r="O403" s="4"/>
      <c r="P403" s="4"/>
      <c r="Q403" s="4"/>
      <c r="R403" s="4"/>
      <c r="S403" s="4"/>
      <c r="T403" s="4"/>
      <c r="U403" s="4"/>
    </row>
    <row r="404" spans="15:21">
      <c r="O404" s="4"/>
      <c r="P404" s="4"/>
      <c r="Q404" s="4"/>
      <c r="R404" s="4"/>
      <c r="S404" s="4"/>
      <c r="T404" s="4"/>
      <c r="U404" s="4"/>
    </row>
    <row r="405" spans="15:21">
      <c r="O405" s="4"/>
      <c r="P405" s="4"/>
      <c r="Q405" s="4"/>
      <c r="R405" s="4"/>
      <c r="S405" s="4"/>
      <c r="T405" s="4"/>
      <c r="U405" s="4"/>
    </row>
    <row r="406" spans="15:21">
      <c r="O406" s="4"/>
      <c r="P406" s="4"/>
      <c r="Q406" s="4"/>
      <c r="R406" s="4"/>
      <c r="S406" s="4"/>
      <c r="T406" s="4"/>
      <c r="U406" s="4"/>
    </row>
    <row r="407" spans="15:21">
      <c r="O407" s="4"/>
      <c r="P407" s="4"/>
      <c r="Q407" s="4"/>
      <c r="R407" s="4"/>
      <c r="S407" s="4"/>
      <c r="T407" s="4"/>
      <c r="U407" s="4"/>
    </row>
    <row r="408" spans="15:21">
      <c r="O408" s="4"/>
      <c r="P408" s="4"/>
      <c r="Q408" s="4"/>
      <c r="R408" s="4"/>
      <c r="S408" s="4"/>
      <c r="T408" s="4"/>
      <c r="U408" s="4"/>
    </row>
    <row r="409" spans="15:21">
      <c r="O409" s="4"/>
      <c r="P409" s="4"/>
      <c r="Q409" s="4"/>
      <c r="R409" s="4"/>
      <c r="S409" s="4"/>
      <c r="T409" s="4"/>
      <c r="U409" s="4"/>
    </row>
    <row r="410" spans="15:21">
      <c r="O410" s="4"/>
      <c r="P410" s="4"/>
      <c r="Q410" s="4"/>
      <c r="R410" s="4"/>
      <c r="S410" s="4"/>
      <c r="T410" s="4"/>
      <c r="U410" s="4"/>
    </row>
    <row r="411" spans="15:21">
      <c r="O411" s="4"/>
      <c r="P411" s="4"/>
      <c r="Q411" s="4"/>
      <c r="R411" s="4"/>
      <c r="S411" s="4"/>
      <c r="T411" s="4"/>
      <c r="U411" s="4"/>
    </row>
    <row r="412" spans="15:21">
      <c r="O412" s="4"/>
      <c r="P412" s="4"/>
      <c r="Q412" s="4"/>
      <c r="R412" s="4"/>
      <c r="S412" s="4"/>
      <c r="T412" s="4"/>
      <c r="U412" s="4"/>
    </row>
    <row r="413" spans="15:21">
      <c r="O413" s="4"/>
      <c r="P413" s="4"/>
      <c r="Q413" s="4"/>
      <c r="R413" s="4"/>
      <c r="S413" s="4"/>
      <c r="T413" s="4"/>
      <c r="U413" s="4"/>
    </row>
    <row r="414" spans="15:21">
      <c r="O414" s="4"/>
      <c r="P414" s="4"/>
      <c r="Q414" s="4"/>
      <c r="R414" s="4"/>
      <c r="S414" s="4"/>
      <c r="T414" s="4"/>
      <c r="U414" s="4"/>
    </row>
    <row r="415" spans="15:21">
      <c r="O415" s="4"/>
      <c r="P415" s="4"/>
      <c r="Q415" s="4"/>
      <c r="R415" s="4"/>
      <c r="S415" s="4"/>
      <c r="T415" s="4"/>
      <c r="U415" s="4"/>
    </row>
    <row r="416" spans="15:21">
      <c r="O416" s="4"/>
      <c r="P416" s="4"/>
      <c r="Q416" s="4"/>
      <c r="R416" s="4"/>
      <c r="S416" s="4"/>
      <c r="T416" s="4"/>
      <c r="U416" s="4"/>
    </row>
    <row r="417" spans="15:21">
      <c r="O417" s="4"/>
      <c r="P417" s="4"/>
      <c r="Q417" s="4"/>
      <c r="R417" s="4"/>
      <c r="S417" s="4"/>
      <c r="T417" s="4"/>
      <c r="U417" s="4"/>
    </row>
    <row r="418" spans="15:21">
      <c r="O418" s="4"/>
      <c r="P418" s="4"/>
      <c r="Q418" s="4"/>
      <c r="R418" s="4"/>
      <c r="S418" s="4"/>
      <c r="T418" s="4"/>
      <c r="U418" s="4"/>
    </row>
    <row r="419" spans="15:21">
      <c r="O419" s="4"/>
      <c r="P419" s="4"/>
      <c r="Q419" s="4"/>
      <c r="R419" s="4"/>
      <c r="S419" s="4"/>
      <c r="T419" s="4"/>
      <c r="U419" s="4"/>
    </row>
    <row r="420" spans="15:21">
      <c r="O420" s="4"/>
      <c r="P420" s="4"/>
      <c r="Q420" s="4"/>
      <c r="R420" s="4"/>
      <c r="S420" s="4"/>
      <c r="T420" s="4"/>
      <c r="U420" s="4"/>
    </row>
    <row r="421" spans="15:21">
      <c r="O421" s="4"/>
      <c r="P421" s="4"/>
      <c r="Q421" s="4"/>
      <c r="R421" s="4"/>
      <c r="S421" s="4"/>
      <c r="T421" s="4"/>
      <c r="U421" s="4"/>
    </row>
    <row r="422" spans="15:21">
      <c r="O422" s="4"/>
      <c r="P422" s="4"/>
      <c r="Q422" s="4"/>
      <c r="R422" s="4"/>
      <c r="S422" s="4"/>
      <c r="T422" s="4"/>
      <c r="U422" s="4"/>
    </row>
    <row r="423" spans="15:21">
      <c r="O423" s="4"/>
      <c r="P423" s="4"/>
      <c r="Q423" s="4"/>
      <c r="R423" s="4"/>
      <c r="S423" s="4"/>
      <c r="T423" s="4"/>
      <c r="U423" s="4"/>
    </row>
    <row r="424" spans="15:21">
      <c r="O424" s="4"/>
      <c r="P424" s="4"/>
      <c r="Q424" s="4"/>
      <c r="R424" s="4"/>
      <c r="S424" s="4"/>
      <c r="T424" s="4"/>
      <c r="U424" s="4"/>
    </row>
    <row r="425" spans="15:21">
      <c r="O425" s="4"/>
      <c r="P425" s="4"/>
      <c r="Q425" s="4"/>
      <c r="R425" s="4"/>
      <c r="S425" s="4"/>
      <c r="T425" s="4"/>
      <c r="U425" s="4"/>
    </row>
    <row r="426" spans="15:21">
      <c r="O426" s="4"/>
      <c r="P426" s="4"/>
      <c r="Q426" s="4"/>
      <c r="R426" s="4"/>
      <c r="S426" s="4"/>
      <c r="T426" s="4"/>
      <c r="U426" s="4"/>
    </row>
    <row r="427" spans="15:21">
      <c r="O427" s="4"/>
      <c r="P427" s="4"/>
      <c r="Q427" s="4"/>
      <c r="R427" s="4"/>
      <c r="S427" s="4"/>
      <c r="T427" s="4"/>
      <c r="U427" s="4"/>
    </row>
    <row r="428" spans="15:21">
      <c r="O428" s="4"/>
      <c r="P428" s="4"/>
      <c r="Q428" s="4"/>
      <c r="R428" s="4"/>
      <c r="S428" s="4"/>
      <c r="T428" s="4"/>
      <c r="U428" s="4"/>
    </row>
    <row r="429" spans="15:21">
      <c r="O429" s="4"/>
      <c r="P429" s="4"/>
      <c r="Q429" s="4"/>
      <c r="R429" s="4"/>
      <c r="S429" s="4"/>
      <c r="T429" s="4"/>
      <c r="U429" s="4"/>
    </row>
    <row r="430" spans="15:21">
      <c r="O430" s="4"/>
      <c r="P430" s="4"/>
      <c r="Q430" s="4"/>
      <c r="R430" s="4"/>
      <c r="S430" s="4"/>
      <c r="T430" s="4"/>
      <c r="U430" s="4"/>
    </row>
    <row r="431" spans="15:21">
      <c r="O431" s="4"/>
      <c r="P431" s="4"/>
      <c r="Q431" s="4"/>
      <c r="R431" s="4"/>
      <c r="S431" s="4"/>
      <c r="T431" s="4"/>
      <c r="U431" s="4"/>
    </row>
    <row r="432" spans="15:21">
      <c r="O432" s="4"/>
      <c r="P432" s="4"/>
      <c r="Q432" s="4"/>
      <c r="R432" s="4"/>
      <c r="S432" s="4"/>
      <c r="T432" s="4"/>
      <c r="U432" s="4"/>
    </row>
    <row r="433" spans="15:21">
      <c r="O433" s="4"/>
      <c r="P433" s="4"/>
      <c r="Q433" s="4"/>
      <c r="R433" s="4"/>
      <c r="S433" s="4"/>
      <c r="T433" s="4"/>
      <c r="U433" s="4"/>
    </row>
    <row r="434" spans="15:21">
      <c r="O434" s="4"/>
      <c r="P434" s="4"/>
      <c r="Q434" s="4"/>
      <c r="R434" s="4"/>
      <c r="S434" s="4"/>
      <c r="T434" s="4"/>
      <c r="U434" s="4"/>
    </row>
    <row r="435" spans="15:21">
      <c r="O435" s="4"/>
      <c r="P435" s="4"/>
      <c r="Q435" s="4"/>
      <c r="R435" s="4"/>
      <c r="S435" s="4"/>
      <c r="T435" s="4"/>
      <c r="U435" s="4"/>
    </row>
    <row r="436" spans="15:21">
      <c r="O436" s="4"/>
      <c r="P436" s="4"/>
      <c r="Q436" s="4"/>
      <c r="R436" s="4"/>
      <c r="S436" s="4"/>
      <c r="T436" s="4"/>
      <c r="U436" s="4"/>
    </row>
    <row r="437" spans="15:21">
      <c r="O437" s="4"/>
      <c r="P437" s="4"/>
      <c r="Q437" s="4"/>
      <c r="R437" s="4"/>
      <c r="S437" s="4"/>
      <c r="T437" s="4"/>
      <c r="U437" s="4"/>
    </row>
    <row r="438" spans="15:21">
      <c r="O438" s="4"/>
      <c r="P438" s="4"/>
      <c r="Q438" s="4"/>
      <c r="R438" s="4"/>
      <c r="S438" s="4"/>
      <c r="T438" s="4"/>
      <c r="U438" s="4"/>
    </row>
    <row r="439" spans="15:21">
      <c r="O439" s="4"/>
      <c r="P439" s="4"/>
      <c r="Q439" s="4"/>
      <c r="R439" s="4"/>
      <c r="S439" s="4"/>
      <c r="T439" s="4"/>
      <c r="U439" s="4"/>
    </row>
    <row r="440" spans="15:21">
      <c r="O440" s="4"/>
      <c r="P440" s="4"/>
      <c r="Q440" s="4"/>
      <c r="R440" s="4"/>
      <c r="S440" s="4"/>
      <c r="T440" s="4"/>
      <c r="U440" s="4"/>
    </row>
    <row r="441" spans="15:21">
      <c r="O441" s="4"/>
      <c r="P441" s="4"/>
      <c r="Q441" s="4"/>
      <c r="R441" s="4"/>
      <c r="S441" s="4"/>
      <c r="T441" s="4"/>
      <c r="U441" s="4"/>
    </row>
    <row r="442" spans="15:21">
      <c r="O442" s="4"/>
      <c r="P442" s="4"/>
      <c r="Q442" s="4"/>
      <c r="R442" s="4"/>
      <c r="S442" s="4"/>
      <c r="T442" s="4"/>
      <c r="U442" s="4"/>
    </row>
    <row r="443" spans="15:21">
      <c r="O443" s="4"/>
      <c r="P443" s="4"/>
      <c r="Q443" s="4"/>
      <c r="R443" s="4"/>
      <c r="S443" s="4"/>
      <c r="T443" s="4"/>
      <c r="U443" s="4"/>
    </row>
    <row r="444" spans="15:21">
      <c r="O444" s="4"/>
      <c r="P444" s="4"/>
      <c r="Q444" s="4"/>
      <c r="R444" s="4"/>
      <c r="S444" s="4"/>
      <c r="T444" s="4"/>
      <c r="U444" s="4"/>
    </row>
    <row r="445" spans="15:21">
      <c r="O445" s="4"/>
      <c r="P445" s="4"/>
      <c r="Q445" s="4"/>
      <c r="R445" s="4"/>
      <c r="S445" s="4"/>
      <c r="T445" s="4"/>
      <c r="U445" s="4"/>
    </row>
    <row r="446" spans="15:21">
      <c r="O446" s="4"/>
      <c r="P446" s="4"/>
      <c r="Q446" s="4"/>
      <c r="R446" s="4"/>
      <c r="S446" s="4"/>
      <c r="T446" s="4"/>
      <c r="U446" s="4"/>
    </row>
    <row r="447" spans="15:21">
      <c r="O447" s="4"/>
      <c r="P447" s="4"/>
      <c r="Q447" s="4"/>
      <c r="R447" s="4"/>
      <c r="S447" s="4"/>
      <c r="T447" s="4"/>
      <c r="U447" s="4"/>
    </row>
    <row r="448" spans="15:21">
      <c r="O448" s="4"/>
      <c r="P448" s="4"/>
      <c r="Q448" s="4"/>
      <c r="R448" s="4"/>
      <c r="S448" s="4"/>
      <c r="T448" s="4"/>
      <c r="U448" s="4"/>
    </row>
    <row r="449" spans="15:21">
      <c r="O449" s="4"/>
      <c r="P449" s="4"/>
      <c r="Q449" s="4"/>
      <c r="R449" s="4"/>
      <c r="S449" s="4"/>
      <c r="T449" s="4"/>
      <c r="U449" s="4"/>
    </row>
    <row r="450" spans="15:21">
      <c r="O450" s="4"/>
      <c r="P450" s="4"/>
      <c r="Q450" s="4"/>
      <c r="R450" s="4"/>
      <c r="S450" s="4"/>
      <c r="T450" s="4"/>
      <c r="U450" s="4"/>
    </row>
    <row r="451" spans="15:21">
      <c r="O451" s="4"/>
      <c r="P451" s="4"/>
      <c r="Q451" s="4"/>
      <c r="R451" s="4"/>
      <c r="S451" s="4"/>
      <c r="T451" s="4"/>
      <c r="U451" s="4"/>
    </row>
    <row r="452" spans="15:21">
      <c r="O452" s="4"/>
      <c r="P452" s="4"/>
      <c r="Q452" s="4"/>
      <c r="R452" s="4"/>
      <c r="S452" s="4"/>
      <c r="T452" s="4"/>
      <c r="U452" s="4"/>
    </row>
    <row r="453" spans="15:21">
      <c r="O453" s="4"/>
      <c r="P453" s="4"/>
      <c r="Q453" s="4"/>
      <c r="R453" s="4"/>
      <c r="S453" s="4"/>
      <c r="T453" s="4"/>
      <c r="U453" s="4"/>
    </row>
    <row r="454" spans="15:21">
      <c r="O454" s="4"/>
      <c r="P454" s="4"/>
      <c r="Q454" s="4"/>
      <c r="R454" s="4"/>
      <c r="S454" s="4"/>
      <c r="T454" s="4"/>
      <c r="U454" s="4"/>
    </row>
    <row r="455" spans="15:21">
      <c r="O455" s="4"/>
      <c r="P455" s="4"/>
      <c r="Q455" s="4"/>
      <c r="R455" s="4"/>
      <c r="S455" s="4"/>
      <c r="T455" s="4"/>
      <c r="U455" s="4"/>
    </row>
    <row r="456" spans="15:21">
      <c r="O456" s="4"/>
      <c r="P456" s="4"/>
      <c r="Q456" s="4"/>
      <c r="R456" s="4"/>
      <c r="S456" s="4"/>
      <c r="T456" s="4"/>
      <c r="U456" s="4"/>
    </row>
    <row r="457" spans="15:21">
      <c r="O457" s="4"/>
      <c r="P457" s="4"/>
      <c r="Q457" s="4"/>
      <c r="R457" s="4"/>
      <c r="S457" s="4"/>
      <c r="T457" s="4"/>
      <c r="U457" s="4"/>
    </row>
    <row r="458" spans="15:21">
      <c r="O458" s="4"/>
      <c r="P458" s="4"/>
      <c r="Q458" s="4"/>
      <c r="R458" s="4"/>
      <c r="S458" s="4"/>
      <c r="T458" s="4"/>
      <c r="U458" s="4"/>
    </row>
    <row r="459" spans="15:21">
      <c r="O459" s="4"/>
      <c r="P459" s="4"/>
      <c r="Q459" s="4"/>
      <c r="R459" s="4"/>
      <c r="S459" s="4"/>
      <c r="T459" s="4"/>
      <c r="U459" s="4"/>
    </row>
    <row r="460" spans="15:21">
      <c r="O460" s="4"/>
      <c r="P460" s="4"/>
      <c r="Q460" s="4"/>
      <c r="R460" s="4"/>
      <c r="S460" s="4"/>
      <c r="T460" s="4"/>
      <c r="U460" s="4"/>
    </row>
    <row r="461" spans="15:21">
      <c r="O461" s="4"/>
      <c r="P461" s="4"/>
      <c r="Q461" s="4"/>
      <c r="R461" s="4"/>
      <c r="S461" s="4"/>
      <c r="T461" s="4"/>
      <c r="U461" s="4"/>
    </row>
    <row r="462" spans="15:21">
      <c r="O462" s="4"/>
      <c r="P462" s="4"/>
      <c r="Q462" s="4"/>
      <c r="R462" s="4"/>
      <c r="S462" s="4"/>
      <c r="T462" s="4"/>
      <c r="U462" s="4"/>
    </row>
    <row r="463" spans="15:21">
      <c r="O463" s="4"/>
      <c r="P463" s="4"/>
      <c r="Q463" s="4"/>
      <c r="R463" s="4"/>
      <c r="S463" s="4"/>
      <c r="T463" s="4"/>
      <c r="U463" s="4"/>
    </row>
    <row r="464" spans="15:21">
      <c r="O464" s="4"/>
      <c r="P464" s="4"/>
      <c r="Q464" s="4"/>
      <c r="R464" s="4"/>
      <c r="S464" s="4"/>
      <c r="T464" s="4"/>
      <c r="U464" s="4"/>
    </row>
    <row r="465" spans="15:21">
      <c r="O465" s="4"/>
      <c r="P465" s="4"/>
      <c r="Q465" s="4"/>
      <c r="R465" s="4"/>
      <c r="S465" s="4"/>
      <c r="T465" s="4"/>
      <c r="U465" s="4"/>
    </row>
    <row r="466" spans="15:21">
      <c r="O466" s="4"/>
      <c r="P466" s="4"/>
      <c r="Q466" s="4"/>
      <c r="R466" s="4"/>
      <c r="S466" s="4"/>
      <c r="T466" s="4"/>
      <c r="U466" s="4"/>
    </row>
    <row r="467" spans="15:21">
      <c r="O467" s="4"/>
      <c r="P467" s="4"/>
      <c r="Q467" s="4"/>
      <c r="R467" s="4"/>
      <c r="S467" s="4"/>
      <c r="T467" s="4"/>
      <c r="U467" s="4"/>
    </row>
    <row r="468" spans="15:21">
      <c r="O468" s="4"/>
      <c r="P468" s="4"/>
      <c r="Q468" s="4"/>
      <c r="R468" s="4"/>
      <c r="S468" s="4"/>
      <c r="T468" s="4"/>
      <c r="U468" s="4"/>
    </row>
    <row r="469" spans="15:21">
      <c r="O469" s="4"/>
      <c r="P469" s="4"/>
      <c r="Q469" s="4"/>
      <c r="R469" s="4"/>
      <c r="S469" s="4"/>
      <c r="T469" s="4"/>
      <c r="U469" s="4"/>
    </row>
    <row r="470" spans="15:21">
      <c r="O470" s="4"/>
      <c r="P470" s="4"/>
      <c r="Q470" s="4"/>
      <c r="R470" s="4"/>
      <c r="S470" s="4"/>
      <c r="T470" s="4"/>
      <c r="U470" s="4"/>
    </row>
    <row r="471" spans="15:21">
      <c r="O471" s="4"/>
      <c r="P471" s="4"/>
      <c r="Q471" s="4"/>
      <c r="R471" s="4"/>
      <c r="S471" s="4"/>
      <c r="T471" s="4"/>
      <c r="U471" s="4"/>
    </row>
    <row r="472" spans="15:21">
      <c r="O472" s="4"/>
      <c r="P472" s="4"/>
      <c r="Q472" s="4"/>
      <c r="R472" s="4"/>
      <c r="S472" s="4"/>
      <c r="T472" s="4"/>
      <c r="U472" s="4"/>
    </row>
    <row r="473" spans="15:21">
      <c r="O473" s="4"/>
      <c r="P473" s="4"/>
      <c r="Q473" s="4"/>
      <c r="R473" s="4"/>
      <c r="S473" s="4"/>
      <c r="T473" s="4"/>
      <c r="U473" s="4"/>
    </row>
    <row r="474" spans="15:21">
      <c r="O474" s="4"/>
      <c r="P474" s="4"/>
      <c r="Q474" s="4"/>
      <c r="R474" s="4"/>
      <c r="S474" s="4"/>
      <c r="T474" s="4"/>
      <c r="U474" s="4"/>
    </row>
    <row r="475" spans="15:21">
      <c r="O475" s="4"/>
      <c r="P475" s="4"/>
      <c r="Q475" s="4"/>
      <c r="R475" s="4"/>
      <c r="S475" s="4"/>
      <c r="T475" s="4"/>
      <c r="U475" s="4"/>
    </row>
    <row r="476" spans="15:21">
      <c r="O476" s="4"/>
      <c r="P476" s="4"/>
      <c r="Q476" s="4"/>
      <c r="R476" s="4"/>
      <c r="S476" s="4"/>
      <c r="T476" s="4"/>
      <c r="U476" s="4"/>
    </row>
    <row r="477" spans="15:21">
      <c r="O477" s="4"/>
      <c r="P477" s="4"/>
      <c r="Q477" s="4"/>
      <c r="R477" s="4"/>
      <c r="S477" s="4"/>
      <c r="T477" s="4"/>
      <c r="U477" s="4"/>
    </row>
    <row r="478" spans="15:21">
      <c r="O478" s="4"/>
      <c r="P478" s="4"/>
      <c r="Q478" s="4"/>
      <c r="R478" s="4"/>
      <c r="S478" s="4"/>
      <c r="T478" s="4"/>
      <c r="U478" s="4"/>
    </row>
    <row r="479" spans="15:21">
      <c r="O479" s="4"/>
      <c r="P479" s="4"/>
      <c r="Q479" s="4"/>
      <c r="R479" s="4"/>
      <c r="S479" s="4"/>
      <c r="T479" s="4"/>
      <c r="U479" s="4"/>
    </row>
    <row r="480" spans="15:21">
      <c r="O480" s="4"/>
      <c r="P480" s="4"/>
      <c r="Q480" s="4"/>
      <c r="R480" s="4"/>
      <c r="S480" s="4"/>
      <c r="T480" s="4"/>
      <c r="U480" s="4"/>
    </row>
    <row r="481" spans="15:21">
      <c r="O481" s="4"/>
      <c r="P481" s="4"/>
      <c r="Q481" s="4"/>
      <c r="R481" s="4"/>
      <c r="S481" s="4"/>
      <c r="T481" s="4"/>
      <c r="U481" s="4"/>
    </row>
    <row r="482" spans="15:21">
      <c r="O482" s="4"/>
      <c r="P482" s="4"/>
      <c r="Q482" s="4"/>
      <c r="R482" s="4"/>
      <c r="S482" s="4"/>
      <c r="T482" s="4"/>
      <c r="U482" s="4"/>
    </row>
    <row r="483" spans="15:21">
      <c r="O483" s="4"/>
      <c r="P483" s="4"/>
      <c r="Q483" s="4"/>
      <c r="R483" s="4"/>
      <c r="S483" s="4"/>
      <c r="T483" s="4"/>
      <c r="U483" s="4"/>
    </row>
    <row r="484" spans="15:21">
      <c r="O484" s="4"/>
      <c r="P484" s="4"/>
      <c r="Q484" s="4"/>
      <c r="R484" s="4"/>
      <c r="S484" s="4"/>
      <c r="T484" s="4"/>
      <c r="U484" s="4"/>
    </row>
    <row r="485" spans="15:21">
      <c r="O485" s="4"/>
      <c r="P485" s="4"/>
      <c r="Q485" s="4"/>
      <c r="R485" s="4"/>
      <c r="S485" s="4"/>
      <c r="T485" s="4"/>
      <c r="U485" s="4"/>
    </row>
    <row r="486" spans="15:21">
      <c r="O486" s="4"/>
      <c r="P486" s="4"/>
      <c r="Q486" s="4"/>
      <c r="R486" s="4"/>
      <c r="S486" s="4"/>
      <c r="T486" s="4"/>
      <c r="U486" s="4"/>
    </row>
    <row r="487" spans="15:21">
      <c r="O487" s="4"/>
      <c r="P487" s="4"/>
      <c r="Q487" s="4"/>
      <c r="R487" s="4"/>
      <c r="S487" s="4"/>
      <c r="T487" s="4"/>
      <c r="U487" s="4"/>
    </row>
    <row r="488" spans="15:21">
      <c r="O488" s="4"/>
      <c r="P488" s="4"/>
      <c r="Q488" s="4"/>
      <c r="R488" s="4"/>
      <c r="S488" s="4"/>
      <c r="T488" s="4"/>
      <c r="U488" s="4"/>
    </row>
    <row r="489" spans="15:21">
      <c r="O489" s="4"/>
      <c r="P489" s="4"/>
      <c r="Q489" s="4"/>
      <c r="R489" s="4"/>
      <c r="S489" s="4"/>
      <c r="T489" s="4"/>
      <c r="U489" s="4"/>
    </row>
    <row r="490" spans="15:21">
      <c r="O490" s="4"/>
      <c r="P490" s="4"/>
      <c r="Q490" s="4"/>
      <c r="R490" s="4"/>
      <c r="S490" s="4"/>
      <c r="T490" s="4"/>
      <c r="U490" s="4"/>
    </row>
    <row r="491" spans="15:21">
      <c r="O491" s="4"/>
      <c r="P491" s="4"/>
      <c r="Q491" s="4"/>
      <c r="R491" s="4"/>
      <c r="S491" s="4"/>
      <c r="T491" s="4"/>
      <c r="U491" s="4"/>
    </row>
    <row r="492" spans="15:21">
      <c r="O492" s="4"/>
      <c r="P492" s="4"/>
      <c r="Q492" s="4"/>
      <c r="R492" s="4"/>
      <c r="S492" s="4"/>
      <c r="T492" s="4"/>
      <c r="U492" s="4"/>
    </row>
    <row r="493" spans="15:21">
      <c r="O493" s="4"/>
      <c r="P493" s="4"/>
      <c r="Q493" s="4"/>
      <c r="R493" s="4"/>
      <c r="S493" s="4"/>
      <c r="T493" s="4"/>
      <c r="U493" s="4"/>
    </row>
    <row r="494" spans="15:21">
      <c r="O494" s="4"/>
      <c r="P494" s="4"/>
      <c r="Q494" s="4"/>
      <c r="R494" s="4"/>
      <c r="S494" s="4"/>
      <c r="T494" s="4"/>
      <c r="U494" s="4"/>
    </row>
    <row r="495" spans="15:21">
      <c r="O495" s="4"/>
      <c r="P495" s="4"/>
      <c r="Q495" s="4"/>
      <c r="R495" s="4"/>
      <c r="S495" s="4"/>
      <c r="T495" s="4"/>
      <c r="U495" s="4"/>
    </row>
    <row r="496" spans="15:21">
      <c r="O496" s="4"/>
      <c r="P496" s="4"/>
      <c r="Q496" s="4"/>
      <c r="R496" s="4"/>
      <c r="S496" s="4"/>
      <c r="T496" s="4"/>
      <c r="U496" s="4"/>
    </row>
    <row r="497" spans="15:21">
      <c r="O497" s="4"/>
      <c r="P497" s="4"/>
      <c r="Q497" s="4"/>
      <c r="R497" s="4"/>
      <c r="S497" s="4"/>
      <c r="T497" s="4"/>
      <c r="U497" s="4"/>
    </row>
    <row r="498" spans="15:21">
      <c r="O498" s="4"/>
      <c r="P498" s="4"/>
      <c r="Q498" s="4"/>
      <c r="R498" s="4"/>
      <c r="S498" s="4"/>
      <c r="T498" s="4"/>
      <c r="U498" s="4"/>
    </row>
    <row r="499" spans="15:21">
      <c r="O499" s="4"/>
      <c r="P499" s="4"/>
      <c r="Q499" s="4"/>
      <c r="R499" s="4"/>
      <c r="S499" s="4"/>
      <c r="T499" s="4"/>
      <c r="U499" s="4"/>
    </row>
    <row r="500" spans="15:21">
      <c r="O500" s="4"/>
      <c r="P500" s="4"/>
      <c r="Q500" s="4"/>
      <c r="R500" s="4"/>
      <c r="S500" s="4"/>
      <c r="T500" s="4"/>
      <c r="U500" s="4"/>
    </row>
    <row r="501" spans="15:21">
      <c r="O501" s="4"/>
      <c r="P501" s="4"/>
      <c r="Q501" s="4"/>
      <c r="R501" s="4"/>
      <c r="S501" s="4"/>
      <c r="T501" s="4"/>
      <c r="U501" s="4"/>
    </row>
    <row r="502" spans="15:21">
      <c r="O502" s="4"/>
      <c r="P502" s="4"/>
      <c r="Q502" s="4"/>
      <c r="R502" s="4"/>
      <c r="S502" s="4"/>
      <c r="T502" s="4"/>
      <c r="U502" s="4"/>
    </row>
    <row r="503" spans="15:21">
      <c r="O503" s="4"/>
      <c r="P503" s="4"/>
      <c r="Q503" s="4"/>
      <c r="R503" s="4"/>
      <c r="S503" s="4"/>
      <c r="T503" s="4"/>
      <c r="U503" s="4"/>
    </row>
    <row r="504" spans="15:21">
      <c r="O504" s="4"/>
      <c r="P504" s="4"/>
      <c r="Q504" s="4"/>
      <c r="R504" s="4"/>
      <c r="S504" s="4"/>
      <c r="T504" s="4"/>
      <c r="U504" s="4"/>
    </row>
    <row r="505" spans="15:21">
      <c r="O505" s="4"/>
      <c r="P505" s="4"/>
      <c r="Q505" s="4"/>
      <c r="R505" s="4"/>
      <c r="S505" s="4"/>
      <c r="T505" s="4"/>
      <c r="U505" s="4"/>
    </row>
    <row r="506" spans="15:21">
      <c r="O506" s="4"/>
      <c r="P506" s="4"/>
      <c r="Q506" s="4"/>
      <c r="R506" s="4"/>
      <c r="S506" s="4"/>
      <c r="T506" s="4"/>
      <c r="U506" s="4"/>
    </row>
    <row r="507" spans="15:21">
      <c r="O507" s="4"/>
      <c r="P507" s="4"/>
      <c r="Q507" s="4"/>
      <c r="R507" s="4"/>
      <c r="S507" s="4"/>
      <c r="T507" s="4"/>
      <c r="U507" s="4"/>
    </row>
    <row r="508" spans="15:21">
      <c r="O508" s="4"/>
      <c r="P508" s="4"/>
      <c r="Q508" s="4"/>
      <c r="R508" s="4"/>
      <c r="S508" s="4"/>
      <c r="T508" s="4"/>
      <c r="U508" s="4"/>
    </row>
    <row r="509" spans="15:21">
      <c r="O509" s="4"/>
      <c r="P509" s="4"/>
      <c r="Q509" s="4"/>
      <c r="R509" s="4"/>
      <c r="S509" s="4"/>
      <c r="T509" s="4"/>
      <c r="U509" s="4"/>
    </row>
    <row r="510" spans="15:21">
      <c r="O510" s="4"/>
      <c r="P510" s="4"/>
      <c r="Q510" s="4"/>
      <c r="R510" s="4"/>
      <c r="S510" s="4"/>
      <c r="T510" s="4"/>
      <c r="U510" s="4"/>
    </row>
    <row r="511" spans="15:21">
      <c r="O511" s="4"/>
      <c r="P511" s="4"/>
      <c r="Q511" s="4"/>
      <c r="R511" s="4"/>
      <c r="S511" s="4"/>
      <c r="T511" s="4"/>
      <c r="U511" s="4"/>
    </row>
    <row r="512" spans="15:21">
      <c r="O512" s="4"/>
      <c r="P512" s="4"/>
      <c r="Q512" s="4"/>
      <c r="R512" s="4"/>
      <c r="S512" s="4"/>
      <c r="T512" s="4"/>
      <c r="U512" s="4"/>
    </row>
    <row r="513" spans="15:21">
      <c r="O513" s="4"/>
      <c r="P513" s="4"/>
      <c r="Q513" s="4"/>
      <c r="R513" s="4"/>
      <c r="S513" s="4"/>
      <c r="T513" s="4"/>
      <c r="U513" s="4"/>
    </row>
    <row r="514" spans="15:21">
      <c r="O514" s="4"/>
      <c r="P514" s="4"/>
      <c r="Q514" s="4"/>
      <c r="R514" s="4"/>
      <c r="S514" s="4"/>
      <c r="T514" s="4"/>
      <c r="U514" s="4"/>
    </row>
    <row r="515" spans="15:21">
      <c r="O515" s="4"/>
      <c r="P515" s="4"/>
      <c r="Q515" s="4"/>
      <c r="R515" s="4"/>
      <c r="S515" s="4"/>
      <c r="T515" s="4"/>
      <c r="U515" s="4"/>
    </row>
    <row r="516" spans="15:21">
      <c r="O516" s="4"/>
      <c r="P516" s="4"/>
      <c r="Q516" s="4"/>
      <c r="R516" s="4"/>
      <c r="S516" s="4"/>
      <c r="T516" s="4"/>
      <c r="U516" s="4"/>
    </row>
    <row r="517" spans="15:21">
      <c r="O517" s="4"/>
      <c r="P517" s="4"/>
      <c r="Q517" s="4"/>
      <c r="R517" s="4"/>
      <c r="S517" s="4"/>
      <c r="T517" s="4"/>
      <c r="U517" s="4"/>
    </row>
    <row r="518" spans="15:21">
      <c r="O518" s="4"/>
      <c r="P518" s="4"/>
      <c r="Q518" s="4"/>
      <c r="R518" s="4"/>
      <c r="S518" s="4"/>
      <c r="T518" s="4"/>
      <c r="U518" s="4"/>
    </row>
    <row r="519" spans="15:21">
      <c r="O519" s="4"/>
      <c r="P519" s="4"/>
      <c r="Q519" s="4"/>
      <c r="R519" s="4"/>
      <c r="S519" s="4"/>
      <c r="T519" s="4"/>
      <c r="U519" s="4"/>
    </row>
    <row r="520" spans="15:21">
      <c r="O520" s="4"/>
      <c r="P520" s="4"/>
      <c r="Q520" s="4"/>
      <c r="R520" s="4"/>
      <c r="S520" s="4"/>
      <c r="T520" s="4"/>
      <c r="U520" s="4"/>
    </row>
    <row r="521" spans="15:21">
      <c r="O521" s="4"/>
      <c r="P521" s="4"/>
      <c r="Q521" s="4"/>
      <c r="R521" s="4"/>
      <c r="S521" s="4"/>
      <c r="T521" s="4"/>
      <c r="U521" s="4"/>
    </row>
    <row r="522" spans="15:21">
      <c r="O522" s="4"/>
      <c r="P522" s="4"/>
      <c r="Q522" s="4"/>
      <c r="R522" s="4"/>
      <c r="S522" s="4"/>
      <c r="T522" s="4"/>
      <c r="U522" s="4"/>
    </row>
    <row r="523" spans="15:21">
      <c r="O523" s="4"/>
      <c r="P523" s="4"/>
      <c r="Q523" s="4"/>
      <c r="R523" s="4"/>
      <c r="S523" s="4"/>
      <c r="T523" s="4"/>
      <c r="U523" s="4"/>
    </row>
    <row r="524" spans="15:21">
      <c r="O524" s="4"/>
      <c r="P524" s="4"/>
      <c r="Q524" s="4"/>
      <c r="R524" s="4"/>
      <c r="S524" s="4"/>
      <c r="T524" s="4"/>
      <c r="U524" s="4"/>
    </row>
    <row r="525" spans="15:21">
      <c r="O525" s="4"/>
      <c r="P525" s="4"/>
      <c r="Q525" s="4"/>
      <c r="R525" s="4"/>
      <c r="S525" s="4"/>
      <c r="T525" s="4"/>
      <c r="U525" s="4"/>
    </row>
    <row r="526" spans="15:21">
      <c r="O526" s="4"/>
      <c r="P526" s="4"/>
      <c r="Q526" s="4"/>
      <c r="R526" s="4"/>
      <c r="S526" s="4"/>
      <c r="T526" s="4"/>
      <c r="U526" s="4"/>
    </row>
    <row r="527" spans="15:21">
      <c r="O527" s="4"/>
      <c r="P527" s="4"/>
      <c r="Q527" s="4"/>
      <c r="R527" s="4"/>
      <c r="S527" s="4"/>
      <c r="T527" s="4"/>
      <c r="U527" s="4"/>
    </row>
    <row r="528" spans="15:21">
      <c r="O528" s="4"/>
      <c r="P528" s="4"/>
      <c r="Q528" s="4"/>
      <c r="R528" s="4"/>
      <c r="S528" s="4"/>
      <c r="T528" s="4"/>
      <c r="U528" s="4"/>
    </row>
    <row r="529" spans="15:21">
      <c r="O529" s="4"/>
      <c r="P529" s="4"/>
      <c r="Q529" s="4"/>
      <c r="R529" s="4"/>
      <c r="S529" s="4"/>
      <c r="T529" s="4"/>
      <c r="U529" s="4"/>
    </row>
    <row r="530" spans="15:21">
      <c r="O530" s="4"/>
      <c r="P530" s="4"/>
      <c r="Q530" s="4"/>
      <c r="R530" s="4"/>
      <c r="S530" s="4"/>
      <c r="T530" s="4"/>
      <c r="U530" s="4"/>
    </row>
    <row r="531" spans="15:21">
      <c r="O531" s="4"/>
      <c r="P531" s="4"/>
      <c r="Q531" s="4"/>
      <c r="R531" s="4"/>
      <c r="S531" s="4"/>
      <c r="T531" s="4"/>
      <c r="U531" s="4"/>
    </row>
    <row r="532" spans="15:21">
      <c r="O532" s="4"/>
      <c r="P532" s="4"/>
      <c r="Q532" s="4"/>
      <c r="R532" s="4"/>
      <c r="S532" s="4"/>
      <c r="T532" s="4"/>
      <c r="U532" s="4"/>
    </row>
    <row r="533" spans="15:21">
      <c r="O533" s="4"/>
      <c r="P533" s="4"/>
      <c r="Q533" s="4"/>
      <c r="R533" s="4"/>
      <c r="S533" s="4"/>
      <c r="T533" s="4"/>
      <c r="U533" s="4"/>
    </row>
    <row r="534" spans="15:21">
      <c r="O534" s="4"/>
      <c r="P534" s="4"/>
      <c r="Q534" s="4"/>
      <c r="R534" s="4"/>
      <c r="S534" s="4"/>
      <c r="T534" s="4"/>
      <c r="U534" s="4"/>
    </row>
    <row r="535" spans="15:21">
      <c r="O535" s="4"/>
      <c r="P535" s="4"/>
      <c r="Q535" s="4"/>
      <c r="R535" s="4"/>
      <c r="S535" s="4"/>
      <c r="T535" s="4"/>
      <c r="U535" s="4"/>
    </row>
    <row r="536" spans="15:21">
      <c r="O536" s="4"/>
      <c r="P536" s="4"/>
      <c r="Q536" s="4"/>
      <c r="R536" s="4"/>
      <c r="S536" s="4"/>
      <c r="T536" s="4"/>
      <c r="U536" s="4"/>
    </row>
    <row r="537" spans="15:21">
      <c r="O537" s="4"/>
      <c r="P537" s="4"/>
      <c r="Q537" s="4"/>
      <c r="R537" s="4"/>
      <c r="S537" s="4"/>
      <c r="T537" s="4"/>
      <c r="U537" s="4"/>
    </row>
    <row r="538" spans="15:21">
      <c r="O538" s="4"/>
      <c r="P538" s="4"/>
      <c r="Q538" s="4"/>
      <c r="R538" s="4"/>
      <c r="S538" s="4"/>
      <c r="T538" s="4"/>
      <c r="U538" s="4"/>
    </row>
    <row r="539" spans="15:21">
      <c r="O539" s="4"/>
      <c r="P539" s="4"/>
      <c r="Q539" s="4"/>
      <c r="R539" s="4"/>
      <c r="S539" s="4"/>
      <c r="T539" s="4"/>
      <c r="U539" s="4"/>
    </row>
    <row r="540" spans="15:21">
      <c r="O540" s="4"/>
      <c r="P540" s="4"/>
      <c r="Q540" s="4"/>
      <c r="R540" s="4"/>
      <c r="S540" s="4"/>
      <c r="T540" s="4"/>
      <c r="U540" s="4"/>
    </row>
    <row r="541" spans="15:21">
      <c r="O541" s="4"/>
      <c r="P541" s="4"/>
      <c r="Q541" s="4"/>
      <c r="R541" s="4"/>
      <c r="S541" s="4"/>
      <c r="T541" s="4"/>
      <c r="U541" s="4"/>
    </row>
    <row r="542" spans="15:21">
      <c r="O542" s="4"/>
      <c r="P542" s="4"/>
      <c r="Q542" s="4"/>
      <c r="R542" s="4"/>
      <c r="S542" s="4"/>
      <c r="T542" s="4"/>
      <c r="U542" s="4"/>
    </row>
    <row r="543" spans="15:21">
      <c r="O543" s="4"/>
      <c r="P543" s="4"/>
      <c r="Q543" s="4"/>
      <c r="R543" s="4"/>
      <c r="S543" s="4"/>
      <c r="T543" s="4"/>
      <c r="U543" s="4"/>
    </row>
    <row r="544" spans="15:21">
      <c r="O544" s="4"/>
      <c r="P544" s="4"/>
      <c r="Q544" s="4"/>
      <c r="R544" s="4"/>
      <c r="S544" s="4"/>
      <c r="T544" s="4"/>
      <c r="U544" s="4"/>
    </row>
    <row r="545" spans="15:21">
      <c r="O545" s="4"/>
      <c r="P545" s="4"/>
      <c r="Q545" s="4"/>
      <c r="R545" s="4"/>
      <c r="S545" s="4"/>
      <c r="T545" s="4"/>
      <c r="U545" s="4"/>
    </row>
    <row r="546" spans="15:21">
      <c r="O546" s="4"/>
      <c r="P546" s="4"/>
      <c r="Q546" s="4"/>
      <c r="R546" s="4"/>
      <c r="S546" s="4"/>
      <c r="T546" s="4"/>
      <c r="U546" s="4"/>
    </row>
    <row r="547" spans="15:21">
      <c r="O547" s="4"/>
      <c r="P547" s="4"/>
      <c r="Q547" s="4"/>
      <c r="R547" s="4"/>
      <c r="S547" s="4"/>
      <c r="T547" s="4"/>
      <c r="U547" s="4"/>
    </row>
    <row r="548" spans="15:21">
      <c r="O548" s="4"/>
      <c r="P548" s="4"/>
      <c r="Q548" s="4"/>
      <c r="R548" s="4"/>
      <c r="S548" s="4"/>
      <c r="T548" s="4"/>
      <c r="U548" s="4"/>
    </row>
    <row r="549" spans="15:21">
      <c r="O549" s="4"/>
      <c r="P549" s="4"/>
      <c r="Q549" s="4"/>
      <c r="R549" s="4"/>
      <c r="S549" s="4"/>
      <c r="T549" s="4"/>
      <c r="U549" s="4"/>
    </row>
    <row r="550" spans="15:21">
      <c r="O550" s="4"/>
      <c r="P550" s="4"/>
      <c r="Q550" s="4"/>
      <c r="R550" s="4"/>
      <c r="S550" s="4"/>
      <c r="T550" s="4"/>
      <c r="U550" s="4"/>
    </row>
    <row r="551" spans="15:21">
      <c r="O551" s="4"/>
      <c r="P551" s="4"/>
      <c r="Q551" s="4"/>
      <c r="R551" s="4"/>
      <c r="S551" s="4"/>
      <c r="T551" s="4"/>
      <c r="U551" s="4"/>
    </row>
    <row r="552" spans="15:21">
      <c r="O552" s="4"/>
      <c r="P552" s="4"/>
      <c r="Q552" s="4"/>
      <c r="R552" s="4"/>
      <c r="S552" s="4"/>
      <c r="T552" s="4"/>
      <c r="U552" s="4"/>
    </row>
    <row r="553" spans="15:21">
      <c r="O553" s="4"/>
      <c r="P553" s="4"/>
      <c r="Q553" s="4"/>
      <c r="R553" s="4"/>
      <c r="S553" s="4"/>
      <c r="T553" s="4"/>
      <c r="U553" s="4"/>
    </row>
    <row r="554" spans="15:21">
      <c r="O554" s="4"/>
      <c r="P554" s="4"/>
      <c r="Q554" s="4"/>
      <c r="R554" s="4"/>
      <c r="S554" s="4"/>
      <c r="T554" s="4"/>
      <c r="U554" s="4"/>
    </row>
    <row r="555" spans="15:21">
      <c r="O555" s="4"/>
      <c r="P555" s="4"/>
      <c r="Q555" s="4"/>
      <c r="R555" s="4"/>
      <c r="S555" s="4"/>
      <c r="T555" s="4"/>
      <c r="U555" s="4"/>
    </row>
    <row r="556" spans="15:21">
      <c r="O556" s="4"/>
      <c r="P556" s="4"/>
      <c r="Q556" s="4"/>
      <c r="R556" s="4"/>
      <c r="S556" s="4"/>
      <c r="T556" s="4"/>
      <c r="U556" s="4"/>
    </row>
    <row r="557" spans="15:21">
      <c r="O557" s="4"/>
      <c r="P557" s="4"/>
      <c r="Q557" s="4"/>
      <c r="R557" s="4"/>
      <c r="S557" s="4"/>
      <c r="T557" s="4"/>
      <c r="U557" s="4"/>
    </row>
    <row r="558" spans="15:21">
      <c r="O558" s="4"/>
      <c r="P558" s="4"/>
      <c r="Q558" s="4"/>
      <c r="R558" s="4"/>
      <c r="S558" s="4"/>
      <c r="T558" s="4"/>
      <c r="U558" s="4"/>
    </row>
    <row r="559" spans="15:21">
      <c r="O559" s="4"/>
      <c r="P559" s="4"/>
      <c r="Q559" s="4"/>
      <c r="R559" s="4"/>
      <c r="S559" s="4"/>
      <c r="T559" s="4"/>
      <c r="U559" s="4"/>
    </row>
    <row r="560" spans="15:21">
      <c r="O560" s="4"/>
      <c r="P560" s="4"/>
      <c r="Q560" s="4"/>
      <c r="R560" s="4"/>
      <c r="S560" s="4"/>
      <c r="T560" s="4"/>
      <c r="U560" s="4"/>
    </row>
    <row r="561" spans="15:21">
      <c r="O561" s="4"/>
      <c r="P561" s="4"/>
      <c r="Q561" s="4"/>
      <c r="R561" s="4"/>
      <c r="S561" s="4"/>
      <c r="T561" s="4"/>
      <c r="U561" s="4"/>
    </row>
    <row r="562" spans="15:21">
      <c r="O562" s="4"/>
      <c r="P562" s="4"/>
      <c r="Q562" s="4"/>
      <c r="R562" s="4"/>
      <c r="S562" s="4"/>
      <c r="T562" s="4"/>
      <c r="U562" s="4"/>
    </row>
    <row r="563" spans="15:21">
      <c r="O563" s="4"/>
      <c r="P563" s="4"/>
      <c r="Q563" s="4"/>
      <c r="R563" s="4"/>
      <c r="S563" s="4"/>
      <c r="T563" s="4"/>
      <c r="U563" s="4"/>
    </row>
    <row r="564" spans="15:21">
      <c r="O564" s="4"/>
      <c r="P564" s="4"/>
      <c r="Q564" s="4"/>
      <c r="R564" s="4"/>
      <c r="S564" s="4"/>
      <c r="T564" s="4"/>
      <c r="U564" s="4"/>
    </row>
    <row r="565" spans="15:21">
      <c r="O565" s="4"/>
      <c r="P565" s="4"/>
      <c r="Q565" s="4"/>
      <c r="R565" s="4"/>
      <c r="S565" s="4"/>
      <c r="T565" s="4"/>
      <c r="U565" s="4"/>
    </row>
    <row r="566" spans="15:21">
      <c r="O566" s="4"/>
      <c r="P566" s="4"/>
      <c r="Q566" s="4"/>
      <c r="R566" s="4"/>
      <c r="S566" s="4"/>
      <c r="T566" s="4"/>
      <c r="U566" s="4"/>
    </row>
    <row r="567" spans="15:21">
      <c r="O567" s="4"/>
      <c r="P567" s="4"/>
      <c r="Q567" s="4"/>
      <c r="R567" s="4"/>
      <c r="S567" s="4"/>
      <c r="T567" s="4"/>
      <c r="U567" s="4"/>
    </row>
    <row r="568" spans="15:21">
      <c r="O568" s="4"/>
      <c r="P568" s="4"/>
      <c r="Q568" s="4"/>
      <c r="R568" s="4"/>
      <c r="S568" s="4"/>
      <c r="T568" s="4"/>
      <c r="U568" s="4"/>
    </row>
    <row r="569" spans="15:21">
      <c r="O569" s="4"/>
      <c r="P569" s="4"/>
      <c r="Q569" s="4"/>
      <c r="R569" s="4"/>
      <c r="S569" s="4"/>
      <c r="T569" s="4"/>
      <c r="U569" s="4"/>
    </row>
    <row r="570" spans="15:21">
      <c r="O570" s="4"/>
      <c r="P570" s="4"/>
      <c r="Q570" s="4"/>
      <c r="R570" s="4"/>
      <c r="S570" s="4"/>
      <c r="T570" s="4"/>
      <c r="U570" s="4"/>
    </row>
    <row r="571" spans="15:21">
      <c r="O571" s="4"/>
      <c r="P571" s="4"/>
      <c r="Q571" s="4"/>
      <c r="R571" s="4"/>
      <c r="S571" s="4"/>
      <c r="T571" s="4"/>
      <c r="U571" s="4"/>
    </row>
    <row r="572" spans="15:21">
      <c r="O572" s="4"/>
      <c r="P572" s="4"/>
      <c r="Q572" s="4"/>
      <c r="R572" s="4"/>
      <c r="S572" s="4"/>
      <c r="T572" s="4"/>
      <c r="U572" s="4"/>
    </row>
    <row r="573" spans="15:21">
      <c r="O573" s="4"/>
      <c r="P573" s="4"/>
      <c r="Q573" s="4"/>
      <c r="R573" s="4"/>
      <c r="S573" s="4"/>
      <c r="T573" s="4"/>
      <c r="U573" s="4"/>
    </row>
    <row r="574" spans="15:21">
      <c r="O574" s="4"/>
      <c r="P574" s="4"/>
      <c r="Q574" s="4"/>
      <c r="R574" s="4"/>
      <c r="S574" s="4"/>
      <c r="T574" s="4"/>
      <c r="U574" s="4"/>
    </row>
    <row r="575" spans="15:21">
      <c r="O575" s="4"/>
      <c r="P575" s="4"/>
      <c r="Q575" s="4"/>
      <c r="R575" s="4"/>
      <c r="S575" s="4"/>
      <c r="T575" s="4"/>
      <c r="U575" s="4"/>
    </row>
    <row r="576" spans="15:21">
      <c r="O576" s="4"/>
      <c r="P576" s="4"/>
      <c r="Q576" s="4"/>
      <c r="R576" s="4"/>
      <c r="S576" s="4"/>
      <c r="T576" s="4"/>
      <c r="U576" s="4"/>
    </row>
    <row r="577" spans="15:21">
      <c r="O577" s="4"/>
      <c r="P577" s="4"/>
      <c r="Q577" s="4"/>
      <c r="R577" s="4"/>
      <c r="S577" s="4"/>
      <c r="T577" s="4"/>
      <c r="U577" s="4"/>
    </row>
    <row r="578" spans="15:21">
      <c r="O578" s="4"/>
      <c r="P578" s="4"/>
      <c r="Q578" s="4"/>
      <c r="R578" s="4"/>
      <c r="S578" s="4"/>
      <c r="T578" s="4"/>
      <c r="U578" s="4"/>
    </row>
    <row r="579" spans="15:21">
      <c r="O579" s="4"/>
      <c r="P579" s="4"/>
      <c r="Q579" s="4"/>
      <c r="R579" s="4"/>
      <c r="S579" s="4"/>
      <c r="T579" s="4"/>
      <c r="U579" s="4"/>
    </row>
    <row r="580" spans="15:21">
      <c r="O580" s="4"/>
      <c r="P580" s="4"/>
      <c r="Q580" s="4"/>
      <c r="R580" s="4"/>
      <c r="S580" s="4"/>
      <c r="T580" s="4"/>
      <c r="U580" s="4"/>
    </row>
    <row r="581" spans="15:21">
      <c r="O581" s="4"/>
      <c r="P581" s="4"/>
      <c r="Q581" s="4"/>
      <c r="R581" s="4"/>
      <c r="S581" s="4"/>
      <c r="T581" s="4"/>
      <c r="U581" s="4"/>
    </row>
    <row r="582" spans="15:21">
      <c r="O582" s="4"/>
      <c r="P582" s="4"/>
      <c r="Q582" s="4"/>
      <c r="R582" s="4"/>
      <c r="S582" s="4"/>
      <c r="T582" s="4"/>
      <c r="U582" s="4"/>
    </row>
    <row r="583" spans="15:21">
      <c r="O583" s="4"/>
      <c r="P583" s="4"/>
      <c r="Q583" s="4"/>
      <c r="R583" s="4"/>
      <c r="S583" s="4"/>
      <c r="T583" s="4"/>
      <c r="U583" s="4"/>
    </row>
    <row r="584" spans="15:21">
      <c r="O584" s="4"/>
      <c r="P584" s="4"/>
      <c r="Q584" s="4"/>
      <c r="R584" s="4"/>
      <c r="S584" s="4"/>
      <c r="T584" s="4"/>
      <c r="U584" s="4"/>
    </row>
    <row r="585" spans="15:21">
      <c r="O585" s="4"/>
      <c r="P585" s="4"/>
      <c r="Q585" s="4"/>
      <c r="R585" s="4"/>
      <c r="S585" s="4"/>
      <c r="T585" s="4"/>
      <c r="U585" s="4"/>
    </row>
    <row r="586" spans="15:21">
      <c r="O586" s="4"/>
      <c r="P586" s="4"/>
      <c r="Q586" s="4"/>
      <c r="R586" s="4"/>
      <c r="S586" s="4"/>
      <c r="T586" s="4"/>
      <c r="U586" s="4"/>
    </row>
    <row r="587" spans="15:21">
      <c r="O587" s="4"/>
      <c r="P587" s="4"/>
      <c r="Q587" s="4"/>
      <c r="R587" s="4"/>
      <c r="S587" s="4"/>
      <c r="T587" s="4"/>
      <c r="U587" s="4"/>
    </row>
    <row r="588" spans="15:21">
      <c r="O588" s="4"/>
      <c r="P588" s="4"/>
      <c r="Q588" s="4"/>
      <c r="R588" s="4"/>
      <c r="S588" s="4"/>
      <c r="T588" s="4"/>
      <c r="U588" s="4"/>
    </row>
    <row r="589" spans="15:21">
      <c r="O589" s="4"/>
      <c r="P589" s="4"/>
      <c r="Q589" s="4"/>
      <c r="R589" s="4"/>
      <c r="S589" s="4"/>
      <c r="T589" s="4"/>
      <c r="U589" s="4"/>
    </row>
    <row r="590" spans="15:21">
      <c r="O590" s="4"/>
      <c r="P590" s="4"/>
      <c r="Q590" s="4"/>
      <c r="R590" s="4"/>
      <c r="S590" s="4"/>
      <c r="T590" s="4"/>
      <c r="U590" s="4"/>
    </row>
    <row r="591" spans="15:21">
      <c r="O591" s="4"/>
      <c r="P591" s="4"/>
      <c r="Q591" s="4"/>
      <c r="R591" s="4"/>
      <c r="S591" s="4"/>
      <c r="T591" s="4"/>
      <c r="U591" s="4"/>
    </row>
    <row r="592" spans="15:21">
      <c r="O592" s="4"/>
      <c r="P592" s="4"/>
      <c r="Q592" s="4"/>
      <c r="R592" s="4"/>
      <c r="S592" s="4"/>
      <c r="T592" s="4"/>
      <c r="U592" s="4"/>
    </row>
    <row r="593" spans="15:21">
      <c r="O593" s="4"/>
      <c r="P593" s="4"/>
      <c r="Q593" s="4"/>
      <c r="R593" s="4"/>
      <c r="S593" s="4"/>
      <c r="T593" s="4"/>
      <c r="U593" s="4"/>
    </row>
    <row r="594" spans="15:21">
      <c r="O594" s="4"/>
      <c r="P594" s="4"/>
      <c r="Q594" s="4"/>
      <c r="R594" s="4"/>
      <c r="S594" s="4"/>
      <c r="T594" s="4"/>
      <c r="U594" s="4"/>
    </row>
    <row r="595" spans="15:21">
      <c r="O595" s="4"/>
      <c r="P595" s="4"/>
      <c r="Q595" s="4"/>
      <c r="R595" s="4"/>
      <c r="S595" s="4"/>
      <c r="T595" s="4"/>
      <c r="U595" s="4"/>
    </row>
    <row r="596" spans="15:21">
      <c r="O596" s="4"/>
      <c r="P596" s="4"/>
      <c r="Q596" s="4"/>
      <c r="R596" s="4"/>
      <c r="S596" s="4"/>
      <c r="T596" s="4"/>
      <c r="U596" s="4"/>
    </row>
    <row r="597" spans="15:21">
      <c r="O597" s="4"/>
      <c r="P597" s="4"/>
      <c r="Q597" s="4"/>
      <c r="R597" s="4"/>
      <c r="S597" s="4"/>
      <c r="T597" s="4"/>
      <c r="U597" s="4"/>
    </row>
    <row r="598" spans="15:21">
      <c r="O598" s="4"/>
      <c r="P598" s="4"/>
      <c r="Q598" s="4"/>
      <c r="R598" s="4"/>
      <c r="S598" s="4"/>
      <c r="T598" s="4"/>
      <c r="U598" s="4"/>
    </row>
    <row r="599" spans="15:21">
      <c r="O599" s="4"/>
      <c r="P599" s="4"/>
      <c r="Q599" s="4"/>
      <c r="R599" s="4"/>
      <c r="S599" s="4"/>
      <c r="T599" s="4"/>
      <c r="U599" s="4"/>
    </row>
    <row r="600" spans="15:21">
      <c r="O600" s="4"/>
      <c r="P600" s="4"/>
      <c r="Q600" s="4"/>
      <c r="R600" s="4"/>
      <c r="S600" s="4"/>
      <c r="T600" s="4"/>
      <c r="U600" s="4"/>
    </row>
    <row r="601" spans="15:21">
      <c r="O601" s="4"/>
      <c r="P601" s="4"/>
      <c r="Q601" s="4"/>
      <c r="R601" s="4"/>
      <c r="S601" s="4"/>
      <c r="T601" s="4"/>
      <c r="U601" s="4"/>
    </row>
    <row r="602" spans="15:21">
      <c r="O602" s="4"/>
      <c r="P602" s="4"/>
      <c r="Q602" s="4"/>
      <c r="R602" s="4"/>
      <c r="S602" s="4"/>
      <c r="T602" s="4"/>
      <c r="U602" s="4"/>
    </row>
    <row r="603" spans="15:21">
      <c r="O603" s="4"/>
      <c r="P603" s="4"/>
      <c r="Q603" s="4"/>
      <c r="R603" s="4"/>
      <c r="S603" s="4"/>
      <c r="T603" s="4"/>
      <c r="U603" s="4"/>
    </row>
    <row r="604" spans="15:21">
      <c r="O604" s="4"/>
      <c r="P604" s="4"/>
      <c r="Q604" s="4"/>
      <c r="R604" s="4"/>
      <c r="S604" s="4"/>
      <c r="T604" s="4"/>
      <c r="U604" s="4"/>
    </row>
    <row r="605" spans="15:21">
      <c r="O605" s="4"/>
      <c r="P605" s="4"/>
      <c r="Q605" s="4"/>
      <c r="R605" s="4"/>
      <c r="S605" s="4"/>
      <c r="T605" s="4"/>
      <c r="U605" s="4"/>
    </row>
    <row r="606" spans="15:21">
      <c r="O606" s="4"/>
      <c r="P606" s="4"/>
      <c r="Q606" s="4"/>
      <c r="R606" s="4"/>
      <c r="S606" s="4"/>
      <c r="T606" s="4"/>
      <c r="U606" s="4"/>
    </row>
    <row r="607" spans="15:21">
      <c r="O607" s="4"/>
      <c r="P607" s="4"/>
      <c r="Q607" s="4"/>
      <c r="R607" s="4"/>
      <c r="S607" s="4"/>
      <c r="T607" s="4"/>
      <c r="U607" s="4"/>
    </row>
    <row r="608" spans="15:21">
      <c r="O608" s="4"/>
      <c r="P608" s="4"/>
      <c r="Q608" s="4"/>
      <c r="R608" s="4"/>
      <c r="S608" s="4"/>
      <c r="T608" s="4"/>
      <c r="U608" s="4"/>
    </row>
    <row r="609" spans="15:21">
      <c r="O609" s="4"/>
      <c r="P609" s="4"/>
      <c r="Q609" s="4"/>
      <c r="R609" s="4"/>
      <c r="S609" s="4"/>
      <c r="T609" s="4"/>
      <c r="U609" s="4"/>
    </row>
    <row r="610" spans="15:21">
      <c r="O610" s="4"/>
      <c r="P610" s="4"/>
      <c r="Q610" s="4"/>
      <c r="R610" s="4"/>
      <c r="S610" s="4"/>
      <c r="T610" s="4"/>
      <c r="U610" s="4"/>
    </row>
    <row r="611" spans="15:21">
      <c r="O611" s="4"/>
      <c r="P611" s="4"/>
      <c r="Q611" s="4"/>
      <c r="R611" s="4"/>
      <c r="S611" s="4"/>
      <c r="T611" s="4"/>
      <c r="U611" s="4"/>
    </row>
    <row r="612" spans="15:21">
      <c r="O612" s="4"/>
      <c r="P612" s="4"/>
      <c r="Q612" s="4"/>
      <c r="R612" s="4"/>
      <c r="S612" s="4"/>
      <c r="T612" s="4"/>
      <c r="U612" s="4"/>
    </row>
    <row r="613" spans="15:21">
      <c r="O613" s="4"/>
      <c r="P613" s="4"/>
      <c r="Q613" s="4"/>
      <c r="R613" s="4"/>
      <c r="S613" s="4"/>
      <c r="T613" s="4"/>
      <c r="U613" s="4"/>
    </row>
    <row r="614" spans="15:21">
      <c r="O614" s="4"/>
      <c r="P614" s="4"/>
      <c r="Q614" s="4"/>
      <c r="R614" s="4"/>
      <c r="S614" s="4"/>
      <c r="T614" s="4"/>
      <c r="U614" s="4"/>
    </row>
    <row r="615" spans="15:21">
      <c r="O615" s="4"/>
      <c r="P615" s="4"/>
      <c r="Q615" s="4"/>
      <c r="R615" s="4"/>
      <c r="S615" s="4"/>
      <c r="T615" s="4"/>
      <c r="U615" s="4"/>
    </row>
    <row r="616" spans="15:21">
      <c r="O616" s="4"/>
      <c r="P616" s="4"/>
      <c r="Q616" s="4"/>
      <c r="R616" s="4"/>
      <c r="S616" s="4"/>
      <c r="T616" s="4"/>
      <c r="U616" s="4"/>
    </row>
    <row r="617" spans="15:21">
      <c r="O617" s="4"/>
      <c r="P617" s="4"/>
      <c r="Q617" s="4"/>
      <c r="R617" s="4"/>
      <c r="S617" s="4"/>
      <c r="T617" s="4"/>
      <c r="U617" s="4"/>
    </row>
    <row r="618" spans="15:21">
      <c r="O618" s="4"/>
      <c r="P618" s="4"/>
      <c r="Q618" s="4"/>
      <c r="R618" s="4"/>
      <c r="S618" s="4"/>
      <c r="T618" s="4"/>
      <c r="U618" s="4"/>
    </row>
    <row r="619" spans="15:21">
      <c r="O619" s="4"/>
      <c r="P619" s="4"/>
      <c r="Q619" s="4"/>
      <c r="R619" s="4"/>
      <c r="S619" s="4"/>
      <c r="T619" s="4"/>
      <c r="U619" s="4"/>
    </row>
    <row r="620" spans="15:21">
      <c r="O620" s="4"/>
      <c r="P620" s="4"/>
      <c r="Q620" s="4"/>
      <c r="R620" s="4"/>
      <c r="S620" s="4"/>
      <c r="T620" s="4"/>
      <c r="U620" s="4"/>
    </row>
    <row r="621" spans="15:21">
      <c r="O621" s="4"/>
      <c r="P621" s="4"/>
      <c r="Q621" s="4"/>
      <c r="R621" s="4"/>
      <c r="S621" s="4"/>
      <c r="T621" s="4"/>
      <c r="U621" s="4"/>
    </row>
    <row r="622" spans="15:21">
      <c r="O622" s="4"/>
      <c r="P622" s="4"/>
      <c r="Q622" s="4"/>
      <c r="R622" s="4"/>
      <c r="S622" s="4"/>
      <c r="T622" s="4"/>
      <c r="U622" s="4"/>
    </row>
    <row r="623" spans="15:21">
      <c r="O623" s="4"/>
      <c r="P623" s="4"/>
      <c r="Q623" s="4"/>
      <c r="R623" s="4"/>
      <c r="S623" s="4"/>
      <c r="T623" s="4"/>
      <c r="U623" s="4"/>
    </row>
    <row r="624" spans="15:21">
      <c r="O624" s="4"/>
      <c r="P624" s="4"/>
      <c r="Q624" s="4"/>
      <c r="R624" s="4"/>
      <c r="S624" s="4"/>
      <c r="T624" s="4"/>
      <c r="U624" s="4"/>
    </row>
    <row r="625" spans="15:21">
      <c r="O625" s="4"/>
      <c r="P625" s="4"/>
      <c r="Q625" s="4"/>
      <c r="R625" s="4"/>
      <c r="S625" s="4"/>
      <c r="T625" s="4"/>
      <c r="U625" s="4"/>
    </row>
    <row r="626" spans="15:21">
      <c r="O626" s="4"/>
      <c r="P626" s="4"/>
      <c r="Q626" s="4"/>
      <c r="R626" s="4"/>
      <c r="S626" s="4"/>
      <c r="T626" s="4"/>
      <c r="U626" s="4"/>
    </row>
    <row r="627" spans="15:21">
      <c r="O627" s="4"/>
      <c r="P627" s="4"/>
      <c r="Q627" s="4"/>
      <c r="R627" s="4"/>
      <c r="S627" s="4"/>
      <c r="T627" s="4"/>
      <c r="U627" s="4"/>
    </row>
    <row r="628" spans="15:21">
      <c r="O628" s="4"/>
      <c r="P628" s="4"/>
      <c r="Q628" s="4"/>
      <c r="R628" s="4"/>
      <c r="S628" s="4"/>
      <c r="T628" s="4"/>
      <c r="U628" s="4"/>
    </row>
    <row r="629" spans="15:21">
      <c r="O629" s="4"/>
      <c r="P629" s="4"/>
      <c r="Q629" s="4"/>
      <c r="R629" s="4"/>
      <c r="S629" s="4"/>
      <c r="T629" s="4"/>
      <c r="U629" s="4"/>
    </row>
    <row r="630" spans="15:21">
      <c r="O630" s="4"/>
      <c r="P630" s="4"/>
      <c r="Q630" s="4"/>
      <c r="R630" s="4"/>
      <c r="S630" s="4"/>
      <c r="T630" s="4"/>
      <c r="U630" s="4"/>
    </row>
    <row r="631" spans="15:21">
      <c r="O631" s="4"/>
      <c r="P631" s="4"/>
      <c r="Q631" s="4"/>
      <c r="R631" s="4"/>
      <c r="S631" s="4"/>
      <c r="T631" s="4"/>
      <c r="U631" s="4"/>
    </row>
    <row r="632" spans="15:21">
      <c r="O632" s="4"/>
      <c r="P632" s="4"/>
      <c r="Q632" s="4"/>
      <c r="R632" s="4"/>
      <c r="S632" s="4"/>
      <c r="T632" s="4"/>
      <c r="U632" s="4"/>
    </row>
    <row r="633" spans="15:21">
      <c r="O633" s="4"/>
      <c r="P633" s="4"/>
      <c r="Q633" s="4"/>
      <c r="R633" s="4"/>
      <c r="S633" s="4"/>
      <c r="T633" s="4"/>
      <c r="U633" s="4"/>
    </row>
    <row r="634" spans="15:21">
      <c r="O634" s="4"/>
      <c r="P634" s="4"/>
      <c r="Q634" s="4"/>
      <c r="R634" s="4"/>
      <c r="S634" s="4"/>
      <c r="T634" s="4"/>
      <c r="U634" s="4"/>
    </row>
    <row r="635" spans="15:21">
      <c r="O635" s="4"/>
      <c r="P635" s="4"/>
      <c r="Q635" s="4"/>
      <c r="R635" s="4"/>
      <c r="S635" s="4"/>
      <c r="T635" s="4"/>
      <c r="U635" s="4"/>
    </row>
    <row r="636" spans="15:21">
      <c r="O636" s="4"/>
      <c r="P636" s="4"/>
      <c r="Q636" s="4"/>
      <c r="R636" s="4"/>
      <c r="S636" s="4"/>
      <c r="T636" s="4"/>
      <c r="U636" s="4"/>
    </row>
    <row r="637" spans="15:21">
      <c r="O637" s="4"/>
      <c r="P637" s="4"/>
      <c r="Q637" s="4"/>
      <c r="R637" s="4"/>
      <c r="S637" s="4"/>
      <c r="T637" s="4"/>
      <c r="U637" s="4"/>
    </row>
    <row r="638" spans="15:21">
      <c r="O638" s="4"/>
      <c r="P638" s="4"/>
      <c r="Q638" s="4"/>
      <c r="R638" s="4"/>
      <c r="S638" s="4"/>
      <c r="T638" s="4"/>
      <c r="U638" s="4"/>
    </row>
    <row r="639" spans="15:21">
      <c r="O639" s="4"/>
      <c r="P639" s="4"/>
      <c r="Q639" s="4"/>
      <c r="R639" s="4"/>
      <c r="S639" s="4"/>
      <c r="T639" s="4"/>
      <c r="U639" s="4"/>
    </row>
    <row r="640" spans="15:21">
      <c r="O640" s="4"/>
      <c r="P640" s="4"/>
      <c r="Q640" s="4"/>
      <c r="R640" s="4"/>
      <c r="S640" s="4"/>
      <c r="T640" s="4"/>
      <c r="U640" s="4"/>
    </row>
    <row r="641" spans="15:21">
      <c r="O641" s="4"/>
      <c r="P641" s="4"/>
      <c r="Q641" s="4"/>
      <c r="R641" s="4"/>
      <c r="S641" s="4"/>
      <c r="T641" s="4"/>
      <c r="U641" s="4"/>
    </row>
    <row r="642" spans="15:21">
      <c r="O642" s="4"/>
      <c r="P642" s="4"/>
      <c r="Q642" s="4"/>
      <c r="R642" s="4"/>
      <c r="S642" s="4"/>
      <c r="T642" s="4"/>
      <c r="U642" s="4"/>
    </row>
    <row r="643" spans="15:21">
      <c r="O643" s="4"/>
      <c r="P643" s="4"/>
      <c r="Q643" s="4"/>
      <c r="R643" s="4"/>
      <c r="S643" s="4"/>
      <c r="T643" s="4"/>
      <c r="U643" s="4"/>
    </row>
    <row r="644" spans="15:21">
      <c r="O644" s="4"/>
      <c r="P644" s="4"/>
      <c r="Q644" s="4"/>
      <c r="R644" s="4"/>
      <c r="S644" s="4"/>
      <c r="T644" s="4"/>
      <c r="U644" s="4"/>
    </row>
    <row r="645" spans="15:21">
      <c r="O645" s="4"/>
      <c r="P645" s="4"/>
      <c r="Q645" s="4"/>
      <c r="R645" s="4"/>
      <c r="S645" s="4"/>
      <c r="T645" s="4"/>
      <c r="U645" s="4"/>
    </row>
    <row r="646" spans="15:21">
      <c r="O646" s="4"/>
      <c r="P646" s="4"/>
      <c r="Q646" s="4"/>
      <c r="R646" s="4"/>
      <c r="S646" s="4"/>
      <c r="T646" s="4"/>
      <c r="U646" s="4"/>
    </row>
    <row r="647" spans="15:21">
      <c r="O647" s="4"/>
      <c r="P647" s="4"/>
      <c r="Q647" s="4"/>
      <c r="R647" s="4"/>
      <c r="S647" s="4"/>
      <c r="T647" s="4"/>
      <c r="U647" s="4"/>
    </row>
    <row r="648" spans="15:21">
      <c r="O648" s="4"/>
      <c r="P648" s="4"/>
      <c r="Q648" s="4"/>
      <c r="R648" s="4"/>
      <c r="S648" s="4"/>
      <c r="T648" s="4"/>
      <c r="U648" s="4"/>
    </row>
    <row r="649" spans="15:21">
      <c r="O649" s="4"/>
      <c r="P649" s="4"/>
      <c r="Q649" s="4"/>
      <c r="R649" s="4"/>
      <c r="S649" s="4"/>
      <c r="T649" s="4"/>
      <c r="U649" s="4"/>
    </row>
    <row r="650" spans="15:21">
      <c r="O650" s="4"/>
      <c r="P650" s="4"/>
      <c r="Q650" s="4"/>
      <c r="R650" s="4"/>
      <c r="S650" s="4"/>
      <c r="T650" s="4"/>
      <c r="U650" s="4"/>
    </row>
    <row r="651" spans="15:21">
      <c r="O651" s="4"/>
      <c r="P651" s="4"/>
      <c r="Q651" s="4"/>
      <c r="R651" s="4"/>
      <c r="S651" s="4"/>
      <c r="T651" s="4"/>
      <c r="U651" s="4"/>
    </row>
    <row r="652" spans="15:21">
      <c r="O652" s="4"/>
      <c r="P652" s="4"/>
      <c r="Q652" s="4"/>
      <c r="R652" s="4"/>
      <c r="S652" s="4"/>
      <c r="T652" s="4"/>
      <c r="U652" s="4"/>
    </row>
    <row r="653" spans="15:21">
      <c r="O653" s="4"/>
      <c r="P653" s="4"/>
      <c r="Q653" s="4"/>
      <c r="R653" s="4"/>
      <c r="S653" s="4"/>
      <c r="T653" s="4"/>
      <c r="U653" s="4"/>
    </row>
    <row r="654" spans="15:21">
      <c r="O654" s="4"/>
      <c r="P654" s="4"/>
      <c r="Q654" s="4"/>
      <c r="R654" s="4"/>
      <c r="S654" s="4"/>
      <c r="T654" s="4"/>
      <c r="U654" s="4"/>
    </row>
    <row r="655" spans="15:21">
      <c r="O655" s="4"/>
      <c r="P655" s="4"/>
      <c r="Q655" s="4"/>
      <c r="R655" s="4"/>
      <c r="S655" s="4"/>
      <c r="T655" s="4"/>
      <c r="U655" s="4"/>
    </row>
    <row r="656" spans="15:21">
      <c r="O656" s="4"/>
      <c r="P656" s="4"/>
      <c r="Q656" s="4"/>
      <c r="R656" s="4"/>
      <c r="S656" s="4"/>
      <c r="T656" s="4"/>
      <c r="U656" s="4"/>
    </row>
    <row r="657" spans="15:21">
      <c r="O657" s="4"/>
      <c r="P657" s="4"/>
      <c r="Q657" s="4"/>
      <c r="R657" s="4"/>
      <c r="S657" s="4"/>
      <c r="T657" s="4"/>
      <c r="U657" s="4"/>
    </row>
    <row r="658" spans="15:21">
      <c r="O658" s="4"/>
      <c r="P658" s="4"/>
      <c r="Q658" s="4"/>
      <c r="R658" s="4"/>
      <c r="S658" s="4"/>
      <c r="T658" s="4"/>
      <c r="U658" s="4"/>
    </row>
    <row r="659" spans="15:21">
      <c r="O659" s="4"/>
      <c r="P659" s="4"/>
      <c r="Q659" s="4"/>
      <c r="R659" s="4"/>
      <c r="S659" s="4"/>
      <c r="T659" s="4"/>
      <c r="U659" s="4"/>
    </row>
    <row r="660" spans="15:21">
      <c r="O660" s="4"/>
      <c r="P660" s="4"/>
      <c r="Q660" s="4"/>
      <c r="R660" s="4"/>
      <c r="S660" s="4"/>
      <c r="T660" s="4"/>
      <c r="U660" s="4"/>
    </row>
    <row r="661" spans="15:21">
      <c r="O661" s="4"/>
      <c r="P661" s="4"/>
      <c r="Q661" s="4"/>
      <c r="R661" s="4"/>
      <c r="S661" s="4"/>
      <c r="T661" s="4"/>
      <c r="U661" s="4"/>
    </row>
    <row r="662" spans="15:21">
      <c r="O662" s="4"/>
      <c r="P662" s="4"/>
      <c r="Q662" s="4"/>
      <c r="R662" s="4"/>
      <c r="S662" s="4"/>
      <c r="T662" s="4"/>
      <c r="U662" s="4"/>
    </row>
    <row r="663" spans="15:21">
      <c r="O663" s="4"/>
      <c r="P663" s="4"/>
      <c r="Q663" s="4"/>
      <c r="R663" s="4"/>
      <c r="S663" s="4"/>
      <c r="T663" s="4"/>
      <c r="U663" s="4"/>
    </row>
    <row r="664" spans="15:21">
      <c r="O664" s="4"/>
      <c r="P664" s="4"/>
      <c r="Q664" s="4"/>
      <c r="R664" s="4"/>
      <c r="S664" s="4"/>
      <c r="T664" s="4"/>
      <c r="U664" s="4"/>
    </row>
    <row r="665" spans="15:21">
      <c r="O665" s="4"/>
      <c r="P665" s="4"/>
      <c r="Q665" s="4"/>
      <c r="R665" s="4"/>
      <c r="S665" s="4"/>
      <c r="T665" s="4"/>
      <c r="U665" s="4"/>
    </row>
    <row r="666" spans="15:21">
      <c r="O666" s="4"/>
      <c r="P666" s="4"/>
      <c r="Q666" s="4"/>
      <c r="R666" s="4"/>
      <c r="S666" s="4"/>
      <c r="T666" s="4"/>
      <c r="U666" s="4"/>
    </row>
    <row r="667" spans="15:21">
      <c r="O667" s="4"/>
      <c r="P667" s="4"/>
      <c r="Q667" s="4"/>
      <c r="R667" s="4"/>
      <c r="S667" s="4"/>
      <c r="T667" s="4"/>
      <c r="U667" s="4"/>
    </row>
    <row r="668" spans="15:21">
      <c r="O668" s="4"/>
      <c r="P668" s="4"/>
      <c r="Q668" s="4"/>
      <c r="R668" s="4"/>
      <c r="S668" s="4"/>
      <c r="T668" s="4"/>
      <c r="U668" s="4"/>
    </row>
    <row r="669" spans="15:21">
      <c r="O669" s="4"/>
      <c r="P669" s="4"/>
      <c r="Q669" s="4"/>
      <c r="R669" s="4"/>
      <c r="S669" s="4"/>
      <c r="T669" s="4"/>
      <c r="U669" s="4"/>
    </row>
    <row r="670" spans="15:21">
      <c r="O670" s="4"/>
      <c r="P670" s="4"/>
      <c r="Q670" s="4"/>
      <c r="R670" s="4"/>
      <c r="S670" s="4"/>
      <c r="T670" s="4"/>
      <c r="U670" s="4"/>
    </row>
    <row r="671" spans="15:21">
      <c r="O671" s="4"/>
      <c r="P671" s="4"/>
      <c r="Q671" s="4"/>
      <c r="R671" s="4"/>
      <c r="S671" s="4"/>
      <c r="T671" s="4"/>
      <c r="U671" s="4"/>
    </row>
    <row r="672" spans="15:21">
      <c r="O672" s="4"/>
      <c r="P672" s="4"/>
      <c r="Q672" s="4"/>
      <c r="R672" s="4"/>
      <c r="S672" s="4"/>
      <c r="T672" s="4"/>
      <c r="U672" s="4"/>
    </row>
    <row r="673" spans="15:21">
      <c r="O673" s="4"/>
      <c r="P673" s="4"/>
      <c r="Q673" s="4"/>
      <c r="R673" s="4"/>
      <c r="S673" s="4"/>
      <c r="T673" s="4"/>
      <c r="U673" s="4"/>
    </row>
    <row r="674" spans="15:21">
      <c r="O674" s="4"/>
      <c r="P674" s="4"/>
      <c r="Q674" s="4"/>
      <c r="R674" s="4"/>
      <c r="S674" s="4"/>
      <c r="T674" s="4"/>
      <c r="U674" s="4"/>
    </row>
    <row r="675" spans="15:21">
      <c r="O675" s="4"/>
      <c r="P675" s="4"/>
      <c r="Q675" s="4"/>
      <c r="R675" s="4"/>
      <c r="S675" s="4"/>
      <c r="T675" s="4"/>
      <c r="U675" s="4"/>
    </row>
    <row r="676" spans="15:21">
      <c r="O676" s="4"/>
      <c r="P676" s="4"/>
      <c r="Q676" s="4"/>
      <c r="R676" s="4"/>
      <c r="S676" s="4"/>
      <c r="T676" s="4"/>
      <c r="U676" s="4"/>
    </row>
    <row r="677" spans="15:21">
      <c r="O677" s="4"/>
      <c r="P677" s="4"/>
      <c r="Q677" s="4"/>
      <c r="R677" s="4"/>
      <c r="S677" s="4"/>
      <c r="T677" s="4"/>
      <c r="U677" s="4"/>
    </row>
    <row r="678" spans="15:21">
      <c r="O678" s="4"/>
      <c r="P678" s="4"/>
      <c r="Q678" s="4"/>
      <c r="R678" s="4"/>
      <c r="S678" s="4"/>
      <c r="T678" s="4"/>
      <c r="U678" s="4"/>
    </row>
    <row r="679" spans="15:21">
      <c r="O679" s="4"/>
      <c r="P679" s="4"/>
      <c r="Q679" s="4"/>
      <c r="R679" s="4"/>
      <c r="S679" s="4"/>
      <c r="T679" s="4"/>
      <c r="U679" s="4"/>
    </row>
    <row r="680" spans="15:21">
      <c r="O680" s="4"/>
      <c r="P680" s="4"/>
      <c r="Q680" s="4"/>
      <c r="R680" s="4"/>
      <c r="S680" s="4"/>
      <c r="T680" s="4"/>
      <c r="U680" s="4"/>
    </row>
    <row r="681" spans="15:21">
      <c r="O681" s="4"/>
      <c r="P681" s="4"/>
      <c r="Q681" s="4"/>
      <c r="R681" s="4"/>
      <c r="S681" s="4"/>
      <c r="T681" s="4"/>
      <c r="U681" s="4"/>
    </row>
    <row r="682" spans="15:21">
      <c r="O682" s="4"/>
      <c r="P682" s="4"/>
      <c r="Q682" s="4"/>
      <c r="R682" s="4"/>
      <c r="S682" s="4"/>
      <c r="T682" s="4"/>
      <c r="U682" s="4"/>
    </row>
    <row r="683" spans="15:21">
      <c r="O683" s="4"/>
      <c r="P683" s="4"/>
      <c r="Q683" s="4"/>
      <c r="R683" s="4"/>
      <c r="S683" s="4"/>
      <c r="T683" s="4"/>
      <c r="U683" s="4"/>
    </row>
    <row r="684" spans="15:21">
      <c r="O684" s="4"/>
      <c r="P684" s="4"/>
      <c r="Q684" s="4"/>
      <c r="R684" s="4"/>
      <c r="S684" s="4"/>
      <c r="T684" s="4"/>
      <c r="U684" s="4"/>
    </row>
    <row r="685" spans="15:21">
      <c r="O685" s="4"/>
      <c r="P685" s="4"/>
      <c r="Q685" s="4"/>
      <c r="R685" s="4"/>
      <c r="S685" s="4"/>
      <c r="T685" s="4"/>
      <c r="U685" s="4"/>
    </row>
    <row r="686" spans="15:21">
      <c r="O686" s="4"/>
      <c r="P686" s="4"/>
      <c r="Q686" s="4"/>
      <c r="R686" s="4"/>
      <c r="S686" s="4"/>
      <c r="T686" s="4"/>
      <c r="U686" s="4"/>
    </row>
    <row r="687" spans="15:21">
      <c r="O687" s="4"/>
      <c r="P687" s="4"/>
      <c r="Q687" s="4"/>
      <c r="R687" s="4"/>
      <c r="S687" s="4"/>
      <c r="T687" s="4"/>
      <c r="U687" s="4"/>
    </row>
    <row r="688" spans="15:21">
      <c r="O688" s="4"/>
      <c r="P688" s="4"/>
      <c r="Q688" s="4"/>
      <c r="R688" s="4"/>
      <c r="S688" s="4"/>
      <c r="T688" s="4"/>
      <c r="U688" s="4"/>
    </row>
    <row r="689" spans="15:21">
      <c r="O689" s="4"/>
      <c r="P689" s="4"/>
      <c r="Q689" s="4"/>
      <c r="R689" s="4"/>
      <c r="S689" s="4"/>
      <c r="T689" s="4"/>
      <c r="U689" s="4"/>
    </row>
    <row r="690" spans="15:21">
      <c r="O690" s="4"/>
      <c r="P690" s="4"/>
      <c r="Q690" s="4"/>
      <c r="R690" s="4"/>
      <c r="S690" s="4"/>
      <c r="T690" s="4"/>
      <c r="U690" s="4"/>
    </row>
    <row r="691" spans="15:21">
      <c r="O691" s="4"/>
      <c r="P691" s="4"/>
      <c r="Q691" s="4"/>
      <c r="R691" s="4"/>
      <c r="S691" s="4"/>
      <c r="T691" s="4"/>
      <c r="U691" s="4"/>
    </row>
    <row r="692" spans="15:21">
      <c r="O692" s="4"/>
      <c r="P692" s="4"/>
      <c r="Q692" s="4"/>
      <c r="R692" s="4"/>
      <c r="S692" s="4"/>
      <c r="T692" s="4"/>
      <c r="U692" s="4"/>
    </row>
    <row r="693" spans="15:21">
      <c r="O693" s="4"/>
      <c r="P693" s="4"/>
      <c r="Q693" s="4"/>
      <c r="R693" s="4"/>
      <c r="S693" s="4"/>
      <c r="T693" s="4"/>
      <c r="U693" s="4"/>
    </row>
    <row r="694" spans="15:21">
      <c r="O694" s="4"/>
      <c r="P694" s="4"/>
      <c r="Q694" s="4"/>
      <c r="R694" s="4"/>
      <c r="S694" s="4"/>
      <c r="T694" s="4"/>
      <c r="U694" s="4"/>
    </row>
    <row r="695" spans="15:21">
      <c r="O695" s="4"/>
      <c r="P695" s="4"/>
      <c r="Q695" s="4"/>
      <c r="R695" s="4"/>
      <c r="S695" s="4"/>
      <c r="T695" s="4"/>
      <c r="U695" s="4"/>
    </row>
    <row r="696" spans="15:21">
      <c r="O696" s="4"/>
      <c r="P696" s="4"/>
      <c r="Q696" s="4"/>
      <c r="R696" s="4"/>
      <c r="S696" s="4"/>
      <c r="T696" s="4"/>
      <c r="U696" s="4"/>
    </row>
    <row r="697" spans="15:21">
      <c r="O697" s="4"/>
      <c r="P697" s="4"/>
      <c r="Q697" s="4"/>
      <c r="R697" s="4"/>
      <c r="S697" s="4"/>
      <c r="T697" s="4"/>
      <c r="U697" s="4"/>
    </row>
    <row r="698" spans="15:21">
      <c r="O698" s="4"/>
      <c r="P698" s="4"/>
      <c r="Q698" s="4"/>
      <c r="R698" s="4"/>
      <c r="S698" s="4"/>
      <c r="T698" s="4"/>
      <c r="U698" s="4"/>
    </row>
    <row r="699" spans="15:21">
      <c r="O699" s="4"/>
      <c r="P699" s="4"/>
      <c r="Q699" s="4"/>
      <c r="R699" s="4"/>
      <c r="S699" s="4"/>
      <c r="T699" s="4"/>
      <c r="U699" s="4"/>
    </row>
    <row r="700" spans="15:21">
      <c r="O700" s="4"/>
      <c r="P700" s="4"/>
      <c r="Q700" s="4"/>
      <c r="R700" s="4"/>
      <c r="S700" s="4"/>
      <c r="T700" s="4"/>
      <c r="U700" s="4"/>
    </row>
    <row r="701" spans="15:21">
      <c r="O701" s="4"/>
      <c r="P701" s="4"/>
      <c r="Q701" s="4"/>
      <c r="R701" s="4"/>
      <c r="S701" s="4"/>
      <c r="T701" s="4"/>
      <c r="U701" s="4"/>
    </row>
    <row r="702" spans="15:21">
      <c r="O702" s="4"/>
      <c r="P702" s="4"/>
      <c r="Q702" s="4"/>
      <c r="R702" s="4"/>
      <c r="S702" s="4"/>
      <c r="T702" s="4"/>
      <c r="U702" s="4"/>
    </row>
    <row r="703" spans="15:21">
      <c r="O703" s="4"/>
      <c r="P703" s="4"/>
      <c r="Q703" s="4"/>
      <c r="R703" s="4"/>
      <c r="S703" s="4"/>
      <c r="T703" s="4"/>
      <c r="U703" s="4"/>
    </row>
    <row r="704" spans="15:21">
      <c r="O704" s="4"/>
      <c r="P704" s="4"/>
      <c r="Q704" s="4"/>
      <c r="R704" s="4"/>
      <c r="S704" s="4"/>
      <c r="T704" s="4"/>
      <c r="U704" s="4"/>
    </row>
    <row r="705" spans="15:21">
      <c r="O705" s="4"/>
      <c r="P705" s="4"/>
      <c r="Q705" s="4"/>
      <c r="R705" s="4"/>
      <c r="S705" s="4"/>
      <c r="T705" s="4"/>
      <c r="U705" s="4"/>
    </row>
    <row r="706" spans="15:21">
      <c r="O706" s="4"/>
      <c r="P706" s="4"/>
      <c r="Q706" s="4"/>
      <c r="R706" s="4"/>
      <c r="S706" s="4"/>
      <c r="T706" s="4"/>
      <c r="U706" s="4"/>
    </row>
    <row r="707" spans="15:21">
      <c r="O707" s="4"/>
      <c r="P707" s="4"/>
      <c r="Q707" s="4"/>
      <c r="R707" s="4"/>
      <c r="S707" s="4"/>
      <c r="T707" s="4"/>
      <c r="U707" s="4"/>
    </row>
    <row r="708" spans="15:21">
      <c r="O708" s="4"/>
      <c r="P708" s="4"/>
      <c r="Q708" s="4"/>
      <c r="R708" s="4"/>
      <c r="S708" s="4"/>
      <c r="T708" s="4"/>
      <c r="U708" s="4"/>
    </row>
    <row r="709" spans="15:21">
      <c r="O709" s="4"/>
      <c r="P709" s="4"/>
      <c r="Q709" s="4"/>
      <c r="R709" s="4"/>
      <c r="S709" s="4"/>
      <c r="T709" s="4"/>
      <c r="U709" s="4"/>
    </row>
    <row r="710" spans="15:21">
      <c r="O710" s="4"/>
      <c r="P710" s="4"/>
      <c r="Q710" s="4"/>
      <c r="R710" s="4"/>
      <c r="S710" s="4"/>
      <c r="T710" s="4"/>
      <c r="U710" s="4"/>
    </row>
    <row r="711" spans="15:21">
      <c r="O711" s="4"/>
      <c r="P711" s="4"/>
      <c r="Q711" s="4"/>
      <c r="R711" s="4"/>
      <c r="S711" s="4"/>
      <c r="T711" s="4"/>
      <c r="U711" s="4"/>
    </row>
    <row r="712" spans="15:21">
      <c r="O712" s="4"/>
      <c r="P712" s="4"/>
      <c r="Q712" s="4"/>
      <c r="R712" s="4"/>
      <c r="S712" s="4"/>
      <c r="T712" s="4"/>
      <c r="U712" s="4"/>
    </row>
    <row r="713" spans="15:21">
      <c r="O713" s="4"/>
      <c r="P713" s="4"/>
      <c r="Q713" s="4"/>
      <c r="R713" s="4"/>
      <c r="S713" s="4"/>
      <c r="T713" s="4"/>
      <c r="U713" s="4"/>
    </row>
    <row r="714" spans="15:21">
      <c r="O714" s="4"/>
      <c r="P714" s="4"/>
      <c r="Q714" s="4"/>
      <c r="R714" s="4"/>
      <c r="S714" s="4"/>
      <c r="T714" s="4"/>
      <c r="U714" s="4"/>
    </row>
    <row r="715" spans="15:21">
      <c r="O715" s="4"/>
      <c r="P715" s="4"/>
      <c r="Q715" s="4"/>
      <c r="R715" s="4"/>
      <c r="S715" s="4"/>
      <c r="T715" s="4"/>
      <c r="U715" s="4"/>
    </row>
    <row r="716" spans="15:21">
      <c r="O716" s="4"/>
      <c r="P716" s="4"/>
      <c r="Q716" s="4"/>
      <c r="R716" s="4"/>
      <c r="S716" s="4"/>
      <c r="T716" s="4"/>
      <c r="U716" s="4"/>
    </row>
    <row r="717" spans="15:21">
      <c r="O717" s="4"/>
      <c r="P717" s="4"/>
      <c r="Q717" s="4"/>
      <c r="R717" s="4"/>
      <c r="S717" s="4"/>
      <c r="T717" s="4"/>
      <c r="U717" s="4"/>
    </row>
    <row r="718" spans="15:21">
      <c r="O718" s="4"/>
      <c r="P718" s="4"/>
      <c r="Q718" s="4"/>
      <c r="R718" s="4"/>
      <c r="S718" s="4"/>
      <c r="T718" s="4"/>
      <c r="U718" s="4"/>
    </row>
    <row r="719" spans="15:21">
      <c r="O719" s="4"/>
      <c r="P719" s="4"/>
      <c r="Q719" s="4"/>
      <c r="R719" s="4"/>
      <c r="S719" s="4"/>
      <c r="T719" s="4"/>
      <c r="U719" s="4"/>
    </row>
    <row r="720" spans="15:21">
      <c r="O720" s="4"/>
      <c r="P720" s="4"/>
      <c r="Q720" s="4"/>
      <c r="R720" s="4"/>
      <c r="S720" s="4"/>
      <c r="T720" s="4"/>
      <c r="U720" s="4"/>
    </row>
    <row r="721" spans="15:21">
      <c r="O721" s="4"/>
      <c r="P721" s="4"/>
      <c r="Q721" s="4"/>
      <c r="R721" s="4"/>
      <c r="S721" s="4"/>
      <c r="T721" s="4"/>
      <c r="U721" s="4"/>
    </row>
    <row r="722" spans="15:21">
      <c r="O722" s="4"/>
      <c r="P722" s="4"/>
      <c r="Q722" s="4"/>
      <c r="R722" s="4"/>
      <c r="S722" s="4"/>
      <c r="T722" s="4"/>
      <c r="U722" s="4"/>
    </row>
    <row r="723" spans="15:21">
      <c r="O723" s="4"/>
      <c r="P723" s="4"/>
      <c r="Q723" s="4"/>
      <c r="R723" s="4"/>
      <c r="S723" s="4"/>
      <c r="T723" s="4"/>
      <c r="U723" s="4"/>
    </row>
    <row r="724" spans="15:21">
      <c r="O724" s="4"/>
      <c r="P724" s="4"/>
      <c r="Q724" s="4"/>
      <c r="R724" s="4"/>
      <c r="S724" s="4"/>
      <c r="T724" s="4"/>
      <c r="U724" s="4"/>
    </row>
    <row r="725" spans="15:21">
      <c r="O725" s="4"/>
      <c r="P725" s="4"/>
      <c r="Q725" s="4"/>
      <c r="R725" s="4"/>
      <c r="S725" s="4"/>
      <c r="T725" s="4"/>
      <c r="U725" s="4"/>
    </row>
    <row r="726" spans="15:21">
      <c r="O726" s="4"/>
      <c r="P726" s="4"/>
      <c r="Q726" s="4"/>
      <c r="R726" s="4"/>
      <c r="S726" s="4"/>
      <c r="T726" s="4"/>
      <c r="U726" s="4"/>
    </row>
    <row r="727" spans="15:21">
      <c r="O727" s="4"/>
      <c r="P727" s="4"/>
      <c r="Q727" s="4"/>
      <c r="R727" s="4"/>
      <c r="S727" s="4"/>
      <c r="T727" s="4"/>
      <c r="U727" s="4"/>
    </row>
    <row r="728" spans="15:21">
      <c r="O728" s="4"/>
      <c r="P728" s="4"/>
      <c r="Q728" s="4"/>
      <c r="R728" s="4"/>
      <c r="S728" s="4"/>
      <c r="T728" s="4"/>
      <c r="U728" s="4"/>
    </row>
    <row r="729" spans="15:21">
      <c r="O729" s="4"/>
      <c r="P729" s="4"/>
      <c r="Q729" s="4"/>
      <c r="R729" s="4"/>
      <c r="S729" s="4"/>
      <c r="T729" s="4"/>
      <c r="U729" s="4"/>
    </row>
    <row r="730" spans="15:21">
      <c r="O730" s="4"/>
      <c r="P730" s="4"/>
      <c r="Q730" s="4"/>
      <c r="R730" s="4"/>
      <c r="S730" s="4"/>
      <c r="T730" s="4"/>
      <c r="U730" s="4"/>
    </row>
    <row r="731" spans="15:21">
      <c r="O731" s="4"/>
      <c r="P731" s="4"/>
      <c r="Q731" s="4"/>
      <c r="R731" s="4"/>
      <c r="S731" s="4"/>
      <c r="T731" s="4"/>
      <c r="U731" s="4"/>
    </row>
    <row r="732" spans="15:21">
      <c r="O732" s="4"/>
      <c r="P732" s="4"/>
      <c r="Q732" s="4"/>
      <c r="R732" s="4"/>
      <c r="S732" s="4"/>
      <c r="T732" s="4"/>
      <c r="U732" s="4"/>
    </row>
    <row r="733" spans="15:21">
      <c r="O733" s="4"/>
      <c r="P733" s="4"/>
      <c r="Q733" s="4"/>
      <c r="R733" s="4"/>
      <c r="S733" s="4"/>
      <c r="T733" s="4"/>
      <c r="U733" s="4"/>
    </row>
    <row r="734" spans="15:21">
      <c r="O734" s="4"/>
      <c r="P734" s="4"/>
      <c r="Q734" s="4"/>
      <c r="R734" s="4"/>
      <c r="S734" s="4"/>
      <c r="T734" s="4"/>
      <c r="U734" s="4"/>
    </row>
    <row r="735" spans="15:21">
      <c r="O735" s="4"/>
      <c r="P735" s="4"/>
      <c r="Q735" s="4"/>
      <c r="R735" s="4"/>
      <c r="S735" s="4"/>
      <c r="T735" s="4"/>
      <c r="U735" s="4"/>
    </row>
    <row r="736" spans="15:21">
      <c r="O736" s="4"/>
      <c r="P736" s="4"/>
      <c r="Q736" s="4"/>
      <c r="R736" s="4"/>
      <c r="S736" s="4"/>
      <c r="T736" s="4"/>
      <c r="U736" s="4"/>
    </row>
    <row r="737" spans="15:21">
      <c r="O737" s="4"/>
      <c r="P737" s="4"/>
      <c r="Q737" s="4"/>
      <c r="R737" s="4"/>
      <c r="S737" s="4"/>
      <c r="T737" s="4"/>
      <c r="U737" s="4"/>
    </row>
    <row r="738" spans="15:21">
      <c r="O738" s="4"/>
      <c r="P738" s="4"/>
      <c r="Q738" s="4"/>
      <c r="R738" s="4"/>
      <c r="S738" s="4"/>
      <c r="T738" s="4"/>
      <c r="U738" s="4"/>
    </row>
    <row r="739" spans="15:21">
      <c r="O739" s="4"/>
      <c r="P739" s="4"/>
      <c r="Q739" s="4"/>
      <c r="R739" s="4"/>
      <c r="S739" s="4"/>
      <c r="T739" s="4"/>
      <c r="U739" s="4"/>
    </row>
    <row r="740" spans="15:21">
      <c r="O740" s="4"/>
      <c r="P740" s="4"/>
      <c r="Q740" s="4"/>
      <c r="R740" s="4"/>
      <c r="S740" s="4"/>
      <c r="T740" s="4"/>
      <c r="U740" s="4"/>
    </row>
    <row r="741" spans="15:21">
      <c r="O741" s="4"/>
      <c r="P741" s="4"/>
      <c r="Q741" s="4"/>
      <c r="R741" s="4"/>
      <c r="S741" s="4"/>
      <c r="T741" s="4"/>
      <c r="U741" s="4"/>
    </row>
    <row r="742" spans="15:21">
      <c r="O742" s="4"/>
      <c r="P742" s="4"/>
      <c r="Q742" s="4"/>
      <c r="R742" s="4"/>
      <c r="S742" s="4"/>
      <c r="T742" s="4"/>
      <c r="U742" s="4"/>
    </row>
    <row r="743" spans="15:21">
      <c r="O743" s="4"/>
      <c r="P743" s="4"/>
      <c r="Q743" s="4"/>
      <c r="R743" s="4"/>
      <c r="S743" s="4"/>
      <c r="T743" s="4"/>
      <c r="U743" s="4"/>
    </row>
    <row r="744" spans="15:21">
      <c r="O744" s="4"/>
      <c r="P744" s="4"/>
      <c r="Q744" s="4"/>
      <c r="R744" s="4"/>
      <c r="S744" s="4"/>
      <c r="T744" s="4"/>
      <c r="U744" s="4"/>
    </row>
    <row r="745" spans="15:21">
      <c r="O745" s="4"/>
      <c r="P745" s="4"/>
      <c r="Q745" s="4"/>
      <c r="R745" s="4"/>
      <c r="S745" s="4"/>
      <c r="T745" s="4"/>
      <c r="U745" s="4"/>
    </row>
    <row r="746" spans="15:21">
      <c r="O746" s="4"/>
      <c r="P746" s="4"/>
      <c r="Q746" s="4"/>
      <c r="R746" s="4"/>
      <c r="S746" s="4"/>
      <c r="T746" s="4"/>
      <c r="U746" s="4"/>
    </row>
    <row r="747" spans="15:21">
      <c r="O747" s="4"/>
      <c r="P747" s="4"/>
      <c r="Q747" s="4"/>
      <c r="R747" s="4"/>
      <c r="S747" s="4"/>
      <c r="T747" s="4"/>
      <c r="U747" s="4"/>
    </row>
    <row r="748" spans="15:21">
      <c r="O748" s="4"/>
      <c r="P748" s="4"/>
      <c r="Q748" s="4"/>
      <c r="R748" s="4"/>
      <c r="S748" s="4"/>
      <c r="T748" s="4"/>
      <c r="U748" s="4"/>
    </row>
    <row r="749" spans="15:21">
      <c r="O749" s="4"/>
      <c r="P749" s="4"/>
      <c r="Q749" s="4"/>
      <c r="R749" s="4"/>
      <c r="S749" s="4"/>
      <c r="T749" s="4"/>
      <c r="U749" s="4"/>
    </row>
    <row r="750" spans="15:21">
      <c r="O750" s="4"/>
      <c r="P750" s="4"/>
      <c r="Q750" s="4"/>
      <c r="R750" s="4"/>
      <c r="S750" s="4"/>
      <c r="T750" s="4"/>
      <c r="U750" s="4"/>
    </row>
    <row r="751" spans="15:21">
      <c r="O751" s="4"/>
      <c r="P751" s="4"/>
      <c r="Q751" s="4"/>
      <c r="R751" s="4"/>
      <c r="S751" s="4"/>
      <c r="T751" s="4"/>
      <c r="U751" s="4"/>
    </row>
    <row r="752" spans="15:21">
      <c r="O752" s="4"/>
      <c r="P752" s="4"/>
      <c r="Q752" s="4"/>
      <c r="R752" s="4"/>
      <c r="S752" s="4"/>
      <c r="T752" s="4"/>
      <c r="U752" s="4"/>
    </row>
    <row r="753" spans="15:21">
      <c r="O753" s="4"/>
      <c r="P753" s="4"/>
      <c r="Q753" s="4"/>
      <c r="R753" s="4"/>
      <c r="S753" s="4"/>
      <c r="T753" s="4"/>
      <c r="U753" s="4"/>
    </row>
    <row r="754" spans="15:21">
      <c r="O754" s="4"/>
      <c r="P754" s="4"/>
      <c r="Q754" s="4"/>
      <c r="R754" s="4"/>
      <c r="S754" s="4"/>
      <c r="T754" s="4"/>
      <c r="U754" s="4"/>
    </row>
    <row r="755" spans="15:21">
      <c r="O755" s="4"/>
      <c r="P755" s="4"/>
      <c r="Q755" s="4"/>
      <c r="R755" s="4"/>
      <c r="S755" s="4"/>
      <c r="T755" s="4"/>
      <c r="U755" s="4"/>
    </row>
    <row r="756" spans="15:21">
      <c r="O756" s="4"/>
      <c r="P756" s="4"/>
      <c r="Q756" s="4"/>
      <c r="R756" s="4"/>
      <c r="S756" s="4"/>
      <c r="T756" s="4"/>
      <c r="U756" s="4"/>
    </row>
    <row r="757" spans="15:21">
      <c r="O757" s="4"/>
      <c r="P757" s="4"/>
      <c r="Q757" s="4"/>
      <c r="R757" s="4"/>
      <c r="S757" s="4"/>
      <c r="T757" s="4"/>
      <c r="U757" s="4"/>
    </row>
    <row r="758" spans="15:21">
      <c r="O758" s="4"/>
      <c r="P758" s="4"/>
      <c r="Q758" s="4"/>
      <c r="R758" s="4"/>
      <c r="S758" s="4"/>
      <c r="T758" s="4"/>
      <c r="U758" s="4"/>
    </row>
    <row r="759" spans="15:21">
      <c r="O759" s="4"/>
      <c r="P759" s="4"/>
      <c r="Q759" s="4"/>
      <c r="R759" s="4"/>
      <c r="S759" s="4"/>
      <c r="T759" s="4"/>
      <c r="U759" s="4"/>
    </row>
    <row r="760" spans="15:21">
      <c r="O760" s="4"/>
      <c r="P760" s="4"/>
      <c r="Q760" s="4"/>
      <c r="R760" s="4"/>
      <c r="S760" s="4"/>
      <c r="T760" s="4"/>
      <c r="U760" s="4"/>
    </row>
    <row r="761" spans="15:21">
      <c r="O761" s="4"/>
      <c r="P761" s="4"/>
      <c r="Q761" s="4"/>
      <c r="R761" s="4"/>
      <c r="S761" s="4"/>
      <c r="T761" s="4"/>
      <c r="U761" s="4"/>
    </row>
    <row r="762" spans="15:21">
      <c r="O762" s="4"/>
      <c r="P762" s="4"/>
      <c r="Q762" s="4"/>
      <c r="R762" s="4"/>
      <c r="S762" s="4"/>
      <c r="T762" s="4"/>
      <c r="U762" s="4"/>
    </row>
    <row r="763" spans="15:21">
      <c r="O763" s="4"/>
      <c r="P763" s="4"/>
      <c r="Q763" s="4"/>
      <c r="R763" s="4"/>
      <c r="S763" s="4"/>
      <c r="T763" s="4"/>
      <c r="U763" s="4"/>
    </row>
    <row r="764" spans="15:21">
      <c r="O764" s="4"/>
      <c r="P764" s="4"/>
      <c r="Q764" s="4"/>
      <c r="R764" s="4"/>
      <c r="S764" s="4"/>
      <c r="T764" s="4"/>
      <c r="U764" s="4"/>
    </row>
    <row r="765" spans="15:21">
      <c r="O765" s="4"/>
      <c r="P765" s="4"/>
      <c r="Q765" s="4"/>
      <c r="R765" s="4"/>
      <c r="S765" s="4"/>
      <c r="T765" s="4"/>
      <c r="U765" s="4"/>
    </row>
    <row r="766" spans="15:21">
      <c r="O766" s="4"/>
      <c r="P766" s="4"/>
      <c r="Q766" s="4"/>
      <c r="R766" s="4"/>
      <c r="S766" s="4"/>
      <c r="T766" s="4"/>
      <c r="U766" s="4"/>
    </row>
    <row r="767" spans="15:21">
      <c r="O767" s="4"/>
      <c r="P767" s="4"/>
      <c r="Q767" s="4"/>
      <c r="R767" s="4"/>
      <c r="S767" s="4"/>
      <c r="T767" s="4"/>
      <c r="U767" s="4"/>
    </row>
    <row r="768" spans="15:21">
      <c r="O768" s="4"/>
      <c r="P768" s="4"/>
      <c r="Q768" s="4"/>
      <c r="R768" s="4"/>
      <c r="S768" s="4"/>
      <c r="T768" s="4"/>
      <c r="U768" s="4"/>
    </row>
    <row r="769" spans="15:21">
      <c r="O769" s="4"/>
      <c r="P769" s="4"/>
      <c r="Q769" s="4"/>
      <c r="R769" s="4"/>
      <c r="S769" s="4"/>
      <c r="T769" s="4"/>
      <c r="U769" s="4"/>
    </row>
    <row r="770" spans="15:21">
      <c r="O770" s="4"/>
      <c r="P770" s="4"/>
      <c r="Q770" s="4"/>
      <c r="R770" s="4"/>
      <c r="S770" s="4"/>
      <c r="T770" s="4"/>
      <c r="U770" s="4"/>
    </row>
    <row r="771" spans="15:21">
      <c r="O771" s="4"/>
      <c r="P771" s="4"/>
      <c r="Q771" s="4"/>
      <c r="R771" s="4"/>
      <c r="S771" s="4"/>
      <c r="T771" s="4"/>
      <c r="U771" s="4"/>
    </row>
    <row r="772" spans="15:21">
      <c r="O772" s="4"/>
      <c r="P772" s="4"/>
      <c r="Q772" s="4"/>
      <c r="R772" s="4"/>
      <c r="S772" s="4"/>
      <c r="T772" s="4"/>
      <c r="U772" s="4"/>
    </row>
    <row r="773" spans="15:21">
      <c r="O773" s="4"/>
      <c r="P773" s="4"/>
      <c r="Q773" s="4"/>
      <c r="R773" s="4"/>
      <c r="S773" s="4"/>
      <c r="T773" s="4"/>
      <c r="U773" s="4"/>
    </row>
    <row r="774" spans="15:21">
      <c r="O774" s="4"/>
      <c r="P774" s="4"/>
      <c r="Q774" s="4"/>
      <c r="R774" s="4"/>
      <c r="S774" s="4"/>
      <c r="T774" s="4"/>
      <c r="U774" s="4"/>
    </row>
    <row r="775" spans="15:21">
      <c r="O775" s="4"/>
      <c r="P775" s="4"/>
      <c r="Q775" s="4"/>
      <c r="R775" s="4"/>
      <c r="S775" s="4"/>
      <c r="T775" s="4"/>
      <c r="U775" s="4"/>
    </row>
    <row r="776" spans="15:21">
      <c r="O776" s="4"/>
      <c r="P776" s="4"/>
      <c r="Q776" s="4"/>
      <c r="R776" s="4"/>
      <c r="S776" s="4"/>
      <c r="T776" s="4"/>
      <c r="U776" s="4"/>
    </row>
    <row r="777" spans="15:21">
      <c r="O777" s="4"/>
      <c r="P777" s="4"/>
      <c r="Q777" s="4"/>
      <c r="R777" s="4"/>
      <c r="S777" s="4"/>
      <c r="T777" s="4"/>
      <c r="U777" s="4"/>
    </row>
    <row r="778" spans="15:21">
      <c r="O778" s="4"/>
      <c r="P778" s="4"/>
      <c r="Q778" s="4"/>
      <c r="R778" s="4"/>
      <c r="S778" s="4"/>
      <c r="T778" s="4"/>
      <c r="U778" s="4"/>
    </row>
    <row r="779" spans="15:21">
      <c r="O779" s="4"/>
      <c r="P779" s="4"/>
      <c r="Q779" s="4"/>
      <c r="R779" s="4"/>
      <c r="S779" s="4"/>
      <c r="T779" s="4"/>
      <c r="U779" s="4"/>
    </row>
    <row r="780" spans="15:21">
      <c r="O780" s="4"/>
      <c r="P780" s="4"/>
      <c r="Q780" s="4"/>
      <c r="R780" s="4"/>
      <c r="S780" s="4"/>
      <c r="T780" s="4"/>
      <c r="U780" s="4"/>
    </row>
    <row r="781" spans="15:21">
      <c r="O781" s="4"/>
      <c r="P781" s="4"/>
      <c r="Q781" s="4"/>
      <c r="R781" s="4"/>
      <c r="S781" s="4"/>
      <c r="T781" s="4"/>
      <c r="U781" s="4"/>
    </row>
    <row r="782" spans="15:21">
      <c r="O782" s="4"/>
      <c r="P782" s="4"/>
      <c r="Q782" s="4"/>
      <c r="R782" s="4"/>
      <c r="S782" s="4"/>
      <c r="T782" s="4"/>
      <c r="U782" s="4"/>
    </row>
    <row r="783" spans="15:21">
      <c r="O783" s="4"/>
      <c r="P783" s="4"/>
      <c r="Q783" s="4"/>
      <c r="R783" s="4"/>
      <c r="S783" s="4"/>
      <c r="T783" s="4"/>
      <c r="U783" s="4"/>
    </row>
    <row r="784" spans="15:21">
      <c r="O784" s="4"/>
      <c r="P784" s="4"/>
      <c r="Q784" s="4"/>
      <c r="R784" s="4"/>
      <c r="S784" s="4"/>
      <c r="T784" s="4"/>
      <c r="U784" s="4"/>
    </row>
    <row r="785" spans="15:21">
      <c r="O785" s="4"/>
      <c r="P785" s="4"/>
      <c r="Q785" s="4"/>
      <c r="R785" s="4"/>
      <c r="S785" s="4"/>
      <c r="T785" s="4"/>
      <c r="U785" s="4"/>
    </row>
    <row r="786" spans="15:21">
      <c r="O786" s="4"/>
      <c r="P786" s="4"/>
      <c r="Q786" s="4"/>
      <c r="R786" s="4"/>
      <c r="S786" s="4"/>
      <c r="T786" s="4"/>
      <c r="U786" s="4"/>
    </row>
    <row r="787" spans="15:21">
      <c r="O787" s="4"/>
      <c r="P787" s="4"/>
      <c r="Q787" s="4"/>
      <c r="R787" s="4"/>
      <c r="S787" s="4"/>
      <c r="T787" s="4"/>
      <c r="U787" s="4"/>
    </row>
    <row r="788" spans="15:21">
      <c r="O788" s="4"/>
      <c r="P788" s="4"/>
      <c r="Q788" s="4"/>
      <c r="R788" s="4"/>
      <c r="S788" s="4"/>
      <c r="T788" s="4"/>
      <c r="U788" s="4"/>
    </row>
    <row r="789" spans="15:21">
      <c r="O789" s="4"/>
      <c r="P789" s="4"/>
      <c r="Q789" s="4"/>
      <c r="R789" s="4"/>
      <c r="S789" s="4"/>
      <c r="T789" s="4"/>
      <c r="U789" s="4"/>
    </row>
    <row r="790" spans="15:21">
      <c r="O790" s="4"/>
      <c r="P790" s="4"/>
      <c r="Q790" s="4"/>
      <c r="R790" s="4"/>
      <c r="S790" s="4"/>
      <c r="T790" s="4"/>
      <c r="U790" s="4"/>
    </row>
    <row r="791" spans="15:21">
      <c r="O791" s="4"/>
      <c r="P791" s="4"/>
      <c r="Q791" s="4"/>
      <c r="R791" s="4"/>
      <c r="S791" s="4"/>
      <c r="T791" s="4"/>
      <c r="U791" s="4"/>
    </row>
    <row r="792" spans="15:21">
      <c r="O792" s="4"/>
      <c r="P792" s="4"/>
      <c r="Q792" s="4"/>
      <c r="R792" s="4"/>
      <c r="S792" s="4"/>
      <c r="T792" s="4"/>
      <c r="U792" s="4"/>
    </row>
    <row r="793" spans="15:21">
      <c r="O793" s="4"/>
      <c r="P793" s="4"/>
      <c r="Q793" s="4"/>
      <c r="R793" s="4"/>
      <c r="S793" s="4"/>
      <c r="T793" s="4"/>
      <c r="U793" s="4"/>
    </row>
    <row r="794" spans="15:21">
      <c r="O794" s="4"/>
      <c r="P794" s="4"/>
      <c r="Q794" s="4"/>
      <c r="R794" s="4"/>
      <c r="S794" s="4"/>
      <c r="T794" s="4"/>
      <c r="U794" s="4"/>
    </row>
    <row r="795" spans="15:21">
      <c r="O795" s="4"/>
      <c r="P795" s="4"/>
      <c r="Q795" s="4"/>
      <c r="R795" s="4"/>
      <c r="S795" s="4"/>
      <c r="T795" s="4"/>
      <c r="U795" s="4"/>
    </row>
    <row r="796" spans="15:21">
      <c r="O796" s="4"/>
      <c r="P796" s="4"/>
      <c r="Q796" s="4"/>
      <c r="R796" s="4"/>
      <c r="S796" s="4"/>
      <c r="T796" s="4"/>
      <c r="U796" s="4"/>
    </row>
    <row r="797" spans="15:21">
      <c r="O797" s="4"/>
      <c r="P797" s="4"/>
      <c r="Q797" s="4"/>
      <c r="R797" s="4"/>
      <c r="S797" s="4"/>
      <c r="T797" s="4"/>
      <c r="U797" s="4"/>
    </row>
    <row r="798" spans="15:21">
      <c r="O798" s="4"/>
      <c r="P798" s="4"/>
      <c r="Q798" s="4"/>
      <c r="R798" s="4"/>
      <c r="S798" s="4"/>
      <c r="T798" s="4"/>
      <c r="U798" s="4"/>
    </row>
    <row r="799" spans="15:21">
      <c r="O799" s="4"/>
      <c r="P799" s="4"/>
      <c r="Q799" s="4"/>
      <c r="R799" s="4"/>
      <c r="S799" s="4"/>
      <c r="T799" s="4"/>
      <c r="U799" s="4"/>
    </row>
    <row r="800" spans="15:21">
      <c r="O800" s="4"/>
      <c r="P800" s="4"/>
      <c r="Q800" s="4"/>
      <c r="R800" s="4"/>
      <c r="S800" s="4"/>
      <c r="T800" s="4"/>
      <c r="U800" s="4"/>
    </row>
    <row r="801" spans="15:21">
      <c r="O801" s="4"/>
      <c r="P801" s="4"/>
      <c r="Q801" s="4"/>
      <c r="R801" s="4"/>
      <c r="S801" s="4"/>
      <c r="T801" s="4"/>
      <c r="U801" s="4"/>
    </row>
    <row r="802" spans="15:21">
      <c r="O802" s="4"/>
      <c r="P802" s="4"/>
      <c r="Q802" s="4"/>
      <c r="R802" s="4"/>
      <c r="S802" s="4"/>
      <c r="T802" s="4"/>
      <c r="U802" s="4"/>
    </row>
    <row r="803" spans="15:21">
      <c r="O803" s="4"/>
      <c r="P803" s="4"/>
      <c r="Q803" s="4"/>
      <c r="R803" s="4"/>
      <c r="S803" s="4"/>
      <c r="T803" s="4"/>
      <c r="U803" s="4"/>
    </row>
    <row r="804" spans="15:21">
      <c r="O804" s="4"/>
      <c r="P804" s="4"/>
      <c r="Q804" s="4"/>
      <c r="R804" s="4"/>
      <c r="S804" s="4"/>
      <c r="T804" s="4"/>
      <c r="U804" s="4"/>
    </row>
    <row r="805" spans="15:21">
      <c r="O805" s="4"/>
      <c r="P805" s="4"/>
      <c r="Q805" s="4"/>
      <c r="R805" s="4"/>
      <c r="S805" s="4"/>
      <c r="T805" s="4"/>
      <c r="U805" s="4"/>
    </row>
    <row r="806" spans="15:21">
      <c r="O806" s="4"/>
      <c r="P806" s="4"/>
      <c r="Q806" s="4"/>
      <c r="R806" s="4"/>
      <c r="S806" s="4"/>
      <c r="T806" s="4"/>
      <c r="U806" s="4"/>
    </row>
    <row r="807" spans="15:21">
      <c r="O807" s="4"/>
      <c r="P807" s="4"/>
      <c r="Q807" s="4"/>
      <c r="R807" s="4"/>
      <c r="S807" s="4"/>
      <c r="T807" s="4"/>
      <c r="U807" s="4"/>
    </row>
    <row r="808" spans="15:21">
      <c r="O808" s="4"/>
      <c r="P808" s="4"/>
      <c r="Q808" s="4"/>
      <c r="R808" s="4"/>
      <c r="S808" s="4"/>
      <c r="T808" s="4"/>
      <c r="U808" s="4"/>
    </row>
    <row r="809" spans="15:21">
      <c r="O809" s="4"/>
      <c r="P809" s="4"/>
      <c r="Q809" s="4"/>
      <c r="R809" s="4"/>
      <c r="S809" s="4"/>
      <c r="T809" s="4"/>
      <c r="U809" s="4"/>
    </row>
    <row r="810" spans="15:21">
      <c r="O810" s="4"/>
      <c r="P810" s="4"/>
      <c r="Q810" s="4"/>
      <c r="R810" s="4"/>
      <c r="S810" s="4"/>
      <c r="T810" s="4"/>
      <c r="U810" s="4"/>
    </row>
    <row r="811" spans="15:21">
      <c r="O811" s="4"/>
      <c r="P811" s="4"/>
      <c r="Q811" s="4"/>
      <c r="R811" s="4"/>
      <c r="S811" s="4"/>
      <c r="T811" s="4"/>
      <c r="U811" s="4"/>
    </row>
    <row r="812" spans="15:21">
      <c r="O812" s="4"/>
      <c r="P812" s="4"/>
      <c r="Q812" s="4"/>
      <c r="R812" s="4"/>
      <c r="S812" s="4"/>
      <c r="T812" s="4"/>
      <c r="U812" s="4"/>
    </row>
    <row r="813" spans="15:21">
      <c r="O813" s="4"/>
      <c r="P813" s="4"/>
      <c r="Q813" s="4"/>
      <c r="R813" s="4"/>
      <c r="S813" s="4"/>
      <c r="T813" s="4"/>
      <c r="U813" s="4"/>
    </row>
    <row r="814" spans="15:21">
      <c r="O814" s="4"/>
      <c r="P814" s="4"/>
      <c r="Q814" s="4"/>
      <c r="R814" s="4"/>
      <c r="S814" s="4"/>
      <c r="T814" s="4"/>
      <c r="U814" s="4"/>
    </row>
    <row r="815" spans="15:21">
      <c r="O815" s="4"/>
      <c r="P815" s="4"/>
      <c r="Q815" s="4"/>
      <c r="R815" s="4"/>
      <c r="S815" s="4"/>
      <c r="T815" s="4"/>
      <c r="U815" s="4"/>
    </row>
    <row r="816" spans="15:21">
      <c r="O816" s="4"/>
      <c r="P816" s="4"/>
      <c r="Q816" s="4"/>
      <c r="R816" s="4"/>
      <c r="S816" s="4"/>
      <c r="T816" s="4"/>
      <c r="U816" s="4"/>
    </row>
    <row r="817" spans="15:21">
      <c r="O817" s="4"/>
      <c r="P817" s="4"/>
      <c r="Q817" s="4"/>
      <c r="R817" s="4"/>
      <c r="S817" s="4"/>
      <c r="T817" s="4"/>
      <c r="U817" s="4"/>
    </row>
    <row r="818" spans="15:21">
      <c r="O818" s="4"/>
      <c r="P818" s="4"/>
      <c r="Q818" s="4"/>
      <c r="R818" s="4"/>
      <c r="S818" s="4"/>
      <c r="T818" s="4"/>
      <c r="U818" s="4"/>
    </row>
    <row r="819" spans="15:21">
      <c r="O819" s="4"/>
      <c r="P819" s="4"/>
      <c r="Q819" s="4"/>
      <c r="R819" s="4"/>
      <c r="S819" s="4"/>
      <c r="T819" s="4"/>
      <c r="U819" s="4"/>
    </row>
    <row r="820" spans="15:21">
      <c r="O820" s="4"/>
      <c r="P820" s="4"/>
      <c r="Q820" s="4"/>
      <c r="R820" s="4"/>
      <c r="S820" s="4"/>
      <c r="T820" s="4"/>
      <c r="U820" s="4"/>
    </row>
    <row r="821" spans="15:21">
      <c r="O821" s="4"/>
      <c r="P821" s="4"/>
      <c r="Q821" s="4"/>
      <c r="R821" s="4"/>
      <c r="S821" s="4"/>
      <c r="T821" s="4"/>
      <c r="U821" s="4"/>
    </row>
    <row r="822" spans="15:21">
      <c r="O822" s="4"/>
      <c r="P822" s="4"/>
      <c r="Q822" s="4"/>
      <c r="R822" s="4"/>
      <c r="S822" s="4"/>
      <c r="T822" s="4"/>
      <c r="U822" s="4"/>
    </row>
    <row r="823" spans="15:21">
      <c r="O823" s="4"/>
      <c r="P823" s="4"/>
      <c r="Q823" s="4"/>
      <c r="R823" s="4"/>
      <c r="S823" s="4"/>
      <c r="T823" s="4"/>
      <c r="U823" s="4"/>
    </row>
    <row r="824" spans="15:21">
      <c r="O824" s="4"/>
      <c r="P824" s="4"/>
      <c r="Q824" s="4"/>
      <c r="R824" s="4"/>
      <c r="S824" s="4"/>
      <c r="T824" s="4"/>
      <c r="U824" s="4"/>
    </row>
    <row r="825" spans="15:21">
      <c r="O825" s="4"/>
      <c r="P825" s="4"/>
      <c r="Q825" s="4"/>
      <c r="R825" s="4"/>
      <c r="S825" s="4"/>
      <c r="T825" s="4"/>
      <c r="U825" s="4"/>
    </row>
    <row r="826" spans="15:21">
      <c r="O826" s="4"/>
      <c r="P826" s="4"/>
      <c r="Q826" s="4"/>
      <c r="R826" s="4"/>
      <c r="S826" s="4"/>
      <c r="T826" s="4"/>
      <c r="U826" s="4"/>
    </row>
    <row r="827" spans="15:21">
      <c r="O827" s="4"/>
      <c r="P827" s="4"/>
      <c r="Q827" s="4"/>
      <c r="R827" s="4"/>
      <c r="S827" s="4"/>
      <c r="T827" s="4"/>
      <c r="U827" s="4"/>
    </row>
    <row r="828" spans="15:21">
      <c r="O828" s="4"/>
      <c r="P828" s="4"/>
      <c r="Q828" s="4"/>
      <c r="R828" s="4"/>
      <c r="S828" s="4"/>
      <c r="T828" s="4"/>
      <c r="U828" s="4"/>
    </row>
    <row r="829" spans="15:21">
      <c r="O829" s="4"/>
      <c r="P829" s="4"/>
      <c r="Q829" s="4"/>
      <c r="R829" s="4"/>
      <c r="S829" s="4"/>
      <c r="T829" s="4"/>
      <c r="U829" s="4"/>
    </row>
    <row r="830" spans="15:21">
      <c r="O830" s="4"/>
      <c r="P830" s="4"/>
      <c r="Q830" s="4"/>
      <c r="R830" s="4"/>
      <c r="S830" s="4"/>
      <c r="T830" s="4"/>
      <c r="U830" s="4"/>
    </row>
    <row r="831" spans="15:21">
      <c r="O831" s="4"/>
      <c r="P831" s="4"/>
      <c r="Q831" s="4"/>
      <c r="R831" s="4"/>
      <c r="S831" s="4"/>
      <c r="T831" s="4"/>
      <c r="U831" s="4"/>
    </row>
    <row r="832" spans="15:21">
      <c r="O832" s="4"/>
      <c r="P832" s="4"/>
      <c r="Q832" s="4"/>
      <c r="R832" s="4"/>
      <c r="S832" s="4"/>
      <c r="T832" s="4"/>
      <c r="U832" s="4"/>
    </row>
    <row r="833" spans="15:21">
      <c r="O833" s="4"/>
      <c r="P833" s="4"/>
      <c r="Q833" s="4"/>
      <c r="R833" s="4"/>
      <c r="S833" s="4"/>
      <c r="T833" s="4"/>
      <c r="U833" s="4"/>
    </row>
    <row r="834" spans="15:21">
      <c r="O834" s="4"/>
      <c r="P834" s="4"/>
      <c r="Q834" s="4"/>
      <c r="R834" s="4"/>
      <c r="S834" s="4"/>
      <c r="T834" s="4"/>
      <c r="U834" s="4"/>
    </row>
    <row r="835" spans="15:21">
      <c r="O835" s="4"/>
      <c r="P835" s="4"/>
      <c r="Q835" s="4"/>
      <c r="R835" s="4"/>
      <c r="S835" s="4"/>
      <c r="T835" s="4"/>
      <c r="U835" s="4"/>
    </row>
    <row r="836" spans="15:21">
      <c r="O836" s="4"/>
      <c r="P836" s="4"/>
      <c r="Q836" s="4"/>
      <c r="R836" s="4"/>
      <c r="S836" s="4"/>
      <c r="T836" s="4"/>
      <c r="U836" s="4"/>
    </row>
    <row r="837" spans="15:21">
      <c r="O837" s="4"/>
      <c r="P837" s="4"/>
      <c r="Q837" s="4"/>
      <c r="R837" s="4"/>
      <c r="S837" s="4"/>
      <c r="T837" s="4"/>
      <c r="U837" s="4"/>
    </row>
    <row r="838" spans="15:21">
      <c r="O838" s="4"/>
      <c r="P838" s="4"/>
      <c r="Q838" s="4"/>
      <c r="R838" s="4"/>
      <c r="S838" s="4"/>
      <c r="T838" s="4"/>
      <c r="U838" s="4"/>
    </row>
    <row r="839" spans="15:21">
      <c r="O839" s="4"/>
      <c r="P839" s="4"/>
      <c r="Q839" s="4"/>
      <c r="R839" s="4"/>
      <c r="S839" s="4"/>
      <c r="T839" s="4"/>
      <c r="U839" s="4"/>
    </row>
    <row r="840" spans="15:21">
      <c r="O840" s="4"/>
      <c r="P840" s="4"/>
      <c r="Q840" s="4"/>
      <c r="R840" s="4"/>
      <c r="S840" s="4"/>
      <c r="T840" s="4"/>
      <c r="U840" s="4"/>
    </row>
    <row r="841" spans="15:21">
      <c r="O841" s="4"/>
      <c r="P841" s="4"/>
      <c r="Q841" s="4"/>
      <c r="R841" s="4"/>
      <c r="S841" s="4"/>
      <c r="T841" s="4"/>
      <c r="U841" s="4"/>
    </row>
    <row r="842" spans="15:21">
      <c r="O842" s="4"/>
      <c r="P842" s="4"/>
      <c r="Q842" s="4"/>
      <c r="R842" s="4"/>
      <c r="S842" s="4"/>
      <c r="T842" s="4"/>
      <c r="U842" s="4"/>
    </row>
    <row r="843" spans="15:21">
      <c r="O843" s="4"/>
      <c r="P843" s="4"/>
      <c r="Q843" s="4"/>
      <c r="R843" s="4"/>
      <c r="S843" s="4"/>
      <c r="T843" s="4"/>
      <c r="U843" s="4"/>
    </row>
    <row r="844" spans="15:21">
      <c r="O844" s="4"/>
      <c r="P844" s="4"/>
      <c r="Q844" s="4"/>
      <c r="R844" s="4"/>
      <c r="S844" s="4"/>
      <c r="T844" s="4"/>
      <c r="U844" s="4"/>
    </row>
    <row r="845" spans="15:21">
      <c r="O845" s="4"/>
      <c r="P845" s="4"/>
      <c r="Q845" s="4"/>
      <c r="R845" s="4"/>
      <c r="S845" s="4"/>
      <c r="T845" s="4"/>
      <c r="U845" s="4"/>
    </row>
    <row r="846" spans="15:21">
      <c r="O846" s="4"/>
      <c r="P846" s="4"/>
      <c r="Q846" s="4"/>
      <c r="R846" s="4"/>
      <c r="S846" s="4"/>
      <c r="T846" s="4"/>
      <c r="U846" s="4"/>
    </row>
    <row r="847" spans="15:21">
      <c r="O847" s="4"/>
      <c r="P847" s="4"/>
      <c r="Q847" s="4"/>
      <c r="R847" s="4"/>
      <c r="S847" s="4"/>
      <c r="T847" s="4"/>
      <c r="U847" s="4"/>
    </row>
    <row r="848" spans="15:21">
      <c r="O848" s="4"/>
      <c r="P848" s="4"/>
      <c r="Q848" s="4"/>
      <c r="R848" s="4"/>
      <c r="S848" s="4"/>
      <c r="T848" s="4"/>
      <c r="U848" s="4"/>
    </row>
    <row r="849" spans="15:21">
      <c r="O849" s="4"/>
      <c r="P849" s="4"/>
      <c r="Q849" s="4"/>
      <c r="R849" s="4"/>
      <c r="S849" s="4"/>
      <c r="T849" s="4"/>
      <c r="U849" s="4"/>
    </row>
    <row r="850" spans="15:21">
      <c r="O850" s="4"/>
      <c r="P850" s="4"/>
      <c r="Q850" s="4"/>
      <c r="R850" s="4"/>
      <c r="S850" s="4"/>
      <c r="T850" s="4"/>
      <c r="U850" s="4"/>
    </row>
    <row r="851" spans="15:21">
      <c r="O851" s="4"/>
      <c r="P851" s="4"/>
      <c r="Q851" s="4"/>
      <c r="R851" s="4"/>
      <c r="S851" s="4"/>
      <c r="T851" s="4"/>
      <c r="U851" s="4"/>
    </row>
    <row r="852" spans="15:21">
      <c r="O852" s="4"/>
      <c r="P852" s="4"/>
      <c r="Q852" s="4"/>
      <c r="R852" s="4"/>
      <c r="S852" s="4"/>
      <c r="T852" s="4"/>
      <c r="U852" s="4"/>
    </row>
    <row r="853" spans="15:21">
      <c r="O853" s="4"/>
      <c r="P853" s="4"/>
      <c r="Q853" s="4"/>
      <c r="R853" s="4"/>
      <c r="S853" s="4"/>
      <c r="T853" s="4"/>
      <c r="U853" s="4"/>
    </row>
    <row r="854" spans="15:21">
      <c r="O854" s="4"/>
      <c r="P854" s="4"/>
      <c r="Q854" s="4"/>
      <c r="R854" s="4"/>
      <c r="S854" s="4"/>
      <c r="T854" s="4"/>
      <c r="U854" s="4"/>
    </row>
    <row r="855" spans="15:21">
      <c r="O855" s="4"/>
      <c r="P855" s="4"/>
      <c r="Q855" s="4"/>
      <c r="R855" s="4"/>
      <c r="S855" s="4"/>
      <c r="T855" s="4"/>
      <c r="U855" s="4"/>
    </row>
    <row r="856" spans="15:21">
      <c r="O856" s="4"/>
      <c r="P856" s="4"/>
      <c r="Q856" s="4"/>
      <c r="R856" s="4"/>
      <c r="S856" s="4"/>
      <c r="T856" s="4"/>
      <c r="U856" s="4"/>
    </row>
    <row r="857" spans="15:21">
      <c r="O857" s="4"/>
      <c r="P857" s="4"/>
      <c r="Q857" s="4"/>
      <c r="R857" s="4"/>
      <c r="S857" s="4"/>
      <c r="T857" s="4"/>
      <c r="U857" s="4"/>
    </row>
    <row r="858" spans="15:21">
      <c r="O858" s="4"/>
      <c r="P858" s="4"/>
      <c r="Q858" s="4"/>
      <c r="R858" s="4"/>
      <c r="S858" s="4"/>
      <c r="T858" s="4"/>
      <c r="U858" s="4"/>
    </row>
    <row r="859" spans="15:21">
      <c r="O859" s="4"/>
      <c r="P859" s="4"/>
      <c r="Q859" s="4"/>
      <c r="R859" s="4"/>
      <c r="S859" s="4"/>
      <c r="T859" s="4"/>
      <c r="U859" s="4"/>
    </row>
    <row r="860" spans="15:21">
      <c r="O860" s="4"/>
      <c r="P860" s="4"/>
      <c r="Q860" s="4"/>
      <c r="R860" s="4"/>
      <c r="S860" s="4"/>
      <c r="T860" s="4"/>
      <c r="U860" s="4"/>
    </row>
    <row r="861" spans="15:21">
      <c r="O861" s="4"/>
      <c r="P861" s="4"/>
      <c r="Q861" s="4"/>
      <c r="R861" s="4"/>
      <c r="S861" s="4"/>
      <c r="T861" s="4"/>
      <c r="U861" s="4"/>
    </row>
    <row r="862" spans="15:21">
      <c r="O862" s="4"/>
      <c r="P862" s="4"/>
      <c r="Q862" s="4"/>
      <c r="R862" s="4"/>
      <c r="S862" s="4"/>
      <c r="T862" s="4"/>
      <c r="U862" s="4"/>
    </row>
    <row r="863" spans="15:21">
      <c r="O863" s="4"/>
      <c r="P863" s="4"/>
      <c r="Q863" s="4"/>
      <c r="R863" s="4"/>
      <c r="S863" s="4"/>
      <c r="T863" s="4"/>
      <c r="U863" s="4"/>
    </row>
    <row r="864" spans="15:21">
      <c r="O864" s="4"/>
      <c r="P864" s="4"/>
      <c r="Q864" s="4"/>
      <c r="R864" s="4"/>
      <c r="S864" s="4"/>
      <c r="T864" s="4"/>
      <c r="U864" s="4"/>
    </row>
    <row r="865" spans="15:21">
      <c r="O865" s="4"/>
      <c r="P865" s="4"/>
      <c r="Q865" s="4"/>
      <c r="R865" s="4"/>
      <c r="S865" s="4"/>
      <c r="T865" s="4"/>
      <c r="U865" s="4"/>
    </row>
    <row r="866" spans="15:21">
      <c r="O866" s="4"/>
      <c r="P866" s="4"/>
      <c r="Q866" s="4"/>
      <c r="R866" s="4"/>
      <c r="S866" s="4"/>
      <c r="T866" s="4"/>
      <c r="U866" s="4"/>
    </row>
    <row r="867" spans="15:21">
      <c r="O867" s="4"/>
      <c r="P867" s="4"/>
      <c r="Q867" s="4"/>
      <c r="R867" s="4"/>
      <c r="S867" s="4"/>
      <c r="T867" s="4"/>
      <c r="U867" s="4"/>
    </row>
    <row r="868" spans="15:21">
      <c r="O868" s="4"/>
      <c r="P868" s="4"/>
      <c r="Q868" s="4"/>
      <c r="R868" s="4"/>
      <c r="S868" s="4"/>
      <c r="T868" s="4"/>
      <c r="U868" s="4"/>
    </row>
    <row r="869" spans="15:21">
      <c r="O869" s="4"/>
      <c r="P869" s="4"/>
      <c r="Q869" s="4"/>
      <c r="R869" s="4"/>
      <c r="S869" s="4"/>
      <c r="T869" s="4"/>
      <c r="U869" s="4"/>
    </row>
    <row r="870" spans="15:21">
      <c r="O870" s="4"/>
      <c r="P870" s="4"/>
      <c r="Q870" s="4"/>
      <c r="R870" s="4"/>
      <c r="S870" s="4"/>
      <c r="T870" s="4"/>
      <c r="U870" s="4"/>
    </row>
    <row r="871" spans="15:21">
      <c r="O871" s="4"/>
      <c r="P871" s="4"/>
      <c r="Q871" s="4"/>
      <c r="R871" s="4"/>
      <c r="S871" s="4"/>
      <c r="T871" s="4"/>
      <c r="U871" s="4"/>
    </row>
    <row r="872" spans="15:21">
      <c r="O872" s="4"/>
      <c r="P872" s="4"/>
      <c r="Q872" s="4"/>
      <c r="R872" s="4"/>
      <c r="S872" s="4"/>
      <c r="T872" s="4"/>
      <c r="U872" s="4"/>
    </row>
    <row r="873" spans="15:21">
      <c r="O873" s="4"/>
      <c r="P873" s="4"/>
      <c r="Q873" s="4"/>
      <c r="R873" s="4"/>
      <c r="S873" s="4"/>
      <c r="T873" s="4"/>
      <c r="U873" s="4"/>
    </row>
    <row r="874" spans="15:21">
      <c r="O874" s="4"/>
      <c r="P874" s="4"/>
      <c r="Q874" s="4"/>
      <c r="R874" s="4"/>
      <c r="S874" s="4"/>
      <c r="T874" s="4"/>
      <c r="U874" s="4"/>
    </row>
    <row r="875" spans="15:21">
      <c r="O875" s="4"/>
      <c r="P875" s="4"/>
      <c r="Q875" s="4"/>
      <c r="R875" s="4"/>
      <c r="S875" s="4"/>
      <c r="T875" s="4"/>
      <c r="U875" s="4"/>
    </row>
    <row r="876" spans="15:21">
      <c r="O876" s="4"/>
      <c r="P876" s="4"/>
      <c r="Q876" s="4"/>
      <c r="R876" s="4"/>
      <c r="S876" s="4"/>
      <c r="T876" s="4"/>
      <c r="U876" s="4"/>
    </row>
    <row r="877" spans="15:21">
      <c r="O877" s="4"/>
      <c r="P877" s="4"/>
      <c r="Q877" s="4"/>
      <c r="R877" s="4"/>
      <c r="S877" s="4"/>
      <c r="T877" s="4"/>
      <c r="U877" s="4"/>
    </row>
    <row r="878" spans="15:21">
      <c r="O878" s="4"/>
      <c r="P878" s="4"/>
      <c r="Q878" s="4"/>
      <c r="R878" s="4"/>
      <c r="S878" s="4"/>
      <c r="T878" s="4"/>
      <c r="U878" s="4"/>
    </row>
    <row r="879" spans="15:21">
      <c r="O879" s="4"/>
      <c r="P879" s="4"/>
      <c r="Q879" s="4"/>
      <c r="R879" s="4"/>
      <c r="S879" s="4"/>
      <c r="T879" s="4"/>
      <c r="U879" s="4"/>
    </row>
    <row r="880" spans="15:21">
      <c r="O880" s="4"/>
      <c r="P880" s="4"/>
      <c r="Q880" s="4"/>
      <c r="R880" s="4"/>
      <c r="S880" s="4"/>
      <c r="T880" s="4"/>
      <c r="U880" s="4"/>
    </row>
    <row r="881" spans="15:21">
      <c r="O881" s="4"/>
      <c r="P881" s="4"/>
      <c r="Q881" s="4"/>
      <c r="R881" s="4"/>
      <c r="S881" s="4"/>
      <c r="T881" s="4"/>
      <c r="U881" s="4"/>
    </row>
    <row r="882" spans="15:21">
      <c r="O882" s="4"/>
      <c r="P882" s="4"/>
      <c r="Q882" s="4"/>
      <c r="R882" s="4"/>
      <c r="S882" s="4"/>
      <c r="T882" s="4"/>
      <c r="U882" s="4"/>
    </row>
    <row r="883" spans="15:21">
      <c r="O883" s="4"/>
      <c r="P883" s="4"/>
      <c r="Q883" s="4"/>
      <c r="R883" s="4"/>
      <c r="S883" s="4"/>
      <c r="T883" s="4"/>
      <c r="U883" s="4"/>
    </row>
    <row r="884" spans="15:21">
      <c r="O884" s="4"/>
      <c r="P884" s="4"/>
      <c r="Q884" s="4"/>
      <c r="R884" s="4"/>
      <c r="S884" s="4"/>
      <c r="T884" s="4"/>
      <c r="U884" s="4"/>
    </row>
    <row r="885" spans="15:21">
      <c r="O885" s="4"/>
      <c r="P885" s="4"/>
      <c r="Q885" s="4"/>
      <c r="R885" s="4"/>
      <c r="S885" s="4"/>
      <c r="T885" s="4"/>
      <c r="U885" s="4"/>
    </row>
    <row r="886" spans="15:21">
      <c r="O886" s="4"/>
      <c r="P886" s="4"/>
      <c r="Q886" s="4"/>
      <c r="R886" s="4"/>
      <c r="S886" s="4"/>
      <c r="T886" s="4"/>
      <c r="U886" s="4"/>
    </row>
    <row r="887" spans="15:21">
      <c r="O887" s="4"/>
      <c r="P887" s="4"/>
      <c r="Q887" s="4"/>
      <c r="R887" s="4"/>
      <c r="S887" s="4"/>
      <c r="T887" s="4"/>
      <c r="U887" s="4"/>
    </row>
    <row r="888" spans="15:21">
      <c r="O888" s="4"/>
      <c r="P888" s="4"/>
      <c r="Q888" s="4"/>
      <c r="R888" s="4"/>
      <c r="S888" s="4"/>
      <c r="T888" s="4"/>
      <c r="U888" s="4"/>
    </row>
    <row r="889" spans="15:21">
      <c r="O889" s="4"/>
      <c r="P889" s="4"/>
      <c r="Q889" s="4"/>
      <c r="R889" s="4"/>
      <c r="S889" s="4"/>
      <c r="T889" s="4"/>
      <c r="U889" s="4"/>
    </row>
    <row r="890" spans="15:21">
      <c r="O890" s="4"/>
      <c r="P890" s="4"/>
      <c r="Q890" s="4"/>
      <c r="R890" s="4"/>
      <c r="S890" s="4"/>
      <c r="T890" s="4"/>
      <c r="U890" s="4"/>
    </row>
    <row r="891" spans="15:21">
      <c r="O891" s="4"/>
      <c r="P891" s="4"/>
      <c r="Q891" s="4"/>
      <c r="R891" s="4"/>
      <c r="S891" s="4"/>
      <c r="T891" s="4"/>
      <c r="U891" s="4"/>
    </row>
    <row r="892" spans="15:21">
      <c r="O892" s="4"/>
      <c r="P892" s="4"/>
      <c r="Q892" s="4"/>
      <c r="R892" s="4"/>
      <c r="S892" s="4"/>
      <c r="T892" s="4"/>
      <c r="U892" s="4"/>
    </row>
    <row r="893" spans="15:21">
      <c r="O893" s="4"/>
      <c r="P893" s="4"/>
      <c r="Q893" s="4"/>
      <c r="R893" s="4"/>
      <c r="S893" s="4"/>
      <c r="T893" s="4"/>
      <c r="U893" s="4"/>
    </row>
    <row r="894" spans="15:21">
      <c r="O894" s="4"/>
      <c r="P894" s="4"/>
      <c r="Q894" s="4"/>
      <c r="R894" s="4"/>
      <c r="S894" s="4"/>
      <c r="T894" s="4"/>
      <c r="U894" s="4"/>
    </row>
    <row r="895" spans="15:21">
      <c r="O895" s="4"/>
      <c r="P895" s="4"/>
      <c r="Q895" s="4"/>
      <c r="R895" s="4"/>
      <c r="S895" s="4"/>
      <c r="T895" s="4"/>
      <c r="U895" s="4"/>
    </row>
    <row r="896" spans="15:21">
      <c r="O896" s="4"/>
      <c r="P896" s="4"/>
      <c r="Q896" s="4"/>
      <c r="R896" s="4"/>
      <c r="S896" s="4"/>
      <c r="T896" s="4"/>
      <c r="U896" s="4"/>
    </row>
    <row r="897" spans="15:21">
      <c r="O897" s="4"/>
      <c r="P897" s="4"/>
      <c r="Q897" s="4"/>
      <c r="R897" s="4"/>
      <c r="S897" s="4"/>
      <c r="T897" s="4"/>
      <c r="U897" s="4"/>
    </row>
    <row r="898" spans="15:21">
      <c r="O898" s="4"/>
      <c r="P898" s="4"/>
      <c r="Q898" s="4"/>
      <c r="R898" s="4"/>
      <c r="S898" s="4"/>
      <c r="T898" s="4"/>
      <c r="U898" s="4"/>
    </row>
    <row r="899" spans="15:21">
      <c r="O899" s="4"/>
      <c r="P899" s="4"/>
      <c r="Q899" s="4"/>
      <c r="R899" s="4"/>
      <c r="S899" s="4"/>
      <c r="T899" s="4"/>
      <c r="U899" s="4"/>
    </row>
    <row r="900" spans="15:21">
      <c r="O900" s="4"/>
      <c r="P900" s="4"/>
      <c r="Q900" s="4"/>
      <c r="R900" s="4"/>
      <c r="S900" s="4"/>
      <c r="T900" s="4"/>
      <c r="U900" s="4"/>
    </row>
    <row r="901" spans="15:21">
      <c r="O901" s="4"/>
      <c r="P901" s="4"/>
      <c r="Q901" s="4"/>
      <c r="R901" s="4"/>
      <c r="S901" s="4"/>
      <c r="T901" s="4"/>
      <c r="U901" s="4"/>
    </row>
    <row r="902" spans="15:21">
      <c r="O902" s="4"/>
      <c r="P902" s="4"/>
      <c r="Q902" s="4"/>
      <c r="R902" s="4"/>
      <c r="S902" s="4"/>
      <c r="T902" s="4"/>
      <c r="U902" s="4"/>
    </row>
    <row r="903" spans="15:21">
      <c r="O903" s="4"/>
      <c r="P903" s="4"/>
      <c r="Q903" s="4"/>
      <c r="R903" s="4"/>
      <c r="S903" s="4"/>
      <c r="T903" s="4"/>
      <c r="U903" s="4"/>
    </row>
    <row r="904" spans="15:21">
      <c r="O904" s="4"/>
      <c r="P904" s="4"/>
      <c r="Q904" s="4"/>
      <c r="R904" s="4"/>
      <c r="S904" s="4"/>
      <c r="T904" s="4"/>
      <c r="U904" s="4"/>
    </row>
    <row r="905" spans="15:21">
      <c r="O905" s="4"/>
      <c r="P905" s="4"/>
      <c r="Q905" s="4"/>
      <c r="R905" s="4"/>
      <c r="S905" s="4"/>
      <c r="T905" s="4"/>
      <c r="U905" s="4"/>
    </row>
    <row r="906" spans="15:21">
      <c r="O906" s="4"/>
      <c r="P906" s="4"/>
      <c r="Q906" s="4"/>
      <c r="R906" s="4"/>
      <c r="S906" s="4"/>
      <c r="T906" s="4"/>
      <c r="U906" s="4"/>
    </row>
    <row r="907" spans="15:21">
      <c r="O907" s="4"/>
      <c r="P907" s="4"/>
      <c r="Q907" s="4"/>
      <c r="R907" s="4"/>
      <c r="S907" s="4"/>
      <c r="T907" s="4"/>
      <c r="U907" s="4"/>
    </row>
    <row r="908" spans="15:21">
      <c r="O908" s="4"/>
      <c r="P908" s="4"/>
      <c r="Q908" s="4"/>
      <c r="R908" s="4"/>
      <c r="S908" s="4"/>
      <c r="T908" s="4"/>
      <c r="U908" s="4"/>
    </row>
    <row r="909" spans="15:21">
      <c r="O909" s="4"/>
      <c r="P909" s="4"/>
      <c r="Q909" s="4"/>
      <c r="R909" s="4"/>
      <c r="S909" s="4"/>
      <c r="T909" s="4"/>
      <c r="U909" s="4"/>
    </row>
    <row r="910" spans="15:21">
      <c r="O910" s="4"/>
      <c r="P910" s="4"/>
      <c r="Q910" s="4"/>
      <c r="R910" s="4"/>
      <c r="S910" s="4"/>
      <c r="T910" s="4"/>
      <c r="U910" s="4"/>
    </row>
    <row r="911" spans="15:21">
      <c r="O911" s="4"/>
      <c r="P911" s="4"/>
      <c r="Q911" s="4"/>
      <c r="R911" s="4"/>
      <c r="S911" s="4"/>
      <c r="T911" s="4"/>
      <c r="U911" s="4"/>
    </row>
    <row r="912" spans="15:21">
      <c r="O912" s="4"/>
      <c r="P912" s="4"/>
      <c r="Q912" s="4"/>
      <c r="R912" s="4"/>
      <c r="S912" s="4"/>
      <c r="T912" s="4"/>
      <c r="U912" s="4"/>
    </row>
    <row r="913" spans="15:21">
      <c r="O913" s="4"/>
      <c r="P913" s="4"/>
      <c r="Q913" s="4"/>
      <c r="R913" s="4"/>
      <c r="S913" s="4"/>
      <c r="T913" s="4"/>
      <c r="U913" s="4"/>
    </row>
    <row r="914" spans="15:21">
      <c r="O914" s="4"/>
      <c r="P914" s="4"/>
      <c r="Q914" s="4"/>
      <c r="R914" s="4"/>
      <c r="S914" s="4"/>
      <c r="T914" s="4"/>
      <c r="U914" s="4"/>
    </row>
    <row r="915" spans="15:21">
      <c r="O915" s="4"/>
      <c r="P915" s="4"/>
      <c r="Q915" s="4"/>
      <c r="R915" s="4"/>
      <c r="S915" s="4"/>
      <c r="T915" s="4"/>
      <c r="U915" s="4"/>
    </row>
    <row r="916" spans="15:21">
      <c r="O916" s="4"/>
      <c r="P916" s="4"/>
      <c r="Q916" s="4"/>
      <c r="R916" s="4"/>
      <c r="S916" s="4"/>
      <c r="T916" s="4"/>
      <c r="U916" s="4"/>
    </row>
    <row r="917" spans="15:21">
      <c r="O917" s="4"/>
      <c r="P917" s="4"/>
      <c r="Q917" s="4"/>
      <c r="R917" s="4"/>
      <c r="S917" s="4"/>
      <c r="T917" s="4"/>
      <c r="U917" s="4"/>
    </row>
    <row r="918" spans="15:21">
      <c r="O918" s="4"/>
      <c r="P918" s="4"/>
      <c r="Q918" s="4"/>
      <c r="R918" s="4"/>
      <c r="S918" s="4"/>
      <c r="T918" s="4"/>
      <c r="U918" s="4"/>
    </row>
    <row r="919" spans="15:21">
      <c r="O919" s="4"/>
      <c r="P919" s="4"/>
      <c r="Q919" s="4"/>
      <c r="R919" s="4"/>
      <c r="S919" s="4"/>
      <c r="T919" s="4"/>
      <c r="U919" s="4"/>
    </row>
    <row r="920" spans="15:21">
      <c r="O920" s="4"/>
      <c r="P920" s="4"/>
      <c r="Q920" s="4"/>
      <c r="R920" s="4"/>
      <c r="S920" s="4"/>
      <c r="T920" s="4"/>
      <c r="U920" s="4"/>
    </row>
    <row r="921" spans="15:21">
      <c r="O921" s="4"/>
      <c r="P921" s="4"/>
      <c r="Q921" s="4"/>
      <c r="R921" s="4"/>
      <c r="S921" s="4"/>
      <c r="T921" s="4"/>
      <c r="U921" s="4"/>
    </row>
    <row r="922" spans="15:21">
      <c r="O922" s="4"/>
      <c r="P922" s="4"/>
      <c r="Q922" s="4"/>
      <c r="R922" s="4"/>
      <c r="S922" s="4"/>
      <c r="T922" s="4"/>
      <c r="U922" s="4"/>
    </row>
    <row r="923" spans="15:21">
      <c r="O923" s="4"/>
      <c r="P923" s="4"/>
      <c r="Q923" s="4"/>
      <c r="R923" s="4"/>
      <c r="S923" s="4"/>
      <c r="T923" s="4"/>
      <c r="U923" s="4"/>
    </row>
    <row r="924" spans="15:21">
      <c r="O924" s="4"/>
      <c r="P924" s="4"/>
      <c r="Q924" s="4"/>
      <c r="R924" s="4"/>
      <c r="S924" s="4"/>
      <c r="T924" s="4"/>
      <c r="U924" s="4"/>
    </row>
    <row r="925" spans="15:21">
      <c r="O925" s="4"/>
      <c r="P925" s="4"/>
      <c r="Q925" s="4"/>
      <c r="R925" s="4"/>
      <c r="S925" s="4"/>
      <c r="T925" s="4"/>
      <c r="U925" s="4"/>
    </row>
    <row r="926" spans="15:21">
      <c r="O926" s="4"/>
      <c r="P926" s="4"/>
      <c r="Q926" s="4"/>
      <c r="R926" s="4"/>
      <c r="S926" s="4"/>
      <c r="T926" s="4"/>
      <c r="U926" s="4"/>
    </row>
    <row r="927" spans="15:21">
      <c r="O927" s="4"/>
      <c r="P927" s="4"/>
      <c r="Q927" s="4"/>
      <c r="R927" s="4"/>
      <c r="S927" s="4"/>
      <c r="T927" s="4"/>
      <c r="U927" s="4"/>
    </row>
    <row r="928" spans="15:21">
      <c r="O928" s="4"/>
      <c r="P928" s="4"/>
      <c r="Q928" s="4"/>
      <c r="R928" s="4"/>
      <c r="S928" s="4"/>
      <c r="T928" s="4"/>
      <c r="U928" s="4"/>
    </row>
    <row r="929" spans="15:21">
      <c r="O929" s="4"/>
      <c r="P929" s="4"/>
      <c r="Q929" s="4"/>
      <c r="R929" s="4"/>
      <c r="S929" s="4"/>
      <c r="T929" s="4"/>
      <c r="U929" s="4"/>
    </row>
    <row r="930" spans="15:21">
      <c r="O930" s="4"/>
      <c r="P930" s="4"/>
      <c r="Q930" s="4"/>
      <c r="R930" s="4"/>
      <c r="S930" s="4"/>
      <c r="T930" s="4"/>
      <c r="U930" s="4"/>
    </row>
  </sheetData>
  <autoFilter ref="A2:U2" xr:uid="{F4E4F64D-630B-4AE8-86A2-E5BE862AC9F1}"/>
  <mergeCells count="250">
    <mergeCell ref="A1:N1"/>
    <mergeCell ref="O1:U1"/>
    <mergeCell ref="A4:A10"/>
    <mergeCell ref="B4:B10"/>
    <mergeCell ref="C4:C10"/>
    <mergeCell ref="D4:D10"/>
    <mergeCell ref="E4:E10"/>
    <mergeCell ref="F4:F10"/>
    <mergeCell ref="G4:G10"/>
    <mergeCell ref="H4:H10"/>
    <mergeCell ref="G11:G17"/>
    <mergeCell ref="H11:H17"/>
    <mergeCell ref="A18:A26"/>
    <mergeCell ref="B18:B26"/>
    <mergeCell ref="C18:C26"/>
    <mergeCell ref="D18:D26"/>
    <mergeCell ref="E18:E26"/>
    <mergeCell ref="F18:F26"/>
    <mergeCell ref="G18:G26"/>
    <mergeCell ref="H18:H26"/>
    <mergeCell ref="A11:A17"/>
    <mergeCell ref="B11:B17"/>
    <mergeCell ref="C11:C17"/>
    <mergeCell ref="D11:D17"/>
    <mergeCell ref="E11:E17"/>
    <mergeCell ref="F11:F17"/>
    <mergeCell ref="G27:G34"/>
    <mergeCell ref="H27:H34"/>
    <mergeCell ref="A35:A39"/>
    <mergeCell ref="B35:B39"/>
    <mergeCell ref="C35:C39"/>
    <mergeCell ref="D35:D39"/>
    <mergeCell ref="E35:E39"/>
    <mergeCell ref="F35:F39"/>
    <mergeCell ref="G35:G39"/>
    <mergeCell ref="H35:H39"/>
    <mergeCell ref="A27:A34"/>
    <mergeCell ref="B27:B34"/>
    <mergeCell ref="C27:C34"/>
    <mergeCell ref="D27:D34"/>
    <mergeCell ref="E27:E34"/>
    <mergeCell ref="F27:F34"/>
    <mergeCell ref="G40:G43"/>
    <mergeCell ref="H40:H43"/>
    <mergeCell ref="A44:A46"/>
    <mergeCell ref="B44:B46"/>
    <mergeCell ref="C44:C46"/>
    <mergeCell ref="D44:D46"/>
    <mergeCell ref="E44:E46"/>
    <mergeCell ref="F44:F46"/>
    <mergeCell ref="G44:G46"/>
    <mergeCell ref="H44:H46"/>
    <mergeCell ref="A40:A43"/>
    <mergeCell ref="B40:B43"/>
    <mergeCell ref="C40:C43"/>
    <mergeCell ref="D40:D43"/>
    <mergeCell ref="E40:E43"/>
    <mergeCell ref="F40:F43"/>
    <mergeCell ref="G48:G51"/>
    <mergeCell ref="H48:H51"/>
    <mergeCell ref="A52:A54"/>
    <mergeCell ref="B52:B54"/>
    <mergeCell ref="C52:C54"/>
    <mergeCell ref="D52:D54"/>
    <mergeCell ref="E52:E54"/>
    <mergeCell ref="F52:F54"/>
    <mergeCell ref="G52:G54"/>
    <mergeCell ref="H52:H54"/>
    <mergeCell ref="A48:A51"/>
    <mergeCell ref="B48:B51"/>
    <mergeCell ref="C48:C51"/>
    <mergeCell ref="D48:D51"/>
    <mergeCell ref="E48:E51"/>
    <mergeCell ref="F48:F51"/>
    <mergeCell ref="G55:G57"/>
    <mergeCell ref="H55:H57"/>
    <mergeCell ref="A59:A62"/>
    <mergeCell ref="B59:B62"/>
    <mergeCell ref="C59:C62"/>
    <mergeCell ref="D59:D62"/>
    <mergeCell ref="E59:E62"/>
    <mergeCell ref="F59:F62"/>
    <mergeCell ref="G59:G62"/>
    <mergeCell ref="H59:H62"/>
    <mergeCell ref="A55:A57"/>
    <mergeCell ref="B55:B57"/>
    <mergeCell ref="C55:C57"/>
    <mergeCell ref="D55:D57"/>
    <mergeCell ref="E55:E57"/>
    <mergeCell ref="F55:F57"/>
    <mergeCell ref="G63:G69"/>
    <mergeCell ref="H63:H69"/>
    <mergeCell ref="A70:A76"/>
    <mergeCell ref="B70:B76"/>
    <mergeCell ref="C70:C76"/>
    <mergeCell ref="D70:D76"/>
    <mergeCell ref="E70:E76"/>
    <mergeCell ref="F70:F76"/>
    <mergeCell ref="G70:G76"/>
    <mergeCell ref="H70:H76"/>
    <mergeCell ref="A63:A69"/>
    <mergeCell ref="B63:B69"/>
    <mergeCell ref="C63:C69"/>
    <mergeCell ref="D63:D69"/>
    <mergeCell ref="E63:E69"/>
    <mergeCell ref="F63:F69"/>
    <mergeCell ref="G77:G80"/>
    <mergeCell ref="H77:H80"/>
    <mergeCell ref="A82:A86"/>
    <mergeCell ref="B82:B86"/>
    <mergeCell ref="C82:C86"/>
    <mergeCell ref="D82:D86"/>
    <mergeCell ref="E82:E86"/>
    <mergeCell ref="F82:F86"/>
    <mergeCell ref="G82:G86"/>
    <mergeCell ref="H82:H86"/>
    <mergeCell ref="A77:A80"/>
    <mergeCell ref="B77:B80"/>
    <mergeCell ref="C77:C80"/>
    <mergeCell ref="D77:D80"/>
    <mergeCell ref="E77:E80"/>
    <mergeCell ref="F77:F80"/>
    <mergeCell ref="G87:G93"/>
    <mergeCell ref="H87:H93"/>
    <mergeCell ref="A94:A99"/>
    <mergeCell ref="B94:B99"/>
    <mergeCell ref="C94:C99"/>
    <mergeCell ref="D94:D99"/>
    <mergeCell ref="E94:E99"/>
    <mergeCell ref="F94:F99"/>
    <mergeCell ref="G94:G99"/>
    <mergeCell ref="H94:H99"/>
    <mergeCell ref="A87:A93"/>
    <mergeCell ref="B87:B93"/>
    <mergeCell ref="C87:C93"/>
    <mergeCell ref="D87:D93"/>
    <mergeCell ref="E87:E93"/>
    <mergeCell ref="F87:F93"/>
    <mergeCell ref="G100:G105"/>
    <mergeCell ref="H100:H105"/>
    <mergeCell ref="A107:A114"/>
    <mergeCell ref="B107:B114"/>
    <mergeCell ref="C107:C114"/>
    <mergeCell ref="D107:D114"/>
    <mergeCell ref="E107:E114"/>
    <mergeCell ref="F107:F114"/>
    <mergeCell ref="G107:G114"/>
    <mergeCell ref="H107:H114"/>
    <mergeCell ref="A100:A105"/>
    <mergeCell ref="B100:B105"/>
    <mergeCell ref="C100:C105"/>
    <mergeCell ref="D100:D105"/>
    <mergeCell ref="E100:E105"/>
    <mergeCell ref="F100:F105"/>
    <mergeCell ref="G115:G122"/>
    <mergeCell ref="H115:H122"/>
    <mergeCell ref="A123:A125"/>
    <mergeCell ref="B123:B125"/>
    <mergeCell ref="C123:C125"/>
    <mergeCell ref="D123:D125"/>
    <mergeCell ref="E123:E125"/>
    <mergeCell ref="F123:F125"/>
    <mergeCell ref="G123:G125"/>
    <mergeCell ref="H123:H125"/>
    <mergeCell ref="A115:A122"/>
    <mergeCell ref="B115:B122"/>
    <mergeCell ref="C115:C122"/>
    <mergeCell ref="D115:D122"/>
    <mergeCell ref="E115:E122"/>
    <mergeCell ref="F115:F122"/>
    <mergeCell ref="G126:G127"/>
    <mergeCell ref="H126:H127"/>
    <mergeCell ref="A128:A131"/>
    <mergeCell ref="B128:B131"/>
    <mergeCell ref="C128:C131"/>
    <mergeCell ref="D128:D131"/>
    <mergeCell ref="E128:E131"/>
    <mergeCell ref="F128:F131"/>
    <mergeCell ref="G128:G131"/>
    <mergeCell ref="H128:H131"/>
    <mergeCell ref="A126:A127"/>
    <mergeCell ref="B126:B127"/>
    <mergeCell ref="C126:C127"/>
    <mergeCell ref="D126:D127"/>
    <mergeCell ref="E126:E127"/>
    <mergeCell ref="F126:F127"/>
    <mergeCell ref="G132:G135"/>
    <mergeCell ref="H132:H135"/>
    <mergeCell ref="A137:A138"/>
    <mergeCell ref="B137:B138"/>
    <mergeCell ref="C137:C138"/>
    <mergeCell ref="D137:D138"/>
    <mergeCell ref="E137:E138"/>
    <mergeCell ref="F137:F138"/>
    <mergeCell ref="G137:G138"/>
    <mergeCell ref="H137:H138"/>
    <mergeCell ref="A132:A135"/>
    <mergeCell ref="B132:B135"/>
    <mergeCell ref="C132:C135"/>
    <mergeCell ref="D132:D135"/>
    <mergeCell ref="E132:E135"/>
    <mergeCell ref="F132:F135"/>
    <mergeCell ref="G139:G142"/>
    <mergeCell ref="H139:H142"/>
    <mergeCell ref="A143:A145"/>
    <mergeCell ref="B143:B145"/>
    <mergeCell ref="C143:C145"/>
    <mergeCell ref="D143:D145"/>
    <mergeCell ref="E143:E145"/>
    <mergeCell ref="F143:F145"/>
    <mergeCell ref="G143:G145"/>
    <mergeCell ref="H143:H145"/>
    <mergeCell ref="A139:A142"/>
    <mergeCell ref="B139:B142"/>
    <mergeCell ref="C139:C142"/>
    <mergeCell ref="D139:D142"/>
    <mergeCell ref="E139:E142"/>
    <mergeCell ref="F139:F142"/>
    <mergeCell ref="G146:G148"/>
    <mergeCell ref="H146:H148"/>
    <mergeCell ref="A150:A152"/>
    <mergeCell ref="B150:B152"/>
    <mergeCell ref="C150:C152"/>
    <mergeCell ref="D150:D152"/>
    <mergeCell ref="E150:E152"/>
    <mergeCell ref="F150:F152"/>
    <mergeCell ref="G150:G152"/>
    <mergeCell ref="H150:H152"/>
    <mergeCell ref="A146:A148"/>
    <mergeCell ref="B146:B148"/>
    <mergeCell ref="C146:C148"/>
    <mergeCell ref="D146:D148"/>
    <mergeCell ref="E146:E148"/>
    <mergeCell ref="F146:F148"/>
    <mergeCell ref="G153:G155"/>
    <mergeCell ref="H153:H155"/>
    <mergeCell ref="A156:A158"/>
    <mergeCell ref="B156:B158"/>
    <mergeCell ref="C156:C158"/>
    <mergeCell ref="D156:D158"/>
    <mergeCell ref="E156:E158"/>
    <mergeCell ref="F156:F158"/>
    <mergeCell ref="G156:G158"/>
    <mergeCell ref="H156:H158"/>
    <mergeCell ref="A153:A155"/>
    <mergeCell ref="B153:B155"/>
    <mergeCell ref="C153:C155"/>
    <mergeCell ref="D153:D155"/>
    <mergeCell ref="E153:E155"/>
    <mergeCell ref="F153:F155"/>
  </mergeCells>
  <pageMargins left="0.7" right="0.7" top="0.75" bottom="0.75" header="0.3" footer="0.3"/>
  <pageSetup paperSize="9" scale="17"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7</vt:i4>
      </vt:variant>
    </vt:vector>
  </HeadingPairs>
  <TitlesOfParts>
    <vt:vector size="18" baseType="lpstr">
      <vt:lpstr>OKR X.ĐK 2025 Nội bộ</vt:lpstr>
      <vt:lpstr>OKR X.ĐK 2026</vt:lpstr>
      <vt:lpstr>Dashboard</vt:lpstr>
      <vt:lpstr>data</vt:lpstr>
      <vt:lpstr>TBHTĐK</vt:lpstr>
      <vt:lpstr>TBĐ</vt:lpstr>
      <vt:lpstr>TBCH</vt:lpstr>
      <vt:lpstr>TCĐK</vt:lpstr>
      <vt:lpstr>TCĐG</vt:lpstr>
      <vt:lpstr>NTĐG</vt:lpstr>
      <vt:lpstr>OKR X.ĐK 2025 X.ĐK</vt:lpstr>
      <vt:lpstr>NTĐG!Print_Area</vt:lpstr>
      <vt:lpstr>TBCH!Print_Area</vt:lpstr>
      <vt:lpstr>TBĐ!Print_Area</vt:lpstr>
      <vt:lpstr>TBHTĐK!Print_Area</vt:lpstr>
      <vt:lpstr>TCĐG!Print_Area</vt:lpstr>
      <vt:lpstr>TCĐK!Print_Area</vt:lpstr>
      <vt:lpstr>TBCH!Print_Titles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Thi Tuyet Nhung</dc:creator>
  <cp:lastModifiedBy>Bao Mai Thai</cp:lastModifiedBy>
  <cp:lastPrinted>2024-11-03T11:06:03Z</cp:lastPrinted>
  <dcterms:created xsi:type="dcterms:W3CDTF">2018-06-13T03:01:36Z</dcterms:created>
  <dcterms:modified xsi:type="dcterms:W3CDTF">2026-05-14T02:21:06Z</dcterms:modified>
</cp:coreProperties>
</file>
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Admin\Desktop\KẾ HOẠCH MỤC TIÊU\KHMT Hàng tháng\KHMT_T1_T2_T3_T4\"/>
    </mc:Choice>
  </mc:AlternateContent>
  <xr:revisionPtr revIDLastSave="0" documentId="13_ncr:1_{FAB86FB1-5158-4116-960E-2E1B58AE98E2}" xr6:coauthVersionLast="47" xr6:coauthVersionMax="47" xr10:uidLastSave="{00000000-0000-0000-0000-000000000000}"/>
  <bookViews>
    <workbookView xWindow="-120" yWindow="-120" windowWidth="29040" windowHeight="15720" firstSheet="1" activeTab="2" xr2:uid="{00000000-000D-0000-FFFF-FFFF00000000}"/>
  </bookViews>
  <sheets>
    <sheet name="OKR X.ĐK 2025 Nội bộ" sheetId="17" state="hidden" r:id="rId1"/>
    <sheet name="OKR X.ĐK 2026" sheetId="22" r:id="rId2"/>
    <sheet name="Dashboard" sheetId="14" r:id="rId3"/>
    <sheet name="data" sheetId="16" r:id="rId4"/>
    <sheet name="TBHTĐK" sheetId="25" r:id="rId5"/>
    <sheet name="TBCH" sheetId="27" r:id="rId6"/>
    <sheet name="TBĐ" sheetId="26" r:id="rId7"/>
    <sheet name="TCDK" sheetId="28" r:id="rId8"/>
    <sheet name="TCĐG" sheetId="23" r:id="rId9"/>
    <sheet name="NTĐG" sheetId="24" r:id="rId10"/>
    <sheet name="OKR X.ĐK 2025 X.ĐK" sheetId="18" state="hidden" r:id="rId1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9" hidden="1">{"'Sheet1'!$L$16"}</definedName>
    <definedName name="_____a1" localSheetId="0" hidden="1">{"'Sheet1'!$L$16"}</definedName>
    <definedName name="_____a1" localSheetId="10" hidden="1">{"'Sheet1'!$L$16"}</definedName>
    <definedName name="_____a1" localSheetId="1" hidden="1">{"'Sheet1'!$L$16"}</definedName>
    <definedName name="_____a1" localSheetId="5" hidden="1">{"'Sheet1'!$L$16"}</definedName>
    <definedName name="_____a1" localSheetId="6" hidden="1">{"'Sheet1'!$L$16"}</definedName>
    <definedName name="_____a1" localSheetId="4" hidden="1">{"'Sheet1'!$L$16"}</definedName>
    <definedName name="_____a1" localSheetId="7" hidden="1">{"'Sheet1'!$L$16"}</definedName>
    <definedName name="_____a1" localSheetId="8"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9" hidden="1">{"'Sheet1'!$L$16"}</definedName>
    <definedName name="____a1" localSheetId="0" hidden="1">{"'Sheet1'!$L$16"}</definedName>
    <definedName name="____a1" localSheetId="10" hidden="1">{"'Sheet1'!$L$16"}</definedName>
    <definedName name="____a1" localSheetId="1" hidden="1">{"'Sheet1'!$L$16"}</definedName>
    <definedName name="____a1" localSheetId="5" hidden="1">{"'Sheet1'!$L$16"}</definedName>
    <definedName name="____a1" localSheetId="6" hidden="1">{"'Sheet1'!$L$16"}</definedName>
    <definedName name="____a1" localSheetId="4" hidden="1">{"'Sheet1'!$L$16"}</definedName>
    <definedName name="____a1" localSheetId="7" hidden="1">{"'Sheet1'!$L$16"}</definedName>
    <definedName name="____a1" localSheetId="8" hidden="1">{"'Sheet1'!$L$16"}</definedName>
    <definedName name="____a1" hidden="1">{"'Sheet1'!$L$16"}</definedName>
    <definedName name="____a129" localSheetId="9" hidden="1">{"Offgrid",#N/A,FALSE,"OFFGRID";"Region",#N/A,FALSE,"REGION";"Offgrid -2",#N/A,FALSE,"OFFGRID";"WTP",#N/A,FALSE,"WTP";"WTP -2",#N/A,FALSE,"WTP";"Project",#N/A,FALSE,"PROJECT";"Summary -2",#N/A,FALSE,"SUMMARY"}</definedName>
    <definedName name="____a129" localSheetId="0" hidden="1">{"Offgrid",#N/A,FALSE,"OFFGRID";"Region",#N/A,FALSE,"REGION";"Offgrid -2",#N/A,FALSE,"OFFGRID";"WTP",#N/A,FALSE,"WTP";"WTP -2",#N/A,FALSE,"WTP";"Project",#N/A,FALSE,"PROJECT";"Summary -2",#N/A,FALSE,"SUMMARY"}</definedName>
    <definedName name="____a129" localSheetId="10"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5"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7" hidden="1">{"Offgrid",#N/A,FALSE,"OFFGRID";"Region",#N/A,FALSE,"REGION";"Offgrid -2",#N/A,FALSE,"OFFGRID";"WTP",#N/A,FALSE,"WTP";"WTP -2",#N/A,FALSE,"WTP";"Project",#N/A,FALSE,"PROJECT";"Summary -2",#N/A,FALSE,"SUMMARY"}</definedName>
    <definedName name="____a129" localSheetId="8"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10"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localSheetId="8"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9" hidden="1">{"'Sheet1'!$L$16"}</definedName>
    <definedName name="____d1500" localSheetId="0" hidden="1">{"'Sheet1'!$L$16"}</definedName>
    <definedName name="____d1500" localSheetId="10" hidden="1">{"'Sheet1'!$L$16"}</definedName>
    <definedName name="____d1500" localSheetId="1" hidden="1">{"'Sheet1'!$L$16"}</definedName>
    <definedName name="____d1500" localSheetId="5" hidden="1">{"'Sheet1'!$L$16"}</definedName>
    <definedName name="____d1500" localSheetId="6" hidden="1">{"'Sheet1'!$L$16"}</definedName>
    <definedName name="____d1500" localSheetId="4" hidden="1">{"'Sheet1'!$L$16"}</definedName>
    <definedName name="____d1500" localSheetId="7" hidden="1">{"'Sheet1'!$L$16"}</definedName>
    <definedName name="____d1500" localSheetId="8" hidden="1">{"'Sheet1'!$L$16"}</definedName>
    <definedName name="____d1500" hidden="1">{"'Sheet1'!$L$16"}</definedName>
    <definedName name="____h1" localSheetId="9" hidden="1">{"'Sheet1'!$L$16"}</definedName>
    <definedName name="____h1" localSheetId="0" hidden="1">{"'Sheet1'!$L$16"}</definedName>
    <definedName name="____h1" localSheetId="10" hidden="1">{"'Sheet1'!$L$16"}</definedName>
    <definedName name="____h1" localSheetId="1" hidden="1">{"'Sheet1'!$L$16"}</definedName>
    <definedName name="____h1" localSheetId="5" hidden="1">{"'Sheet1'!$L$16"}</definedName>
    <definedName name="____h1" localSheetId="6" hidden="1">{"'Sheet1'!$L$16"}</definedName>
    <definedName name="____h1" localSheetId="4" hidden="1">{"'Sheet1'!$L$16"}</definedName>
    <definedName name="____h1" localSheetId="7" hidden="1">{"'Sheet1'!$L$16"}</definedName>
    <definedName name="____h1" localSheetId="8" hidden="1">{"'Sheet1'!$L$16"}</definedName>
    <definedName name="____h1" hidden="1">{"'Sheet1'!$L$16"}</definedName>
    <definedName name="____hu1" localSheetId="9" hidden="1">{"'Sheet1'!$L$16"}</definedName>
    <definedName name="____hu1" localSheetId="0" hidden="1">{"'Sheet1'!$L$16"}</definedName>
    <definedName name="____hu1" localSheetId="10" hidden="1">{"'Sheet1'!$L$16"}</definedName>
    <definedName name="____hu1" localSheetId="1" hidden="1">{"'Sheet1'!$L$16"}</definedName>
    <definedName name="____hu1" localSheetId="5" hidden="1">{"'Sheet1'!$L$16"}</definedName>
    <definedName name="____hu1" localSheetId="6" hidden="1">{"'Sheet1'!$L$16"}</definedName>
    <definedName name="____hu1" localSheetId="4" hidden="1">{"'Sheet1'!$L$16"}</definedName>
    <definedName name="____hu1" localSheetId="7" hidden="1">{"'Sheet1'!$L$16"}</definedName>
    <definedName name="____hu1" localSheetId="8" hidden="1">{"'Sheet1'!$L$16"}</definedName>
    <definedName name="____hu1" hidden="1">{"'Sheet1'!$L$16"}</definedName>
    <definedName name="____hu2" localSheetId="9" hidden="1">{"'Sheet1'!$L$16"}</definedName>
    <definedName name="____hu2" localSheetId="0" hidden="1">{"'Sheet1'!$L$16"}</definedName>
    <definedName name="____hu2" localSheetId="10" hidden="1">{"'Sheet1'!$L$16"}</definedName>
    <definedName name="____hu2" localSheetId="1" hidden="1">{"'Sheet1'!$L$16"}</definedName>
    <definedName name="____hu2" localSheetId="5" hidden="1">{"'Sheet1'!$L$16"}</definedName>
    <definedName name="____hu2" localSheetId="6" hidden="1">{"'Sheet1'!$L$16"}</definedName>
    <definedName name="____hu2" localSheetId="4" hidden="1">{"'Sheet1'!$L$16"}</definedName>
    <definedName name="____hu2" localSheetId="7" hidden="1">{"'Sheet1'!$L$16"}</definedName>
    <definedName name="____hu2" localSheetId="8" hidden="1">{"'Sheet1'!$L$16"}</definedName>
    <definedName name="____hu2" hidden="1">{"'Sheet1'!$L$16"}</definedName>
    <definedName name="____hu5" localSheetId="9" hidden="1">{"'Sheet1'!$L$16"}</definedName>
    <definedName name="____hu5" localSheetId="0" hidden="1">{"'Sheet1'!$L$16"}</definedName>
    <definedName name="____hu5" localSheetId="10" hidden="1">{"'Sheet1'!$L$16"}</definedName>
    <definedName name="____hu5" localSheetId="1" hidden="1">{"'Sheet1'!$L$16"}</definedName>
    <definedName name="____hu5" localSheetId="5" hidden="1">{"'Sheet1'!$L$16"}</definedName>
    <definedName name="____hu5" localSheetId="6" hidden="1">{"'Sheet1'!$L$16"}</definedName>
    <definedName name="____hu5" localSheetId="4" hidden="1">{"'Sheet1'!$L$16"}</definedName>
    <definedName name="____hu5" localSheetId="7" hidden="1">{"'Sheet1'!$L$16"}</definedName>
    <definedName name="____hu5" localSheetId="8" hidden="1">{"'Sheet1'!$L$16"}</definedName>
    <definedName name="____hu5" hidden="1">{"'Sheet1'!$L$16"}</definedName>
    <definedName name="____hu6" localSheetId="9" hidden="1">{"'Sheet1'!$L$16"}</definedName>
    <definedName name="____hu6" localSheetId="0" hidden="1">{"'Sheet1'!$L$16"}</definedName>
    <definedName name="____hu6" localSheetId="10" hidden="1">{"'Sheet1'!$L$16"}</definedName>
    <definedName name="____hu6" localSheetId="1" hidden="1">{"'Sheet1'!$L$16"}</definedName>
    <definedName name="____hu6" localSheetId="5" hidden="1">{"'Sheet1'!$L$16"}</definedName>
    <definedName name="____hu6" localSheetId="6" hidden="1">{"'Sheet1'!$L$16"}</definedName>
    <definedName name="____hu6" localSheetId="4" hidden="1">{"'Sheet1'!$L$16"}</definedName>
    <definedName name="____hu6" localSheetId="7" hidden="1">{"'Sheet1'!$L$16"}</definedName>
    <definedName name="____hu6" localSheetId="8" hidden="1">{"'Sheet1'!$L$16"}</definedName>
    <definedName name="____hu6" hidden="1">{"'Sheet1'!$L$16"}</definedName>
    <definedName name="____hu7" localSheetId="9" hidden="1">{"'Sheet1'!$L$16"}</definedName>
    <definedName name="____hu7" localSheetId="0" hidden="1">{"'Sheet1'!$L$16"}</definedName>
    <definedName name="____hu7" localSheetId="10" hidden="1">{"'Sheet1'!$L$16"}</definedName>
    <definedName name="____hu7" localSheetId="1" hidden="1">{"'Sheet1'!$L$16"}</definedName>
    <definedName name="____hu7" localSheetId="5" hidden="1">{"'Sheet1'!$L$16"}</definedName>
    <definedName name="____hu7" localSheetId="6" hidden="1">{"'Sheet1'!$L$16"}</definedName>
    <definedName name="____hu7" localSheetId="4" hidden="1">{"'Sheet1'!$L$16"}</definedName>
    <definedName name="____hu7" localSheetId="7" hidden="1">{"'Sheet1'!$L$16"}</definedName>
    <definedName name="____hu7" localSheetId="8" hidden="1">{"'Sheet1'!$L$16"}</definedName>
    <definedName name="____hu7" hidden="1">{"'Sheet1'!$L$16"}</definedName>
    <definedName name="____k10" localSheetId="9" hidden="1">{"'Sheet1'!$L$16"}</definedName>
    <definedName name="____k10" localSheetId="0" hidden="1">{"'Sheet1'!$L$16"}</definedName>
    <definedName name="____k10" localSheetId="10" hidden="1">{"'Sheet1'!$L$16"}</definedName>
    <definedName name="____k10" localSheetId="1" hidden="1">{"'Sheet1'!$L$16"}</definedName>
    <definedName name="____k10" localSheetId="5" hidden="1">{"'Sheet1'!$L$16"}</definedName>
    <definedName name="____k10" localSheetId="6" hidden="1">{"'Sheet1'!$L$16"}</definedName>
    <definedName name="____k10" localSheetId="4" hidden="1">{"'Sheet1'!$L$16"}</definedName>
    <definedName name="____k10" localSheetId="7" hidden="1">{"'Sheet1'!$L$16"}</definedName>
    <definedName name="____k10" localSheetId="8" hidden="1">{"'Sheet1'!$L$16"}</definedName>
    <definedName name="____k10" hidden="1">{"'Sheet1'!$L$16"}</definedName>
    <definedName name="____KS2" localSheetId="9" hidden="1">{"'Sheet1'!$L$16"}</definedName>
    <definedName name="____KS2" localSheetId="0" hidden="1">{"'Sheet1'!$L$16"}</definedName>
    <definedName name="____KS2" localSheetId="10" hidden="1">{"'Sheet1'!$L$16"}</definedName>
    <definedName name="____KS2" localSheetId="1" hidden="1">{"'Sheet1'!$L$16"}</definedName>
    <definedName name="____KS2" localSheetId="5" hidden="1">{"'Sheet1'!$L$16"}</definedName>
    <definedName name="____KS2" localSheetId="6" hidden="1">{"'Sheet1'!$L$16"}</definedName>
    <definedName name="____KS2" localSheetId="4" hidden="1">{"'Sheet1'!$L$16"}</definedName>
    <definedName name="____KS2" localSheetId="7" hidden="1">{"'Sheet1'!$L$16"}</definedName>
    <definedName name="____KS2" localSheetId="8" hidden="1">{"'Sheet1'!$L$16"}</definedName>
    <definedName name="____KS2" hidden="1">{"'Sheet1'!$L$16"}</definedName>
    <definedName name="____khi2">#REF!</definedName>
    <definedName name="____muc1">#REF!</definedName>
    <definedName name="____NET2">#REF!</definedName>
    <definedName name="____PA3" localSheetId="9" hidden="1">{"'Sheet1'!$L$16"}</definedName>
    <definedName name="____PA3" localSheetId="0" hidden="1">{"'Sheet1'!$L$16"}</definedName>
    <definedName name="____PA3" localSheetId="10" hidden="1">{"'Sheet1'!$L$16"}</definedName>
    <definedName name="____PA3" localSheetId="1" hidden="1">{"'Sheet1'!$L$16"}</definedName>
    <definedName name="____PA3" localSheetId="5" hidden="1">{"'Sheet1'!$L$16"}</definedName>
    <definedName name="____PA3" localSheetId="6" hidden="1">{"'Sheet1'!$L$16"}</definedName>
    <definedName name="____PA3" localSheetId="4" hidden="1">{"'Sheet1'!$L$16"}</definedName>
    <definedName name="____PA3" localSheetId="7" hidden="1">{"'Sheet1'!$L$16"}</definedName>
    <definedName name="____PA3" localSheetId="8" hidden="1">{"'Sheet1'!$L$16"}</definedName>
    <definedName name="____PA3" hidden="1">{"'Sheet1'!$L$16"}</definedName>
    <definedName name="____PR1">#REF!</definedName>
    <definedName name="____T10" localSheetId="9" hidden="1">{"'Sheet1'!$L$16"}</definedName>
    <definedName name="____T10" localSheetId="0" hidden="1">{"'Sheet1'!$L$16"}</definedName>
    <definedName name="____T10" localSheetId="10" hidden="1">{"'Sheet1'!$L$16"}</definedName>
    <definedName name="____T10" localSheetId="1" hidden="1">{"'Sheet1'!$L$16"}</definedName>
    <definedName name="____T10" localSheetId="5" hidden="1">{"'Sheet1'!$L$16"}</definedName>
    <definedName name="____T10" localSheetId="6" hidden="1">{"'Sheet1'!$L$16"}</definedName>
    <definedName name="____T10" localSheetId="4" hidden="1">{"'Sheet1'!$L$16"}</definedName>
    <definedName name="____T10" localSheetId="7" hidden="1">{"'Sheet1'!$L$16"}</definedName>
    <definedName name="____T10" localSheetId="8" hidden="1">{"'Sheet1'!$L$16"}</definedName>
    <definedName name="____T10" hidden="1">{"'Sheet1'!$L$16"}</definedName>
    <definedName name="____T12" localSheetId="9" hidden="1">{"'Sheet1'!$L$16"}</definedName>
    <definedName name="____T12" localSheetId="0" hidden="1">{"'Sheet1'!$L$16"}</definedName>
    <definedName name="____T12" localSheetId="10" hidden="1">{"'Sheet1'!$L$16"}</definedName>
    <definedName name="____T12" localSheetId="1" hidden="1">{"'Sheet1'!$L$16"}</definedName>
    <definedName name="____T12" localSheetId="5" hidden="1">{"'Sheet1'!$L$16"}</definedName>
    <definedName name="____T12" localSheetId="6" hidden="1">{"'Sheet1'!$L$16"}</definedName>
    <definedName name="____T12" localSheetId="4" hidden="1">{"'Sheet1'!$L$16"}</definedName>
    <definedName name="____T12" localSheetId="7" hidden="1">{"'Sheet1'!$L$16"}</definedName>
    <definedName name="____T12" localSheetId="8" hidden="1">{"'Sheet1'!$L$16"}</definedName>
    <definedName name="____T12" hidden="1">{"'Sheet1'!$L$16"}</definedName>
    <definedName name="____tct3">#REF!</definedName>
    <definedName name="___a1" localSheetId="9" hidden="1">{"'Sheet1'!$L$16"}</definedName>
    <definedName name="___a1" localSheetId="0" hidden="1">{"'Sheet1'!$L$16"}</definedName>
    <definedName name="___a1" localSheetId="10" hidden="1">{"'Sheet1'!$L$16"}</definedName>
    <definedName name="___a1" localSheetId="1" hidden="1">{"'Sheet1'!$L$16"}</definedName>
    <definedName name="___a1" localSheetId="5" hidden="1">{"'Sheet1'!$L$16"}</definedName>
    <definedName name="___a1" localSheetId="6" hidden="1">{"'Sheet1'!$L$16"}</definedName>
    <definedName name="___a1" localSheetId="4" hidden="1">{"'Sheet1'!$L$16"}</definedName>
    <definedName name="___a1" localSheetId="7" hidden="1">{"'Sheet1'!$L$16"}</definedName>
    <definedName name="___a1" localSheetId="8" hidden="1">{"'Sheet1'!$L$16"}</definedName>
    <definedName name="___a1" hidden="1">{"'Sheet1'!$L$16"}</definedName>
    <definedName name="___a129" localSheetId="9" hidden="1">{"Offgrid",#N/A,FALSE,"OFFGRID";"Region",#N/A,FALSE,"REGION";"Offgrid -2",#N/A,FALSE,"OFFGRID";"WTP",#N/A,FALSE,"WTP";"WTP -2",#N/A,FALSE,"WTP";"Project",#N/A,FALSE,"PROJECT";"Summary -2",#N/A,FALSE,"SUMMARY"}</definedName>
    <definedName name="___a129" localSheetId="0" hidden="1">{"Offgrid",#N/A,FALSE,"OFFGRID";"Region",#N/A,FALSE,"REGION";"Offgrid -2",#N/A,FALSE,"OFFGRID";"WTP",#N/A,FALSE,"WTP";"WTP -2",#N/A,FALSE,"WTP";"Project",#N/A,FALSE,"PROJECT";"Summary -2",#N/A,FALSE,"SUMMARY"}</definedName>
    <definedName name="___a129" localSheetId="10"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5" hidden="1">{"Offgrid",#N/A,FALSE,"OFFGRID";"Region",#N/A,FALSE,"REGION";"Offgrid -2",#N/A,FALSE,"OFFGRID";"WTP",#N/A,FALSE,"WTP";"WTP -2",#N/A,FALSE,"WTP";"Project",#N/A,FALSE,"PROJECT";"Summary -2",#N/A,FALSE,"SUMMARY"}</definedName>
    <definedName name="___a129" localSheetId="6"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localSheetId="7" hidden="1">{"Offgrid",#N/A,FALSE,"OFFGRID";"Region",#N/A,FALSE,"REGION";"Offgrid -2",#N/A,FALSE,"OFFGRID";"WTP",#N/A,FALSE,"WTP";"WTP -2",#N/A,FALSE,"WTP";"Project",#N/A,FALSE,"PROJECT";"Summary -2",#N/A,FALSE,"SUMMARY"}</definedName>
    <definedName name="___a129" localSheetId="8"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10"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6"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7" hidden="1">{"Offgrid",#N/A,FALSE,"OFFGRID";"Region",#N/A,FALSE,"REGION";"Offgrid -2",#N/A,FALSE,"OFFGRID";"WTP",#N/A,FALSE,"WTP";"WTP -2",#N/A,FALSE,"WTP";"Project",#N/A,FALSE,"PROJECT";"Summary -2",#N/A,FALSE,"SUMMARY"}</definedName>
    <definedName name="___a130" localSheetId="8"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#REF!</definedName>
    <definedName name="___bac2">#REF!</definedName>
    <definedName name="___boi1">#REF!</definedName>
    <definedName name="___boi2">#REF!</definedName>
    <definedName name="___CON1">#REF!</definedName>
    <definedName name="___CON2">#REF!</definedName>
    <definedName name="___d1500" localSheetId="9" hidden="1">{"'Sheet1'!$L$16"}</definedName>
    <definedName name="___d1500" localSheetId="0" hidden="1">{"'Sheet1'!$L$16"}</definedName>
    <definedName name="___d1500" localSheetId="10" hidden="1">{"'Sheet1'!$L$16"}</definedName>
    <definedName name="___d1500" localSheetId="1" hidden="1">{"'Sheet1'!$L$16"}</definedName>
    <definedName name="___d1500" localSheetId="5" hidden="1">{"'Sheet1'!$L$16"}</definedName>
    <definedName name="___d1500" localSheetId="6" hidden="1">{"'Sheet1'!$L$16"}</definedName>
    <definedName name="___d1500" localSheetId="4" hidden="1">{"'Sheet1'!$L$16"}</definedName>
    <definedName name="___d1500" localSheetId="7" hidden="1">{"'Sheet1'!$L$16"}</definedName>
    <definedName name="___d1500" localSheetId="8"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9" hidden="1">{"'Sheet1'!$L$16"}</definedName>
    <definedName name="___h1" localSheetId="0" hidden="1">{"'Sheet1'!$L$16"}</definedName>
    <definedName name="___h1" localSheetId="10" hidden="1">{"'Sheet1'!$L$16"}</definedName>
    <definedName name="___h1" localSheetId="1" hidden="1">{"'Sheet1'!$L$16"}</definedName>
    <definedName name="___h1" localSheetId="5" hidden="1">{"'Sheet1'!$L$16"}</definedName>
    <definedName name="___h1" localSheetId="6" hidden="1">{"'Sheet1'!$L$16"}</definedName>
    <definedName name="___h1" localSheetId="4" hidden="1">{"'Sheet1'!$L$16"}</definedName>
    <definedName name="___h1" localSheetId="7" hidden="1">{"'Sheet1'!$L$16"}</definedName>
    <definedName name="___h1" localSheetId="8" hidden="1">{"'Sheet1'!$L$16"}</definedName>
    <definedName name="___h1" hidden="1">{"'Sheet1'!$L$16"}</definedName>
    <definedName name="___hu1" localSheetId="9" hidden="1">{"'Sheet1'!$L$16"}</definedName>
    <definedName name="___hu1" localSheetId="0" hidden="1">{"'Sheet1'!$L$16"}</definedName>
    <definedName name="___hu1" localSheetId="10" hidden="1">{"'Sheet1'!$L$16"}</definedName>
    <definedName name="___hu1" localSheetId="1" hidden="1">{"'Sheet1'!$L$16"}</definedName>
    <definedName name="___hu1" localSheetId="5" hidden="1">{"'Sheet1'!$L$16"}</definedName>
    <definedName name="___hu1" localSheetId="6" hidden="1">{"'Sheet1'!$L$16"}</definedName>
    <definedName name="___hu1" localSheetId="4" hidden="1">{"'Sheet1'!$L$16"}</definedName>
    <definedName name="___hu1" localSheetId="7" hidden="1">{"'Sheet1'!$L$16"}</definedName>
    <definedName name="___hu1" localSheetId="8" hidden="1">{"'Sheet1'!$L$16"}</definedName>
    <definedName name="___hu1" hidden="1">{"'Sheet1'!$L$16"}</definedName>
    <definedName name="___hu2" localSheetId="9" hidden="1">{"'Sheet1'!$L$16"}</definedName>
    <definedName name="___hu2" localSheetId="0" hidden="1">{"'Sheet1'!$L$16"}</definedName>
    <definedName name="___hu2" localSheetId="10" hidden="1">{"'Sheet1'!$L$16"}</definedName>
    <definedName name="___hu2" localSheetId="1" hidden="1">{"'Sheet1'!$L$16"}</definedName>
    <definedName name="___hu2" localSheetId="5" hidden="1">{"'Sheet1'!$L$16"}</definedName>
    <definedName name="___hu2" localSheetId="6" hidden="1">{"'Sheet1'!$L$16"}</definedName>
    <definedName name="___hu2" localSheetId="4" hidden="1">{"'Sheet1'!$L$16"}</definedName>
    <definedName name="___hu2" localSheetId="7" hidden="1">{"'Sheet1'!$L$16"}</definedName>
    <definedName name="___hu2" localSheetId="8" hidden="1">{"'Sheet1'!$L$16"}</definedName>
    <definedName name="___hu2" hidden="1">{"'Sheet1'!$L$16"}</definedName>
    <definedName name="___hu5" localSheetId="9" hidden="1">{"'Sheet1'!$L$16"}</definedName>
    <definedName name="___hu5" localSheetId="0" hidden="1">{"'Sheet1'!$L$16"}</definedName>
    <definedName name="___hu5" localSheetId="10" hidden="1">{"'Sheet1'!$L$16"}</definedName>
    <definedName name="___hu5" localSheetId="1" hidden="1">{"'Sheet1'!$L$16"}</definedName>
    <definedName name="___hu5" localSheetId="5" hidden="1">{"'Sheet1'!$L$16"}</definedName>
    <definedName name="___hu5" localSheetId="6" hidden="1">{"'Sheet1'!$L$16"}</definedName>
    <definedName name="___hu5" localSheetId="4" hidden="1">{"'Sheet1'!$L$16"}</definedName>
    <definedName name="___hu5" localSheetId="7" hidden="1">{"'Sheet1'!$L$16"}</definedName>
    <definedName name="___hu5" localSheetId="8" hidden="1">{"'Sheet1'!$L$16"}</definedName>
    <definedName name="___hu5" hidden="1">{"'Sheet1'!$L$16"}</definedName>
    <definedName name="___hu6" localSheetId="9" hidden="1">{"'Sheet1'!$L$16"}</definedName>
    <definedName name="___hu6" localSheetId="0" hidden="1">{"'Sheet1'!$L$16"}</definedName>
    <definedName name="___hu6" localSheetId="10" hidden="1">{"'Sheet1'!$L$16"}</definedName>
    <definedName name="___hu6" localSheetId="1" hidden="1">{"'Sheet1'!$L$16"}</definedName>
    <definedName name="___hu6" localSheetId="5" hidden="1">{"'Sheet1'!$L$16"}</definedName>
    <definedName name="___hu6" localSheetId="6" hidden="1">{"'Sheet1'!$L$16"}</definedName>
    <definedName name="___hu6" localSheetId="4" hidden="1">{"'Sheet1'!$L$16"}</definedName>
    <definedName name="___hu6" localSheetId="7" hidden="1">{"'Sheet1'!$L$16"}</definedName>
    <definedName name="___hu6" localSheetId="8" hidden="1">{"'Sheet1'!$L$16"}</definedName>
    <definedName name="___hu6" hidden="1">{"'Sheet1'!$L$16"}</definedName>
    <definedName name="___hu7" localSheetId="9" hidden="1">{"'Sheet1'!$L$16"}</definedName>
    <definedName name="___hu7" localSheetId="0" hidden="1">{"'Sheet1'!$L$16"}</definedName>
    <definedName name="___hu7" localSheetId="10" hidden="1">{"'Sheet1'!$L$16"}</definedName>
    <definedName name="___hu7" localSheetId="1" hidden="1">{"'Sheet1'!$L$16"}</definedName>
    <definedName name="___hu7" localSheetId="5" hidden="1">{"'Sheet1'!$L$16"}</definedName>
    <definedName name="___hu7" localSheetId="6" hidden="1">{"'Sheet1'!$L$16"}</definedName>
    <definedName name="___hu7" localSheetId="4" hidden="1">{"'Sheet1'!$L$16"}</definedName>
    <definedName name="___hu7" localSheetId="7" hidden="1">{"'Sheet1'!$L$16"}</definedName>
    <definedName name="___hu7" localSheetId="8" hidden="1">{"'Sheet1'!$L$16"}</definedName>
    <definedName name="___hu7" hidden="1">{"'Sheet1'!$L$16"}</definedName>
    <definedName name="___k10" localSheetId="9" hidden="1">{"'Sheet1'!$L$16"}</definedName>
    <definedName name="___k10" localSheetId="0" hidden="1">{"'Sheet1'!$L$16"}</definedName>
    <definedName name="___k10" localSheetId="10" hidden="1">{"'Sheet1'!$L$16"}</definedName>
    <definedName name="___k10" localSheetId="1" hidden="1">{"'Sheet1'!$L$16"}</definedName>
    <definedName name="___k10" localSheetId="5" hidden="1">{"'Sheet1'!$L$16"}</definedName>
    <definedName name="___k10" localSheetId="6" hidden="1">{"'Sheet1'!$L$16"}</definedName>
    <definedName name="___k10" localSheetId="4" hidden="1">{"'Sheet1'!$L$16"}</definedName>
    <definedName name="___k10" localSheetId="7" hidden="1">{"'Sheet1'!$L$16"}</definedName>
    <definedName name="___k10" localSheetId="8" hidden="1">{"'Sheet1'!$L$16"}</definedName>
    <definedName name="___k10" hidden="1">{"'Sheet1'!$L$16"}</definedName>
    <definedName name="___KS2" localSheetId="9" hidden="1">{"'Sheet1'!$L$16"}</definedName>
    <definedName name="___KS2" localSheetId="0" hidden="1">{"'Sheet1'!$L$16"}</definedName>
    <definedName name="___KS2" localSheetId="10" hidden="1">{"'Sheet1'!$L$16"}</definedName>
    <definedName name="___KS2" localSheetId="1" hidden="1">{"'Sheet1'!$L$16"}</definedName>
    <definedName name="___KS2" localSheetId="5" hidden="1">{"'Sheet1'!$L$16"}</definedName>
    <definedName name="___KS2" localSheetId="6" hidden="1">{"'Sheet1'!$L$16"}</definedName>
    <definedName name="___KS2" localSheetId="4" hidden="1">{"'Sheet1'!$L$16"}</definedName>
    <definedName name="___KS2" localSheetId="7" hidden="1">{"'Sheet1'!$L$16"}</definedName>
    <definedName name="___KS2" localSheetId="8"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9" hidden="1">{"'Sheet1'!$L$16"}</definedName>
    <definedName name="___PA3" localSheetId="0" hidden="1">{"'Sheet1'!$L$16"}</definedName>
    <definedName name="___PA3" localSheetId="10" hidden="1">{"'Sheet1'!$L$16"}</definedName>
    <definedName name="___PA3" localSheetId="1" hidden="1">{"'Sheet1'!$L$16"}</definedName>
    <definedName name="___PA3" localSheetId="5" hidden="1">{"'Sheet1'!$L$16"}</definedName>
    <definedName name="___PA3" localSheetId="6" hidden="1">{"'Sheet1'!$L$16"}</definedName>
    <definedName name="___PA3" localSheetId="4" hidden="1">{"'Sheet1'!$L$16"}</definedName>
    <definedName name="___PA3" localSheetId="7" hidden="1">{"'Sheet1'!$L$16"}</definedName>
    <definedName name="___PA3" localSheetId="8" hidden="1">{"'Sheet1'!$L$16"}</definedName>
    <definedName name="___PA3" hidden="1">{"'Sheet1'!$L$16"}</definedName>
    <definedName name="___PR1">#REF!</definedName>
    <definedName name="___T10" localSheetId="9" hidden="1">{"'Sheet1'!$L$16"}</definedName>
    <definedName name="___T10" localSheetId="0" hidden="1">{"'Sheet1'!$L$16"}</definedName>
    <definedName name="___T10" localSheetId="10" hidden="1">{"'Sheet1'!$L$16"}</definedName>
    <definedName name="___T10" localSheetId="1" hidden="1">{"'Sheet1'!$L$16"}</definedName>
    <definedName name="___T10" localSheetId="5" hidden="1">{"'Sheet1'!$L$16"}</definedName>
    <definedName name="___T10" localSheetId="6" hidden="1">{"'Sheet1'!$L$16"}</definedName>
    <definedName name="___T10" localSheetId="4" hidden="1">{"'Sheet1'!$L$16"}</definedName>
    <definedName name="___T10" localSheetId="7" hidden="1">{"'Sheet1'!$L$16"}</definedName>
    <definedName name="___T10" localSheetId="8" hidden="1">{"'Sheet1'!$L$16"}</definedName>
    <definedName name="___T10" hidden="1">{"'Sheet1'!$L$16"}</definedName>
    <definedName name="___T12" localSheetId="9" hidden="1">{"'Sheet1'!$L$16"}</definedName>
    <definedName name="___T12" localSheetId="0" hidden="1">{"'Sheet1'!$L$16"}</definedName>
    <definedName name="___T12" localSheetId="10" hidden="1">{"'Sheet1'!$L$16"}</definedName>
    <definedName name="___T12" localSheetId="1" hidden="1">{"'Sheet1'!$L$16"}</definedName>
    <definedName name="___T12" localSheetId="5" hidden="1">{"'Sheet1'!$L$16"}</definedName>
    <definedName name="___T12" localSheetId="6" hidden="1">{"'Sheet1'!$L$16"}</definedName>
    <definedName name="___T12" localSheetId="4" hidden="1">{"'Sheet1'!$L$16"}</definedName>
    <definedName name="___T12" localSheetId="7" hidden="1">{"'Sheet1'!$L$16"}</definedName>
    <definedName name="___T12" localSheetId="8" hidden="1">{"'Sheet1'!$L$16"}</definedName>
    <definedName name="___T12" hidden="1">{"'Sheet1'!$L$16"}</definedName>
    <definedName name="___tct3">#REF!</definedName>
    <definedName name="___vc1">#REF!</definedName>
    <definedName name="___vc2">#REF!</definedName>
    <definedName name="___vc3">#REF!</definedName>
    <definedName name="__a1" localSheetId="9" hidden="1">{"'Sheet1'!$L$16"}</definedName>
    <definedName name="__a1" localSheetId="0" hidden="1">{"'Sheet1'!$L$16"}</definedName>
    <definedName name="__a1" localSheetId="10" hidden="1">{"'Sheet1'!$L$16"}</definedName>
    <definedName name="__a1" localSheetId="1" hidden="1">{"'Sheet1'!$L$16"}</definedName>
    <definedName name="__a1" localSheetId="5" hidden="1">{"'Sheet1'!$L$16"}</definedName>
    <definedName name="__a1" localSheetId="6" hidden="1">{"'Sheet1'!$L$16"}</definedName>
    <definedName name="__a1" localSheetId="4" hidden="1">{"'Sheet1'!$L$16"}</definedName>
    <definedName name="__a1" localSheetId="7" hidden="1">{"'Sheet1'!$L$16"}</definedName>
    <definedName name="__a1" localSheetId="8" hidden="1">{"'Sheet1'!$L$16"}</definedName>
    <definedName name="__a1" hidden="1">{"'Sheet1'!$L$16"}</definedName>
    <definedName name="__a129" localSheetId="9" hidden="1">{"Offgrid",#N/A,FALSE,"OFFGRID";"Region",#N/A,FALSE,"REGION";"Offgrid -2",#N/A,FALSE,"OFFGRID";"WTP",#N/A,FALSE,"WTP";"WTP -2",#N/A,FALSE,"WTP";"Project",#N/A,FALSE,"PROJECT";"Summary -2",#N/A,FALSE,"SUMMARY"}</definedName>
    <definedName name="__a129" localSheetId="0" hidden="1">{"Offgrid",#N/A,FALSE,"OFFGRID";"Region",#N/A,FALSE,"REGION";"Offgrid -2",#N/A,FALSE,"OFFGRID";"WTP",#N/A,FALSE,"WTP";"WTP -2",#N/A,FALSE,"WTP";"Project",#N/A,FALSE,"PROJECT";"Summary -2",#N/A,FALSE,"SUMMARY"}</definedName>
    <definedName name="__a129" localSheetId="10"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5"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localSheetId="8"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10"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 localSheetId="7">#REF!</definedName>
    <definedName name="__bac1">#REF!</definedName>
    <definedName name="__bac2" localSheetId="7">#REF!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9" hidden="1">{"'Sheet1'!$L$16"}</definedName>
    <definedName name="__d1500" localSheetId="0" hidden="1">{"'Sheet1'!$L$16"}</definedName>
    <definedName name="__d1500" localSheetId="10" hidden="1">{"'Sheet1'!$L$16"}</definedName>
    <definedName name="__d1500" localSheetId="1" hidden="1">{"'Sheet1'!$L$16"}</definedName>
    <definedName name="__d1500" localSheetId="5" hidden="1">{"'Sheet1'!$L$16"}</definedName>
    <definedName name="__d1500" localSheetId="6" hidden="1">{"'Sheet1'!$L$16"}</definedName>
    <definedName name="__d1500" localSheetId="4" hidden="1">{"'Sheet1'!$L$16"}</definedName>
    <definedName name="__d1500" localSheetId="7" hidden="1">{"'Sheet1'!$L$16"}</definedName>
    <definedName name="__d1500" localSheetId="8"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9" hidden="1">{"'Sheet1'!$L$16"}</definedName>
    <definedName name="__h1" localSheetId="0" hidden="1">{"'Sheet1'!$L$16"}</definedName>
    <definedName name="__h1" localSheetId="10" hidden="1">{"'Sheet1'!$L$16"}</definedName>
    <definedName name="__h1" localSheetId="1" hidden="1">{"'Sheet1'!$L$16"}</definedName>
    <definedName name="__h1" localSheetId="5" hidden="1">{"'Sheet1'!$L$16"}</definedName>
    <definedName name="__h1" localSheetId="6" hidden="1">{"'Sheet1'!$L$16"}</definedName>
    <definedName name="__h1" localSheetId="4" hidden="1">{"'Sheet1'!$L$16"}</definedName>
    <definedName name="__h1" localSheetId="7" hidden="1">{"'Sheet1'!$L$16"}</definedName>
    <definedName name="__h1" localSheetId="8" hidden="1">{"'Sheet1'!$L$16"}</definedName>
    <definedName name="__h1" hidden="1">{"'Sheet1'!$L$16"}</definedName>
    <definedName name="__han23">#REF!</definedName>
    <definedName name="__hu1" localSheetId="9" hidden="1">{"'Sheet1'!$L$16"}</definedName>
    <definedName name="__hu1" localSheetId="0" hidden="1">{"'Sheet1'!$L$16"}</definedName>
    <definedName name="__hu1" localSheetId="10" hidden="1">{"'Sheet1'!$L$16"}</definedName>
    <definedName name="__hu1" localSheetId="1" hidden="1">{"'Sheet1'!$L$16"}</definedName>
    <definedName name="__hu1" localSheetId="5" hidden="1">{"'Sheet1'!$L$16"}</definedName>
    <definedName name="__hu1" localSheetId="6" hidden="1">{"'Sheet1'!$L$16"}</definedName>
    <definedName name="__hu1" localSheetId="4" hidden="1">{"'Sheet1'!$L$16"}</definedName>
    <definedName name="__hu1" localSheetId="7" hidden="1">{"'Sheet1'!$L$16"}</definedName>
    <definedName name="__hu1" localSheetId="8" hidden="1">{"'Sheet1'!$L$16"}</definedName>
    <definedName name="__hu1" hidden="1">{"'Sheet1'!$L$16"}</definedName>
    <definedName name="__hu2" localSheetId="9" hidden="1">{"'Sheet1'!$L$16"}</definedName>
    <definedName name="__hu2" localSheetId="0" hidden="1">{"'Sheet1'!$L$16"}</definedName>
    <definedName name="__hu2" localSheetId="10" hidden="1">{"'Sheet1'!$L$16"}</definedName>
    <definedName name="__hu2" localSheetId="1" hidden="1">{"'Sheet1'!$L$16"}</definedName>
    <definedName name="__hu2" localSheetId="5" hidden="1">{"'Sheet1'!$L$16"}</definedName>
    <definedName name="__hu2" localSheetId="6" hidden="1">{"'Sheet1'!$L$16"}</definedName>
    <definedName name="__hu2" localSheetId="4" hidden="1">{"'Sheet1'!$L$16"}</definedName>
    <definedName name="__hu2" localSheetId="7" hidden="1">{"'Sheet1'!$L$16"}</definedName>
    <definedName name="__hu2" localSheetId="8" hidden="1">{"'Sheet1'!$L$16"}</definedName>
    <definedName name="__hu2" hidden="1">{"'Sheet1'!$L$16"}</definedName>
    <definedName name="__hu5" localSheetId="9" hidden="1">{"'Sheet1'!$L$16"}</definedName>
    <definedName name="__hu5" localSheetId="0" hidden="1">{"'Sheet1'!$L$16"}</definedName>
    <definedName name="__hu5" localSheetId="10" hidden="1">{"'Sheet1'!$L$16"}</definedName>
    <definedName name="__hu5" localSheetId="1" hidden="1">{"'Sheet1'!$L$16"}</definedName>
    <definedName name="__hu5" localSheetId="5" hidden="1">{"'Sheet1'!$L$16"}</definedName>
    <definedName name="__hu5" localSheetId="6" hidden="1">{"'Sheet1'!$L$16"}</definedName>
    <definedName name="__hu5" localSheetId="4" hidden="1">{"'Sheet1'!$L$16"}</definedName>
    <definedName name="__hu5" localSheetId="7" hidden="1">{"'Sheet1'!$L$16"}</definedName>
    <definedName name="__hu5" localSheetId="8" hidden="1">{"'Sheet1'!$L$16"}</definedName>
    <definedName name="__hu5" hidden="1">{"'Sheet1'!$L$16"}</definedName>
    <definedName name="__hu6" localSheetId="9" hidden="1">{"'Sheet1'!$L$16"}</definedName>
    <definedName name="__hu6" localSheetId="0" hidden="1">{"'Sheet1'!$L$16"}</definedName>
    <definedName name="__hu6" localSheetId="10" hidden="1">{"'Sheet1'!$L$16"}</definedName>
    <definedName name="__hu6" localSheetId="1" hidden="1">{"'Sheet1'!$L$16"}</definedName>
    <definedName name="__hu6" localSheetId="5" hidden="1">{"'Sheet1'!$L$16"}</definedName>
    <definedName name="__hu6" localSheetId="6" hidden="1">{"'Sheet1'!$L$16"}</definedName>
    <definedName name="__hu6" localSheetId="4" hidden="1">{"'Sheet1'!$L$16"}</definedName>
    <definedName name="__hu6" localSheetId="7" hidden="1">{"'Sheet1'!$L$16"}</definedName>
    <definedName name="__hu6" localSheetId="8" hidden="1">{"'Sheet1'!$L$16"}</definedName>
    <definedName name="__hu6" hidden="1">{"'Sheet1'!$L$16"}</definedName>
    <definedName name="__hu7" localSheetId="9" hidden="1">{"'Sheet1'!$L$16"}</definedName>
    <definedName name="__hu7" localSheetId="0" hidden="1">{"'Sheet1'!$L$16"}</definedName>
    <definedName name="__hu7" localSheetId="10" hidden="1">{"'Sheet1'!$L$16"}</definedName>
    <definedName name="__hu7" localSheetId="1" hidden="1">{"'Sheet1'!$L$16"}</definedName>
    <definedName name="__hu7" localSheetId="5" hidden="1">{"'Sheet1'!$L$16"}</definedName>
    <definedName name="__hu7" localSheetId="6" hidden="1">{"'Sheet1'!$L$16"}</definedName>
    <definedName name="__hu7" localSheetId="4" hidden="1">{"'Sheet1'!$L$16"}</definedName>
    <definedName name="__hu7" localSheetId="7" hidden="1">{"'Sheet1'!$L$16"}</definedName>
    <definedName name="__hu7" localSheetId="8" hidden="1">{"'Sheet1'!$L$16"}</definedName>
    <definedName name="__hu7" hidden="1">{"'Sheet1'!$L$16"}</definedName>
    <definedName name="__IntlFixup" hidden="1">TRUE</definedName>
    <definedName name="__k10" localSheetId="9" hidden="1">{"'Sheet1'!$L$16"}</definedName>
    <definedName name="__k10" localSheetId="0" hidden="1">{"'Sheet1'!$L$16"}</definedName>
    <definedName name="__k10" localSheetId="10" hidden="1">{"'Sheet1'!$L$16"}</definedName>
    <definedName name="__k10" localSheetId="1" hidden="1">{"'Sheet1'!$L$16"}</definedName>
    <definedName name="__k10" localSheetId="5" hidden="1">{"'Sheet1'!$L$16"}</definedName>
    <definedName name="__k10" localSheetId="6" hidden="1">{"'Sheet1'!$L$16"}</definedName>
    <definedName name="__k10" localSheetId="4" hidden="1">{"'Sheet1'!$L$16"}</definedName>
    <definedName name="__k10" localSheetId="7" hidden="1">{"'Sheet1'!$L$16"}</definedName>
    <definedName name="__k10" localSheetId="8" hidden="1">{"'Sheet1'!$L$16"}</definedName>
    <definedName name="__k10" hidden="1">{"'Sheet1'!$L$16"}</definedName>
    <definedName name="__KS2" localSheetId="9" hidden="1">{"'Sheet1'!$L$16"}</definedName>
    <definedName name="__KS2" localSheetId="0" hidden="1">{"'Sheet1'!$L$16"}</definedName>
    <definedName name="__KS2" localSheetId="10" hidden="1">{"'Sheet1'!$L$16"}</definedName>
    <definedName name="__KS2" localSheetId="1" hidden="1">{"'Sheet1'!$L$16"}</definedName>
    <definedName name="__KS2" localSheetId="5" hidden="1">{"'Sheet1'!$L$16"}</definedName>
    <definedName name="__KS2" localSheetId="6" hidden="1">{"'Sheet1'!$L$16"}</definedName>
    <definedName name="__KS2" localSheetId="4" hidden="1">{"'Sheet1'!$L$16"}</definedName>
    <definedName name="__KS2" localSheetId="7" hidden="1">{"'Sheet1'!$L$16"}</definedName>
    <definedName name="__KS2" localSheetId="8"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9" hidden="1">{"'Sheet1'!$L$16"}</definedName>
    <definedName name="__NSO2" localSheetId="0" hidden="1">{"'Sheet1'!$L$16"}</definedName>
    <definedName name="__NSO2" localSheetId="10" hidden="1">{"'Sheet1'!$L$16"}</definedName>
    <definedName name="__NSO2" localSheetId="1" hidden="1">{"'Sheet1'!$L$16"}</definedName>
    <definedName name="__NSO2" localSheetId="5" hidden="1">{"'Sheet1'!$L$16"}</definedName>
    <definedName name="__NSO2" localSheetId="6" hidden="1">{"'Sheet1'!$L$16"}</definedName>
    <definedName name="__NSO2" localSheetId="4" hidden="1">{"'Sheet1'!$L$16"}</definedName>
    <definedName name="__NSO2" localSheetId="7" hidden="1">{"'Sheet1'!$L$16"}</definedName>
    <definedName name="__NSO2" localSheetId="8" hidden="1">{"'Sheet1'!$L$16"}</definedName>
    <definedName name="__NSO2" hidden="1">{"'Sheet1'!$L$16"}</definedName>
    <definedName name="__nga3">#REF!</definedName>
    <definedName name="__oto10">#REF!</definedName>
    <definedName name="__PA3" localSheetId="9" hidden="1">{"'Sheet1'!$L$16"}</definedName>
    <definedName name="__PA3" localSheetId="0" hidden="1">{"'Sheet1'!$L$16"}</definedName>
    <definedName name="__PA3" localSheetId="10" hidden="1">{"'Sheet1'!$L$16"}</definedName>
    <definedName name="__PA3" localSheetId="1" hidden="1">{"'Sheet1'!$L$16"}</definedName>
    <definedName name="__PA3" localSheetId="5" hidden="1">{"'Sheet1'!$L$16"}</definedName>
    <definedName name="__PA3" localSheetId="6" hidden="1">{"'Sheet1'!$L$16"}</definedName>
    <definedName name="__PA3" localSheetId="4" hidden="1">{"'Sheet1'!$L$16"}</definedName>
    <definedName name="__PA3" localSheetId="7" hidden="1">{"'Sheet1'!$L$16"}</definedName>
    <definedName name="__PA3" localSheetId="8"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9" hidden="1">{"'Sheet1'!$L$16"}</definedName>
    <definedName name="__T10" localSheetId="0" hidden="1">{"'Sheet1'!$L$16"}</definedName>
    <definedName name="__T10" localSheetId="10" hidden="1">{"'Sheet1'!$L$16"}</definedName>
    <definedName name="__T10" localSheetId="1" hidden="1">{"'Sheet1'!$L$16"}</definedName>
    <definedName name="__T10" localSheetId="5" hidden="1">{"'Sheet1'!$L$16"}</definedName>
    <definedName name="__T10" localSheetId="6" hidden="1">{"'Sheet1'!$L$16"}</definedName>
    <definedName name="__T10" localSheetId="4" hidden="1">{"'Sheet1'!$L$16"}</definedName>
    <definedName name="__T10" localSheetId="7" hidden="1">{"'Sheet1'!$L$16"}</definedName>
    <definedName name="__T10" localSheetId="8" hidden="1">{"'Sheet1'!$L$16"}</definedName>
    <definedName name="__T10" hidden="1">{"'Sheet1'!$L$16"}</definedName>
    <definedName name="__T12" localSheetId="9" hidden="1">{"'Sheet1'!$L$16"}</definedName>
    <definedName name="__T12" localSheetId="0" hidden="1">{"'Sheet1'!$L$16"}</definedName>
    <definedName name="__T12" localSheetId="10" hidden="1">{"'Sheet1'!$L$16"}</definedName>
    <definedName name="__T12" localSheetId="1" hidden="1">{"'Sheet1'!$L$16"}</definedName>
    <definedName name="__T12" localSheetId="5" hidden="1">{"'Sheet1'!$L$16"}</definedName>
    <definedName name="__T12" localSheetId="6" hidden="1">{"'Sheet1'!$L$16"}</definedName>
    <definedName name="__T12" localSheetId="4" hidden="1">{"'Sheet1'!$L$16"}</definedName>
    <definedName name="__T12" localSheetId="7" hidden="1">{"'Sheet1'!$L$16"}</definedName>
    <definedName name="__T12" localSheetId="8"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9">{"'Sheet1'!$L$16"}</definedName>
    <definedName name="_a1" localSheetId="0">{"'Sheet1'!$L$16"}</definedName>
    <definedName name="_a1" localSheetId="10">{"'Sheet1'!$L$16"}</definedName>
    <definedName name="_a1" localSheetId="1">{"'Sheet1'!$L$16"}</definedName>
    <definedName name="_a1" localSheetId="5">{"'Sheet1'!$L$16"}</definedName>
    <definedName name="_a1" localSheetId="6">{"'Sheet1'!$L$16"}</definedName>
    <definedName name="_a1" localSheetId="4">{"'Sheet1'!$L$16"}</definedName>
    <definedName name="_a1" localSheetId="7">{"'Sheet1'!$L$16"}</definedName>
    <definedName name="_a1" localSheetId="8">{"'Sheet1'!$L$16"}</definedName>
    <definedName name="_a1">{"'Sheet1'!$L$16"}</definedName>
    <definedName name="_a129" localSheetId="9"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9" hidden="1">{"'Sheet1'!$L$16"}</definedName>
    <definedName name="_a2" localSheetId="0" hidden="1">{"'Sheet1'!$L$16"}</definedName>
    <definedName name="_a2" localSheetId="10" hidden="1">{"'Sheet1'!$L$16"}</definedName>
    <definedName name="_a2" localSheetId="1" hidden="1">{"'Sheet1'!$L$16"}</definedName>
    <definedName name="_a2" localSheetId="5" hidden="1">{"'Sheet1'!$L$16"}</definedName>
    <definedName name="_a2" localSheetId="6" hidden="1">{"'Sheet1'!$L$16"}</definedName>
    <definedName name="_a2" localSheetId="4" hidden="1">{"'Sheet1'!$L$16"}</definedName>
    <definedName name="_a2" localSheetId="7" hidden="1">{"'Sheet1'!$L$16"}</definedName>
    <definedName name="_a2" localSheetId="8"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#REF!</definedName>
    <definedName name="_bac2">#REF!</definedName>
    <definedName name="_bac3">#REF!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9" hidden="1">{"'Sheet1'!$L$16"}</definedName>
    <definedName name="_d1500" localSheetId="0" hidden="1">{"'Sheet1'!$L$16"}</definedName>
    <definedName name="_d1500" localSheetId="10" hidden="1">{"'Sheet1'!$L$16"}</definedName>
    <definedName name="_d1500" localSheetId="1" hidden="1">{"'Sheet1'!$L$16"}</definedName>
    <definedName name="_d1500" localSheetId="5" hidden="1">{"'Sheet1'!$L$16"}</definedName>
    <definedName name="_d1500" localSheetId="6" hidden="1">{"'Sheet1'!$L$16"}</definedName>
    <definedName name="_d1500" localSheetId="4" hidden="1">{"'Sheet1'!$L$16"}</definedName>
    <definedName name="_d1500" localSheetId="7" hidden="1">{"'Sheet1'!$L$16"}</definedName>
    <definedName name="_d1500" localSheetId="8"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9" hidden="1">{"'Sheet1'!$L$16"}</definedName>
    <definedName name="_f5" localSheetId="0" hidden="1">{"'Sheet1'!$L$16"}</definedName>
    <definedName name="_f5" localSheetId="10" hidden="1">{"'Sheet1'!$L$16"}</definedName>
    <definedName name="_f5" localSheetId="1" hidden="1">{"'Sheet1'!$L$16"}</definedName>
    <definedName name="_f5" localSheetId="5" hidden="1">{"'Sheet1'!$L$16"}</definedName>
    <definedName name="_f5" localSheetId="6" hidden="1">{"'Sheet1'!$L$16"}</definedName>
    <definedName name="_f5" localSheetId="4" hidden="1">{"'Sheet1'!$L$16"}</definedName>
    <definedName name="_f5" localSheetId="7" hidden="1">{"'Sheet1'!$L$16"}</definedName>
    <definedName name="_f5" localSheetId="8" hidden="1">{"'Sheet1'!$L$16"}</definedName>
    <definedName name="_f5" hidden="1">{"'Sheet1'!$L$16"}</definedName>
    <definedName name="_Fill" hidden="1">#REF!</definedName>
    <definedName name="_xlnm._FilterDatabase" localSheetId="10" hidden="1">'OKR X.ĐK 2025 X.ĐK'!$A$2:$U$2</definedName>
    <definedName name="_xlnm._FilterDatabase" hidden="1">#REF!</definedName>
    <definedName name="_G1">#REF!</definedName>
    <definedName name="_Goi8" localSheetId="9" hidden="1">{"'Sheet1'!$L$16"}</definedName>
    <definedName name="_Goi8" localSheetId="0" hidden="1">{"'Sheet1'!$L$16"}</definedName>
    <definedName name="_Goi8" localSheetId="10" hidden="1">{"'Sheet1'!$L$16"}</definedName>
    <definedName name="_Goi8" localSheetId="1" hidden="1">{"'Sheet1'!$L$16"}</definedName>
    <definedName name="_Goi8" localSheetId="5" hidden="1">{"'Sheet1'!$L$16"}</definedName>
    <definedName name="_Goi8" localSheetId="6" hidden="1">{"'Sheet1'!$L$16"}</definedName>
    <definedName name="_Goi8" localSheetId="4" hidden="1">{"'Sheet1'!$L$16"}</definedName>
    <definedName name="_Goi8" localSheetId="7" hidden="1">{"'Sheet1'!$L$16"}</definedName>
    <definedName name="_Goi8" localSheetId="8" hidden="1">{"'Sheet1'!$L$16"}</definedName>
    <definedName name="_Goi8" hidden="1">{"'Sheet1'!$L$16"}</definedName>
    <definedName name="_gon4">#REF!</definedName>
    <definedName name="_gvl1">#REF!</definedName>
    <definedName name="_GID1">#REF!</definedName>
    <definedName name="_h1" localSheetId="9" hidden="1">{"'Sheet1'!$L$16"}</definedName>
    <definedName name="_h1" localSheetId="0" hidden="1">{"'Sheet1'!$L$16"}</definedName>
    <definedName name="_h1" localSheetId="10" hidden="1">{"'Sheet1'!$L$16"}</definedName>
    <definedName name="_h1" localSheetId="1" hidden="1">{"'Sheet1'!$L$16"}</definedName>
    <definedName name="_h1" localSheetId="5" hidden="1">{"'Sheet1'!$L$16"}</definedName>
    <definedName name="_h1" localSheetId="6" hidden="1">{"'Sheet1'!$L$16"}</definedName>
    <definedName name="_h1" localSheetId="4" hidden="1">{"'Sheet1'!$L$16"}</definedName>
    <definedName name="_h1" localSheetId="7" hidden="1">{"'Sheet1'!$L$16"}</definedName>
    <definedName name="_h1" localSheetId="8"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9" hidden="1">{"'Sheet1'!$L$16"}</definedName>
    <definedName name="_hu1" localSheetId="0" hidden="1">{"'Sheet1'!$L$16"}</definedName>
    <definedName name="_hu1" localSheetId="10" hidden="1">{"'Sheet1'!$L$16"}</definedName>
    <definedName name="_hu1" localSheetId="1" hidden="1">{"'Sheet1'!$L$16"}</definedName>
    <definedName name="_hu1" localSheetId="5" hidden="1">{"'Sheet1'!$L$16"}</definedName>
    <definedName name="_hu1" localSheetId="6" hidden="1">{"'Sheet1'!$L$16"}</definedName>
    <definedName name="_hu1" localSheetId="4" hidden="1">{"'Sheet1'!$L$16"}</definedName>
    <definedName name="_hu1" localSheetId="7" hidden="1">{"'Sheet1'!$L$16"}</definedName>
    <definedName name="_hu1" localSheetId="8" hidden="1">{"'Sheet1'!$L$16"}</definedName>
    <definedName name="_hu1" hidden="1">{"'Sheet1'!$L$16"}</definedName>
    <definedName name="_hu2" localSheetId="9" hidden="1">{"'Sheet1'!$L$16"}</definedName>
    <definedName name="_hu2" localSheetId="0" hidden="1">{"'Sheet1'!$L$16"}</definedName>
    <definedName name="_hu2" localSheetId="10" hidden="1">{"'Sheet1'!$L$16"}</definedName>
    <definedName name="_hu2" localSheetId="1" hidden="1">{"'Sheet1'!$L$16"}</definedName>
    <definedName name="_hu2" localSheetId="5" hidden="1">{"'Sheet1'!$L$16"}</definedName>
    <definedName name="_hu2" localSheetId="6" hidden="1">{"'Sheet1'!$L$16"}</definedName>
    <definedName name="_hu2" localSheetId="4" hidden="1">{"'Sheet1'!$L$16"}</definedName>
    <definedName name="_hu2" localSheetId="7" hidden="1">{"'Sheet1'!$L$16"}</definedName>
    <definedName name="_hu2" localSheetId="8" hidden="1">{"'Sheet1'!$L$16"}</definedName>
    <definedName name="_hu2" hidden="1">{"'Sheet1'!$L$16"}</definedName>
    <definedName name="_hu5" localSheetId="9" hidden="1">{"'Sheet1'!$L$16"}</definedName>
    <definedName name="_hu5" localSheetId="0" hidden="1">{"'Sheet1'!$L$16"}</definedName>
    <definedName name="_hu5" localSheetId="10" hidden="1">{"'Sheet1'!$L$16"}</definedName>
    <definedName name="_hu5" localSheetId="1" hidden="1">{"'Sheet1'!$L$16"}</definedName>
    <definedName name="_hu5" localSheetId="5" hidden="1">{"'Sheet1'!$L$16"}</definedName>
    <definedName name="_hu5" localSheetId="6" hidden="1">{"'Sheet1'!$L$16"}</definedName>
    <definedName name="_hu5" localSheetId="4" hidden="1">{"'Sheet1'!$L$16"}</definedName>
    <definedName name="_hu5" localSheetId="7" hidden="1">{"'Sheet1'!$L$16"}</definedName>
    <definedName name="_hu5" localSheetId="8" hidden="1">{"'Sheet1'!$L$16"}</definedName>
    <definedName name="_hu5" hidden="1">{"'Sheet1'!$L$16"}</definedName>
    <definedName name="_hu6" localSheetId="9" hidden="1">{"'Sheet1'!$L$16"}</definedName>
    <definedName name="_hu6" localSheetId="0" hidden="1">{"'Sheet1'!$L$16"}</definedName>
    <definedName name="_hu6" localSheetId="10" hidden="1">{"'Sheet1'!$L$16"}</definedName>
    <definedName name="_hu6" localSheetId="1" hidden="1">{"'Sheet1'!$L$16"}</definedName>
    <definedName name="_hu6" localSheetId="5" hidden="1">{"'Sheet1'!$L$16"}</definedName>
    <definedName name="_hu6" localSheetId="6" hidden="1">{"'Sheet1'!$L$16"}</definedName>
    <definedName name="_hu6" localSheetId="4" hidden="1">{"'Sheet1'!$L$16"}</definedName>
    <definedName name="_hu6" localSheetId="7" hidden="1">{"'Sheet1'!$L$16"}</definedName>
    <definedName name="_hu6" localSheetId="8" hidden="1">{"'Sheet1'!$L$16"}</definedName>
    <definedName name="_hu6" hidden="1">{"'Sheet1'!$L$16"}</definedName>
    <definedName name="_hu7" localSheetId="9" hidden="1">{"'Sheet1'!$L$16"}</definedName>
    <definedName name="_hu7" localSheetId="0" hidden="1">{"'Sheet1'!$L$16"}</definedName>
    <definedName name="_hu7" localSheetId="10" hidden="1">{"'Sheet1'!$L$16"}</definedName>
    <definedName name="_hu7" localSheetId="1" hidden="1">{"'Sheet1'!$L$16"}</definedName>
    <definedName name="_hu7" localSheetId="5" hidden="1">{"'Sheet1'!$L$16"}</definedName>
    <definedName name="_hu7" localSheetId="6" hidden="1">{"'Sheet1'!$L$16"}</definedName>
    <definedName name="_hu7" localSheetId="4" hidden="1">{"'Sheet1'!$L$16"}</definedName>
    <definedName name="_hu7" localSheetId="7" hidden="1">{"'Sheet1'!$L$16"}</definedName>
    <definedName name="_hu7" localSheetId="8" hidden="1">{"'Sheet1'!$L$16"}</definedName>
    <definedName name="_hu7" hidden="1">{"'Sheet1'!$L$16"}</definedName>
    <definedName name="_k10" localSheetId="9" hidden="1">{"'Sheet1'!$L$16"}</definedName>
    <definedName name="_k10" localSheetId="0" hidden="1">{"'Sheet1'!$L$16"}</definedName>
    <definedName name="_k10" localSheetId="10" hidden="1">{"'Sheet1'!$L$16"}</definedName>
    <definedName name="_k10" localSheetId="1" hidden="1">{"'Sheet1'!$L$16"}</definedName>
    <definedName name="_k10" localSheetId="5" hidden="1">{"'Sheet1'!$L$16"}</definedName>
    <definedName name="_k10" localSheetId="6" hidden="1">{"'Sheet1'!$L$16"}</definedName>
    <definedName name="_k10" localSheetId="4" hidden="1">{"'Sheet1'!$L$16"}</definedName>
    <definedName name="_k10" localSheetId="7" hidden="1">{"'Sheet1'!$L$16"}</definedName>
    <definedName name="_k10" localSheetId="8"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#REF!</definedName>
    <definedName name="_Knc36">#REF!</definedName>
    <definedName name="_Knc57">#REF!</definedName>
    <definedName name="_KS2" localSheetId="9" hidden="1">{"'Sheet1'!$L$16"}</definedName>
    <definedName name="_KS2" localSheetId="0" hidden="1">{"'Sheet1'!$L$16"}</definedName>
    <definedName name="_KS2" localSheetId="10" hidden="1">{"'Sheet1'!$L$16"}</definedName>
    <definedName name="_KS2" localSheetId="1" hidden="1">{"'Sheet1'!$L$16"}</definedName>
    <definedName name="_KS2" localSheetId="5" hidden="1">{"'Sheet1'!$L$16"}</definedName>
    <definedName name="_KS2" localSheetId="6" hidden="1">{"'Sheet1'!$L$16"}</definedName>
    <definedName name="_KS2" localSheetId="4" hidden="1">{"'Sheet1'!$L$16"}</definedName>
    <definedName name="_KS2" localSheetId="7" hidden="1">{"'Sheet1'!$L$16"}</definedName>
    <definedName name="_KS2" localSheetId="8"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9" hidden="1">{"'Sheet1'!$L$16"}</definedName>
    <definedName name="_Lan1" localSheetId="0" hidden="1">{"'Sheet1'!$L$16"}</definedName>
    <definedName name="_Lan1" localSheetId="10" hidden="1">{"'Sheet1'!$L$16"}</definedName>
    <definedName name="_Lan1" localSheetId="1" hidden="1">{"'Sheet1'!$L$16"}</definedName>
    <definedName name="_Lan1" localSheetId="5" hidden="1">{"'Sheet1'!$L$16"}</definedName>
    <definedName name="_Lan1" localSheetId="6" hidden="1">{"'Sheet1'!$L$16"}</definedName>
    <definedName name="_Lan1" localSheetId="4" hidden="1">{"'Sheet1'!$L$16"}</definedName>
    <definedName name="_Lan1" localSheetId="7" hidden="1">{"'Sheet1'!$L$16"}</definedName>
    <definedName name="_Lan1" localSheetId="8" hidden="1">{"'Sheet1'!$L$16"}</definedName>
    <definedName name="_Lan1" hidden="1">{"'Sheet1'!$L$16"}</definedName>
    <definedName name="_LAN3" localSheetId="9" hidden="1">{"'Sheet1'!$L$16"}</definedName>
    <definedName name="_LAN3" localSheetId="0" hidden="1">{"'Sheet1'!$L$16"}</definedName>
    <definedName name="_LAN3" localSheetId="10" hidden="1">{"'Sheet1'!$L$16"}</definedName>
    <definedName name="_LAN3" localSheetId="1" hidden="1">{"'Sheet1'!$L$16"}</definedName>
    <definedName name="_LAN3" localSheetId="5" hidden="1">{"'Sheet1'!$L$16"}</definedName>
    <definedName name="_LAN3" localSheetId="6" hidden="1">{"'Sheet1'!$L$16"}</definedName>
    <definedName name="_LAN3" localSheetId="4" hidden="1">{"'Sheet1'!$L$16"}</definedName>
    <definedName name="_LAN3" localSheetId="7" hidden="1">{"'Sheet1'!$L$16"}</definedName>
    <definedName name="_LAN3" localSheetId="8"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9" hidden="1">{"'Sheet1'!$L$16"}</definedName>
    <definedName name="_NSO2" localSheetId="0" hidden="1">{"'Sheet1'!$L$16"}</definedName>
    <definedName name="_NSO2" localSheetId="10" hidden="1">{"'Sheet1'!$L$16"}</definedName>
    <definedName name="_NSO2" localSheetId="1" hidden="1">{"'Sheet1'!$L$16"}</definedName>
    <definedName name="_NSO2" localSheetId="5" hidden="1">{"'Sheet1'!$L$16"}</definedName>
    <definedName name="_NSO2" localSheetId="6" hidden="1">{"'Sheet1'!$L$16"}</definedName>
    <definedName name="_NSO2" localSheetId="4" hidden="1">{"'Sheet1'!$L$16"}</definedName>
    <definedName name="_NSO2" localSheetId="7" hidden="1">{"'Sheet1'!$L$16"}</definedName>
    <definedName name="_NSO2" localSheetId="8" hidden="1">{"'Sheet1'!$L$16"}</definedName>
    <definedName name="_NSO2" hidden="1">{"'Sheet1'!$L$16"}</definedName>
    <definedName name="_Order1" hidden="1">255</definedName>
    <definedName name="_Order2" hidden="1">255</definedName>
    <definedName name="_oto10">#REF!</definedName>
    <definedName name="_oto12">#REF!</definedName>
    <definedName name="_p01" localSheetId="9" hidden="1">{"'Sheet1'!$L$16"}</definedName>
    <definedName name="_p01" localSheetId="0" hidden="1">{"'Sheet1'!$L$16"}</definedName>
    <definedName name="_p01" localSheetId="10" hidden="1">{"'Sheet1'!$L$16"}</definedName>
    <definedName name="_p01" localSheetId="1" hidden="1">{"'Sheet1'!$L$16"}</definedName>
    <definedName name="_p01" localSheetId="5" hidden="1">{"'Sheet1'!$L$16"}</definedName>
    <definedName name="_p01" localSheetId="6" hidden="1">{"'Sheet1'!$L$16"}</definedName>
    <definedName name="_p01" localSheetId="4" hidden="1">{"'Sheet1'!$L$16"}</definedName>
    <definedName name="_p01" localSheetId="7" hidden="1">{"'Sheet1'!$L$16"}</definedName>
    <definedName name="_p01" localSheetId="8" hidden="1">{"'Sheet1'!$L$16"}</definedName>
    <definedName name="_p01" hidden="1">{"'Sheet1'!$L$16"}</definedName>
    <definedName name="_PA3" localSheetId="9" hidden="1">{"'Sheet1'!$L$16"}</definedName>
    <definedName name="_PA3" localSheetId="0" hidden="1">{"'Sheet1'!$L$16"}</definedName>
    <definedName name="_PA3" localSheetId="10" hidden="1">{"'Sheet1'!$L$16"}</definedName>
    <definedName name="_PA3" localSheetId="1" hidden="1">{"'Sheet1'!$L$16"}</definedName>
    <definedName name="_PA3" localSheetId="5" hidden="1">{"'Sheet1'!$L$16"}</definedName>
    <definedName name="_PA3" localSheetId="6" hidden="1">{"'Sheet1'!$L$16"}</definedName>
    <definedName name="_PA3" localSheetId="4" hidden="1">{"'Sheet1'!$L$16"}</definedName>
    <definedName name="_PA3" localSheetId="7" hidden="1">{"'Sheet1'!$L$16"}</definedName>
    <definedName name="_PA3" localSheetId="8"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#REF!</definedName>
    <definedName name="_Su70">#REF!</definedName>
    <definedName name="_sua20">#REF!</definedName>
    <definedName name="_sua30">#REF!</definedName>
    <definedName name="_sw70609">#REF!</definedName>
    <definedName name="_T10" localSheetId="9" hidden="1">{"'Sheet1'!$L$16"}</definedName>
    <definedName name="_T10" localSheetId="0" hidden="1">{"'Sheet1'!$L$16"}</definedName>
    <definedName name="_T10" localSheetId="10" hidden="1">{"'Sheet1'!$L$16"}</definedName>
    <definedName name="_T10" localSheetId="1" hidden="1">{"'Sheet1'!$L$16"}</definedName>
    <definedName name="_T10" localSheetId="5" hidden="1">{"'Sheet1'!$L$16"}</definedName>
    <definedName name="_T10" localSheetId="6" hidden="1">{"'Sheet1'!$L$16"}</definedName>
    <definedName name="_T10" localSheetId="4" hidden="1">{"'Sheet1'!$L$16"}</definedName>
    <definedName name="_T10" localSheetId="7" hidden="1">{"'Sheet1'!$L$16"}</definedName>
    <definedName name="_T10" localSheetId="8" hidden="1">{"'Sheet1'!$L$16"}</definedName>
    <definedName name="_T10" hidden="1">{"'Sheet1'!$L$16"}</definedName>
    <definedName name="_T12" localSheetId="9" hidden="1">{"'Sheet1'!$L$16"}</definedName>
    <definedName name="_T12" localSheetId="0" hidden="1">{"'Sheet1'!$L$16"}</definedName>
    <definedName name="_T12" localSheetId="10" hidden="1">{"'Sheet1'!$L$16"}</definedName>
    <definedName name="_T12" localSheetId="1" hidden="1">{"'Sheet1'!$L$16"}</definedName>
    <definedName name="_T12" localSheetId="5" hidden="1">{"'Sheet1'!$L$16"}</definedName>
    <definedName name="_T12" localSheetId="6" hidden="1">{"'Sheet1'!$L$16"}</definedName>
    <definedName name="_T12" localSheetId="4" hidden="1">{"'Sheet1'!$L$16"}</definedName>
    <definedName name="_T12" localSheetId="7" hidden="1">{"'Sheet1'!$L$16"}</definedName>
    <definedName name="_T12" localSheetId="8"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#REF!</definedName>
    <definedName name="_tt3" localSheetId="9" hidden="1">{"'Sheet1'!$L$16"}</definedName>
    <definedName name="_tt3" localSheetId="0" hidden="1">{"'Sheet1'!$L$16"}</definedName>
    <definedName name="_tt3" localSheetId="10" hidden="1">{"'Sheet1'!$L$16"}</definedName>
    <definedName name="_tt3" localSheetId="1" hidden="1">{"'Sheet1'!$L$16"}</definedName>
    <definedName name="_tt3" localSheetId="5" hidden="1">{"'Sheet1'!$L$16"}</definedName>
    <definedName name="_tt3" localSheetId="6" hidden="1">{"'Sheet1'!$L$16"}</definedName>
    <definedName name="_tt3" localSheetId="4" hidden="1">{"'Sheet1'!$L$16"}</definedName>
    <definedName name="_tt3" localSheetId="7" hidden="1">{"'Sheet1'!$L$16"}</definedName>
    <definedName name="_tt3" localSheetId="8"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#REF!</definedName>
    <definedName name="_vbt15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#REF!</definedName>
    <definedName name="AccessDatabase" hidden="1">"C:\My Documents\LeBinh\Xls\VP Cong ty\FORM.mdb"</definedName>
    <definedName name="acscs">#REF!</definedName>
    <definedName name="Actual" localSheetId="5">(PeriodInActual*(#REF!&gt;0))*PeriodInPlan</definedName>
    <definedName name="Actual" localSheetId="6">(PeriodInActual*(#REF!&gt;0))*PeriodInPlan</definedName>
    <definedName name="Actual" localSheetId="4">(PeriodInActual*(#REF!&gt;0))*PeriodInPlan</definedName>
    <definedName name="Actual" localSheetId="7">([0]!PeriodInActual*(#REF!&gt;0))*[0]!PeriodInPlan</definedName>
    <definedName name="Actual">(PeriodInActual*(#REF!&gt;0))*PeriodInPlan</definedName>
    <definedName name="ActualBeyond" localSheetId="5">PeriodInActual*(#REF!&gt;0)</definedName>
    <definedName name="ActualBeyond" localSheetId="6">PeriodInActual*(#REF!&gt;0)</definedName>
    <definedName name="ActualBeyond" localSheetId="4">PeriodInActual*(#REF!&gt;0)</definedName>
    <definedName name="ActualBeyond" localSheetId="7">[0]!PeriodInActual*(#REF!&gt;0)</definedName>
    <definedName name="ActualBeyond">PeriodInActual*(#REF!&gt;0)</definedName>
    <definedName name="AD" localSheetId="9" hidden="1">{"'Sheet1'!$L$16"}</definedName>
    <definedName name="AD" localSheetId="0" hidden="1">{"'Sheet1'!$L$16"}</definedName>
    <definedName name="AD" localSheetId="10" hidden="1">{"'Sheet1'!$L$16"}</definedName>
    <definedName name="AD" localSheetId="1" hidden="1">{"'Sheet1'!$L$16"}</definedName>
    <definedName name="AD" localSheetId="5" hidden="1">{"'Sheet1'!$L$16"}</definedName>
    <definedName name="AD" localSheetId="6" hidden="1">{"'Sheet1'!$L$16"}</definedName>
    <definedName name="AD" localSheetId="4" hidden="1">{"'Sheet1'!$L$16"}</definedName>
    <definedName name="AD" localSheetId="7" hidden="1">{"'Sheet1'!$L$16"}</definedName>
    <definedName name="AD" localSheetId="8" hidden="1">{"'Sheet1'!$L$16"}</definedName>
    <definedName name="AD" hidden="1">{"'Sheet1'!$L$16"}</definedName>
    <definedName name="ada">#REF!</definedName>
    <definedName name="ADAY">#REF!</definedName>
    <definedName name="ADEQ">#REF!</definedName>
    <definedName name="æ76">#REF!</definedName>
    <definedName name="afasfsagfas" localSheetId="9" hidden="1">{#N/A,#N/A,FALSE,"Chi tiÆt"}</definedName>
    <definedName name="afasfsagfas" localSheetId="0" hidden="1">{#N/A,#N/A,FALSE,"Chi tiÆt"}</definedName>
    <definedName name="afasfsagfas" localSheetId="10" hidden="1">{#N/A,#N/A,FALSE,"Chi tiÆt"}</definedName>
    <definedName name="afasfsagfas" localSheetId="1" hidden="1">{#N/A,#N/A,FALSE,"Chi tiÆt"}</definedName>
    <definedName name="afasfsagfas" localSheetId="5" hidden="1">{#N/A,#N/A,FALSE,"Chi tiÆt"}</definedName>
    <definedName name="afasfsagfas" localSheetId="6" hidden="1">{#N/A,#N/A,FALSE,"Chi tiÆt"}</definedName>
    <definedName name="afasfsagfas" localSheetId="4" hidden="1">{#N/A,#N/A,FALSE,"Chi tiÆt"}</definedName>
    <definedName name="afasfsagfas" localSheetId="7" hidden="1">{#N/A,#N/A,FALSE,"Chi tiÆt"}</definedName>
    <definedName name="afasfsagfas" localSheetId="8"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9" hidden="1">{"'Sheet1'!$L$16"}</definedName>
    <definedName name="ak" localSheetId="0" hidden="1">{"'Sheet1'!$L$16"}</definedName>
    <definedName name="ak" localSheetId="10" hidden="1">{"'Sheet1'!$L$16"}</definedName>
    <definedName name="ak" localSheetId="1" hidden="1">{"'Sheet1'!$L$16"}</definedName>
    <definedName name="ak" localSheetId="5" hidden="1">{"'Sheet1'!$L$16"}</definedName>
    <definedName name="ak" localSheetId="6" hidden="1">{"'Sheet1'!$L$16"}</definedName>
    <definedName name="ak" localSheetId="4" hidden="1">{"'Sheet1'!$L$16"}</definedName>
    <definedName name="ak" localSheetId="7" hidden="1">{"'Sheet1'!$L$16"}</definedName>
    <definedName name="ak" localSheetId="8"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#REF!</definedName>
    <definedName name="an">#REF!</definedName>
    <definedName name="anpha">#REF!</definedName>
    <definedName name="anscount" hidden="1">1</definedName>
    <definedName name="Antoan" localSheetId="9" hidden="1">{"'Sheet1'!$L$16"}</definedName>
    <definedName name="Antoan" localSheetId="0" hidden="1">{"'Sheet1'!$L$16"}</definedName>
    <definedName name="Antoan" localSheetId="10" hidden="1">{"'Sheet1'!$L$16"}</definedName>
    <definedName name="Antoan" localSheetId="1" hidden="1">{"'Sheet1'!$L$16"}</definedName>
    <definedName name="Antoan" localSheetId="5" hidden="1">{"'Sheet1'!$L$16"}</definedName>
    <definedName name="Antoan" localSheetId="6" hidden="1">{"'Sheet1'!$L$16"}</definedName>
    <definedName name="Antoan" localSheetId="4" hidden="1">{"'Sheet1'!$L$16"}</definedName>
    <definedName name="Antoan" localSheetId="7" hidden="1">{"'Sheet1'!$L$16"}</definedName>
    <definedName name="Antoan" localSheetId="8" hidden="1">{"'Sheet1'!$L$16"}</definedName>
    <definedName name="Antoan" hidden="1">{"'Sheet1'!$L$16"}</definedName>
    <definedName name="ao">#REF!</definedName>
    <definedName name="AppRoad">#REF!</definedName>
    <definedName name="Aq">#REF!</definedName>
    <definedName name="Area">#REF!</definedName>
    <definedName name="as">#REF!</definedName>
    <definedName name="As_">#REF!</definedName>
    <definedName name="AS2DocOpenMode" hidden="1">"AS2DocumentEdit"</definedName>
    <definedName name="asdfgh">#REF!</definedName>
    <definedName name="asf" localSheetId="9" hidden="1">{"'Sheet1'!$L$16"}</definedName>
    <definedName name="asf" localSheetId="0" hidden="1">{"'Sheet1'!$L$16"}</definedName>
    <definedName name="asf" localSheetId="10" hidden="1">{"'Sheet1'!$L$16"}</definedName>
    <definedName name="asf" localSheetId="1" hidden="1">{"'Sheet1'!$L$16"}</definedName>
    <definedName name="asf" localSheetId="5" hidden="1">{"'Sheet1'!$L$16"}</definedName>
    <definedName name="asf" localSheetId="6" hidden="1">{"'Sheet1'!$L$16"}</definedName>
    <definedName name="asf" localSheetId="4" hidden="1">{"'Sheet1'!$L$16"}</definedName>
    <definedName name="asf" localSheetId="7" hidden="1">{"'Sheet1'!$L$16"}</definedName>
    <definedName name="asf" localSheetId="8" hidden="1">{"'Sheet1'!$L$16"}</definedName>
    <definedName name="asf" hidden="1">{"'Sheet1'!$L$16"}</definedName>
    <definedName name="ATGT" localSheetId="9" hidden="1">{"'Sheet1'!$L$16"}</definedName>
    <definedName name="ATGT" localSheetId="0" hidden="1">{"'Sheet1'!$L$16"}</definedName>
    <definedName name="ATGT" localSheetId="10" hidden="1">{"'Sheet1'!$L$16"}</definedName>
    <definedName name="ATGT" localSheetId="1" hidden="1">{"'Sheet1'!$L$16"}</definedName>
    <definedName name="ATGT" localSheetId="5" hidden="1">{"'Sheet1'!$L$16"}</definedName>
    <definedName name="ATGT" localSheetId="6" hidden="1">{"'Sheet1'!$L$16"}</definedName>
    <definedName name="ATGT" localSheetId="4" hidden="1">{"'Sheet1'!$L$16"}</definedName>
    <definedName name="ATGT" localSheetId="7" hidden="1">{"'Sheet1'!$L$16"}</definedName>
    <definedName name="ATGT" localSheetId="8"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#REF!</definedName>
    <definedName name="bac3.5">#REF!</definedName>
    <definedName name="bac3.7">#REF!</definedName>
    <definedName name="bac4.5">#REF!</definedName>
    <definedName name="BacKan">#REF!</definedName>
    <definedName name="bachang">#REF!</definedName>
    <definedName name="ban">#REF!</definedName>
    <definedName name="BanForBcaothg">#REF!</definedName>
    <definedName name="banQL" localSheetId="9" hidden="1">{"'Sheet1'!$L$16"}</definedName>
    <definedName name="banQL" localSheetId="0" hidden="1">{"'Sheet1'!$L$16"}</definedName>
    <definedName name="banQL" localSheetId="10" hidden="1">{"'Sheet1'!$L$16"}</definedName>
    <definedName name="banQL" localSheetId="1" hidden="1">{"'Sheet1'!$L$16"}</definedName>
    <definedName name="banQL" localSheetId="5" hidden="1">{"'Sheet1'!$L$16"}</definedName>
    <definedName name="banQL" localSheetId="6" hidden="1">{"'Sheet1'!$L$16"}</definedName>
    <definedName name="banQL" localSheetId="4" hidden="1">{"'Sheet1'!$L$16"}</definedName>
    <definedName name="banQL" localSheetId="7" hidden="1">{"'Sheet1'!$L$16"}</definedName>
    <definedName name="banQL" localSheetId="8"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#REF!</definedName>
    <definedName name="Bay">#REF!</definedName>
    <definedName name="BB">#REF!</definedName>
    <definedName name="bb.">#REF!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9" hidden="1">{"'Sheet1'!$L$16"}</definedName>
    <definedName name="Bgiang" localSheetId="0" hidden="1">{"'Sheet1'!$L$16"}</definedName>
    <definedName name="Bgiang" localSheetId="10" hidden="1">{"'Sheet1'!$L$16"}</definedName>
    <definedName name="Bgiang" localSheetId="1" hidden="1">{"'Sheet1'!$L$16"}</definedName>
    <definedName name="Bgiang" localSheetId="5" hidden="1">{"'Sheet1'!$L$16"}</definedName>
    <definedName name="Bgiang" localSheetId="6" hidden="1">{"'Sheet1'!$L$16"}</definedName>
    <definedName name="Bgiang" localSheetId="4" hidden="1">{"'Sheet1'!$L$16"}</definedName>
    <definedName name="Bgiang" localSheetId="7" hidden="1">{"'Sheet1'!$L$16"}</definedName>
    <definedName name="Bgiang" localSheetId="8"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9">BlankMacro1</definedName>
    <definedName name="bien" localSheetId="0">BlankMacro1</definedName>
    <definedName name="bien" localSheetId="10">BlankMacro1</definedName>
    <definedName name="bien" localSheetId="1">BlankMacro1</definedName>
    <definedName name="bien" localSheetId="5">BlankMacro1</definedName>
    <definedName name="bien" localSheetId="6">BlankMacro1</definedName>
    <definedName name="bien" localSheetId="4">BlankMacro1</definedName>
    <definedName name="bien" localSheetId="7">BlankMacro1</definedName>
    <definedName name="bien" localSheetId="8">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9" hidden="1">{"'Sheet1'!$L$16"}</definedName>
    <definedName name="btl" localSheetId="0" hidden="1">{"'Sheet1'!$L$16"}</definedName>
    <definedName name="btl" localSheetId="10" hidden="1">{"'Sheet1'!$L$16"}</definedName>
    <definedName name="btl" localSheetId="1" hidden="1">{"'Sheet1'!$L$16"}</definedName>
    <definedName name="btl" localSheetId="5" hidden="1">{"'Sheet1'!$L$16"}</definedName>
    <definedName name="btl" localSheetId="6" hidden="1">{"'Sheet1'!$L$16"}</definedName>
    <definedName name="btl" localSheetId="4" hidden="1">{"'Sheet1'!$L$16"}</definedName>
    <definedName name="btl" localSheetId="7" hidden="1">{"'Sheet1'!$L$16"}</definedName>
    <definedName name="btl" localSheetId="8"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#REF!</definedName>
    <definedName name="bua1.2">#REF!</definedName>
    <definedName name="bua1.8">#REF!</definedName>
    <definedName name="buarung170">#REF!</definedName>
    <definedName name="bùc" localSheetId="9">{"Book1","Dt tonghop.xls"}</definedName>
    <definedName name="bùc" localSheetId="0">{"Book1","Dt tonghop.xls"}</definedName>
    <definedName name="bùc" localSheetId="10">{"Book1","Dt tonghop.xls"}</definedName>
    <definedName name="bùc" localSheetId="1">{"Book1","Dt tonghop.xls"}</definedName>
    <definedName name="bùc" localSheetId="5">{"Book1","Dt tonghop.xls"}</definedName>
    <definedName name="bùc" localSheetId="6">{"Book1","Dt tonghop.xls"}</definedName>
    <definedName name="bùc" localSheetId="4">{"Book1","Dt tonghop.xls"}</definedName>
    <definedName name="bùc" localSheetId="7">{"Book1","Dt tonghop.xls"}</definedName>
    <definedName name="bùc" localSheetId="8">{"Book1","Dt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9" hidden="1">{"'Sheet1'!$L$16"}</definedName>
    <definedName name="cg" localSheetId="0" hidden="1">{"'Sheet1'!$L$16"}</definedName>
    <definedName name="cg" localSheetId="10" hidden="1">{"'Sheet1'!$L$16"}</definedName>
    <definedName name="cg" localSheetId="1" hidden="1">{"'Sheet1'!$L$16"}</definedName>
    <definedName name="cg" localSheetId="5" hidden="1">{"'Sheet1'!$L$16"}</definedName>
    <definedName name="cg" localSheetId="6" hidden="1">{"'Sheet1'!$L$16"}</definedName>
    <definedName name="cg" localSheetId="4" hidden="1">{"'Sheet1'!$L$16"}</definedName>
    <definedName name="cg" localSheetId="7" hidden="1">{"'Sheet1'!$L$16"}</definedName>
    <definedName name="cg" localSheetId="8"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9">BlankMacro1</definedName>
    <definedName name="Comm" localSheetId="0">BlankMacro1</definedName>
    <definedName name="Comm" localSheetId="10">BlankMacro1</definedName>
    <definedName name="Comm" localSheetId="1">BlankMacro1</definedName>
    <definedName name="Comm" localSheetId="5">BlankMacro1</definedName>
    <definedName name="Comm" localSheetId="6">BlankMacro1</definedName>
    <definedName name="Comm" localSheetId="4">BlankMacro1</definedName>
    <definedName name="Comm" localSheetId="7">BlankMacro1</definedName>
    <definedName name="Comm" localSheetId="8">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9" hidden="1">{"'Sheet1'!$L$16"}</definedName>
    <definedName name="CTCT1" localSheetId="0" hidden="1">{"'Sheet1'!$L$16"}</definedName>
    <definedName name="CTCT1" localSheetId="10" hidden="1">{"'Sheet1'!$L$16"}</definedName>
    <definedName name="CTCT1" localSheetId="1" hidden="1">{"'Sheet1'!$L$16"}</definedName>
    <definedName name="CTCT1" localSheetId="5" hidden="1">{"'Sheet1'!$L$16"}</definedName>
    <definedName name="CTCT1" localSheetId="6" hidden="1">{"'Sheet1'!$L$16"}</definedName>
    <definedName name="CTCT1" localSheetId="4" hidden="1">{"'Sheet1'!$L$16"}</definedName>
    <definedName name="CTCT1" localSheetId="7" hidden="1">{"'Sheet1'!$L$16"}</definedName>
    <definedName name="CTCT1" localSheetId="8" hidden="1">{"'Sheet1'!$L$16"}</definedName>
    <definedName name="CTCT1" hidden="1">{"'Sheet1'!$L$16"}</definedName>
    <definedName name="ctct2" localSheetId="9" hidden="1">{"'Sheet1'!$L$16"}</definedName>
    <definedName name="ctct2" localSheetId="0" hidden="1">{"'Sheet1'!$L$16"}</definedName>
    <definedName name="ctct2" localSheetId="10" hidden="1">{"'Sheet1'!$L$16"}</definedName>
    <definedName name="ctct2" localSheetId="1" hidden="1">{"'Sheet1'!$L$16"}</definedName>
    <definedName name="ctct2" localSheetId="5" hidden="1">{"'Sheet1'!$L$16"}</definedName>
    <definedName name="ctct2" localSheetId="6" hidden="1">{"'Sheet1'!$L$16"}</definedName>
    <definedName name="ctct2" localSheetId="4" hidden="1">{"'Sheet1'!$L$16"}</definedName>
    <definedName name="ctct2" localSheetId="7" hidden="1">{"'Sheet1'!$L$16"}</definedName>
    <definedName name="ctct2" localSheetId="8"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9" hidden="1">{"'Sheet1'!$L$16"}</definedName>
    <definedName name="ctieu" localSheetId="0" hidden="1">{"'Sheet1'!$L$16"}</definedName>
    <definedName name="ctieu" localSheetId="10" hidden="1">{"'Sheet1'!$L$16"}</definedName>
    <definedName name="ctieu" localSheetId="1" hidden="1">{"'Sheet1'!$L$16"}</definedName>
    <definedName name="ctieu" localSheetId="5" hidden="1">{"'Sheet1'!$L$16"}</definedName>
    <definedName name="ctieu" localSheetId="6" hidden="1">{"'Sheet1'!$L$16"}</definedName>
    <definedName name="ctieu" localSheetId="4" hidden="1">{"'Sheet1'!$L$16"}</definedName>
    <definedName name="ctieu" localSheetId="7" hidden="1">{"'Sheet1'!$L$16"}</definedName>
    <definedName name="ctieu" localSheetId="8"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9" hidden="1">{"'Sheet1'!$L$16"}</definedName>
    <definedName name="CTsu" localSheetId="0" hidden="1">{"'Sheet1'!$L$16"}</definedName>
    <definedName name="CTsu" localSheetId="10" hidden="1">{"'Sheet1'!$L$16"}</definedName>
    <definedName name="CTsu" localSheetId="1" hidden="1">{"'Sheet1'!$L$16"}</definedName>
    <definedName name="CTsu" localSheetId="5" hidden="1">{"'Sheet1'!$L$16"}</definedName>
    <definedName name="CTsu" localSheetId="6" hidden="1">{"'Sheet1'!$L$16"}</definedName>
    <definedName name="CTsu" localSheetId="4" hidden="1">{"'Sheet1'!$L$16"}</definedName>
    <definedName name="CTsu" localSheetId="7" hidden="1">{"'Sheet1'!$L$16"}</definedName>
    <definedName name="CTsu" localSheetId="8"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9" hidden="1">{"'Sheet1'!$L$16"}</definedName>
    <definedName name="cung" localSheetId="0" hidden="1">{"'Sheet1'!$L$16"}</definedName>
    <definedName name="cung" localSheetId="10" hidden="1">{"'Sheet1'!$L$16"}</definedName>
    <definedName name="cung" localSheetId="1" hidden="1">{"'Sheet1'!$L$16"}</definedName>
    <definedName name="cung" localSheetId="5" hidden="1">{"'Sheet1'!$L$16"}</definedName>
    <definedName name="cung" localSheetId="6" hidden="1">{"'Sheet1'!$L$16"}</definedName>
    <definedName name="cung" localSheetId="4" hidden="1">{"'Sheet1'!$L$16"}</definedName>
    <definedName name="cung" localSheetId="7" hidden="1">{"'Sheet1'!$L$16"}</definedName>
    <definedName name="cung" localSheetId="8"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9" hidden="1">{"'Sheet1'!$L$16"}</definedName>
    <definedName name="chitietbgiang2" localSheetId="0" hidden="1">{"'Sheet1'!$L$16"}</definedName>
    <definedName name="chitietbgiang2" localSheetId="10" hidden="1">{"'Sheet1'!$L$16"}</definedName>
    <definedName name="chitietbgiang2" localSheetId="1" hidden="1">{"'Sheet1'!$L$16"}</definedName>
    <definedName name="chitietbgiang2" localSheetId="5" hidden="1">{"'Sheet1'!$L$16"}</definedName>
    <definedName name="chitietbgiang2" localSheetId="6" hidden="1">{"'Sheet1'!$L$16"}</definedName>
    <definedName name="chitietbgiang2" localSheetId="4" hidden="1">{"'Sheet1'!$L$16"}</definedName>
    <definedName name="chitietbgiang2" localSheetId="7" hidden="1">{"'Sheet1'!$L$16"}</definedName>
    <definedName name="chitietbgiang2" localSheetId="8" hidden="1">{"'Sheet1'!$L$16"}</definedName>
    <definedName name="chitietbgiang2" hidden="1">{"'Sheet1'!$L$16"}</definedName>
    <definedName name="chitietdao">#REF!</definedName>
    <definedName name="chl" localSheetId="9" hidden="1">{"'Sheet1'!$L$16"}</definedName>
    <definedName name="chl" localSheetId="0" hidden="1">{"'Sheet1'!$L$16"}</definedName>
    <definedName name="chl" localSheetId="10" hidden="1">{"'Sheet1'!$L$16"}</definedName>
    <definedName name="chl" localSheetId="1" hidden="1">{"'Sheet1'!$L$16"}</definedName>
    <definedName name="chl" localSheetId="5" hidden="1">{"'Sheet1'!$L$16"}</definedName>
    <definedName name="chl" localSheetId="6" hidden="1">{"'Sheet1'!$L$16"}</definedName>
    <definedName name="chl" localSheetId="4" hidden="1">{"'Sheet1'!$L$16"}</definedName>
    <definedName name="chl" localSheetId="7" hidden="1">{"'Sheet1'!$L$16"}</definedName>
    <definedName name="chl" localSheetId="8"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9" hidden="1">{"'Sheet1'!$L$16"}</definedName>
    <definedName name="chuyen" localSheetId="0" hidden="1">{"'Sheet1'!$L$16"}</definedName>
    <definedName name="chuyen" localSheetId="10" hidden="1">{"'Sheet1'!$L$16"}</definedName>
    <definedName name="chuyen" localSheetId="1" hidden="1">{"'Sheet1'!$L$16"}</definedName>
    <definedName name="chuyen" localSheetId="5" hidden="1">{"'Sheet1'!$L$16"}</definedName>
    <definedName name="chuyen" localSheetId="6" hidden="1">{"'Sheet1'!$L$16"}</definedName>
    <definedName name="chuyen" localSheetId="4" hidden="1">{"'Sheet1'!$L$16"}</definedName>
    <definedName name="chuyen" localSheetId="7" hidden="1">{"'Sheet1'!$L$16"}</definedName>
    <definedName name="chuyen" localSheetId="8"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0">#REF!</definedName>
    <definedName name="DataFilter" localSheetId="10">#REF!</definedName>
    <definedName name="DataFilter" localSheetId="1">#REF!</definedName>
    <definedName name="DataFilter" localSheetId="5">#REF!</definedName>
    <definedName name="DataFilter" localSheetId="6">#REF!</definedName>
    <definedName name="DataFilter" localSheetId="4">#REF!</definedName>
    <definedName name="DataFilter" localSheetId="7">#REF!</definedName>
    <definedName name="DataFilter">#REF!</definedName>
    <definedName name="datak">#REF!</definedName>
    <definedName name="datal">#REF!</definedName>
    <definedName name="DataSort" localSheetId="0">#REF!</definedName>
    <definedName name="DataSort" localSheetId="10">#REF!</definedName>
    <definedName name="DataSort" localSheetId="1">#REF!</definedName>
    <definedName name="DataSort" localSheetId="5">#REF!</definedName>
    <definedName name="DataSort" localSheetId="6">#REF!</definedName>
    <definedName name="DataSort" localSheetId="4">#REF!</definedName>
    <definedName name="DataSort" localSheetId="7">#REF!</definedName>
    <definedName name="DataSort">#REF!</definedName>
    <definedName name="DATATKDT">#REF!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9" hidden="1">{"'Sheet1'!$L$16"}</definedName>
    <definedName name="ddd" localSheetId="0" hidden="1">{"'Sheet1'!$L$16"}</definedName>
    <definedName name="ddd" localSheetId="10" hidden="1">{"'Sheet1'!$L$16"}</definedName>
    <definedName name="ddd" localSheetId="1" hidden="1">{"'Sheet1'!$L$16"}</definedName>
    <definedName name="ddd" localSheetId="5" hidden="1">{"'Sheet1'!$L$16"}</definedName>
    <definedName name="ddd" localSheetId="6" hidden="1">{"'Sheet1'!$L$16"}</definedName>
    <definedName name="ddd" localSheetId="4" hidden="1">{"'Sheet1'!$L$16"}</definedName>
    <definedName name="ddd" localSheetId="7" hidden="1">{"'Sheet1'!$L$16"}</definedName>
    <definedName name="ddd" localSheetId="8"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9" hidden="1">{"'Sheet1'!$L$16"}</definedName>
    <definedName name="DenDK" localSheetId="0" hidden="1">{"'Sheet1'!$L$16"}</definedName>
    <definedName name="DenDK" localSheetId="10" hidden="1">{"'Sheet1'!$L$16"}</definedName>
    <definedName name="DenDK" localSheetId="1" hidden="1">{"'Sheet1'!$L$16"}</definedName>
    <definedName name="DenDK" localSheetId="5" hidden="1">{"'Sheet1'!$L$16"}</definedName>
    <definedName name="DenDK" localSheetId="6" hidden="1">{"'Sheet1'!$L$16"}</definedName>
    <definedName name="DenDK" localSheetId="4" hidden="1">{"'Sheet1'!$L$16"}</definedName>
    <definedName name="DenDK" localSheetId="7" hidden="1">{"'Sheet1'!$L$16"}</definedName>
    <definedName name="DenDK" localSheetId="8"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9" hidden="1">{"'Sheet1'!$L$16"}</definedName>
    <definedName name="dfdfd" localSheetId="0" hidden="1">{"'Sheet1'!$L$16"}</definedName>
    <definedName name="dfdfd" localSheetId="10" hidden="1">{"'Sheet1'!$L$16"}</definedName>
    <definedName name="dfdfd" localSheetId="1" hidden="1">{"'Sheet1'!$L$16"}</definedName>
    <definedName name="dfdfd" localSheetId="5" hidden="1">{"'Sheet1'!$L$16"}</definedName>
    <definedName name="dfdfd" localSheetId="6" hidden="1">{"'Sheet1'!$L$16"}</definedName>
    <definedName name="dfdfd" localSheetId="4" hidden="1">{"'Sheet1'!$L$16"}</definedName>
    <definedName name="dfdfd" localSheetId="7" hidden="1">{"'Sheet1'!$L$16"}</definedName>
    <definedName name="dfdfd" localSheetId="8" hidden="1">{"'Sheet1'!$L$16"}</definedName>
    <definedName name="dfdfd" hidden="1">{"'Sheet1'!$L$16"}</definedName>
    <definedName name="dffr">#REF!</definedName>
    <definedName name="dfggg" localSheetId="9" hidden="1">{"'Sheet1'!$L$16"}</definedName>
    <definedName name="dfggg" localSheetId="0" hidden="1">{"'Sheet1'!$L$16"}</definedName>
    <definedName name="dfggg" localSheetId="10" hidden="1">{"'Sheet1'!$L$16"}</definedName>
    <definedName name="dfggg" localSheetId="1" hidden="1">{"'Sheet1'!$L$16"}</definedName>
    <definedName name="dfggg" localSheetId="5" hidden="1">{"'Sheet1'!$L$16"}</definedName>
    <definedName name="dfggg" localSheetId="6" hidden="1">{"'Sheet1'!$L$16"}</definedName>
    <definedName name="dfggg" localSheetId="4" hidden="1">{"'Sheet1'!$L$16"}</definedName>
    <definedName name="dfggg" localSheetId="7" hidden="1">{"'Sheet1'!$L$16"}</definedName>
    <definedName name="dfggg" localSheetId="8" hidden="1">{"'Sheet1'!$L$16"}</definedName>
    <definedName name="dfggg" hidden="1">{"'Sheet1'!$L$16"}</definedName>
    <definedName name="dfh" localSheetId="9" hidden="1">{"'Sheet1'!$L$16"}</definedName>
    <definedName name="dfh" localSheetId="0" hidden="1">{"'Sheet1'!$L$16"}</definedName>
    <definedName name="dfh" localSheetId="10" hidden="1">{"'Sheet1'!$L$16"}</definedName>
    <definedName name="dfh" localSheetId="1" hidden="1">{"'Sheet1'!$L$16"}</definedName>
    <definedName name="dfh" localSheetId="5" hidden="1">{"'Sheet1'!$L$16"}</definedName>
    <definedName name="dfh" localSheetId="6" hidden="1">{"'Sheet1'!$L$16"}</definedName>
    <definedName name="dfh" localSheetId="4" hidden="1">{"'Sheet1'!$L$16"}</definedName>
    <definedName name="dfh" localSheetId="7" hidden="1">{"'Sheet1'!$L$16"}</definedName>
    <definedName name="dfh" localSheetId="8" hidden="1">{"'Sheet1'!$L$16"}</definedName>
    <definedName name="dfh" hidden="1">{"'Sheet1'!$L$16"}</definedName>
    <definedName name="dfpf">#REF!</definedName>
    <definedName name="dfsfsd" localSheetId="9" hidden="1">{"'Sheet1'!$L$16"}</definedName>
    <definedName name="dfsfsd" localSheetId="0" hidden="1">{"'Sheet1'!$L$16"}</definedName>
    <definedName name="dfsfsd" localSheetId="10" hidden="1">{"'Sheet1'!$L$16"}</definedName>
    <definedName name="dfsfsd" localSheetId="1" hidden="1">{"'Sheet1'!$L$16"}</definedName>
    <definedName name="dfsfsd" localSheetId="5" hidden="1">{"'Sheet1'!$L$16"}</definedName>
    <definedName name="dfsfsd" localSheetId="6" hidden="1">{"'Sheet1'!$L$16"}</definedName>
    <definedName name="dfsfsd" localSheetId="4" hidden="1">{"'Sheet1'!$L$16"}</definedName>
    <definedName name="dfsfsd" localSheetId="7" hidden="1">{"'Sheet1'!$L$16"}</definedName>
    <definedName name="dfsfsd" localSheetId="8" hidden="1">{"'Sheet1'!$L$16"}</definedName>
    <definedName name="dfsfsd" hidden="1">{"'Sheet1'!$L$16"}</definedName>
    <definedName name="DFv">#REF!</definedName>
    <definedName name="dg">#REF!</definedName>
    <definedName name="dg_5cau">#REF!</definedName>
    <definedName name="dg_67">#REF!</definedName>
    <definedName name="DG_M_C_X">#REF!</definedName>
    <definedName name="dg67_1">#REF!</definedName>
    <definedName name="dgbdII">#REF!</definedName>
    <definedName name="dgc">#REF!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0">#REF!</definedName>
    <definedName name="DICHSO" localSheetId="10">#REF!</definedName>
    <definedName name="DICHSO" localSheetId="1">#REF!</definedName>
    <definedName name="DICHSO" localSheetId="5">#REF!</definedName>
    <definedName name="DICHSO" localSheetId="6">#REF!</definedName>
    <definedName name="DICHSO" localSheetId="4">#REF!</definedName>
    <definedName name="DICHSO" localSheetId="7">#REF!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#REF!</definedName>
    <definedName name="dobt">#REF!</definedName>
    <definedName name="Doc_Name">#REF!</definedName>
    <definedName name="doclb">#REF!</definedName>
    <definedName name="Document_array" localSheetId="9">{"Thuxm2.xls","Sheet1"}</definedName>
    <definedName name="Document_array" localSheetId="0">{"Thuxm2.xls","Sheet1"}</definedName>
    <definedName name="Document_array" localSheetId="10">{"Thuxm2.xls","Sheet1"}</definedName>
    <definedName name="Document_array" localSheetId="1">{"Thuxm2.xls","Sheet1"}</definedName>
    <definedName name="Document_array" localSheetId="5">{"Thuxm2.xls","Sheet1"}</definedName>
    <definedName name="Document_array" localSheetId="6">{"Thuxm2.xls","Sheet1"}</definedName>
    <definedName name="Document_array" localSheetId="4">{"Thuxm2.xls","Sheet1"}</definedName>
    <definedName name="Document_array" localSheetId="7">{"Thuxm2.xls","Sheet1"}</definedName>
    <definedName name="Document_array" localSheetId="8">{"Thuxm2.xls","Sheet1"}</definedName>
    <definedName name="Document_array">{"Thuxm2.xls","Sheet1"}</definedName>
    <definedName name="dofinbo6t">#REF!</definedName>
    <definedName name="dofinbonus6t">#REF!</definedName>
    <definedName name="dokcs">#REF!</definedName>
    <definedName name="dokd">#REF!</definedName>
    <definedName name="dokt">#REF!</definedName>
    <definedName name="doktnl">#REF!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#REF!</definedName>
    <definedName name="dotc">#REF!</definedName>
    <definedName name="dotchc">#REF!</definedName>
    <definedName name="dotdn">#REF!</definedName>
    <definedName name="dottchc">#REF!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#REF!</definedName>
    <definedName name="DZ6gd1">#REF!</definedName>
    <definedName name="dzgd1">#REF!</definedName>
    <definedName name="dztramtt">#REF!</definedName>
    <definedName name="đtrẻtytyhtytu">#REF!</definedName>
    <definedName name="e">#REF!</definedName>
    <definedName name="ẻ">#REF!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9">IF(LEFT(#REF!,2)="NG",#REF!&amp;_MongCotNeo&amp;IF(#REF!&gt;12,"a",""),IF(LEFT(#REF!,3)="NCD","2MT-4",VLOOKUP(#REF!,_Mong,MATCH(#REF!,KcTieuChuan,0)+1,0)))</definedName>
    <definedName name="F_ChonMong" localSheetId="0">IF(LEFT(#REF!,2)="NG",#REF!&amp;_MongCotNeo&amp;IF(#REF!&gt;12,"a",""),IF(LEFT(#REF!,3)="NCD","2MT-4",VLOOKUP(#REF!,_Mong,MATCH(#REF!,KcTieuChuan,0)+1,0)))</definedName>
    <definedName name="F_ChonMong" localSheetId="10">IF(LEFT(#REF!,2)="NG",#REF!&amp;[0]!_MongCotNeo&amp;IF(#REF!&gt;12,"a",""),IF(LEFT(#REF!,3)="NCD","2MT-4",VLOOKUP(#REF!,[0]!_Mong,MATCH(#REF!,[0]!KcTieuChuan,0)+1,0)))</definedName>
    <definedName name="F_ChonMong" localSheetId="1">IF(LEFT(#REF!,2)="NG",#REF!&amp;[0]!_MongCotNeo&amp;IF(#REF!&gt;12,"a",""),IF(LEFT(#REF!,3)="NCD","2MT-4",VLOOKUP(#REF!,[0]!_Mong,MATCH(#REF!,[0]!KcTieuChuan,0)+1,0)))</definedName>
    <definedName name="F_ChonMong" localSheetId="5">IF(LEFT(#REF!,2)="NG",#REF!&amp;[0]!_MongCotNeo&amp;IF(#REF!&gt;12,"a",""),IF(LEFT(#REF!,3)="NCD","2MT-4",VLOOKUP(#REF!,[0]!_Mong,MATCH(#REF!,[0]!KcTieuChuan,0)+1,0)))</definedName>
    <definedName name="F_ChonMong" localSheetId="6">IF(LEFT(#REF!,2)="NG",#REF!&amp;[0]!_MongCotNeo&amp;IF(#REF!&gt;12,"a",""),IF(LEFT(#REF!,3)="NCD","2MT-4",VLOOKUP(#REF!,[0]!_Mong,MATCH(#REF!,[0]!KcTieuChuan,0)+1,0)))</definedName>
    <definedName name="F_ChonMong" localSheetId="4">IF(LEFT(#REF!,2)="NG",#REF!&amp;[0]!_MongCotNeo&amp;IF(#REF!&gt;12,"a",""),IF(LEFT(#REF!,3)="NCD","2MT-4",VLOOKUP(#REF!,[0]!_Mong,MATCH(#REF!,[0]!KcTieuChuan,0)+1,0)))</definedName>
    <definedName name="F_ChonMong" localSheetId="7">IF(LEFT(#REF!,2)="NG",#REF!&amp;[0]!_MongCotNeo&amp;IF(#REF!&gt;12,"a",""),IF(LEFT(#REF!,3)="NCD","2MT-4",VLOOKUP(#REF!,[0]!_Mong,MATCH(#REF!,[0]!KcTieuChuan,0)+1,0)))</definedName>
    <definedName name="F_ChonMong" localSheetId="8">IF(LEFT(#REF!,2)="NG",#REF!&amp;_MongCotNeo&amp;IF(#REF!&gt;12,"a",""),IF(LEFT(#REF!,3)="NCD","2MT-4",VLOOKUP(#REF!,_Mong,MATCH(#REF!,KcTieuChuan,0)+1,0)))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9" hidden="1">{"'Sheet1'!$L$16"}</definedName>
    <definedName name="fáaafafaf" localSheetId="0" hidden="1">{"'Sheet1'!$L$16"}</definedName>
    <definedName name="fáaafafaf" localSheetId="10" hidden="1">{"'Sheet1'!$L$16"}</definedName>
    <definedName name="fáaafafaf" localSheetId="1" hidden="1">{"'Sheet1'!$L$16"}</definedName>
    <definedName name="fáaafafaf" localSheetId="5" hidden="1">{"'Sheet1'!$L$16"}</definedName>
    <definedName name="fáaafafaf" localSheetId="6" hidden="1">{"'Sheet1'!$L$16"}</definedName>
    <definedName name="fáaafafaf" localSheetId="4" hidden="1">{"'Sheet1'!$L$16"}</definedName>
    <definedName name="fáaafafaf" localSheetId="7" hidden="1">{"'Sheet1'!$L$16"}</definedName>
    <definedName name="fáaafafaf" localSheetId="8" hidden="1">{"'Sheet1'!$L$16"}</definedName>
    <definedName name="fáaafafaf" hidden="1">{"'Sheet1'!$L$16"}</definedName>
    <definedName name="FACTOR">#REF!</definedName>
    <definedName name="FADKJF" localSheetId="9" hidden="1">{"'Sheet1'!$L$16"}</definedName>
    <definedName name="FADKJF" localSheetId="0" hidden="1">{"'Sheet1'!$L$16"}</definedName>
    <definedName name="FADKJF" localSheetId="10" hidden="1">{"'Sheet1'!$L$16"}</definedName>
    <definedName name="FADKJF" localSheetId="1" hidden="1">{"'Sheet1'!$L$16"}</definedName>
    <definedName name="FADKJF" localSheetId="5" hidden="1">{"'Sheet1'!$L$16"}</definedName>
    <definedName name="FADKJF" localSheetId="6" hidden="1">{"'Sheet1'!$L$16"}</definedName>
    <definedName name="FADKJF" localSheetId="4" hidden="1">{"'Sheet1'!$L$16"}</definedName>
    <definedName name="FADKJF" localSheetId="7" hidden="1">{"'Sheet1'!$L$16"}</definedName>
    <definedName name="FADKJF" localSheetId="8" hidden="1">{"'Sheet1'!$L$16"}</definedName>
    <definedName name="FADKJF" hidden="1">{"'Sheet1'!$L$16"}</definedName>
    <definedName name="faf">#REF!</definedName>
    <definedName name="fasfaga" localSheetId="9" hidden="1">{"'Sheet1'!$L$16"}</definedName>
    <definedName name="fasfaga" localSheetId="0" hidden="1">{"'Sheet1'!$L$16"}</definedName>
    <definedName name="fasfaga" localSheetId="10" hidden="1">{"'Sheet1'!$L$16"}</definedName>
    <definedName name="fasfaga" localSheetId="1" hidden="1">{"'Sheet1'!$L$16"}</definedName>
    <definedName name="fasfaga" localSheetId="5" hidden="1">{"'Sheet1'!$L$16"}</definedName>
    <definedName name="fasfaga" localSheetId="6" hidden="1">{"'Sheet1'!$L$16"}</definedName>
    <definedName name="fasfaga" localSheetId="4" hidden="1">{"'Sheet1'!$L$16"}</definedName>
    <definedName name="fasfaga" localSheetId="7" hidden="1">{"'Sheet1'!$L$16"}</definedName>
    <definedName name="fasfaga" localSheetId="8" hidden="1">{"'Sheet1'!$L$16"}</definedName>
    <definedName name="fasfaga" hidden="1">{"'Sheet1'!$L$16"}</definedName>
    <definedName name="Fax">#REF!</definedName>
    <definedName name="Fay">#REF!</definedName>
    <definedName name="fb">#REF!</definedName>
    <definedName name="fbsdggdsf" localSheetId="9">{"DZ-TDTB2.XLS","Dcksat.xls"}</definedName>
    <definedName name="fbsdggdsf" localSheetId="0">{"DZ-TDTB2.XLS","Dcksat.xls"}</definedName>
    <definedName name="fbsdggdsf" localSheetId="10">{"DZ-TDTB2.XLS","Dcksat.xls"}</definedName>
    <definedName name="fbsdggdsf" localSheetId="1">{"DZ-TDTB2.XLS","Dcksat.xls"}</definedName>
    <definedName name="fbsdggdsf" localSheetId="5">{"DZ-TDTB2.XLS","Dcksat.xls"}</definedName>
    <definedName name="fbsdggdsf" localSheetId="6">{"DZ-TDTB2.XLS","Dcksat.xls"}</definedName>
    <definedName name="fbsdggdsf" localSheetId="4">{"DZ-TDTB2.XLS","Dcksat.xls"}</definedName>
    <definedName name="fbsdggdsf" localSheetId="7">{"DZ-TDTB2.XLS","Dcksat.xls"}</definedName>
    <definedName name="fbsdggdsf" localSheetId="8">{"DZ-TDTB2.XLS","Dcksat.xls"}</definedName>
    <definedName name="fbsdggdsf">{"DZ-TDTB2.XLS","Dcksat.xls"}</definedName>
    <definedName name="fc">#REF!</definedName>
    <definedName name="fÇ" localSheetId="9" hidden="1">{"'Sheet1'!$L$16"}</definedName>
    <definedName name="fÇ" localSheetId="0" hidden="1">{"'Sheet1'!$L$16"}</definedName>
    <definedName name="fÇ" localSheetId="10" hidden="1">{"'Sheet1'!$L$16"}</definedName>
    <definedName name="fÇ" localSheetId="1" hidden="1">{"'Sheet1'!$L$16"}</definedName>
    <definedName name="fÇ" localSheetId="5" hidden="1">{"'Sheet1'!$L$16"}</definedName>
    <definedName name="fÇ" localSheetId="6" hidden="1">{"'Sheet1'!$L$16"}</definedName>
    <definedName name="fÇ" localSheetId="4" hidden="1">{"'Sheet1'!$L$16"}</definedName>
    <definedName name="fÇ" localSheetId="7" hidden="1">{"'Sheet1'!$L$16"}</definedName>
    <definedName name="fÇ" localSheetId="8"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9" hidden="1">{"'Sheet1'!$L$16"}</definedName>
    <definedName name="fdsfsdfd" localSheetId="0" hidden="1">{"'Sheet1'!$L$16"}</definedName>
    <definedName name="fdsfsdfd" localSheetId="10" hidden="1">{"'Sheet1'!$L$16"}</definedName>
    <definedName name="fdsfsdfd" localSheetId="1" hidden="1">{"'Sheet1'!$L$16"}</definedName>
    <definedName name="fdsfsdfd" localSheetId="5" hidden="1">{"'Sheet1'!$L$16"}</definedName>
    <definedName name="fdsfsdfd" localSheetId="6" hidden="1">{"'Sheet1'!$L$16"}</definedName>
    <definedName name="fdsfsdfd" localSheetId="4" hidden="1">{"'Sheet1'!$L$16"}</definedName>
    <definedName name="fdsfsdfd" localSheetId="7" hidden="1">{"'Sheet1'!$L$16"}</definedName>
    <definedName name="fdsfsdfd" localSheetId="8" hidden="1">{"'Sheet1'!$L$16"}</definedName>
    <definedName name="fdsfsdfd" hidden="1">{"'Sheet1'!$L$16"}</definedName>
    <definedName name="FF">#REF!</definedName>
    <definedName name="FFF" localSheetId="9">BlankMacro1</definedName>
    <definedName name="FFF" localSheetId="0">BlankMacro1</definedName>
    <definedName name="FFF" localSheetId="10">BlankMacro1</definedName>
    <definedName name="FFF" localSheetId="1">BlankMacro1</definedName>
    <definedName name="FFF" localSheetId="5">BlankMacro1</definedName>
    <definedName name="FFF" localSheetId="6">BlankMacro1</definedName>
    <definedName name="FFF" localSheetId="4">BlankMacro1</definedName>
    <definedName name="FFF" localSheetId="7">BlankMacro1</definedName>
    <definedName name="FFF" localSheetId="8">BlankMacro1</definedName>
    <definedName name="FFF">BlankMacro1</definedName>
    <definedName name="FFFF">#REF!</definedName>
    <definedName name="fffffffffffffff" localSheetId="9" hidden="1">{"'Sheet1'!$L$16"}</definedName>
    <definedName name="fffffffffffffff" localSheetId="0" hidden="1">{"'Sheet1'!$L$16"}</definedName>
    <definedName name="fffffffffffffff" localSheetId="10" hidden="1">{"'Sheet1'!$L$16"}</definedName>
    <definedName name="fffffffffffffff" localSheetId="1" hidden="1">{"'Sheet1'!$L$16"}</definedName>
    <definedName name="fffffffffffffff" localSheetId="5" hidden="1">{"'Sheet1'!$L$16"}</definedName>
    <definedName name="fffffffffffffff" localSheetId="6" hidden="1">{"'Sheet1'!$L$16"}</definedName>
    <definedName name="fffffffffffffff" localSheetId="4" hidden="1">{"'Sheet1'!$L$16"}</definedName>
    <definedName name="fffffffffffffff" localSheetId="7" hidden="1">{"'Sheet1'!$L$16"}</definedName>
    <definedName name="fffffffffffffff" localSheetId="8" hidden="1">{"'Sheet1'!$L$16"}</definedName>
    <definedName name="fffffffffffffff" hidden="1">{"'Sheet1'!$L$16"}</definedName>
    <definedName name="Fg">#REF!</definedName>
    <definedName name="fghgjhgjhk">#REF!</definedName>
    <definedName name="fhgfjhjhkjh" localSheetId="9" hidden="1">{"'QT tong hop'!$B$7"}</definedName>
    <definedName name="fhgfjhjhkjh" localSheetId="0" hidden="1">{"'QT tong hop'!$B$7"}</definedName>
    <definedName name="fhgfjhjhkjh" localSheetId="10" hidden="1">{"'QT tong hop'!$B$7"}</definedName>
    <definedName name="fhgfjhjhkjh" localSheetId="1" hidden="1">{"'QT tong hop'!$B$7"}</definedName>
    <definedName name="fhgfjhjhkjh" localSheetId="5" hidden="1">{"'QT tong hop'!$B$7"}</definedName>
    <definedName name="fhgfjhjhkjh" localSheetId="6" hidden="1">{"'QT tong hop'!$B$7"}</definedName>
    <definedName name="fhgfjhjhkjh" localSheetId="4" hidden="1">{"'QT tong hop'!$B$7"}</definedName>
    <definedName name="fhgfjhjhkjh" localSheetId="7" hidden="1">{"'QT tong hop'!$B$7"}</definedName>
    <definedName name="fhgfjhjhkjh" localSheetId="8"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#REF!</definedName>
    <definedName name="FinXL">#REF!</definedName>
    <definedName name="FIT" localSheetId="9">BlankMacro1</definedName>
    <definedName name="FIT" localSheetId="0">BlankMacro1</definedName>
    <definedName name="FIT" localSheetId="10">BlankMacro1</definedName>
    <definedName name="FIT" localSheetId="1">BlankMacro1</definedName>
    <definedName name="FIT" localSheetId="5">BlankMacro1</definedName>
    <definedName name="FIT" localSheetId="6">BlankMacro1</definedName>
    <definedName name="FIT" localSheetId="4">BlankMacro1</definedName>
    <definedName name="FIT" localSheetId="7">BlankMacro1</definedName>
    <definedName name="FIT" localSheetId="8">BlankMacro1</definedName>
    <definedName name="FIT">BlankMacro1</definedName>
    <definedName name="Fitb">#REF!</definedName>
    <definedName name="FITT2" localSheetId="9">BlankMacro1</definedName>
    <definedName name="FITT2" localSheetId="0">BlankMacro1</definedName>
    <definedName name="FITT2" localSheetId="10">BlankMacro1</definedName>
    <definedName name="FITT2" localSheetId="1">BlankMacro1</definedName>
    <definedName name="FITT2" localSheetId="5">BlankMacro1</definedName>
    <definedName name="FITT2" localSheetId="6">BlankMacro1</definedName>
    <definedName name="FITT2" localSheetId="4">BlankMacro1</definedName>
    <definedName name="FITT2" localSheetId="7">BlankMacro1</definedName>
    <definedName name="FITT2" localSheetId="8">BlankMacro1</definedName>
    <definedName name="FITT2">BlankMacro1</definedName>
    <definedName name="FITTING2" localSheetId="9">BlankMacro1</definedName>
    <definedName name="FITTING2" localSheetId="0">BlankMacro1</definedName>
    <definedName name="FITTING2" localSheetId="10">BlankMacro1</definedName>
    <definedName name="FITTING2" localSheetId="1">BlankMacro1</definedName>
    <definedName name="FITTING2" localSheetId="5">BlankMacro1</definedName>
    <definedName name="FITTING2" localSheetId="6">BlankMacro1</definedName>
    <definedName name="FITTING2" localSheetId="4">BlankMacro1</definedName>
    <definedName name="FITTING2" localSheetId="7">BlankMacro1</definedName>
    <definedName name="FITTING2" localSheetId="8">BlankMacro1</definedName>
    <definedName name="FITTING2">BlankMacro1</definedName>
    <definedName name="fj">#REF!</definedName>
    <definedName name="fjh">#REF!</definedName>
    <definedName name="fjhghjkjhkj">#REF!</definedName>
    <definedName name="FlexZZ">#REF!</definedName>
    <definedName name="FLG" localSheetId="9">BlankMacro1</definedName>
    <definedName name="FLG" localSheetId="0">BlankMacro1</definedName>
    <definedName name="FLG" localSheetId="10">BlankMacro1</definedName>
    <definedName name="FLG" localSheetId="1">BlankMacro1</definedName>
    <definedName name="FLG" localSheetId="5">BlankMacro1</definedName>
    <definedName name="FLG" localSheetId="6">BlankMacro1</definedName>
    <definedName name="FLG" localSheetId="4">BlankMacro1</definedName>
    <definedName name="FLG" localSheetId="7">BlankMacro1</definedName>
    <definedName name="FLG" localSheetId="8">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9" hidden="1">{"'Sheet1'!$L$16"}</definedName>
    <definedName name="fsdfdsf" localSheetId="0" hidden="1">{"'Sheet1'!$L$16"}</definedName>
    <definedName name="fsdfdsf" localSheetId="10" hidden="1">{"'Sheet1'!$L$16"}</definedName>
    <definedName name="fsdfdsf" localSheetId="1" hidden="1">{"'Sheet1'!$L$16"}</definedName>
    <definedName name="fsdfdsf" localSheetId="5" hidden="1">{"'Sheet1'!$L$16"}</definedName>
    <definedName name="fsdfdsf" localSheetId="6" hidden="1">{"'Sheet1'!$L$16"}</definedName>
    <definedName name="fsdfdsf" localSheetId="4" hidden="1">{"'Sheet1'!$L$16"}</definedName>
    <definedName name="fsdfdsf" localSheetId="7" hidden="1">{"'Sheet1'!$L$16"}</definedName>
    <definedName name="fsdfdsf" localSheetId="8"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9" hidden="1">{"'Sheet1'!$L$16"}</definedName>
    <definedName name="gdfgdfgdf" localSheetId="0" hidden="1">{"'Sheet1'!$L$16"}</definedName>
    <definedName name="gdfgdfgdf" localSheetId="10" hidden="1">{"'Sheet1'!$L$16"}</definedName>
    <definedName name="gdfgdfgdf" localSheetId="1" hidden="1">{"'Sheet1'!$L$16"}</definedName>
    <definedName name="gdfgdfgdf" localSheetId="5" hidden="1">{"'Sheet1'!$L$16"}</definedName>
    <definedName name="gdfgdfgdf" localSheetId="6" hidden="1">{"'Sheet1'!$L$16"}</definedName>
    <definedName name="gdfgdfgdf" localSheetId="4" hidden="1">{"'Sheet1'!$L$16"}</definedName>
    <definedName name="gdfgdfgdf" localSheetId="7" hidden="1">{"'Sheet1'!$L$16"}</definedName>
    <definedName name="gdfgdfgdf" localSheetId="8"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9" hidden="1">{"'Sheet1'!$L$16"}</definedName>
    <definedName name="GGG" localSheetId="0" hidden="1">{"'Sheet1'!$L$16"}</definedName>
    <definedName name="GGG" localSheetId="10" hidden="1">{"'Sheet1'!$L$16"}</definedName>
    <definedName name="GGG" localSheetId="1" hidden="1">{"'Sheet1'!$L$16"}</definedName>
    <definedName name="GGG" localSheetId="5" hidden="1">{"'Sheet1'!$L$16"}</definedName>
    <definedName name="GGG" localSheetId="6" hidden="1">{"'Sheet1'!$L$16"}</definedName>
    <definedName name="GGG" localSheetId="4" hidden="1">{"'Sheet1'!$L$16"}</definedName>
    <definedName name="GGG" localSheetId="7" hidden="1">{"'Sheet1'!$L$16"}</definedName>
    <definedName name="GGG" localSheetId="8"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0">#REF!</definedName>
    <definedName name="GoBack" localSheetId="10">#REF!</definedName>
    <definedName name="GoBack" localSheetId="1">#REF!</definedName>
    <definedName name="GoBack" localSheetId="5">#REF!</definedName>
    <definedName name="GoBack" localSheetId="6">#REF!</definedName>
    <definedName name="GoBack" localSheetId="4">#REF!</definedName>
    <definedName name="GoBack" localSheetId="7">#REF!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0">#REF!</definedName>
    <definedName name="gsktxd" localSheetId="10">#REF!</definedName>
    <definedName name="gsktxd" localSheetId="1">#REF!</definedName>
    <definedName name="gsktxd" localSheetId="5">#REF!</definedName>
    <definedName name="gsktxd" localSheetId="6">#REF!</definedName>
    <definedName name="gsktxd" localSheetId="4">#REF!</definedName>
    <definedName name="gsktxd" localSheetId="7">#REF!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9" hidden="1">{"'Sheet1'!$L$16"}</definedName>
    <definedName name="GTOTAL" localSheetId="0" hidden="1">{"'Sheet1'!$L$16"}</definedName>
    <definedName name="GTOTAL" localSheetId="10" hidden="1">{"'Sheet1'!$L$16"}</definedName>
    <definedName name="GTOTAL" localSheetId="1" hidden="1">{"'Sheet1'!$L$16"}</definedName>
    <definedName name="GTOTAL" localSheetId="5" hidden="1">{"'Sheet1'!$L$16"}</definedName>
    <definedName name="GTOTAL" localSheetId="6" hidden="1">{"'Sheet1'!$L$16"}</definedName>
    <definedName name="GTOTAL" localSheetId="4" hidden="1">{"'Sheet1'!$L$16"}</definedName>
    <definedName name="GTOTAL" localSheetId="7" hidden="1">{"'Sheet1'!$L$16"}</definedName>
    <definedName name="GTOTAL" localSheetId="8"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 localSheetId="7">#REF!</definedName>
    <definedName name="giadien">#REF!</definedName>
    <definedName name="GiaHaNoiT2_2002_Q">#REF!</definedName>
    <definedName name="Giai__o_n">#REF!</definedName>
    <definedName name="Giai_doan">#REF!</definedName>
    <definedName name="gianuoc" localSheetId="7">#REF!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9" hidden="1">{"'Sheet1'!$L$16"}</definedName>
    <definedName name="h" localSheetId="0" hidden="1">{"'Sheet1'!$L$16"}</definedName>
    <definedName name="h" localSheetId="10" hidden="1">{"'Sheet1'!$L$16"}</definedName>
    <definedName name="h" localSheetId="1" hidden="1">{"'Sheet1'!$L$16"}</definedName>
    <definedName name="h" localSheetId="5" hidden="1">{"'Sheet1'!$L$16"}</definedName>
    <definedName name="h" localSheetId="6" hidden="1">{"'Sheet1'!$L$16"}</definedName>
    <definedName name="h" localSheetId="4" hidden="1">{"'Sheet1'!$L$16"}</definedName>
    <definedName name="h" localSheetId="7" hidden="1">{"'Sheet1'!$L$16"}</definedName>
    <definedName name="h" localSheetId="8"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9" hidden="1">{"'Sheet1'!$L$16"}</definedName>
    <definedName name="hai" localSheetId="0" hidden="1">{"'Sheet1'!$L$16"}</definedName>
    <definedName name="hai" localSheetId="10" hidden="1">{"'Sheet1'!$L$16"}</definedName>
    <definedName name="hai" localSheetId="1" hidden="1">{"'Sheet1'!$L$16"}</definedName>
    <definedName name="hai" localSheetId="5" hidden="1">{"'Sheet1'!$L$16"}</definedName>
    <definedName name="hai" localSheetId="6" hidden="1">{"'Sheet1'!$L$16"}</definedName>
    <definedName name="hai" localSheetId="4" hidden="1">{"'Sheet1'!$L$16"}</definedName>
    <definedName name="hai" localSheetId="7" hidden="1">{"'Sheet1'!$L$16"}</definedName>
    <definedName name="hai" localSheetId="8"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9" hidden="1">{"'Sheet1'!$L$16"}</definedName>
    <definedName name="HCNA" localSheetId="0" hidden="1">{"'Sheet1'!$L$16"}</definedName>
    <definedName name="HCNA" localSheetId="10" hidden="1">{"'Sheet1'!$L$16"}</definedName>
    <definedName name="HCNA" localSheetId="1" hidden="1">{"'Sheet1'!$L$16"}</definedName>
    <definedName name="HCNA" localSheetId="5" hidden="1">{"'Sheet1'!$L$16"}</definedName>
    <definedName name="HCNA" localSheetId="6" hidden="1">{"'Sheet1'!$L$16"}</definedName>
    <definedName name="HCNA" localSheetId="4" hidden="1">{"'Sheet1'!$L$16"}</definedName>
    <definedName name="HCNA" localSheetId="7" hidden="1">{"'Sheet1'!$L$16"}</definedName>
    <definedName name="HCNA" localSheetId="8"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#REF!</definedName>
    <definedName name="HE_SO_KHO_KHAN_CANG_DAY">#REF!</definedName>
    <definedName name="Heä_soá_laép_xaø_H">1.7</definedName>
    <definedName name="heä_soá_sình_laày">#REF!</definedName>
    <definedName name="HEADDAYA3">#REF!,#REF!,#REF!,#REF!,#REF!,#REF!,#REF!,#REF!,#REF!,#REF!,#REF!,#REF!,#REF!</definedName>
    <definedName name="HEADDAYA4">#REF!,#REF!,#REF!,#REF!,#REF!,#REF!,#REF!,#REF!,#REF!,#REF!,#REF!,#REF!,#REF!,#REF!,#REF!,#REF!,#REF!</definedName>
    <definedName name="HEADWEEKA3">#REF!,#REF!,#REF!,#REF!,#REF!,#REF!,#REF!,#REF!,#REF!,#REF!,#REF!,#REF!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9" hidden="1">{"'Sheet1'!$L$16"}</definedName>
    <definedName name="hjjkl" localSheetId="0" hidden="1">{"'Sheet1'!$L$16"}</definedName>
    <definedName name="hjjkl" localSheetId="10" hidden="1">{"'Sheet1'!$L$16"}</definedName>
    <definedName name="hjjkl" localSheetId="1" hidden="1">{"'Sheet1'!$L$16"}</definedName>
    <definedName name="hjjkl" localSheetId="5" hidden="1">{"'Sheet1'!$L$16"}</definedName>
    <definedName name="hjjkl" localSheetId="6" hidden="1">{"'Sheet1'!$L$16"}</definedName>
    <definedName name="hjjkl" localSheetId="4" hidden="1">{"'Sheet1'!$L$16"}</definedName>
    <definedName name="hjjkl" localSheetId="7" hidden="1">{"'Sheet1'!$L$16"}</definedName>
    <definedName name="hjjkl" localSheetId="8" hidden="1">{"'Sheet1'!$L$16"}</definedName>
    <definedName name="hjjkl" hidden="1">{"'Sheet1'!$L$16"}</definedName>
    <definedName name="hjxghji" localSheetId="9">BlankMacro1</definedName>
    <definedName name="hjxghji" localSheetId="0">BlankMacro1</definedName>
    <definedName name="hjxghji" localSheetId="10">BlankMacro1</definedName>
    <definedName name="hjxghji" localSheetId="1">BlankMacro1</definedName>
    <definedName name="hjxghji" localSheetId="5">BlankMacro1</definedName>
    <definedName name="hjxghji" localSheetId="6">BlankMacro1</definedName>
    <definedName name="hjxghji" localSheetId="4">BlankMacro1</definedName>
    <definedName name="hjxghji" localSheetId="7">BlankMacro1</definedName>
    <definedName name="hjxghji" localSheetId="8">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9" hidden="1">{"'Sheet1'!$L$16"}</definedName>
    <definedName name="htlm" localSheetId="0" hidden="1">{"'Sheet1'!$L$16"}</definedName>
    <definedName name="htlm" localSheetId="10" hidden="1">{"'Sheet1'!$L$16"}</definedName>
    <definedName name="htlm" localSheetId="1" hidden="1">{"'Sheet1'!$L$16"}</definedName>
    <definedName name="htlm" localSheetId="5" hidden="1">{"'Sheet1'!$L$16"}</definedName>
    <definedName name="htlm" localSheetId="6" hidden="1">{"'Sheet1'!$L$16"}</definedName>
    <definedName name="htlm" localSheetId="4" hidden="1">{"'Sheet1'!$L$16"}</definedName>
    <definedName name="htlm" localSheetId="7" hidden="1">{"'Sheet1'!$L$16"}</definedName>
    <definedName name="htlm" localSheetId="8" hidden="1">{"'Sheet1'!$L$16"}</definedName>
    <definedName name="htlm" hidden="1">{"'Sheet1'!$L$16"}</definedName>
    <definedName name="HTML_CodePage" hidden="1">1252</definedName>
    <definedName name="HTML_Control" localSheetId="9" hidden="1">{"'QT tong hop'!$B$7"}</definedName>
    <definedName name="HTML_Control" localSheetId="0" hidden="1">{"'QT tong hop'!$B$7"}</definedName>
    <definedName name="HTML_Control" localSheetId="10" hidden="1">{"'QT tong hop'!$B$7"}</definedName>
    <definedName name="HTML_Control" localSheetId="1" hidden="1">{"'QT tong hop'!$B$7"}</definedName>
    <definedName name="HTML_Control" localSheetId="5" hidden="1">{"'QT tong hop'!$B$7"}</definedName>
    <definedName name="HTML_Control" localSheetId="6" hidden="1">{"'QT tong hop'!$B$7"}</definedName>
    <definedName name="HTML_Control" localSheetId="4" hidden="1">{"'QT tong hop'!$B$7"}</definedName>
    <definedName name="HTML_Control" localSheetId="7" hidden="1">{"'QT tong hop'!$B$7"}</definedName>
    <definedName name="HTML_Control" localSheetId="8"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9" hidden="1">{"'Sheet1'!$L$16"}</definedName>
    <definedName name="hu" localSheetId="0" hidden="1">{"'Sheet1'!$L$16"}</definedName>
    <definedName name="hu" localSheetId="10" hidden="1">{"'Sheet1'!$L$16"}</definedName>
    <definedName name="hu" localSheetId="1" hidden="1">{"'Sheet1'!$L$16"}</definedName>
    <definedName name="hu" localSheetId="5" hidden="1">{"'Sheet1'!$L$16"}</definedName>
    <definedName name="hu" localSheetId="6" hidden="1">{"'Sheet1'!$L$16"}</definedName>
    <definedName name="hu" localSheetId="4" hidden="1">{"'Sheet1'!$L$16"}</definedName>
    <definedName name="hu" localSheetId="7" hidden="1">{"'Sheet1'!$L$16"}</definedName>
    <definedName name="hu" localSheetId="8" hidden="1">{"'Sheet1'!$L$16"}</definedName>
    <definedName name="hu" hidden="1">{"'Sheet1'!$L$16"}</definedName>
    <definedName name="hui" localSheetId="9" hidden="1">{"'Sheet1'!$L$16"}</definedName>
    <definedName name="hui" localSheetId="0" hidden="1">{"'Sheet1'!$L$16"}</definedName>
    <definedName name="hui" localSheetId="10" hidden="1">{"'Sheet1'!$L$16"}</definedName>
    <definedName name="hui" localSheetId="1" hidden="1">{"'Sheet1'!$L$16"}</definedName>
    <definedName name="hui" localSheetId="5" hidden="1">{"'Sheet1'!$L$16"}</definedName>
    <definedName name="hui" localSheetId="6" hidden="1">{"'Sheet1'!$L$16"}</definedName>
    <definedName name="hui" localSheetId="4" hidden="1">{"'Sheet1'!$L$16"}</definedName>
    <definedName name="hui" localSheetId="7" hidden="1">{"'Sheet1'!$L$16"}</definedName>
    <definedName name="hui" localSheetId="8" hidden="1">{"'Sheet1'!$L$16"}</definedName>
    <definedName name="hui" hidden="1">{"'Sheet1'!$L$16"}</definedName>
    <definedName name="huong">#REF!</definedName>
    <definedName name="huy" localSheetId="9" hidden="1">{"'Sheet1'!$L$16"}</definedName>
    <definedName name="huy" localSheetId="0" hidden="1">{"'Sheet1'!$L$16"}</definedName>
    <definedName name="huy" localSheetId="10" hidden="1">{"'Sheet1'!$L$16"}</definedName>
    <definedName name="huy" localSheetId="1" hidden="1">{"'Sheet1'!$L$16"}</definedName>
    <definedName name="huy" localSheetId="5" hidden="1">{"'Sheet1'!$L$16"}</definedName>
    <definedName name="huy" localSheetId="6" hidden="1">{"'Sheet1'!$L$16"}</definedName>
    <definedName name="huy" localSheetId="4" hidden="1">{"'Sheet1'!$L$16"}</definedName>
    <definedName name="huy" localSheetId="7" hidden="1">{"'Sheet1'!$L$16"}</definedName>
    <definedName name="huy" localSheetId="8" hidden="1">{"'Sheet1'!$L$16"}</definedName>
    <definedName name="huy" hidden="1">{"'Sheet1'!$L$16"}</definedName>
    <definedName name="huyen" localSheetId="9" hidden="1">{"'Sheet1'!$L$16"}</definedName>
    <definedName name="huyen" localSheetId="0" hidden="1">{"'Sheet1'!$L$16"}</definedName>
    <definedName name="huyen" localSheetId="10" hidden="1">{"'Sheet1'!$L$16"}</definedName>
    <definedName name="huyen" localSheetId="1" hidden="1">{"'Sheet1'!$L$16"}</definedName>
    <definedName name="huyen" localSheetId="5" hidden="1">{"'Sheet1'!$L$16"}</definedName>
    <definedName name="huyen" localSheetId="6" hidden="1">{"'Sheet1'!$L$16"}</definedName>
    <definedName name="huyen" localSheetId="4" hidden="1">{"'Sheet1'!$L$16"}</definedName>
    <definedName name="huyen" localSheetId="7" hidden="1">{"'Sheet1'!$L$16"}</definedName>
    <definedName name="huyen" localSheetId="8"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9" hidden="1">{"'Sheet1'!$L$16"}</definedName>
    <definedName name="JGFK" localSheetId="0" hidden="1">{"'Sheet1'!$L$16"}</definedName>
    <definedName name="JGFK" localSheetId="10" hidden="1">{"'Sheet1'!$L$16"}</definedName>
    <definedName name="JGFK" localSheetId="1" hidden="1">{"'Sheet1'!$L$16"}</definedName>
    <definedName name="JGFK" localSheetId="5" hidden="1">{"'Sheet1'!$L$16"}</definedName>
    <definedName name="JGFK" localSheetId="6" hidden="1">{"'Sheet1'!$L$16"}</definedName>
    <definedName name="JGFK" localSheetId="4" hidden="1">{"'Sheet1'!$L$16"}</definedName>
    <definedName name="JGFK" localSheetId="7" hidden="1">{"'Sheet1'!$L$16"}</definedName>
    <definedName name="JGFK" localSheetId="8"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0">#REF!</definedName>
    <definedName name="K_1" localSheetId="10">#REF!</definedName>
    <definedName name="K_1" localSheetId="1">#REF!</definedName>
    <definedName name="K_1" localSheetId="5">#REF!</definedName>
    <definedName name="K_1" localSheetId="6">#REF!</definedName>
    <definedName name="K_1" localSheetId="4">#REF!</definedName>
    <definedName name="K_1" localSheetId="7">#REF!</definedName>
    <definedName name="K_1">#REF!</definedName>
    <definedName name="K_2" localSheetId="0">#REF!</definedName>
    <definedName name="K_2" localSheetId="10">#REF!</definedName>
    <definedName name="K_2" localSheetId="1">#REF!</definedName>
    <definedName name="K_2" localSheetId="5">#REF!</definedName>
    <definedName name="K_2" localSheetId="6">#REF!</definedName>
    <definedName name="K_2" localSheetId="4">#REF!</definedName>
    <definedName name="K_2" localSheetId="7">#REF!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#REF!</definedName>
    <definedName name="kq">#REF!</definedName>
    <definedName name="KS">#REF!</definedName>
    <definedName name="KS_1">#REF!</definedName>
    <definedName name="KS_2">#REF!</definedName>
    <definedName name="ksbn" localSheetId="9" hidden="1">{"'Sheet1'!$L$16"}</definedName>
    <definedName name="ksbn" localSheetId="0" hidden="1">{"'Sheet1'!$L$16"}</definedName>
    <definedName name="ksbn" localSheetId="10" hidden="1">{"'Sheet1'!$L$16"}</definedName>
    <definedName name="ksbn" localSheetId="1" hidden="1">{"'Sheet1'!$L$16"}</definedName>
    <definedName name="ksbn" localSheetId="5" hidden="1">{"'Sheet1'!$L$16"}</definedName>
    <definedName name="ksbn" localSheetId="6" hidden="1">{"'Sheet1'!$L$16"}</definedName>
    <definedName name="ksbn" localSheetId="4" hidden="1">{"'Sheet1'!$L$16"}</definedName>
    <definedName name="ksbn" localSheetId="7" hidden="1">{"'Sheet1'!$L$16"}</definedName>
    <definedName name="ksbn" localSheetId="8" hidden="1">{"'Sheet1'!$L$16"}</definedName>
    <definedName name="ksbn" hidden="1">{"'Sheet1'!$L$16"}</definedName>
    <definedName name="KSDA" localSheetId="9" hidden="1">{"'Sheet1'!$L$16"}</definedName>
    <definedName name="KSDA" localSheetId="0" hidden="1">{"'Sheet1'!$L$16"}</definedName>
    <definedName name="KSDA" localSheetId="10" hidden="1">{"'Sheet1'!$L$16"}</definedName>
    <definedName name="KSDA" localSheetId="1" hidden="1">{"'Sheet1'!$L$16"}</definedName>
    <definedName name="KSDA" localSheetId="5" hidden="1">{"'Sheet1'!$L$16"}</definedName>
    <definedName name="KSDA" localSheetId="6" hidden="1">{"'Sheet1'!$L$16"}</definedName>
    <definedName name="KSDA" localSheetId="4" hidden="1">{"'Sheet1'!$L$16"}</definedName>
    <definedName name="KSDA" localSheetId="7" hidden="1">{"'Sheet1'!$L$16"}</definedName>
    <definedName name="KSDA" localSheetId="8" hidden="1">{"'Sheet1'!$L$16"}</definedName>
    <definedName name="KSDA" hidden="1">{"'Sheet1'!$L$16"}</definedName>
    <definedName name="kshn" localSheetId="9" hidden="1">{"'Sheet1'!$L$16"}</definedName>
    <definedName name="kshn" localSheetId="0" hidden="1">{"'Sheet1'!$L$16"}</definedName>
    <definedName name="kshn" localSheetId="10" hidden="1">{"'Sheet1'!$L$16"}</definedName>
    <definedName name="kshn" localSheetId="1" hidden="1">{"'Sheet1'!$L$16"}</definedName>
    <definedName name="kshn" localSheetId="5" hidden="1">{"'Sheet1'!$L$16"}</definedName>
    <definedName name="kshn" localSheetId="6" hidden="1">{"'Sheet1'!$L$16"}</definedName>
    <definedName name="kshn" localSheetId="4" hidden="1">{"'Sheet1'!$L$16"}</definedName>
    <definedName name="kshn" localSheetId="7" hidden="1">{"'Sheet1'!$L$16"}</definedName>
    <definedName name="kshn" localSheetId="8" hidden="1">{"'Sheet1'!$L$16"}</definedName>
    <definedName name="kshn" hidden="1">{"'Sheet1'!$L$16"}</definedName>
    <definedName name="ksls" localSheetId="9" hidden="1">{"'Sheet1'!$L$16"}</definedName>
    <definedName name="ksls" localSheetId="0" hidden="1">{"'Sheet1'!$L$16"}</definedName>
    <definedName name="ksls" localSheetId="10" hidden="1">{"'Sheet1'!$L$16"}</definedName>
    <definedName name="ksls" localSheetId="1" hidden="1">{"'Sheet1'!$L$16"}</definedName>
    <definedName name="ksls" localSheetId="5" hidden="1">{"'Sheet1'!$L$16"}</definedName>
    <definedName name="ksls" localSheetId="6" hidden="1">{"'Sheet1'!$L$16"}</definedName>
    <definedName name="ksls" localSheetId="4" hidden="1">{"'Sheet1'!$L$16"}</definedName>
    <definedName name="ksls" localSheetId="7" hidden="1">{"'Sheet1'!$L$16"}</definedName>
    <definedName name="ksls" localSheetId="8"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9" hidden="1">{"'Sheet1'!$L$16"}</definedName>
    <definedName name="khongtruotgia" localSheetId="0" hidden="1">{"'Sheet1'!$L$16"}</definedName>
    <definedName name="khongtruotgia" localSheetId="10" hidden="1">{"'Sheet1'!$L$16"}</definedName>
    <definedName name="khongtruotgia" localSheetId="1" hidden="1">{"'Sheet1'!$L$16"}</definedName>
    <definedName name="khongtruotgia" localSheetId="5" hidden="1">{"'Sheet1'!$L$16"}</definedName>
    <definedName name="khongtruotgia" localSheetId="6" hidden="1">{"'Sheet1'!$L$16"}</definedName>
    <definedName name="khongtruotgia" localSheetId="4" hidden="1">{"'Sheet1'!$L$16"}</definedName>
    <definedName name="khongtruotgia" localSheetId="7" hidden="1">{"'Sheet1'!$L$16"}</definedName>
    <definedName name="khongtruotgia" localSheetId="8"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9">{"Thuxm2.xls","Sheet1"}</definedName>
    <definedName name="Lan" localSheetId="0">{"Thuxm2.xls","Sheet1"}</definedName>
    <definedName name="Lan" localSheetId="10">{"Thuxm2.xls","Sheet1"}</definedName>
    <definedName name="Lan" localSheetId="1">{"Thuxm2.xls","Sheet1"}</definedName>
    <definedName name="Lan" localSheetId="5">{"Thuxm2.xls","Sheet1"}</definedName>
    <definedName name="Lan" localSheetId="6">{"Thuxm2.xls","Sheet1"}</definedName>
    <definedName name="Lan" localSheetId="4">{"Thuxm2.xls","Sheet1"}</definedName>
    <definedName name="Lan" localSheetId="7">{"Thuxm2.xls","Sheet1"}</definedName>
    <definedName name="Lan" localSheetId="8">{"Thuxm2.xls","Sheet1"}</definedName>
    <definedName name="Lan">{"Thuxm2.xls","Sheet1"}</definedName>
    <definedName name="Land">#REF!</definedName>
    <definedName name="LANDIMP">#REF!</definedName>
    <definedName name="LANDREV">#REF!</definedName>
    <definedName name="langson" localSheetId="9" hidden="1">{"'Sheet1'!$L$16"}</definedName>
    <definedName name="langson" localSheetId="0" hidden="1">{"'Sheet1'!$L$16"}</definedName>
    <definedName name="langson" localSheetId="10" hidden="1">{"'Sheet1'!$L$16"}</definedName>
    <definedName name="langson" localSheetId="1" hidden="1">{"'Sheet1'!$L$16"}</definedName>
    <definedName name="langson" localSheetId="5" hidden="1">{"'Sheet1'!$L$16"}</definedName>
    <definedName name="langson" localSheetId="6" hidden="1">{"'Sheet1'!$L$16"}</definedName>
    <definedName name="langson" localSheetId="4" hidden="1">{"'Sheet1'!$L$16"}</definedName>
    <definedName name="langson" localSheetId="7" hidden="1">{"'Sheet1'!$L$16"}</definedName>
    <definedName name="langson" localSheetId="8"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0">#REF!</definedName>
    <definedName name="lbcnckt" localSheetId="10">#REF!</definedName>
    <definedName name="lbcnckt" localSheetId="1">#REF!</definedName>
    <definedName name="lbcnckt" localSheetId="5">#REF!</definedName>
    <definedName name="lbcnckt" localSheetId="6">#REF!</definedName>
    <definedName name="lbcnckt" localSheetId="4">#REF!</definedName>
    <definedName name="lbcnckt" localSheetId="7">#REF!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#REF!</definedName>
    <definedName name="ListDivision">#REF!</definedName>
    <definedName name="ListDVT">#REF!</definedName>
    <definedName name="ListMRP">#REF!</definedName>
    <definedName name="ListSalesOrg">#REF!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#REF!</definedName>
    <definedName name="lón2">#REF!</definedName>
    <definedName name="lón3">#REF!</definedName>
    <definedName name="lón5">#REF!</definedName>
    <definedName name="lonthoi">#REF!</definedName>
    <definedName name="LOP1.7" localSheetId="9">IF(LEFT(#REF!,2)="NG",#REF!&amp;_MongCotNeo&amp;IF(#REF!&gt;12,"a",""),IF(LEFT(#REF!,3)="NCD","2MT-4",VLOOKUP(#REF!,_Mong,MATCH(#REF!,KcTieuChuan,0)+1,0)))</definedName>
    <definedName name="LOP1.7" localSheetId="0">IF(LEFT(#REF!,2)="NG",#REF!&amp;_MongCotNeo&amp;IF(#REF!&gt;12,"a",""),IF(LEFT(#REF!,3)="NCD","2MT-4",VLOOKUP(#REF!,_Mong,MATCH(#REF!,KcTieuChuan,0)+1,0)))</definedName>
    <definedName name="LOP1.7" localSheetId="10">IF(LEFT(#REF!,2)="NG",#REF!&amp;[0]!_MongCotNeo&amp;IF(#REF!&gt;12,"a",""),IF(LEFT(#REF!,3)="NCD","2MT-4",VLOOKUP(#REF!,[0]!_Mong,MATCH(#REF!,[0]!KcTieuChuan,0)+1,0)))</definedName>
    <definedName name="LOP1.7" localSheetId="1">IF(LEFT(#REF!,2)="NG",#REF!&amp;[0]!_MongCotNeo&amp;IF(#REF!&gt;12,"a",""),IF(LEFT(#REF!,3)="NCD","2MT-4",VLOOKUP(#REF!,[0]!_Mong,MATCH(#REF!,[0]!KcTieuChuan,0)+1,0)))</definedName>
    <definedName name="LOP1.7" localSheetId="5">IF(LEFT(#REF!,2)="NG",#REF!&amp;[0]!_MongCotNeo&amp;IF(#REF!&gt;12,"a",""),IF(LEFT(#REF!,3)="NCD","2MT-4",VLOOKUP(#REF!,[0]!_Mong,MATCH(#REF!,[0]!KcTieuChuan,0)+1,0)))</definedName>
    <definedName name="LOP1.7" localSheetId="6">IF(LEFT(#REF!,2)="NG",#REF!&amp;[0]!_MongCotNeo&amp;IF(#REF!&gt;12,"a",""),IF(LEFT(#REF!,3)="NCD","2MT-4",VLOOKUP(#REF!,[0]!_Mong,MATCH(#REF!,[0]!KcTieuChuan,0)+1,0)))</definedName>
    <definedName name="LOP1.7" localSheetId="4">IF(LEFT(#REF!,2)="NG",#REF!&amp;[0]!_MongCotNeo&amp;IF(#REF!&gt;12,"a",""),IF(LEFT(#REF!,3)="NCD","2MT-4",VLOOKUP(#REF!,[0]!_Mong,MATCH(#REF!,[0]!KcTieuChuan,0)+1,0)))</definedName>
    <definedName name="LOP1.7" localSheetId="7">IF(LEFT(#REF!,2)="NG",#REF!&amp;[0]!_MongCotNeo&amp;IF(#REF!&gt;12,"a",""),IF(LEFT(#REF!,3)="NCD","2MT-4",VLOOKUP(#REF!,[0]!_Mong,MATCH(#REF!,[0]!KcTieuChuan,0)+1,0)))</definedName>
    <definedName name="LOP1.7" localSheetId="8">IF(LEFT(#REF!,2)="NG",#REF!&amp;_MongCotNeo&amp;IF(#REF!&gt;12,"a",""),IF(LEFT(#REF!,3)="NCD","2MT-4",VLOOKUP(#REF!,_Mong,MATCH(#REF!,KcTieuChuan,0)+1,0)))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0">#REF!</definedName>
    <definedName name="Module1.cplhsmt" localSheetId="10">#REF!</definedName>
    <definedName name="Module1.cplhsmt" localSheetId="1">#REF!</definedName>
    <definedName name="Module1.cplhsmt" localSheetId="5">#REF!</definedName>
    <definedName name="Module1.cplhsmt" localSheetId="6">#REF!</definedName>
    <definedName name="Module1.cplhsmt" localSheetId="4">#REF!</definedName>
    <definedName name="Module1.cplhsmt" localSheetId="7">#REF!</definedName>
    <definedName name="Module1.cplhsmt">#REF!</definedName>
    <definedName name="Module1.cptdhsmt" localSheetId="0">#REF!</definedName>
    <definedName name="Module1.cptdhsmt" localSheetId="10">#REF!</definedName>
    <definedName name="Module1.cptdhsmt" localSheetId="1">#REF!</definedName>
    <definedName name="Module1.cptdhsmt" localSheetId="5">#REF!</definedName>
    <definedName name="Module1.cptdhsmt" localSheetId="6">#REF!</definedName>
    <definedName name="Module1.cptdhsmt" localSheetId="4">#REF!</definedName>
    <definedName name="Module1.cptdhsmt" localSheetId="7">#REF!</definedName>
    <definedName name="Module1.cptdhsmt">#REF!</definedName>
    <definedName name="Module1.cptdtdt" localSheetId="0">#REF!</definedName>
    <definedName name="Module1.cptdtdt" localSheetId="10">#REF!</definedName>
    <definedName name="Module1.cptdtdt" localSheetId="1">#REF!</definedName>
    <definedName name="Module1.cptdtdt" localSheetId="5">#REF!</definedName>
    <definedName name="Module1.cptdtdt" localSheetId="6">#REF!</definedName>
    <definedName name="Module1.cptdtdt" localSheetId="4">#REF!</definedName>
    <definedName name="Module1.cptdtdt" localSheetId="7">#REF!</definedName>
    <definedName name="Module1.cptdtdt">#REF!</definedName>
    <definedName name="Module1.cptdtkkt" localSheetId="0">#REF!</definedName>
    <definedName name="Module1.cptdtkkt" localSheetId="10">#REF!</definedName>
    <definedName name="Module1.cptdtkkt" localSheetId="1">#REF!</definedName>
    <definedName name="Module1.cptdtkkt" localSheetId="5">#REF!</definedName>
    <definedName name="Module1.cptdtkkt" localSheetId="6">#REF!</definedName>
    <definedName name="Module1.cptdtkkt" localSheetId="4">#REF!</definedName>
    <definedName name="Module1.cptdtkkt" localSheetId="7">#REF!</definedName>
    <definedName name="Module1.cptdtkkt">#REF!</definedName>
    <definedName name="Module1.gsktxd" localSheetId="0">#REF!</definedName>
    <definedName name="Module1.gsktxd" localSheetId="10">#REF!</definedName>
    <definedName name="Module1.gsktxd" localSheetId="1">#REF!</definedName>
    <definedName name="Module1.gsktxd" localSheetId="5">#REF!</definedName>
    <definedName name="Module1.gsktxd" localSheetId="6">#REF!</definedName>
    <definedName name="Module1.gsktxd" localSheetId="4">#REF!</definedName>
    <definedName name="Module1.gsktxd" localSheetId="7">#REF!</definedName>
    <definedName name="Module1.gsktxd">#REF!</definedName>
    <definedName name="Module1.qlda" localSheetId="0">#REF!</definedName>
    <definedName name="Module1.qlda" localSheetId="10">#REF!</definedName>
    <definedName name="Module1.qlda" localSheetId="1">#REF!</definedName>
    <definedName name="Module1.qlda" localSheetId="5">#REF!</definedName>
    <definedName name="Module1.qlda" localSheetId="6">#REF!</definedName>
    <definedName name="Module1.qlda" localSheetId="4">#REF!</definedName>
    <definedName name="Module1.qlda" localSheetId="7">#REF!</definedName>
    <definedName name="Module1.qlda">#REF!</definedName>
    <definedName name="Module1.tinhqt" localSheetId="0">#REF!</definedName>
    <definedName name="Module1.tinhqt" localSheetId="10">#REF!</definedName>
    <definedName name="Module1.tinhqt" localSheetId="1">#REF!</definedName>
    <definedName name="Module1.tinhqt" localSheetId="5">#REF!</definedName>
    <definedName name="Module1.tinhqt" localSheetId="6">#REF!</definedName>
    <definedName name="Module1.tinhqt" localSheetId="4">#REF!</definedName>
    <definedName name="Module1.tinhqt" localSheetId="7">#REF!</definedName>
    <definedName name="Module1.tinhqt">#REF!</definedName>
    <definedName name="Moduyn_TK">#REF!</definedName>
    <definedName name="moi">#REF!</definedName>
    <definedName name="MOKthuat">#REF!</definedName>
    <definedName name="MoM0">#REF!</definedName>
    <definedName name="month">#REF!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#REF!</definedName>
    <definedName name="MT_7">#REF!</definedName>
    <definedName name="MT_8">#REF!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#REF!</definedName>
    <definedName name="n1pintvl">#REF!</definedName>
    <definedName name="n1ping">#REF!</definedName>
    <definedName name="n1pingnc">#REF!</definedName>
    <definedName name="N1pINGvc">#REF!</definedName>
    <definedName name="n1pingvl">#REF!</definedName>
    <definedName name="N1pNLnc">#REF!</definedName>
    <definedName name="N1pNLvc">#REF!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9" hidden="1">{"'Sheet1'!$L$16"}</definedName>
    <definedName name="Ne" localSheetId="0" hidden="1">{"'Sheet1'!$L$16"}</definedName>
    <definedName name="Ne" localSheetId="10" hidden="1">{"'Sheet1'!$L$16"}</definedName>
    <definedName name="Ne" localSheetId="1" hidden="1">{"'Sheet1'!$L$16"}</definedName>
    <definedName name="Ne" localSheetId="5" hidden="1">{"'Sheet1'!$L$16"}</definedName>
    <definedName name="Ne" localSheetId="6" hidden="1">{"'Sheet1'!$L$16"}</definedName>
    <definedName name="Ne" localSheetId="4" hidden="1">{"'Sheet1'!$L$16"}</definedName>
    <definedName name="Ne" localSheetId="7" hidden="1">{"'Sheet1'!$L$16"}</definedName>
    <definedName name="Ne" localSheetId="8"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9" hidden="1">{"'Sheet1'!$L$16"}</definedName>
    <definedName name="nnn" localSheetId="0" hidden="1">{"'Sheet1'!$L$16"}</definedName>
    <definedName name="nnn" localSheetId="10" hidden="1">{"'Sheet1'!$L$16"}</definedName>
    <definedName name="nnn" localSheetId="1" hidden="1">{"'Sheet1'!$L$16"}</definedName>
    <definedName name="nnn" localSheetId="5" hidden="1">{"'Sheet1'!$L$16"}</definedName>
    <definedName name="nnn" localSheetId="6" hidden="1">{"'Sheet1'!$L$16"}</definedName>
    <definedName name="nnn" localSheetId="4" hidden="1">{"'Sheet1'!$L$16"}</definedName>
    <definedName name="nnn" localSheetId="7" hidden="1">{"'Sheet1'!$L$16"}</definedName>
    <definedName name="nnn" localSheetId="8"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0">#REF!</definedName>
    <definedName name="NToS" localSheetId="10">#REF!</definedName>
    <definedName name="NToS" localSheetId="1">#REF!</definedName>
    <definedName name="NToS" localSheetId="5">#REF!</definedName>
    <definedName name="NToS" localSheetId="6">#REF!</definedName>
    <definedName name="NToS" localSheetId="4">#REF!</definedName>
    <definedName name="NToS" localSheetId="7">#REF!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9">{"Thuxm2.xls","Sheet1"}</definedName>
    <definedName name="ngan" localSheetId="0">{"Thuxm2.xls","Sheet1"}</definedName>
    <definedName name="ngan" localSheetId="10">{"Thuxm2.xls","Sheet1"}</definedName>
    <definedName name="ngan" localSheetId="1">{"Thuxm2.xls","Sheet1"}</definedName>
    <definedName name="ngan" localSheetId="5">{"Thuxm2.xls","Sheet1"}</definedName>
    <definedName name="ngan" localSheetId="6">{"Thuxm2.xls","Sheet1"}</definedName>
    <definedName name="ngan" localSheetId="4">{"Thuxm2.xls","Sheet1"}</definedName>
    <definedName name="ngan" localSheetId="7">{"Thuxm2.xls","Sheet1"}</definedName>
    <definedName name="ngan" localSheetId="8">{"Thuxm2.xls","Sheet1"}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9" hidden="1">{"'Sheet1'!$L$16"}</definedName>
    <definedName name="ngu" localSheetId="0" hidden="1">{"'Sheet1'!$L$16"}</definedName>
    <definedName name="ngu" localSheetId="10" hidden="1">{"'Sheet1'!$L$16"}</definedName>
    <definedName name="ngu" localSheetId="1" hidden="1">{"'Sheet1'!$L$16"}</definedName>
    <definedName name="ngu" localSheetId="5" hidden="1">{"'Sheet1'!$L$16"}</definedName>
    <definedName name="ngu" localSheetId="6" hidden="1">{"'Sheet1'!$L$16"}</definedName>
    <definedName name="ngu" localSheetId="4" hidden="1">{"'Sheet1'!$L$16"}</definedName>
    <definedName name="ngu" localSheetId="7" hidden="1">{"'Sheet1'!$L$16"}</definedName>
    <definedName name="ngu" localSheetId="8"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9">{"DZ-TDTB2.XLS","Dcksat.xls"}</definedName>
    <definedName name="nhfffd" localSheetId="0">{"DZ-TDTB2.XLS","Dcksat.xls"}</definedName>
    <definedName name="nhfffd" localSheetId="10">{"DZ-TDTB2.XLS","Dcksat.xls"}</definedName>
    <definedName name="nhfffd" localSheetId="1">{"DZ-TDTB2.XLS","Dcksat.xls"}</definedName>
    <definedName name="nhfffd" localSheetId="5">{"DZ-TDTB2.XLS","Dcksat.xls"}</definedName>
    <definedName name="nhfffd" localSheetId="6">{"DZ-TDTB2.XLS","Dcksat.xls"}</definedName>
    <definedName name="nhfffd" localSheetId="4">{"DZ-TDTB2.XLS","Dcksat.xls"}</definedName>
    <definedName name="nhfffd" localSheetId="7">{"DZ-TDTB2.XLS","Dcksat.xls"}</definedName>
    <definedName name="nhfffd" localSheetId="8">{"DZ-TDTB2.XLS","Dcksat.xls"}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9" hidden="1">{"'Sheet1'!$L$16"}</definedName>
    <definedName name="PA2CAU39M" localSheetId="0" hidden="1">{"'Sheet1'!$L$16"}</definedName>
    <definedName name="PA2CAU39M" localSheetId="10" hidden="1">{"'Sheet1'!$L$16"}</definedName>
    <definedName name="PA2CAU39M" localSheetId="1" hidden="1">{"'Sheet1'!$L$16"}</definedName>
    <definedName name="PA2CAU39M" localSheetId="5" hidden="1">{"'Sheet1'!$L$16"}</definedName>
    <definedName name="PA2CAU39M" localSheetId="6" hidden="1">{"'Sheet1'!$L$16"}</definedName>
    <definedName name="PA2CAU39M" localSheetId="4" hidden="1">{"'Sheet1'!$L$16"}</definedName>
    <definedName name="PA2CAU39M" localSheetId="7" hidden="1">{"'Sheet1'!$L$16"}</definedName>
    <definedName name="PA2CAU39M" localSheetId="8" hidden="1">{"'Sheet1'!$L$16"}</definedName>
    <definedName name="PA2CAU39M" hidden="1">{"'Sheet1'!$L$16"}</definedName>
    <definedName name="PAIII_" localSheetId="9" hidden="1">{"'Sheet1'!$L$16"}</definedName>
    <definedName name="PAIII_" localSheetId="0" hidden="1">{"'Sheet1'!$L$16"}</definedName>
    <definedName name="PAIII_" localSheetId="10" hidden="1">{"'Sheet1'!$L$16"}</definedName>
    <definedName name="PAIII_" localSheetId="1" hidden="1">{"'Sheet1'!$L$16"}</definedName>
    <definedName name="PAIII_" localSheetId="5" hidden="1">{"'Sheet1'!$L$16"}</definedName>
    <definedName name="PAIII_" localSheetId="6" hidden="1">{"'Sheet1'!$L$16"}</definedName>
    <definedName name="PAIII_" localSheetId="4" hidden="1">{"'Sheet1'!$L$16"}</definedName>
    <definedName name="PAIII_" localSheetId="7" hidden="1">{"'Sheet1'!$L$16"}</definedName>
    <definedName name="PAIII_" localSheetId="8"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5">PercentCompleteBeyond*PeriodInPlan</definedName>
    <definedName name="PercentComplete" localSheetId="6">PercentCompleteBeyond*PeriodInPlan</definedName>
    <definedName name="PercentComplete" localSheetId="4">PercentCompleteBeyond*PeriodInPlan</definedName>
    <definedName name="PercentComplete" localSheetId="7">[0]!PercentCompleteBeyond*[0]!PeriodInPlan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9">BlankMacro1</definedName>
    <definedName name="PIP" localSheetId="0">BlankMacro1</definedName>
    <definedName name="PIP" localSheetId="10">BlankMacro1</definedName>
    <definedName name="PIP" localSheetId="1">BlankMacro1</definedName>
    <definedName name="PIP" localSheetId="5">BlankMacro1</definedName>
    <definedName name="PIP" localSheetId="6">BlankMacro1</definedName>
    <definedName name="PIP" localSheetId="4">BlankMacro1</definedName>
    <definedName name="PIP" localSheetId="7">BlankMacro1</definedName>
    <definedName name="PIP" localSheetId="8">BlankMacro1</definedName>
    <definedName name="PIP">BlankMacro1</definedName>
    <definedName name="PIPE2" localSheetId="9">BlankMacro1</definedName>
    <definedName name="PIPE2" localSheetId="0">BlankMacro1</definedName>
    <definedName name="PIPE2" localSheetId="10">BlankMacro1</definedName>
    <definedName name="PIPE2" localSheetId="1">BlankMacro1</definedName>
    <definedName name="PIPE2" localSheetId="5">BlankMacro1</definedName>
    <definedName name="PIPE2" localSheetId="6">BlankMacro1</definedName>
    <definedName name="PIPE2" localSheetId="4">BlankMacro1</definedName>
    <definedName name="PIPE2" localSheetId="7">BlankMacro1</definedName>
    <definedName name="PIPE2" localSheetId="8">BlankMacro1</definedName>
    <definedName name="PIPE2">BlankMacro1</definedName>
    <definedName name="PK">#REF!</definedName>
    <definedName name="PL" localSheetId="9" hidden="1">{"'Sheet1'!$L$16"}</definedName>
    <definedName name="PL" localSheetId="0" hidden="1">{"'Sheet1'!$L$16"}</definedName>
    <definedName name="PL" localSheetId="10" hidden="1">{"'Sheet1'!$L$16"}</definedName>
    <definedName name="PL" localSheetId="1" hidden="1">{"'Sheet1'!$L$16"}</definedName>
    <definedName name="PL" localSheetId="5" hidden="1">{"'Sheet1'!$L$16"}</definedName>
    <definedName name="PL" localSheetId="6" hidden="1">{"'Sheet1'!$L$16"}</definedName>
    <definedName name="PL" localSheetId="4" hidden="1">{"'Sheet1'!$L$16"}</definedName>
    <definedName name="PL" localSheetId="7" hidden="1">{"'Sheet1'!$L$16"}</definedName>
    <definedName name="PL" localSheetId="8" hidden="1">{"'Sheet1'!$L$16"}</definedName>
    <definedName name="PL" hidden="1">{"'Sheet1'!$L$16"}</definedName>
    <definedName name="PL_???___P.B.___REST_P.B._????">#REF!</definedName>
    <definedName name="PL_指示燈___P.B.___REST_P.B._壓扣開關">#REF!</definedName>
    <definedName name="PL4.3" localSheetId="9">{"Thuxm2.xls","Sheet1"}</definedName>
    <definedName name="PL4.3" localSheetId="0">{"Thuxm2.xls","Sheet1"}</definedName>
    <definedName name="PL4.3" localSheetId="10">{"Thuxm2.xls","Sheet1"}</definedName>
    <definedName name="PL4.3" localSheetId="1">{"Thuxm2.xls","Sheet1"}</definedName>
    <definedName name="PL4.3" localSheetId="5">{"Thuxm2.xls","Sheet1"}</definedName>
    <definedName name="PL4.3" localSheetId="6">{"Thuxm2.xls","Sheet1"}</definedName>
    <definedName name="PL4.3" localSheetId="4">{"Thuxm2.xls","Sheet1"}</definedName>
    <definedName name="PL4.3" localSheetId="7">{"Thuxm2.xls","Sheet1"}</definedName>
    <definedName name="PL4.3" localSheetId="8">{"Thuxm2.xls","Sheet1"}</definedName>
    <definedName name="PL4.3">{"Thuxm2.xls","Sheet1"}</definedName>
    <definedName name="Plan" localSheetId="5">PeriodInPlan*(#REF!&gt;0)</definedName>
    <definedName name="Plan" localSheetId="6">PeriodInPlan*(#REF!&gt;0)</definedName>
    <definedName name="Plan" localSheetId="4">PeriodInPlan*(#REF!&gt;0)</definedName>
    <definedName name="Plan" localSheetId="7">[0]!PeriodInPlan*(#REF!&gt;0)</definedName>
    <definedName name="Plan">PeriodInPlan*(#REF!&gt;0)</definedName>
    <definedName name="Planner">#REF!</definedName>
    <definedName name="Plaster">#REF!</definedName>
    <definedName name="PlucBcaoTD" localSheetId="9" hidden="1">{"'Sheet1'!$L$16"}</definedName>
    <definedName name="PlucBcaoTD" localSheetId="0" hidden="1">{"'Sheet1'!$L$16"}</definedName>
    <definedName name="PlucBcaoTD" localSheetId="10" hidden="1">{"'Sheet1'!$L$16"}</definedName>
    <definedName name="PlucBcaoTD" localSheetId="1" hidden="1">{"'Sheet1'!$L$16"}</definedName>
    <definedName name="PlucBcaoTD" localSheetId="5" hidden="1">{"'Sheet1'!$L$16"}</definedName>
    <definedName name="PlucBcaoTD" localSheetId="6" hidden="1">{"'Sheet1'!$L$16"}</definedName>
    <definedName name="PlucBcaoTD" localSheetId="4" hidden="1">{"'Sheet1'!$L$16"}</definedName>
    <definedName name="PlucBcaoTD" localSheetId="7" hidden="1">{"'Sheet1'!$L$16"}</definedName>
    <definedName name="PlucBcaoTD" localSheetId="8" hidden="1">{"'Sheet1'!$L$16"}</definedName>
    <definedName name="PlucBcaoTD" hidden="1">{"'Sheet1'!$L$16"}</definedName>
    <definedName name="PM">#REF!</definedName>
    <definedName name="pm..">#REF!</definedName>
    <definedName name="PMS" localSheetId="9" hidden="1">{"'Sheet1'!$L$16"}</definedName>
    <definedName name="PMS" localSheetId="0" hidden="1">{"'Sheet1'!$L$16"}</definedName>
    <definedName name="PMS" localSheetId="10" hidden="1">{"'Sheet1'!$L$16"}</definedName>
    <definedName name="PMS" localSheetId="1" hidden="1">{"'Sheet1'!$L$16"}</definedName>
    <definedName name="PMS" localSheetId="5" hidden="1">{"'Sheet1'!$L$16"}</definedName>
    <definedName name="PMS" localSheetId="6" hidden="1">{"'Sheet1'!$L$16"}</definedName>
    <definedName name="PMS" localSheetId="4" hidden="1">{"'Sheet1'!$L$16"}</definedName>
    <definedName name="PMS" localSheetId="7" hidden="1">{"'Sheet1'!$L$16"}</definedName>
    <definedName name="PMS" localSheetId="8" hidden="1">{"'Sheet1'!$L$16"}</definedName>
    <definedName name="PMS" hidden="1">{"'Sheet1'!$L$16"}</definedName>
    <definedName name="Poisson">#REF!</definedName>
    <definedName name="Position">#REF!</definedName>
    <definedName name="POType">#REF!</definedName>
    <definedName name="PowerCord">#REF!</definedName>
    <definedName name="PPP" localSheetId="9">BlankMacro1</definedName>
    <definedName name="PPP" localSheetId="0">BlankMacro1</definedName>
    <definedName name="PPP" localSheetId="10">BlankMacro1</definedName>
    <definedName name="PPP" localSheetId="1">BlankMacro1</definedName>
    <definedName name="PPP" localSheetId="5">BlankMacro1</definedName>
    <definedName name="PPP" localSheetId="6">BlankMacro1</definedName>
    <definedName name="PPP" localSheetId="4">BlankMacro1</definedName>
    <definedName name="PPP" localSheetId="7">BlankMacro1</definedName>
    <definedName name="PPP" localSheetId="8">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9">NTĐG!$A$1:$B$14</definedName>
    <definedName name="_xlnm.Print_Area" localSheetId="5">TBCH!$A$1:$R$44</definedName>
    <definedName name="_xlnm.Print_Area" localSheetId="6">TBĐ!$A$1:$P$38</definedName>
    <definedName name="_xlnm.Print_Area" localSheetId="4">TBHTĐK!$A$1:$O$39</definedName>
    <definedName name="_xlnm.Print_Area" localSheetId="7">TCDK!$A$2:$Q$46</definedName>
    <definedName name="_xlnm.Print_Area" localSheetId="8">TCĐG!$A$1:$C$6</definedName>
    <definedName name="_xlnm.Print_Area">#REF!</definedName>
    <definedName name="Print_Area_MI">#REF!</definedName>
    <definedName name="print_title">#REF!</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0">#REF!</definedName>
    <definedName name="qlda" localSheetId="10">#REF!</definedName>
    <definedName name="qlda" localSheetId="1">#REF!</definedName>
    <definedName name="qlda" localSheetId="5">#REF!</definedName>
    <definedName name="qlda" localSheetId="6">#REF!</definedName>
    <definedName name="qlda" localSheetId="4">#REF!</definedName>
    <definedName name="qlda" localSheetId="7">#REF!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#REF!</definedName>
    <definedName name="Ranhxay" localSheetId="9" hidden="1">{"'Sheet1'!$L$16"}</definedName>
    <definedName name="Ranhxay" localSheetId="0" hidden="1">{"'Sheet1'!$L$16"}</definedName>
    <definedName name="Ranhxay" localSheetId="10" hidden="1">{"'Sheet1'!$L$16"}</definedName>
    <definedName name="Ranhxay" localSheetId="1" hidden="1">{"'Sheet1'!$L$16"}</definedName>
    <definedName name="Ranhxay" localSheetId="5" hidden="1">{"'Sheet1'!$L$16"}</definedName>
    <definedName name="Ranhxay" localSheetId="6" hidden="1">{"'Sheet1'!$L$16"}</definedName>
    <definedName name="Ranhxay" localSheetId="4" hidden="1">{"'Sheet1'!$L$16"}</definedName>
    <definedName name="Ranhxay" localSheetId="7" hidden="1">{"'Sheet1'!$L$16"}</definedName>
    <definedName name="Ranhxay" localSheetId="8"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#REF!</definedName>
    <definedName name="RECOUT">#N/A</definedName>
    <definedName name="REG">#REF!</definedName>
    <definedName name="Region">#REF!</definedName>
    <definedName name="reytukjljlkj" localSheetId="9">{"'Sheet1'!$L$16"}</definedName>
    <definedName name="reytukjljlkj" localSheetId="0">{"'Sheet1'!$L$16"}</definedName>
    <definedName name="reytukjljlkj" localSheetId="10">{"'Sheet1'!$L$16"}</definedName>
    <definedName name="reytukjljlkj" localSheetId="1">{"'Sheet1'!$L$16"}</definedName>
    <definedName name="reytukjljlkj" localSheetId="5">{"'Sheet1'!$L$16"}</definedName>
    <definedName name="reytukjljlkj" localSheetId="6">{"'Sheet1'!$L$16"}</definedName>
    <definedName name="reytukjljlkj" localSheetId="4">{"'Sheet1'!$L$16"}</definedName>
    <definedName name="reytukjljlkj" localSheetId="7">{"'Sheet1'!$L$16"}</definedName>
    <definedName name="reytukjljlkj" localSheetId="8">{"'Sheet1'!$L$16"}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9" hidden="1">{"'Sheet1'!$L$16"}</definedName>
    <definedName name="RPLA" localSheetId="0" hidden="1">{"'Sheet1'!$L$16"}</definedName>
    <definedName name="RPLA" localSheetId="10" hidden="1">{"'Sheet1'!$L$16"}</definedName>
    <definedName name="RPLA" localSheetId="1" hidden="1">{"'Sheet1'!$L$16"}</definedName>
    <definedName name="RPLA" localSheetId="5" hidden="1">{"'Sheet1'!$L$16"}</definedName>
    <definedName name="RPLA" localSheetId="6" hidden="1">{"'Sheet1'!$L$16"}</definedName>
    <definedName name="RPLA" localSheetId="4" hidden="1">{"'Sheet1'!$L$16"}</definedName>
    <definedName name="RPLA" localSheetId="7" hidden="1">{"'Sheet1'!$L$16"}</definedName>
    <definedName name="RPLA" localSheetId="8"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#REF!</definedName>
    <definedName name="sa.">#REF!</definedName>
    <definedName name="sae" localSheetId="9">BlankMacro1</definedName>
    <definedName name="sae" localSheetId="0">BlankMacro1</definedName>
    <definedName name="sae" localSheetId="10">BlankMacro1</definedName>
    <definedName name="sae" localSheetId="1">BlankMacro1</definedName>
    <definedName name="sae" localSheetId="5">BlankMacro1</definedName>
    <definedName name="sae" localSheetId="6">BlankMacro1</definedName>
    <definedName name="sae" localSheetId="4">BlankMacro1</definedName>
    <definedName name="sae" localSheetId="7">BlankMacro1</definedName>
    <definedName name="sae" localSheetId="8">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9" hidden="1">{"'Sheet1'!$L$16"}</definedName>
    <definedName name="SDF" localSheetId="0" hidden="1">{"'Sheet1'!$L$16"}</definedName>
    <definedName name="SDF" localSheetId="10" hidden="1">{"'Sheet1'!$L$16"}</definedName>
    <definedName name="SDF" localSheetId="1" hidden="1">{"'Sheet1'!$L$16"}</definedName>
    <definedName name="SDF" localSheetId="5" hidden="1">{"'Sheet1'!$L$16"}</definedName>
    <definedName name="SDF" localSheetId="6" hidden="1">{"'Sheet1'!$L$16"}</definedName>
    <definedName name="SDF" localSheetId="4" hidden="1">{"'Sheet1'!$L$16"}</definedName>
    <definedName name="SDF" localSheetId="7" hidden="1">{"'Sheet1'!$L$16"}</definedName>
    <definedName name="SDF" localSheetId="8" hidden="1">{"'Sheet1'!$L$16"}</definedName>
    <definedName name="SDF" hidden="1">{"'Sheet1'!$L$16"}</definedName>
    <definedName name="sdfgfhjgjhjkhk" localSheetId="9">{"Thuxm2.xls","Sheet1"}</definedName>
    <definedName name="sdfgfhjgjhjkhk" localSheetId="0">{"Thuxm2.xls","Sheet1"}</definedName>
    <definedName name="sdfgfhjgjhjkhk" localSheetId="10">{"Thuxm2.xls","Sheet1"}</definedName>
    <definedName name="sdfgfhjgjhjkhk" localSheetId="1">{"Thuxm2.xls","Sheet1"}</definedName>
    <definedName name="sdfgfhjgjhjkhk" localSheetId="5">{"Thuxm2.xls","Sheet1"}</definedName>
    <definedName name="sdfgfhjgjhjkhk" localSheetId="6">{"Thuxm2.xls","Sheet1"}</definedName>
    <definedName name="sdfgfhjgjhjkhk" localSheetId="4">{"Thuxm2.xls","Sheet1"}</definedName>
    <definedName name="sdfgfhjgjhjkhk" localSheetId="7">{"Thuxm2.xls","Sheet1"}</definedName>
    <definedName name="sdfgfhjgjhjkhk" localSheetId="8">{"Thuxm2.xls","Sheet1"}</definedName>
    <definedName name="sdfgfhjgjhjkhk">{"Thuxm2.xls","Sheet1"}</definedName>
    <definedName name="sdfs">#REF!</definedName>
    <definedName name="sdfsa" localSheetId="9">BlankMacro1</definedName>
    <definedName name="sdfsa" localSheetId="0">BlankMacro1</definedName>
    <definedName name="sdfsa" localSheetId="10">BlankMacro1</definedName>
    <definedName name="sdfsa" localSheetId="1">BlankMacro1</definedName>
    <definedName name="sdfsa" localSheetId="5">BlankMacro1</definedName>
    <definedName name="sdfsa" localSheetId="6">BlankMacro1</definedName>
    <definedName name="sdfsa" localSheetId="4">BlankMacro1</definedName>
    <definedName name="sdfsa" localSheetId="7">BlankMacro1</definedName>
    <definedName name="sdfsa" localSheetId="8">BlankMacro1</definedName>
    <definedName name="sdfsa">BlankMacro1</definedName>
    <definedName name="sdfsdfsd" localSheetId="9" hidden="1">{"'Sheet1'!$L$16"}</definedName>
    <definedName name="sdfsdfsd" localSheetId="0" hidden="1">{"'Sheet1'!$L$16"}</definedName>
    <definedName name="sdfsdfsd" localSheetId="10" hidden="1">{"'Sheet1'!$L$16"}</definedName>
    <definedName name="sdfsdfsd" localSheetId="1" hidden="1">{"'Sheet1'!$L$16"}</definedName>
    <definedName name="sdfsdfsd" localSheetId="5" hidden="1">{"'Sheet1'!$L$16"}</definedName>
    <definedName name="sdfsdfsd" localSheetId="6" hidden="1">{"'Sheet1'!$L$16"}</definedName>
    <definedName name="sdfsdfsd" localSheetId="4" hidden="1">{"'Sheet1'!$L$16"}</definedName>
    <definedName name="sdfsdfsd" localSheetId="7" hidden="1">{"'Sheet1'!$L$16"}</definedName>
    <definedName name="sdfsdfsd" localSheetId="8"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9" hidden="1">{"'Sheet1'!$L$16"}</definedName>
    <definedName name="sfsd" localSheetId="0" hidden="1">{"'Sheet1'!$L$16"}</definedName>
    <definedName name="sfsd" localSheetId="10" hidden="1">{"'Sheet1'!$L$16"}</definedName>
    <definedName name="sfsd" localSheetId="1" hidden="1">{"'Sheet1'!$L$16"}</definedName>
    <definedName name="sfsd" localSheetId="5" hidden="1">{"'Sheet1'!$L$16"}</definedName>
    <definedName name="sfsd" localSheetId="6" hidden="1">{"'Sheet1'!$L$16"}</definedName>
    <definedName name="sfsd" localSheetId="4" hidden="1">{"'Sheet1'!$L$16"}</definedName>
    <definedName name="sfsd" localSheetId="7" hidden="1">{"'Sheet1'!$L$16"}</definedName>
    <definedName name="sfsd" localSheetId="8"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9">{"Thuxm2.xls","Sheet1"}</definedName>
    <definedName name="srbn" localSheetId="0">{"Thuxm2.xls","Sheet1"}</definedName>
    <definedName name="srbn" localSheetId="10">{"Thuxm2.xls","Sheet1"}</definedName>
    <definedName name="srbn" localSheetId="1">{"Thuxm2.xls","Sheet1"}</definedName>
    <definedName name="srbn" localSheetId="5">{"Thuxm2.xls","Sheet1"}</definedName>
    <definedName name="srbn" localSheetId="6">{"Thuxm2.xls","Sheet1"}</definedName>
    <definedName name="srbn" localSheetId="4">{"Thuxm2.xls","Sheet1"}</definedName>
    <definedName name="srbn" localSheetId="7">{"Thuxm2.xls","Sheet1"}</definedName>
    <definedName name="srbn" localSheetId="8">{"Thuxm2.xls","Sheet1"}</definedName>
    <definedName name="srbn">{"Thuxm2.xls","Sheet1"}</definedName>
    <definedName name="srtg">#REF!</definedName>
    <definedName name="ss" localSheetId="9">BlankMacro1</definedName>
    <definedName name="ss" localSheetId="0">BlankMacro1</definedName>
    <definedName name="ss" localSheetId="10">BlankMacro1</definedName>
    <definedName name="ss" localSheetId="1">BlankMacro1</definedName>
    <definedName name="ss" localSheetId="5">BlankMacro1</definedName>
    <definedName name="ss" localSheetId="6">BlankMacro1</definedName>
    <definedName name="ss" localSheetId="4">BlankMacro1</definedName>
    <definedName name="ss" localSheetId="7">BlankMacro1</definedName>
    <definedName name="ss" localSheetId="8">BlankMacro1</definedName>
    <definedName name="ss">BlankMacro1</definedName>
    <definedName name="sss">#REF!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9" hidden="1">{"'Sheet1'!$L$16"}</definedName>
    <definedName name="T.3" localSheetId="0" hidden="1">{"'Sheet1'!$L$16"}</definedName>
    <definedName name="T.3" localSheetId="10" hidden="1">{"'Sheet1'!$L$16"}</definedName>
    <definedName name="T.3" localSheetId="1" hidden="1">{"'Sheet1'!$L$16"}</definedName>
    <definedName name="T.3" localSheetId="5" hidden="1">{"'Sheet1'!$L$16"}</definedName>
    <definedName name="T.3" localSheetId="6" hidden="1">{"'Sheet1'!$L$16"}</definedName>
    <definedName name="T.3" localSheetId="4" hidden="1">{"'Sheet1'!$L$16"}</definedName>
    <definedName name="T.3" localSheetId="7" hidden="1">{"'Sheet1'!$L$16"}</definedName>
    <definedName name="T.3" localSheetId="8"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9" hidden="1">{"'Sheet1'!$L$16"}</definedName>
    <definedName name="Tan" localSheetId="0" hidden="1">{"'Sheet1'!$L$16"}</definedName>
    <definedName name="Tan" localSheetId="10" hidden="1">{"'Sheet1'!$L$16"}</definedName>
    <definedName name="Tan" localSheetId="1" hidden="1">{"'Sheet1'!$L$16"}</definedName>
    <definedName name="Tan" localSheetId="5" hidden="1">{"'Sheet1'!$L$16"}</definedName>
    <definedName name="Tan" localSheetId="6" hidden="1">{"'Sheet1'!$L$16"}</definedName>
    <definedName name="Tan" localSheetId="4" hidden="1">{"'Sheet1'!$L$16"}</definedName>
    <definedName name="Tan" localSheetId="7" hidden="1">{"'Sheet1'!$L$16"}</definedName>
    <definedName name="Tan" localSheetId="8"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#REF!</definedName>
    <definedName name="TayRyHan">#REF!</definedName>
    <definedName name="tb">#REF!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bcnckt" localSheetId="0">#REF!</definedName>
    <definedName name="tdbcnckt" localSheetId="10">#REF!</definedName>
    <definedName name="tdbcnckt" localSheetId="1">#REF!</definedName>
    <definedName name="tdbcnckt" localSheetId="5">#REF!</definedName>
    <definedName name="tdbcnckt" localSheetId="6">#REF!</definedName>
    <definedName name="tdbcnckt" localSheetId="4">#REF!</definedName>
    <definedName name="tdbcnckt" localSheetId="7">#REF!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#REF!</definedName>
    <definedName name="TDmvc">#REF!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9" hidden="1">{"'Sheet1'!$L$16"}</definedName>
    <definedName name="tem" localSheetId="0" hidden="1">{"'Sheet1'!$L$16"}</definedName>
    <definedName name="tem" localSheetId="10" hidden="1">{"'Sheet1'!$L$16"}</definedName>
    <definedName name="tem" localSheetId="1" hidden="1">{"'Sheet1'!$L$16"}</definedName>
    <definedName name="tem" localSheetId="5" hidden="1">{"'Sheet1'!$L$16"}</definedName>
    <definedName name="tem" localSheetId="6" hidden="1">{"'Sheet1'!$L$16"}</definedName>
    <definedName name="tem" localSheetId="4" hidden="1">{"'Sheet1'!$L$16"}</definedName>
    <definedName name="tem" localSheetId="7" hidden="1">{"'Sheet1'!$L$16"}</definedName>
    <definedName name="tem" localSheetId="8"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#REF!</definedName>
    <definedName name="tiengao">#REF!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0">#REF!</definedName>
    <definedName name="tinhqt" localSheetId="10">#REF!</definedName>
    <definedName name="tinhqt" localSheetId="1">#REF!</definedName>
    <definedName name="tinhqt" localSheetId="5">#REF!</definedName>
    <definedName name="tinhqt" localSheetId="6">#REF!</definedName>
    <definedName name="tinhqt" localSheetId="4">#REF!</definedName>
    <definedName name="tinhqt" localSheetId="7">#REF!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0">#REF!</definedName>
    <definedName name="tkpdt" localSheetId="10">#REF!</definedName>
    <definedName name="tkpdt" localSheetId="1">#REF!</definedName>
    <definedName name="tkpdt" localSheetId="5">#REF!</definedName>
    <definedName name="tkpdt" localSheetId="6">#REF!</definedName>
    <definedName name="tkpdt" localSheetId="4">#REF!</definedName>
    <definedName name="tkpdt" localSheetId="7">#REF!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#REF!</definedName>
    <definedName name="TLdat">#REF!</definedName>
    <definedName name="TLDM">#REF!</definedName>
    <definedName name="Tle">#REF!</definedName>
    <definedName name="TLPD">#REF!</definedName>
    <definedName name="tlrieng">#REF!</definedName>
    <definedName name="tluong">#REF!</definedName>
    <definedName name="TM">#REF!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9" hidden="1">{"'Sheet1'!$L$16"}</definedName>
    <definedName name="tuyennhanh" localSheetId="0" hidden="1">{"'Sheet1'!$L$16"}</definedName>
    <definedName name="tuyennhanh" localSheetId="10" hidden="1">{"'Sheet1'!$L$16"}</definedName>
    <definedName name="tuyennhanh" localSheetId="1" hidden="1">{"'Sheet1'!$L$16"}</definedName>
    <definedName name="tuyennhanh" localSheetId="5" hidden="1">{"'Sheet1'!$L$16"}</definedName>
    <definedName name="tuyennhanh" localSheetId="6" hidden="1">{"'Sheet1'!$L$16"}</definedName>
    <definedName name="tuyennhanh" localSheetId="4" hidden="1">{"'Sheet1'!$L$16"}</definedName>
    <definedName name="tuyennhanh" localSheetId="7" hidden="1">{"'Sheet1'!$L$16"}</definedName>
    <definedName name="tuyennhanh" localSheetId="8"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9">BlankMacro1</definedName>
    <definedName name="TYT" localSheetId="0">BlankMacro1</definedName>
    <definedName name="TYT" localSheetId="10">BlankMacro1</definedName>
    <definedName name="TYT" localSheetId="1">BlankMacro1</definedName>
    <definedName name="TYT" localSheetId="5">BlankMacro1</definedName>
    <definedName name="TYT" localSheetId="6">BlankMacro1</definedName>
    <definedName name="TYT" localSheetId="4">BlankMacro1</definedName>
    <definedName name="TYT" localSheetId="7">BlankMacro1</definedName>
    <definedName name="TYT" localSheetId="8">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9" hidden="1">{"'Sheet1'!$L$16"}</definedName>
    <definedName name="tha" localSheetId="0" hidden="1">{"'Sheet1'!$L$16"}</definedName>
    <definedName name="tha" localSheetId="10" hidden="1">{"'Sheet1'!$L$16"}</definedName>
    <definedName name="tha" localSheetId="1" hidden="1">{"'Sheet1'!$L$16"}</definedName>
    <definedName name="tha" localSheetId="5" hidden="1">{"'Sheet1'!$L$16"}</definedName>
    <definedName name="tha" localSheetId="6" hidden="1">{"'Sheet1'!$L$16"}</definedName>
    <definedName name="tha" localSheetId="4" hidden="1">{"'Sheet1'!$L$16"}</definedName>
    <definedName name="tha" localSheetId="7" hidden="1">{"'Sheet1'!$L$16"}</definedName>
    <definedName name="tha" localSheetId="8" hidden="1">{"'Sheet1'!$L$16"}</definedName>
    <definedName name="tha" hidden="1">{"'Sheet1'!$L$16"}</definedName>
    <definedName name="Thang" localSheetId="9" hidden="1">{"'Sheet1'!$L$16"}</definedName>
    <definedName name="Thang" localSheetId="0" hidden="1">{"'Sheet1'!$L$16"}</definedName>
    <definedName name="Thang" localSheetId="10" hidden="1">{"'Sheet1'!$L$16"}</definedName>
    <definedName name="Thang" localSheetId="1" hidden="1">{"'Sheet1'!$L$16"}</definedName>
    <definedName name="Thang" localSheetId="5" hidden="1">{"'Sheet1'!$L$16"}</definedName>
    <definedName name="Thang" localSheetId="6" hidden="1">{"'Sheet1'!$L$16"}</definedName>
    <definedName name="Thang" localSheetId="4" hidden="1">{"'Sheet1'!$L$16"}</definedName>
    <definedName name="Thang" localSheetId="7" hidden="1">{"'Sheet1'!$L$16"}</definedName>
    <definedName name="Thang" localSheetId="8" hidden="1">{"'Sheet1'!$L$16"}</definedName>
    <definedName name="Thang" hidden="1">{"'Sheet1'!$L$16"}</definedName>
    <definedName name="Thang_Long">#REF!</definedName>
    <definedName name="Thang_Long_GT">#REF!</definedName>
    <definedName name="Thang1" localSheetId="9" hidden="1">{"'Sheet1'!$L$16"}</definedName>
    <definedName name="Thang1" localSheetId="0" hidden="1">{"'Sheet1'!$L$16"}</definedName>
    <definedName name="Thang1" localSheetId="10" hidden="1">{"'Sheet1'!$L$16"}</definedName>
    <definedName name="Thang1" localSheetId="1" hidden="1">{"'Sheet1'!$L$16"}</definedName>
    <definedName name="Thang1" localSheetId="5" hidden="1">{"'Sheet1'!$L$16"}</definedName>
    <definedName name="Thang1" localSheetId="6" hidden="1">{"'Sheet1'!$L$16"}</definedName>
    <definedName name="Thang1" localSheetId="4" hidden="1">{"'Sheet1'!$L$16"}</definedName>
    <definedName name="Thang1" localSheetId="7" hidden="1">{"'Sheet1'!$L$16"}</definedName>
    <definedName name="Thang1" localSheetId="8" hidden="1">{"'Sheet1'!$L$16"}</definedName>
    <definedName name="Thang1" hidden="1">{"'Sheet1'!$L$16"}</definedName>
    <definedName name="thang10" localSheetId="9" hidden="1">{"'Sheet1'!$L$16"}</definedName>
    <definedName name="thang10" localSheetId="0" hidden="1">{"'Sheet1'!$L$16"}</definedName>
    <definedName name="thang10" localSheetId="10" hidden="1">{"'Sheet1'!$L$16"}</definedName>
    <definedName name="thang10" localSheetId="1" hidden="1">{"'Sheet1'!$L$16"}</definedName>
    <definedName name="thang10" localSheetId="5" hidden="1">{"'Sheet1'!$L$16"}</definedName>
    <definedName name="thang10" localSheetId="6" hidden="1">{"'Sheet1'!$L$16"}</definedName>
    <definedName name="thang10" localSheetId="4" hidden="1">{"'Sheet1'!$L$16"}</definedName>
    <definedName name="thang10" localSheetId="7" hidden="1">{"'Sheet1'!$L$16"}</definedName>
    <definedName name="thang10" localSheetId="8" hidden="1">{"'Sheet1'!$L$16"}</definedName>
    <definedName name="thang10" hidden="1">{"'Sheet1'!$L$16"}</definedName>
    <definedName name="thang101112">#REF!</definedName>
    <definedName name="thang6789">#REF!</definedName>
    <definedName name="thanh" localSheetId="9" hidden="1">{"'Sheet1'!$L$16"}</definedName>
    <definedName name="thanh" localSheetId="0" hidden="1">{"'Sheet1'!$L$16"}</definedName>
    <definedName name="thanh" localSheetId="10" hidden="1">{"'Sheet1'!$L$16"}</definedName>
    <definedName name="thanh" localSheetId="1" hidden="1">{"'Sheet1'!$L$16"}</definedName>
    <definedName name="thanh" localSheetId="5" hidden="1">{"'Sheet1'!$L$16"}</definedName>
    <definedName name="thanh" localSheetId="6" hidden="1">{"'Sheet1'!$L$16"}</definedName>
    <definedName name="thanh" localSheetId="4" hidden="1">{"'Sheet1'!$L$16"}</definedName>
    <definedName name="thanh" localSheetId="7" hidden="1">{"'Sheet1'!$L$16"}</definedName>
    <definedName name="thanh" localSheetId="8" hidden="1">{"'Sheet1'!$L$16"}</definedName>
    <definedName name="thanh" hidden="1">{"'Sheet1'!$L$16"}</definedName>
    <definedName name="Thanh_CT">#REF!</definedName>
    <definedName name="thanhdul">#REF!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9" hidden="1">{"'Sheet1'!$L$16"}</definedName>
    <definedName name="thdien" localSheetId="0" hidden="1">{"'Sheet1'!$L$16"}</definedName>
    <definedName name="thdien" localSheetId="10" hidden="1">{"'Sheet1'!$L$16"}</definedName>
    <definedName name="thdien" localSheetId="1" hidden="1">{"'Sheet1'!$L$16"}</definedName>
    <definedName name="thdien" localSheetId="5" hidden="1">{"'Sheet1'!$L$16"}</definedName>
    <definedName name="thdien" localSheetId="6" hidden="1">{"'Sheet1'!$L$16"}</definedName>
    <definedName name="thdien" localSheetId="4" hidden="1">{"'Sheet1'!$L$16"}</definedName>
    <definedName name="thdien" localSheetId="7" hidden="1">{"'Sheet1'!$L$16"}</definedName>
    <definedName name="thdien" localSheetId="8"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#REF!</definedName>
    <definedName name="Þmong">#REF!</definedName>
    <definedName name="ÞNXoldk">#REF!</definedName>
    <definedName name="thong" localSheetId="9" hidden="1">{"'Sheet1'!$L$16"}</definedName>
    <definedName name="thong" localSheetId="0" hidden="1">{"'Sheet1'!$L$16"}</definedName>
    <definedName name="thong" localSheetId="10" hidden="1">{"'Sheet1'!$L$16"}</definedName>
    <definedName name="thong" localSheetId="1" hidden="1">{"'Sheet1'!$L$16"}</definedName>
    <definedName name="thong" localSheetId="5" hidden="1">{"'Sheet1'!$L$16"}</definedName>
    <definedName name="thong" localSheetId="6" hidden="1">{"'Sheet1'!$L$16"}</definedName>
    <definedName name="thong" localSheetId="4" hidden="1">{"'Sheet1'!$L$16"}</definedName>
    <definedName name="thong" localSheetId="7" hidden="1">{"'Sheet1'!$L$16"}</definedName>
    <definedName name="thong" localSheetId="8"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9" hidden="1">{"'Sheet1'!$L$16"}</definedName>
    <definedName name="thu" localSheetId="0" hidden="1">{"'Sheet1'!$L$16"}</definedName>
    <definedName name="thu" localSheetId="10" hidden="1">{"'Sheet1'!$L$16"}</definedName>
    <definedName name="thu" localSheetId="1" hidden="1">{"'Sheet1'!$L$16"}</definedName>
    <definedName name="thu" localSheetId="5" hidden="1">{"'Sheet1'!$L$16"}</definedName>
    <definedName name="thu" localSheetId="6" hidden="1">{"'Sheet1'!$L$16"}</definedName>
    <definedName name="thu" localSheetId="4" hidden="1">{"'Sheet1'!$L$16"}</definedName>
    <definedName name="thu" localSheetId="7" hidden="1">{"'Sheet1'!$L$16"}</definedName>
    <definedName name="thu" localSheetId="8" hidden="1">{"'Sheet1'!$L$16"}</definedName>
    <definedName name="thu" hidden="1">{"'Sheet1'!$L$16"}</definedName>
    <definedName name="thucthanh">#REF!</definedName>
    <definedName name="thue">6</definedName>
    <definedName name="thuevat">#REF!</definedName>
    <definedName name="thuy" localSheetId="9" hidden="1">{"'Sheet1'!$L$16"}</definedName>
    <definedName name="thuy" localSheetId="0" hidden="1">{"'Sheet1'!$L$16"}</definedName>
    <definedName name="thuy" localSheetId="10" hidden="1">{"'Sheet1'!$L$16"}</definedName>
    <definedName name="thuy" localSheetId="1" hidden="1">{"'Sheet1'!$L$16"}</definedName>
    <definedName name="thuy" localSheetId="5" hidden="1">{"'Sheet1'!$L$16"}</definedName>
    <definedName name="thuy" localSheetId="6" hidden="1">{"'Sheet1'!$L$16"}</definedName>
    <definedName name="thuy" localSheetId="4" hidden="1">{"'Sheet1'!$L$16"}</definedName>
    <definedName name="thuy" localSheetId="7" hidden="1">{"'Sheet1'!$L$16"}</definedName>
    <definedName name="thuy" localSheetId="8"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9">{"Thuxm2.xls","Sheet1"}</definedName>
    <definedName name="trung" localSheetId="0">{"Thuxm2.xls","Sheet1"}</definedName>
    <definedName name="trung" localSheetId="10">{"Thuxm2.xls","Sheet1"}</definedName>
    <definedName name="trung" localSheetId="1">{"Thuxm2.xls","Sheet1"}</definedName>
    <definedName name="trung" localSheetId="5">{"Thuxm2.xls","Sheet1"}</definedName>
    <definedName name="trung" localSheetId="6">{"Thuxm2.xls","Sheet1"}</definedName>
    <definedName name="trung" localSheetId="4">{"Thuxm2.xls","Sheet1"}</definedName>
    <definedName name="trung" localSheetId="7">{"Thuxm2.xls","Sheet1"}</definedName>
    <definedName name="trung" localSheetId="8">{"Thuxm2.xls","Sheet1"}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9">BlankMacro1</definedName>
    <definedName name="unitt" localSheetId="0">BlankMacro1</definedName>
    <definedName name="unitt" localSheetId="10">BlankMacro1</definedName>
    <definedName name="unitt" localSheetId="1">BlankMacro1</definedName>
    <definedName name="unitt" localSheetId="5">BlankMacro1</definedName>
    <definedName name="unitt" localSheetId="6">BlankMacro1</definedName>
    <definedName name="unitt" localSheetId="4">BlankMacro1</definedName>
    <definedName name="unitt" localSheetId="7">BlankMacro1</definedName>
    <definedName name="unitt" localSheetId="8">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#REF!</definedName>
    <definedName name="VCDD3p">#REF!</definedName>
    <definedName name="VCDDCT3p">#REF!</definedName>
    <definedName name="VCDDMBA">#REF!</definedName>
    <definedName name="vcdt">#REF!</definedName>
    <definedName name="vcdtb">#REF!</definedName>
    <definedName name="Vci">#REF!</definedName>
    <definedName name="vcn">#REF!</definedName>
    <definedName name="vcoto" localSheetId="9" hidden="1">{"'Sheet1'!$L$16"}</definedName>
    <definedName name="vcoto" localSheetId="0" hidden="1">{"'Sheet1'!$L$16"}</definedName>
    <definedName name="vcoto" localSheetId="10" hidden="1">{"'Sheet1'!$L$16"}</definedName>
    <definedName name="vcoto" localSheetId="1" hidden="1">{"'Sheet1'!$L$16"}</definedName>
    <definedName name="vcoto" localSheetId="5" hidden="1">{"'Sheet1'!$L$16"}</definedName>
    <definedName name="vcoto" localSheetId="6" hidden="1">{"'Sheet1'!$L$16"}</definedName>
    <definedName name="vcoto" localSheetId="4" hidden="1">{"'Sheet1'!$L$16"}</definedName>
    <definedName name="vcoto" localSheetId="7" hidden="1">{"'Sheet1'!$L$16"}</definedName>
    <definedName name="vcoto" localSheetId="8"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9" hidden="1">{"'Sheet1'!$L$16"}</definedName>
    <definedName name="vlct" localSheetId="0" hidden="1">{"'Sheet1'!$L$16"}</definedName>
    <definedName name="vlct" localSheetId="10" hidden="1">{"'Sheet1'!$L$16"}</definedName>
    <definedName name="vlct" localSheetId="1" hidden="1">{"'Sheet1'!$L$16"}</definedName>
    <definedName name="vlct" localSheetId="5" hidden="1">{"'Sheet1'!$L$16"}</definedName>
    <definedName name="vlct" localSheetId="6" hidden="1">{"'Sheet1'!$L$16"}</definedName>
    <definedName name="vlct" localSheetId="4" hidden="1">{"'Sheet1'!$L$16"}</definedName>
    <definedName name="vlct" localSheetId="7" hidden="1">{"'Sheet1'!$L$16"}</definedName>
    <definedName name="vlct" localSheetId="8"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9" hidden="1">{#N/A,#N/A,FALSE,"Sheet1";#N/A,#N/A,FALSE,"Sheet1";#N/A,#N/A,FALSE,"Sheet1"}</definedName>
    <definedName name="wrn.aaa." localSheetId="0" hidden="1">{#N/A,#N/A,FALSE,"Sheet1";#N/A,#N/A,FALSE,"Sheet1";#N/A,#N/A,FALSE,"Sheet1"}</definedName>
    <definedName name="wrn.aaa." localSheetId="10" hidden="1">{#N/A,#N/A,FALSE,"Sheet1";#N/A,#N/A,FALSE,"Sheet1";#N/A,#N/A,FALSE,"Sheet1"}</definedName>
    <definedName name="wrn.aaa." localSheetId="1" hidden="1">{#N/A,#N/A,FALSE,"Sheet1";#N/A,#N/A,FALSE,"Sheet1";#N/A,#N/A,FALSE,"Sheet1"}</definedName>
    <definedName name="wrn.aaa." localSheetId="5" hidden="1">{#N/A,#N/A,FALSE,"Sheet1";#N/A,#N/A,FALSE,"Sheet1";#N/A,#N/A,FALSE,"Sheet1"}</definedName>
    <definedName name="wrn.aaa." localSheetId="6" hidden="1">{#N/A,#N/A,FALSE,"Sheet1";#N/A,#N/A,FALSE,"Sheet1";#N/A,#N/A,FALSE,"Sheet1"}</definedName>
    <definedName name="wrn.aaa." localSheetId="4" hidden="1">{#N/A,#N/A,FALSE,"Sheet1";#N/A,#N/A,FALSE,"Sheet1";#N/A,#N/A,FALSE,"Sheet1"}</definedName>
    <definedName name="wrn.aaa." localSheetId="7" hidden="1">{#N/A,#N/A,FALSE,"Sheet1";#N/A,#N/A,FALSE,"Sheet1";#N/A,#N/A,FALSE,"Sheet1"}</definedName>
    <definedName name="wrn.aaa." localSheetId="8" hidden="1">{#N/A,#N/A,FALSE,"Sheet1";#N/A,#N/A,FALSE,"Sheet1";#N/A,#N/A,FALSE,"Sheet1"}</definedName>
    <definedName name="wrn.aaa." hidden="1">{#N/A,#N/A,FALSE,"Sheet1";#N/A,#N/A,FALSE,"Sheet1";#N/A,#N/A,FALSE,"Sheet1"}</definedName>
    <definedName name="wrn.cong." localSheetId="9" hidden="1">{#N/A,#N/A,FALSE,"Sheet1"}</definedName>
    <definedName name="wrn.cong." localSheetId="0" hidden="1">{#N/A,#N/A,FALSE,"Sheet1"}</definedName>
    <definedName name="wrn.cong." localSheetId="10" hidden="1">{#N/A,#N/A,FALSE,"Sheet1"}</definedName>
    <definedName name="wrn.cong." localSheetId="1" hidden="1">{#N/A,#N/A,FALSE,"Sheet1"}</definedName>
    <definedName name="wrn.cong." localSheetId="5" hidden="1">{#N/A,#N/A,FALSE,"Sheet1"}</definedName>
    <definedName name="wrn.cong." localSheetId="6" hidden="1">{#N/A,#N/A,FALSE,"Sheet1"}</definedName>
    <definedName name="wrn.cong." localSheetId="4" hidden="1">{#N/A,#N/A,FALSE,"Sheet1"}</definedName>
    <definedName name="wrn.cong." localSheetId="7" hidden="1">{#N/A,#N/A,FALSE,"Sheet1"}</definedName>
    <definedName name="wrn.cong." localSheetId="8" hidden="1">{#N/A,#N/A,FALSE,"Sheet1"}</definedName>
    <definedName name="wrn.cong." hidden="1">{#N/A,#N/A,FALSE,"Sheet1"}</definedName>
    <definedName name="wrn.chi._.tiÆt." localSheetId="9" hidden="1">{#N/A,#N/A,FALSE,"Chi tiÆt"}</definedName>
    <definedName name="wrn.chi._.tiÆt." localSheetId="0" hidden="1">{#N/A,#N/A,FALSE,"Chi tiÆt"}</definedName>
    <definedName name="wrn.chi._.tiÆt." localSheetId="10" hidden="1">{#N/A,#N/A,FALSE,"Chi tiÆt"}</definedName>
    <definedName name="wrn.chi._.tiÆt." localSheetId="1" hidden="1">{#N/A,#N/A,FALSE,"Chi tiÆt"}</definedName>
    <definedName name="wrn.chi._.tiÆt." localSheetId="5" hidden="1">{#N/A,#N/A,FALSE,"Chi tiÆt"}</definedName>
    <definedName name="wrn.chi._.tiÆt." localSheetId="6" hidden="1">{#N/A,#N/A,FALSE,"Chi tiÆt"}</definedName>
    <definedName name="wrn.chi._.tiÆt." localSheetId="4" hidden="1">{#N/A,#N/A,FALSE,"Chi tiÆt"}</definedName>
    <definedName name="wrn.chi._.tiÆt." localSheetId="7" hidden="1">{#N/A,#N/A,FALSE,"Chi tiÆt"}</definedName>
    <definedName name="wrn.chi._.tiÆt." localSheetId="8" hidden="1">{#N/A,#N/A,FALSE,"Chi tiÆt"}</definedName>
    <definedName name="wrn.chi._.tiÆt." hidden="1">{#N/A,#N/A,FALSE,"Chi tiÆt"}</definedName>
    <definedName name="wrn.Monthly._.Statement." localSheetId="9" hidden="1">{#N/A,#N/A,FALSE,"Tabelle2";#N/A,#N/A,FALSE,"Tabelle1"}</definedName>
    <definedName name="wrn.Monthly._.Statement." localSheetId="0" hidden="1">{#N/A,#N/A,FALSE,"Tabelle2";#N/A,#N/A,FALSE,"Tabelle1"}</definedName>
    <definedName name="wrn.Monthly._.Statement." localSheetId="10" hidden="1">{#N/A,#N/A,FALSE,"Tabelle2";#N/A,#N/A,FALSE,"Tabelle1"}</definedName>
    <definedName name="wrn.Monthly._.Statement." localSheetId="1" hidden="1">{#N/A,#N/A,FALSE,"Tabelle2";#N/A,#N/A,FALSE,"Tabelle1"}</definedName>
    <definedName name="wrn.Monthly._.Statement." localSheetId="5" hidden="1">{#N/A,#N/A,FALSE,"Tabelle2";#N/A,#N/A,FALSE,"Tabelle1"}</definedName>
    <definedName name="wrn.Monthly._.Statement." localSheetId="6" hidden="1">{#N/A,#N/A,FALSE,"Tabelle2";#N/A,#N/A,FALSE,"Tabelle1"}</definedName>
    <definedName name="wrn.Monthly._.Statement." localSheetId="4" hidden="1">{#N/A,#N/A,FALSE,"Tabelle2";#N/A,#N/A,FALSE,"Tabelle1"}</definedName>
    <definedName name="wrn.Monthly._.Statement." localSheetId="7" hidden="1">{#N/A,#N/A,FALSE,"Tabelle2";#N/A,#N/A,FALSE,"Tabelle1"}</definedName>
    <definedName name="wrn.Monthly._.Statement." localSheetId="8" hidden="1">{#N/A,#N/A,FALSE,"Tabelle2";#N/A,#N/A,FALSE,"Tabelle1"}</definedName>
    <definedName name="wrn.Monthly._.Statement." hidden="1">{#N/A,#N/A,FALSE,"Tabelle2";#N/A,#N/A,FALSE,"Tabelle1"}</definedName>
    <definedName name="wrn.Report." localSheetId="9"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1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localSheetId="8"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9"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1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9">{"Thuxm2.xls","Sheet1"}</definedName>
    <definedName name="ww" localSheetId="0">{"Thuxm2.xls","Sheet1"}</definedName>
    <definedName name="ww" localSheetId="10">{"Thuxm2.xls","Sheet1"}</definedName>
    <definedName name="ww" localSheetId="1">{"Thuxm2.xls","Sheet1"}</definedName>
    <definedName name="ww" localSheetId="5">{"Thuxm2.xls","Sheet1"}</definedName>
    <definedName name="ww" localSheetId="6">{"Thuxm2.xls","Sheet1"}</definedName>
    <definedName name="ww" localSheetId="4">{"Thuxm2.xls","Sheet1"}</definedName>
    <definedName name="ww" localSheetId="7">{"Thuxm2.xls","Sheet1"}</definedName>
    <definedName name="ww" localSheetId="8">{"Thuxm2.xls","Sheet1"}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9" hidden="1">{"'Sheet1'!$L$16"}</definedName>
    <definedName name="xd" localSheetId="0" hidden="1">{"'Sheet1'!$L$16"}</definedName>
    <definedName name="xd" localSheetId="10" hidden="1">{"'Sheet1'!$L$16"}</definedName>
    <definedName name="xd" localSheetId="1" hidden="1">{"'Sheet1'!$L$16"}</definedName>
    <definedName name="xd" localSheetId="5" hidden="1">{"'Sheet1'!$L$16"}</definedName>
    <definedName name="xd" localSheetId="6" hidden="1">{"'Sheet1'!$L$16"}</definedName>
    <definedName name="xd" localSheetId="4" hidden="1">{"'Sheet1'!$L$16"}</definedName>
    <definedName name="xd" localSheetId="7" hidden="1">{"'Sheet1'!$L$16"}</definedName>
    <definedName name="xd" localSheetId="8"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P">#REF!</definedName>
    <definedName name="xlttbninh" localSheetId="9" hidden="1">{"'Sheet1'!$L$16"}</definedName>
    <definedName name="xlttbninh" localSheetId="0" hidden="1">{"'Sheet1'!$L$16"}</definedName>
    <definedName name="xlttbninh" localSheetId="10" hidden="1">{"'Sheet1'!$L$16"}</definedName>
    <definedName name="xlttbninh" localSheetId="1" hidden="1">{"'Sheet1'!$L$16"}</definedName>
    <definedName name="xlttbninh" localSheetId="5" hidden="1">{"'Sheet1'!$L$16"}</definedName>
    <definedName name="xlttbninh" localSheetId="6" hidden="1">{"'Sheet1'!$L$16"}</definedName>
    <definedName name="xlttbninh" localSheetId="4" hidden="1">{"'Sheet1'!$L$16"}</definedName>
    <definedName name="xlttbninh" localSheetId="7" hidden="1">{"'Sheet1'!$L$16"}</definedName>
    <definedName name="xlttbninh" localSheetId="8"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9" hidden="1">{"'Sheet1'!$L$16"}</definedName>
    <definedName name="xvxcvxc" localSheetId="0" hidden="1">{"'Sheet1'!$L$16"}</definedName>
    <definedName name="xvxcvxc" localSheetId="10" hidden="1">{"'Sheet1'!$L$16"}</definedName>
    <definedName name="xvxcvxc" localSheetId="1" hidden="1">{"'Sheet1'!$L$16"}</definedName>
    <definedName name="xvxcvxc" localSheetId="5" hidden="1">{"'Sheet1'!$L$16"}</definedName>
    <definedName name="xvxcvxc" localSheetId="6" hidden="1">{"'Sheet1'!$L$16"}</definedName>
    <definedName name="xvxcvxc" localSheetId="4" hidden="1">{"'Sheet1'!$L$16"}</definedName>
    <definedName name="xvxcvxc" localSheetId="7" hidden="1">{"'Sheet1'!$L$16"}</definedName>
    <definedName name="xvxcvxc" localSheetId="8"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9" hidden="1">{"'Sheet1'!$L$16"}</definedName>
    <definedName name="xzfa" localSheetId="0" hidden="1">{"'Sheet1'!$L$16"}</definedName>
    <definedName name="xzfa" localSheetId="10" hidden="1">{"'Sheet1'!$L$16"}</definedName>
    <definedName name="xzfa" localSheetId="1" hidden="1">{"'Sheet1'!$L$16"}</definedName>
    <definedName name="xzfa" localSheetId="5" hidden="1">{"'Sheet1'!$L$16"}</definedName>
    <definedName name="xzfa" localSheetId="6" hidden="1">{"'Sheet1'!$L$16"}</definedName>
    <definedName name="xzfa" localSheetId="4" hidden="1">{"'Sheet1'!$L$16"}</definedName>
    <definedName name="xzfa" localSheetId="7" hidden="1">{"'Sheet1'!$L$16"}</definedName>
    <definedName name="xzfa" localSheetId="8"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9">{"Thuxm2.xls","Sheet1"}</definedName>
    <definedName name="ytuygluicilu" localSheetId="0">{"Thuxm2.xls","Sheet1"}</definedName>
    <definedName name="ytuygluicilu" localSheetId="10">{"Thuxm2.xls","Sheet1"}</definedName>
    <definedName name="ytuygluicilu" localSheetId="1">{"Thuxm2.xls","Sheet1"}</definedName>
    <definedName name="ytuygluicilu" localSheetId="5">{"Thuxm2.xls","Sheet1"}</definedName>
    <definedName name="ytuygluicilu" localSheetId="6">{"Thuxm2.xls","Sheet1"}</definedName>
    <definedName name="ytuygluicilu" localSheetId="4">{"Thuxm2.xls","Sheet1"}</definedName>
    <definedName name="ytuygluicilu" localSheetId="7">{"Thuxm2.xls","Sheet1"}</definedName>
    <definedName name="ytuygluicilu" localSheetId="8">{"Thuxm2.xls","Sheet1"}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9" hidden="1">{"'Sheet1'!$L$16"}</definedName>
    <definedName name="ZXzX" localSheetId="0" hidden="1">{"'Sheet1'!$L$16"}</definedName>
    <definedName name="ZXzX" localSheetId="10" hidden="1">{"'Sheet1'!$L$16"}</definedName>
    <definedName name="ZXzX" localSheetId="1" hidden="1">{"'Sheet1'!$L$16"}</definedName>
    <definedName name="ZXzX" localSheetId="5" hidden="1">{"'Sheet1'!$L$16"}</definedName>
    <definedName name="ZXzX" localSheetId="6" hidden="1">{"'Sheet1'!$L$16"}</definedName>
    <definedName name="ZXzX" localSheetId="4" hidden="1">{"'Sheet1'!$L$16"}</definedName>
    <definedName name="ZXzX" localSheetId="7" hidden="1">{"'Sheet1'!$L$16"}</definedName>
    <definedName name="ZXzX" localSheetId="8"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9">BlankMacro1</definedName>
    <definedName name="템플리트모듈1" localSheetId="0">BlankMacro1</definedName>
    <definedName name="템플리트모듈1" localSheetId="10">BlankMacro1</definedName>
    <definedName name="템플리트모듈1" localSheetId="1">BlankMacro1</definedName>
    <definedName name="템플리트모듈1" localSheetId="5">BlankMacro1</definedName>
    <definedName name="템플리트모듈1" localSheetId="6">BlankMacro1</definedName>
    <definedName name="템플리트모듈1" localSheetId="4">BlankMacro1</definedName>
    <definedName name="템플리트모듈1" localSheetId="7">BlankMacro1</definedName>
    <definedName name="템플리트모듈1" localSheetId="8">BlankMacro1</definedName>
    <definedName name="템플리트모듈1">BlankMacro1</definedName>
    <definedName name="템플리트모듈2" localSheetId="9">BlankMacro1</definedName>
    <definedName name="템플리트모듈2" localSheetId="0">BlankMacro1</definedName>
    <definedName name="템플리트모듈2" localSheetId="10">BlankMacro1</definedName>
    <definedName name="템플리트모듈2" localSheetId="1">BlankMacro1</definedName>
    <definedName name="템플리트모듈2" localSheetId="5">BlankMacro1</definedName>
    <definedName name="템플리트모듈2" localSheetId="6">BlankMacro1</definedName>
    <definedName name="템플리트모듈2" localSheetId="4">BlankMacro1</definedName>
    <definedName name="템플리트모듈2" localSheetId="7">BlankMacro1</definedName>
    <definedName name="템플리트모듈2" localSheetId="8">BlankMacro1</definedName>
    <definedName name="템플리트모듈2">BlankMacro1</definedName>
    <definedName name="템플리트모듈3" localSheetId="9">BlankMacro1</definedName>
    <definedName name="템플리트모듈3" localSheetId="0">BlankMacro1</definedName>
    <definedName name="템플리트모듈3" localSheetId="10">BlankMacro1</definedName>
    <definedName name="템플리트모듈3" localSheetId="1">BlankMacro1</definedName>
    <definedName name="템플리트모듈3" localSheetId="5">BlankMacro1</definedName>
    <definedName name="템플리트모듈3" localSheetId="6">BlankMacro1</definedName>
    <definedName name="템플리트모듈3" localSheetId="4">BlankMacro1</definedName>
    <definedName name="템플리트모듈3" localSheetId="7">BlankMacro1</definedName>
    <definedName name="템플리트모듈3" localSheetId="8">BlankMacro1</definedName>
    <definedName name="템플리트모듈3">BlankMacro1</definedName>
    <definedName name="템플리트모듈4" localSheetId="9">BlankMacro1</definedName>
    <definedName name="템플리트모듈4" localSheetId="0">BlankMacro1</definedName>
    <definedName name="템플리트모듈4" localSheetId="10">BlankMacro1</definedName>
    <definedName name="템플리트모듈4" localSheetId="1">BlankMacro1</definedName>
    <definedName name="템플리트모듈4" localSheetId="5">BlankMacro1</definedName>
    <definedName name="템플리트모듈4" localSheetId="6">BlankMacro1</definedName>
    <definedName name="템플리트모듈4" localSheetId="4">BlankMacro1</definedName>
    <definedName name="템플리트모듈4" localSheetId="7">BlankMacro1</definedName>
    <definedName name="템플리트모듈4" localSheetId="8">BlankMacro1</definedName>
    <definedName name="템플리트모듈4">BlankMacro1</definedName>
    <definedName name="템플리트모듈5" localSheetId="9">BlankMacro1</definedName>
    <definedName name="템플리트모듈5" localSheetId="0">BlankMacro1</definedName>
    <definedName name="템플리트모듈5" localSheetId="10">BlankMacro1</definedName>
    <definedName name="템플리트모듈5" localSheetId="1">BlankMacro1</definedName>
    <definedName name="템플리트모듈5" localSheetId="5">BlankMacro1</definedName>
    <definedName name="템플리트모듈5" localSheetId="6">BlankMacro1</definedName>
    <definedName name="템플리트모듈5" localSheetId="4">BlankMacro1</definedName>
    <definedName name="템플리트모듈5" localSheetId="7">BlankMacro1</definedName>
    <definedName name="템플리트모듈5" localSheetId="8">BlankMacro1</definedName>
    <definedName name="템플리트모듈5">BlankMacro1</definedName>
    <definedName name="템플리트모듈6" localSheetId="9">BlankMacro1</definedName>
    <definedName name="템플리트모듈6" localSheetId="0">BlankMacro1</definedName>
    <definedName name="템플리트모듈6" localSheetId="10">BlankMacro1</definedName>
    <definedName name="템플리트모듈6" localSheetId="1">BlankMacro1</definedName>
    <definedName name="템플리트모듈6" localSheetId="5">BlankMacro1</definedName>
    <definedName name="템플리트모듈6" localSheetId="6">BlankMacro1</definedName>
    <definedName name="템플리트모듈6" localSheetId="4">BlankMacro1</definedName>
    <definedName name="템플리트모듈6" localSheetId="7">BlankMacro1</definedName>
    <definedName name="템플리트모듈6" localSheetId="8">BlankMacro1</definedName>
    <definedName name="템플리트모듈6">BlankMacro1</definedName>
    <definedName name="피팅" localSheetId="9">BlankMacro1</definedName>
    <definedName name="피팅" localSheetId="0">BlankMacro1</definedName>
    <definedName name="피팅" localSheetId="10">BlankMacro1</definedName>
    <definedName name="피팅" localSheetId="1">BlankMacro1</definedName>
    <definedName name="피팅" localSheetId="5">BlankMacro1</definedName>
    <definedName name="피팅" localSheetId="6">BlankMacro1</definedName>
    <definedName name="피팅" localSheetId="4">BlankMacro1</definedName>
    <definedName name="피팅" localSheetId="7">BlankMacro1</definedName>
    <definedName name="피팅" localSheetId="8">BlankMacro1</definedName>
    <definedName name="피팅">BlankMacro1</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28" l="1"/>
  <c r="R39" i="28"/>
  <c r="R35" i="28"/>
  <c r="N14" i="28"/>
  <c r="N12" i="28"/>
  <c r="H44" i="27"/>
  <c r="C3" i="16"/>
  <c r="B3" i="16"/>
  <c r="K15" i="14"/>
  <c r="J15" i="14"/>
  <c r="F15" i="14"/>
  <c r="B72" i="16" l="1"/>
  <c r="B63" i="16" l="1"/>
  <c r="D62" i="16"/>
  <c r="D60" i="16" l="1"/>
  <c r="D61" i="16" l="1"/>
  <c r="B84" i="16" l="1"/>
  <c r="D47" i="16" l="1"/>
  <c r="C15" i="16" l="1"/>
  <c r="D58" i="16" l="1"/>
  <c r="N104" i="16" l="1"/>
  <c r="D57" i="16" l="1"/>
  <c r="D69" i="16"/>
  <c r="D56" i="16" l="1"/>
  <c r="C35" i="16"/>
  <c r="B35" i="16"/>
  <c r="D84" i="16"/>
  <c r="D35" i="16" l="1"/>
  <c r="C127" i="16" l="1"/>
  <c r="B127" i="16"/>
  <c r="D119" i="16"/>
  <c r="D120" i="16"/>
  <c r="D121" i="16"/>
  <c r="D122" i="16"/>
  <c r="D123" i="16"/>
  <c r="D124" i="16"/>
  <c r="D125" i="16"/>
  <c r="D126" i="16"/>
  <c r="D118" i="16"/>
  <c r="D127" i="16" s="1"/>
  <c r="D55" i="16" l="1"/>
  <c r="H159" i="18" l="1"/>
  <c r="D54" i="16" l="1"/>
  <c r="B15" i="16"/>
  <c r="D15" i="16" s="1"/>
  <c r="D40" i="16" l="1"/>
  <c r="D41" i="16"/>
  <c r="D94" i="16" l="1"/>
  <c r="D93" i="16"/>
  <c r="D92" i="16"/>
  <c r="D91" i="16"/>
  <c r="D53" i="16"/>
  <c r="C103" i="16" l="1"/>
  <c r="D103" i="16"/>
  <c r="E103" i="16"/>
  <c r="F103" i="16"/>
  <c r="G103" i="16"/>
  <c r="H103" i="16"/>
  <c r="I103" i="16"/>
  <c r="J103" i="16"/>
  <c r="K103" i="16"/>
  <c r="L103" i="16"/>
  <c r="B103" i="16"/>
  <c r="N103" i="16" l="1"/>
  <c r="D107" i="16"/>
  <c r="D89" i="16"/>
  <c r="D88" i="16"/>
  <c r="D87" i="16"/>
  <c r="D86" i="16"/>
  <c r="H46" i="17"/>
  <c r="D6" i="14" l="1"/>
  <c r="F6" i="14" s="1"/>
  <c r="D5" i="14" l="1"/>
  <c r="F5" i="14" s="1"/>
  <c r="D23" i="16" l="1"/>
  <c r="D51" i="16"/>
  <c r="D52" i="16"/>
  <c r="D3" i="16"/>
  <c r="J25" i="16" l="1"/>
  <c r="K23" i="16"/>
  <c r="K7" i="16"/>
  <c r="D70" i="16" l="1"/>
  <c r="D68" i="16"/>
  <c r="D67" i="16"/>
  <c r="D38" i="16"/>
  <c r="D37" i="16"/>
  <c r="D21" i="16"/>
  <c r="D18" i="16"/>
  <c r="D17" i="16"/>
  <c r="D16" i="16"/>
</calcChain>
</file>

<file path=xl/sharedStrings.xml><?xml version="1.0" encoding="utf-8"?>
<sst xmlns="http://schemas.openxmlformats.org/spreadsheetml/2006/main" count="3270" uniqueCount="1016">
  <si>
    <t>STT</t>
  </si>
  <si>
    <t>Ngày bắt đầu thực hiện</t>
  </si>
  <si>
    <t>Ngày hoàn thành dự kiến</t>
  </si>
  <si>
    <t>Mã mục tiêu phòng xưởng</t>
  </si>
  <si>
    <t>Mã mục tiêu NM</t>
  </si>
  <si>
    <t>Tên mục tiêu / Kết quả then chốt
(cụ thể, đo lường được) và kế hoạch hành động</t>
  </si>
  <si>
    <t>Trọng số</t>
  </si>
  <si>
    <t>ĐK.1</t>
  </si>
  <si>
    <t>ĐK.1.1</t>
  </si>
  <si>
    <t>ĐK.1.2</t>
  </si>
  <si>
    <t>ĐK.1.3</t>
  </si>
  <si>
    <t>ĐCM.1.2</t>
  </si>
  <si>
    <t>ĐK.2</t>
  </si>
  <si>
    <t>ĐK.2.1</t>
  </si>
  <si>
    <t>ĐK.2.2</t>
  </si>
  <si>
    <t>ĐK.2.3</t>
  </si>
  <si>
    <t>Không có tai nạn và sự cố liên quan đến an toàn sức khỏe môi trường bị xử lý bởi cơ quan chức năng</t>
  </si>
  <si>
    <t>ĐK.3</t>
  </si>
  <si>
    <t>ĐK.3.1</t>
  </si>
  <si>
    <t>ĐK.4</t>
  </si>
  <si>
    <t>ĐK.5</t>
  </si>
  <si>
    <t>ĐK.6</t>
  </si>
  <si>
    <t>ĐK.6.1</t>
  </si>
  <si>
    <t>ĐK.1.4</t>
  </si>
  <si>
    <t>ĐK.1.5</t>
  </si>
  <si>
    <t>ĐK.7</t>
  </si>
  <si>
    <t>ĐK.7.1</t>
  </si>
  <si>
    <t>Lập kế hoạch bảo dưỡng thường xuyên, bảo dưỡng trước đợt sản xuất đảm bảo các thiết bị có kế hoạch phù hợp với tình trạng</t>
  </si>
  <si>
    <t>ĐCM.2.3</t>
  </si>
  <si>
    <t>ĐCM.3.1</t>
  </si>
  <si>
    <t>Văn hóa doanh nghiệp</t>
  </si>
  <si>
    <t>Ghi chú</t>
  </si>
  <si>
    <t>Tháng 4</t>
  </si>
  <si>
    <t>ĐK1.1</t>
  </si>
  <si>
    <t>Tháng 5</t>
  </si>
  <si>
    <t>Tháng 6</t>
  </si>
  <si>
    <t>Tháng 7</t>
  </si>
  <si>
    <t>Tháng 8</t>
  </si>
  <si>
    <t>Tháng 9</t>
  </si>
  <si>
    <t>Tháng 10</t>
  </si>
  <si>
    <t>Tháng 11</t>
  </si>
  <si>
    <t>Tháng 12</t>
  </si>
  <si>
    <t>Đội thiết bị Hệ thống điều khiển</t>
  </si>
  <si>
    <t>Đội thiết bị chấp hành</t>
  </si>
  <si>
    <t>Đội thiết bị Đo lường</t>
  </si>
  <si>
    <t>Đội thiết bị Chấp hành</t>
  </si>
  <si>
    <t>Tổ trực ca điều khiển</t>
  </si>
  <si>
    <t>CAM van điều khiển</t>
  </si>
  <si>
    <t>CAM thiết bị đo</t>
  </si>
  <si>
    <t>CAM tủ ĐK</t>
  </si>
  <si>
    <t>Thay thế ống dẫn dây PCCC (m)</t>
  </si>
  <si>
    <t>Bảo dưỡng định kỳ NPK</t>
  </si>
  <si>
    <t>Đội thiết bị đo lường</t>
  </si>
  <si>
    <t>Chương trình stop</t>
  </si>
  <si>
    <t>Tháng 2</t>
  </si>
  <si>
    <t>Tháng 3</t>
  </si>
  <si>
    <t>Tổ trực ca</t>
  </si>
  <si>
    <t>Đội thiết bị hệ thống điều khiển</t>
  </si>
  <si>
    <t>Đội thiết bị đo</t>
  </si>
  <si>
    <t>Đội thiết bị cơ cấu chấp hành</t>
  </si>
  <si>
    <t xml:space="preserve">Tổng nhân sự </t>
  </si>
  <si>
    <t>A1</t>
  </si>
  <si>
    <t>A2</t>
  </si>
  <si>
    <t>KẾ HOẠCH /MỤC TIÊU 2025 XƯỞNG ĐIỀU KHIỂN  (ÁP DỤNG ĐỂ KIỂM SOÁT NỘI BỘ)</t>
  </si>
  <si>
    <t>Báo cáo tình hình thực hiện tháng 2</t>
  </si>
  <si>
    <t>Báo cáo tình hình thực hiện tháng 3</t>
  </si>
  <si>
    <t>Báo cáo tình hình thực hiện tháng 4</t>
  </si>
  <si>
    <t>Báo cáo tình hình thực hiện tháng 5</t>
  </si>
  <si>
    <t>Báo cáo tình hình thực hiện tháng 6</t>
  </si>
  <si>
    <t>Báo cáo tình hình thực hiện tháng 7</t>
  </si>
  <si>
    <t>Báo cáo tình hình thực hiện tháng 8</t>
  </si>
  <si>
    <t>Báo cáo tình hình thực hiện tháng 9</t>
  </si>
  <si>
    <t>Báo cáo tình hình thực hiện tháng 10</t>
  </si>
  <si>
    <t>Báo cáo tình hình thực hiện tháng 11</t>
  </si>
  <si>
    <t>Báo cáo tình hình thực hiện tháng 12</t>
  </si>
  <si>
    <t>Đo lường</t>
  </si>
  <si>
    <t>Mục tiêu</t>
  </si>
  <si>
    <t>Tần suất đo lường</t>
  </si>
  <si>
    <t>Kế hoạch hành động</t>
  </si>
  <si>
    <t>LĐ xưởng Phụ trách</t>
  </si>
  <si>
    <t>Đầu mối tổ chức/Kiểm soát</t>
  </si>
  <si>
    <t>Đội/tổ triển khai/Phối hợp</t>
  </si>
  <si>
    <r>
      <t xml:space="preserve">Tình hình thực hiện
</t>
    </r>
    <r>
      <rPr>
        <i/>
        <sz val="12"/>
        <color theme="1"/>
        <rFont val="Times New Roman"/>
        <family val="1"/>
      </rPr>
      <t>- % Hoàn thành (HM hoàn thành/Tổng số) - Lý do chưa hoàn thành
- Số thẻ STOP ghi nhận
- Số Sáng kiến/ý tưởng/CTKT trong tháng được thông qua cấp Xưởng/Cấp tiểu ban điều khiển
- Số giờ đào tạo NB đã thực hiện trong tháng (tích lũy trên tổng số)
- % Nhân sự tham gia các hoạt động/chương trình (Số lượng nhân sự tham gia/ Tổng số nhân sự Đội/Tổ)
- Đối với các hoạt động/chương trình không tổ chức trong tháng, Đội/Tổ điền Hoàn thành
…</t>
    </r>
  </si>
  <si>
    <r>
      <t xml:space="preserve">Đánh giá
</t>
    </r>
    <r>
      <rPr>
        <i/>
        <sz val="12"/>
        <color theme="1"/>
        <rFont val="Times New Roman"/>
        <family val="1"/>
      </rPr>
      <t xml:space="preserve">- Không hoàn thành
- Hoàn thành
- Hoàn thành tốt
- Hoàn thành xuất sắc
</t>
    </r>
  </si>
  <si>
    <t>Đảm bảo tính ổn định của thiết bị</t>
  </si>
  <si>
    <t xml:space="preserve">Sản lượng Urê bị mất hay sụt giảm do lỗi thiết bị </t>
  </si>
  <si>
    <t>&lt;=10.000 Tấn</t>
  </si>
  <si>
    <t>Năm</t>
  </si>
  <si>
    <r>
      <t xml:space="preserve">Triển khai công tác BD định kỳ theo kế hoạch đảm bảo </t>
    </r>
    <r>
      <rPr>
        <b/>
        <sz val="12"/>
        <color theme="1"/>
        <rFont val="Times New Roman"/>
        <family val="1"/>
      </rPr>
      <t>chất lượng</t>
    </r>
    <r>
      <rPr>
        <sz val="12"/>
        <color theme="1"/>
        <rFont val="Times New Roman"/>
        <family val="1"/>
      </rPr>
      <t xml:space="preserve"> và đúng </t>
    </r>
    <r>
      <rPr>
        <b/>
        <sz val="12"/>
        <color theme="1"/>
        <rFont val="Times New Roman"/>
        <family val="1"/>
      </rPr>
      <t>tiến độ</t>
    </r>
  </si>
  <si>
    <t>% HM BDĐK hoàn thành theo kế hoạch</t>
  </si>
  <si>
    <t>&gt;= 98%</t>
  </si>
  <si>
    <t>Tháng</t>
  </si>
  <si>
    <t>Đội/Tổ cập nhật</t>
  </si>
  <si>
    <t>Quách Kía
Nguyễn Văn Trắng</t>
  </si>
  <si>
    <t>N/A</t>
  </si>
  <si>
    <t>Đội hành chính</t>
  </si>
  <si>
    <r>
      <t>Triển khai công tác sửa chữa đột xuất đảm bảo</t>
    </r>
    <r>
      <rPr>
        <b/>
        <sz val="12"/>
        <color theme="1"/>
        <rFont val="Times New Roman"/>
        <family val="1"/>
      </rPr>
      <t xml:space="preserve"> kịp thời</t>
    </r>
    <r>
      <rPr>
        <sz val="12"/>
        <color theme="1"/>
        <rFont val="Times New Roman"/>
        <family val="1"/>
      </rPr>
      <t xml:space="preserve"> và </t>
    </r>
    <r>
      <rPr>
        <b/>
        <sz val="12"/>
        <color theme="1"/>
        <rFont val="Times New Roman"/>
        <family val="1"/>
      </rPr>
      <t>chất lượng</t>
    </r>
  </si>
  <si>
    <t>% HM SCĐX hoàn thành trên tổng số</t>
  </si>
  <si>
    <t>&gt;= 99%</t>
  </si>
  <si>
    <t>Quách Kía</t>
  </si>
  <si>
    <r>
      <t xml:space="preserve">Triển khai công tác BDTT theo kế hoạch đảm bảo </t>
    </r>
    <r>
      <rPr>
        <b/>
        <sz val="12"/>
        <color theme="1"/>
        <rFont val="Times New Roman"/>
        <family val="1"/>
      </rPr>
      <t>chất lượng</t>
    </r>
  </si>
  <si>
    <t>% HM BDTT hoàn thành theo kế hoạch</t>
  </si>
  <si>
    <t>Nhóm BDTT</t>
  </si>
  <si>
    <t>Số giờ (h) vượt kế hoạch</t>
  </si>
  <si>
    <t>&gt;= 4h</t>
  </si>
  <si>
    <r>
      <t xml:space="preserve">Triển khai hạng mục </t>
    </r>
    <r>
      <rPr>
        <b/>
        <sz val="12"/>
        <color theme="1"/>
        <rFont val="Times New Roman"/>
        <family val="1"/>
      </rPr>
      <t xml:space="preserve">voting </t>
    </r>
    <r>
      <rPr>
        <sz val="12"/>
        <color theme="1"/>
        <rFont val="Times New Roman"/>
        <family val="1"/>
      </rPr>
      <t xml:space="preserve"> cho thiết bị đo lường và hệ thống điều khiển theo kế hoạch được phê duyệt</t>
    </r>
  </si>
  <si>
    <t xml:space="preserve">% HM hoàn thành theo kế hoạch </t>
  </si>
  <si>
    <r>
      <t xml:space="preserve">Triển khai hạng mục </t>
    </r>
    <r>
      <rPr>
        <b/>
        <sz val="12"/>
        <color theme="1"/>
        <rFont val="Times New Roman"/>
        <family val="1"/>
      </rPr>
      <t>voting</t>
    </r>
    <r>
      <rPr>
        <sz val="12"/>
        <color theme="1"/>
        <rFont val="Times New Roman"/>
        <family val="1"/>
      </rPr>
      <t xml:space="preserve"> hệ thống MPS</t>
    </r>
  </si>
  <si>
    <t>ĐK.1.6</t>
  </si>
  <si>
    <r>
      <t xml:space="preserve">Triển khai công tác chống ăn mòn thường xuyên theo kế hoạch đảm bảo </t>
    </r>
    <r>
      <rPr>
        <b/>
        <sz val="12"/>
        <color theme="1"/>
        <rFont val="Times New Roman"/>
        <family val="1"/>
      </rPr>
      <t>chất lượn</t>
    </r>
    <r>
      <rPr>
        <sz val="12"/>
        <color theme="1"/>
        <rFont val="Times New Roman"/>
        <family val="1"/>
      </rPr>
      <t>g và đúng t</t>
    </r>
    <r>
      <rPr>
        <b/>
        <sz val="12"/>
        <color theme="1"/>
        <rFont val="Times New Roman"/>
        <family val="1"/>
      </rPr>
      <t>iến độ</t>
    </r>
  </si>
  <si>
    <t>&gt;= 95%</t>
  </si>
  <si>
    <t>ĐK.1.7</t>
  </si>
  <si>
    <t>Triển khai hành động KPPN (Căn cứ theo KL điều tra sự cố)</t>
  </si>
  <si>
    <t xml:space="preserve">% HM triển khai hành động KPPN trên tổng số </t>
  </si>
  <si>
    <t>&gt;= 90%</t>
  </si>
  <si>
    <t>Hữu Văn Cưng</t>
  </si>
  <si>
    <t>ĐCM.1.4</t>
  </si>
  <si>
    <t>Số vụ</t>
  </si>
  <si>
    <t xml:space="preserve">Tổ chức kiểm tra an toàn cấp 2 đầy đủ, nghiêm túc </t>
  </si>
  <si>
    <t>Số lần tổ chức</t>
  </si>
  <si>
    <t>Lý Ngọc Lĩnh</t>
  </si>
  <si>
    <t>Đội hành chính
Tổ trực ca</t>
  </si>
  <si>
    <t>Tham gia chương trình STOP</t>
  </si>
  <si>
    <t>Số thẻ được công nhận</t>
  </si>
  <si>
    <t>Nguyễn Mạnh Quỳnh</t>
  </si>
  <si>
    <t>Tham gia các khóa đào tạo an toàn theo yêu cầu từ đầu mối</t>
  </si>
  <si>
    <t>% CBCNV tham gia</t>
  </si>
  <si>
    <t>Đảm bảo tính ổn định của máy móc thiết bị xưởng NPK</t>
  </si>
  <si>
    <t>Thời gian gián đoạn sản xuất do lỗi thiết bị trong 01 đợt sản xuất (quý)</t>
  </si>
  <si>
    <t>≤ 7 ngày/ đợt sản xuất</t>
  </si>
  <si>
    <t>Thiết bị được bảo dưỡng phù hơp</t>
  </si>
  <si>
    <t>ĐK.3.2</t>
  </si>
  <si>
    <t>ĐK.3.3</t>
  </si>
  <si>
    <r>
      <t xml:space="preserve">Triển khai công tác sửa chữa đột xuất đảm bảo </t>
    </r>
    <r>
      <rPr>
        <b/>
        <sz val="12"/>
        <color theme="1"/>
        <rFont val="Times New Roman"/>
        <family val="1"/>
      </rPr>
      <t>kịp thời</t>
    </r>
    <r>
      <rPr>
        <sz val="12"/>
        <color theme="1"/>
        <rFont val="Times New Roman"/>
        <family val="1"/>
      </rPr>
      <t xml:space="preserve"> và </t>
    </r>
    <r>
      <rPr>
        <b/>
        <sz val="12"/>
        <color theme="1"/>
        <rFont val="Times New Roman"/>
        <family val="1"/>
      </rPr>
      <t>chất lượng</t>
    </r>
  </si>
  <si>
    <t>ĐK.3.4</t>
  </si>
  <si>
    <t>Triển khai các hạng mục cải hoán thuộc chuyên môn phụ trách</t>
  </si>
  <si>
    <t>ĐK 4.1</t>
  </si>
  <si>
    <t>Hoàn thành triển khai công tác cải hoán thuộc chuyên môn phụ trách khi có yêu cầu từ đầu mối</t>
  </si>
  <si>
    <t xml:space="preserve">% HM hoàn thành theo sự phân công </t>
  </si>
  <si>
    <t>ĐK 4.2</t>
  </si>
  <si>
    <t>Cải tiến hệ thống cân đóng bao NPK</t>
  </si>
  <si>
    <t>% Hoàn thành</t>
  </si>
  <si>
    <t>ĐK 4.3</t>
  </si>
  <si>
    <t>Cải tiến hệ thống robot NPK</t>
  </si>
  <si>
    <t>ĐK 4.4</t>
  </si>
  <si>
    <t>Cải tiến 04AT5001</t>
  </si>
  <si>
    <t>ĐCM.4.1</t>
  </si>
  <si>
    <t>Triền khai chương trình TPM</t>
  </si>
  <si>
    <t>ĐK 5.1</t>
  </si>
  <si>
    <t>Trụ cột ET: Xây dựng khung năng lực</t>
  </si>
  <si>
    <t>Số vị trí chức danh</t>
  </si>
  <si>
    <t>Phạm Thanh Quyền</t>
  </si>
  <si>
    <t>Đội hành chính
Tổ trực ca
Hữu Văn Cưng</t>
  </si>
  <si>
    <t>ĐK 5.2</t>
  </si>
  <si>
    <t>Trụ cột ET: Đánh giá năng lực cho CBCNV</t>
  </si>
  <si>
    <t>Số CBCNV hoàn thành đánh giá</t>
  </si>
  <si>
    <t>ĐK 5.3</t>
  </si>
  <si>
    <t xml:space="preserve">Tham gia lớp đào tạo nội bộ tổng quan TPM </t>
  </si>
  <si>
    <t>&gt;= 80%</t>
  </si>
  <si>
    <t>ĐK 5.4</t>
  </si>
  <si>
    <t>Phát triển nhân viên đào tạo trụ cột PM &amp; AM</t>
  </si>
  <si>
    <t xml:space="preserve">Số nhân viên đào tạo </t>
  </si>
  <si>
    <t>Quách Kía (PM)
Nguyễn Văn Trắng (AM)</t>
  </si>
  <si>
    <t>ĐK 5.5</t>
  </si>
  <si>
    <t>Trụ cột AM: Xây dựng các module đào tạo cho vận hành theo chương trình triển khai (Thực hiện chuyên môn phụ trách theo sự phân công)</t>
  </si>
  <si>
    <t xml:space="preserve">% module hoàn thành theo sự phân công </t>
  </si>
  <si>
    <t>ĐK 5.6</t>
  </si>
  <si>
    <t xml:space="preserve">Rà soát cập nhật lại kế hoạch bảo dưỡng theo phương thức bảo dưỡng để tăng hiệu quả trong công tác bảo dưỡng (áp dụng đối với Phân xưởng/hệ thống do X. ĐK phụ trách công tác lập kế hoạch)
</t>
  </si>
  <si>
    <t>Cụm thiết bị/hệ thống Xưởng phụ trách</t>
  </si>
  <si>
    <t>- Đội TBCH: TB SP/NPK/GN/Quan trắc;
- Đội TB Đo: PI,TI/ ACC/ PA/Camera/Bộ đàm;
- Đội TBHTĐK: Hệ thống phòng cháy</t>
  </si>
  <si>
    <t>ĐCM.5</t>
  </si>
  <si>
    <t>Phát triển nguồn lực và nâng cao năng lực hệ thống quản trị</t>
  </si>
  <si>
    <t>Tham gia các chương trình đào tạo và hoạt động coaching do Nhà máy tổ chức</t>
  </si>
  <si>
    <t>% CBCNV phân công tham gia</t>
  </si>
  <si>
    <t>ĐK.6.2</t>
  </si>
  <si>
    <t>Có Sáng kiến được công nhận cấp tiểu ban Điều khiển (Mỗi Đội/tổ 2 cái)</t>
  </si>
  <si>
    <t>Số lượng Sáng kiến được công nhận</t>
  </si>
  <si>
    <t>Nguyễn Văn Trắng</t>
  </si>
  <si>
    <t>ĐK.6.3</t>
  </si>
  <si>
    <t>Có ý tưởng/CTKT được công nhận Cấp Xưởng</t>
  </si>
  <si>
    <t>Số lượng ý tưởng/CTKT được công nhận</t>
  </si>
  <si>
    <t>ĐK.6.4</t>
  </si>
  <si>
    <t>Triển khai đào tạo nội bộ theo kế hoạch được phê duyệt</t>
  </si>
  <si>
    <t>% hoàn thành giờ đào tạo nội bộ</t>
  </si>
  <si>
    <t>Trần Tuyết Quyên</t>
  </si>
  <si>
    <t>ĐK.6.5</t>
  </si>
  <si>
    <t>Công tác triển khai đào tạo bên ngoài theo kế hoạch được phê duyệt</t>
  </si>
  <si>
    <t>% hoàn thành khóa đào tạo bên ngoài theo kế hoạch</t>
  </si>
  <si>
    <t>ĐK.6.6</t>
  </si>
  <si>
    <t>Công tác triển khai chuẩn hóa giáo trình đào tạo theo kế hoạch được phê duyệt</t>
  </si>
  <si>
    <t>% hoàn thành chuẩn hóa giáo trình theo kế hoạch</t>
  </si>
  <si>
    <t>ĐK.6.7</t>
  </si>
  <si>
    <t>Thực hiện hội thảo chuyên đề được trình bày bởi các chức danh kỹ sư/kỹ sư chính</t>
  </si>
  <si>
    <t>Số hội thảo</t>
  </si>
  <si>
    <t>ĐK.6.8</t>
  </si>
  <si>
    <t>Xây dựng Smart Factory thuộc chuyên môn phụ trách theo sự phân công</t>
  </si>
  <si>
    <t xml:space="preserve">Rèn luyện chạy bộ </t>
  </si>
  <si>
    <t>2 tuần</t>
  </si>
  <si>
    <t>ĐTN</t>
  </si>
  <si>
    <t>ĐK.7.2</t>
  </si>
  <si>
    <t>Tổ chức hội thao</t>
  </si>
  <si>
    <t>Quý</t>
  </si>
  <si>
    <t>ĐK.7.3</t>
  </si>
  <si>
    <t>Chia sẽ văn hoá /Quy trình</t>
  </si>
  <si>
    <t>OK</t>
  </si>
  <si>
    <t>GOOD</t>
  </si>
  <si>
    <t>Đánh giá</t>
  </si>
  <si>
    <t>(Dữ liệu được cập nhật vào ngày 25 hàng tháng)</t>
  </si>
  <si>
    <t>Đã phân bổ</t>
  </si>
  <si>
    <t>Còn lại</t>
  </si>
  <si>
    <t>Được Phân bổ</t>
  </si>
  <si>
    <t>Đào tạo nội bộ</t>
  </si>
  <si>
    <t>T2</t>
  </si>
  <si>
    <t>T3</t>
  </si>
  <si>
    <t>T4</t>
  </si>
  <si>
    <t>T5</t>
  </si>
  <si>
    <t>T6</t>
  </si>
  <si>
    <t>T7</t>
  </si>
  <si>
    <t>T8</t>
  </si>
  <si>
    <t>T9</t>
  </si>
  <si>
    <t>T10</t>
  </si>
  <si>
    <t>T11</t>
  </si>
  <si>
    <t>T12</t>
  </si>
  <si>
    <t>T1</t>
  </si>
  <si>
    <t>Phân bổ</t>
  </si>
  <si>
    <t>Hoàn thành tốt</t>
  </si>
  <si>
    <t>Hoàn thành</t>
  </si>
  <si>
    <t>AND</t>
  </si>
  <si>
    <t>OR</t>
  </si>
  <si>
    <t>Không hoàn thành</t>
  </si>
  <si>
    <r>
      <rPr>
        <b/>
        <sz val="16"/>
        <color rgb="FF00B050"/>
        <rFont val="Times New Roman"/>
        <family val="1"/>
      </rPr>
      <t>Không vi phạm</t>
    </r>
    <r>
      <rPr>
        <sz val="16"/>
        <rFont val="Times New Roman"/>
        <family val="1"/>
      </rPr>
      <t xml:space="preserve"> QĐ/QT</t>
    </r>
  </si>
  <si>
    <r>
      <rPr>
        <b/>
        <sz val="16"/>
        <color rgb="FFFF0000"/>
        <rFont val="Times New Roman"/>
        <family val="1"/>
      </rPr>
      <t>Vi phạm</t>
    </r>
    <r>
      <rPr>
        <sz val="16"/>
        <rFont val="Times New Roman"/>
        <family val="1"/>
      </rPr>
      <t xml:space="preserve"> QĐ/QT</t>
    </r>
  </si>
  <si>
    <t>Thay máng cáp Composite</t>
  </si>
  <si>
    <t>Sáng kiến</t>
  </si>
  <si>
    <t xml:space="preserve">Kế hoạch </t>
  </si>
  <si>
    <t>thực hiện</t>
  </si>
  <si>
    <t>HT tốt</t>
  </si>
  <si>
    <t>HT</t>
  </si>
  <si>
    <t>Đội/Tổ</t>
  </si>
  <si>
    <t>KẾ HOẠCH /MỤC TIÊU 2025 XƯỞNG ĐIỀU KHIỂN</t>
  </si>
  <si>
    <t>Báo cáo tình hình thực hiện</t>
  </si>
  <si>
    <t>Mã mục tiêu/Kết quả then chốt phòng xưởng</t>
  </si>
  <si>
    <t>Tên mục tiêu / Kết quả then chốt (Các kết quả then chốt (KR) phải đo lường được)</t>
  </si>
  <si>
    <t>Đo 
lường</t>
  </si>
  <si>
    <t>Mục 
đích</t>
  </si>
  <si>
    <t>Tỷ trọng 
mục tiêu</t>
  </si>
  <si>
    <t xml:space="preserve">Kế hoạch 
hành động  </t>
  </si>
  <si>
    <t>Ngân sách
thực hiện
(tỷ đồng)</t>
  </si>
  <si>
    <t>Người thực hiện</t>
  </si>
  <si>
    <t>Người kiểm tra/đánh giá</t>
  </si>
  <si>
    <t>Tình hình thực hiện</t>
  </si>
  <si>
    <t>Ngày hoàn thành thực tế</t>
  </si>
  <si>
    <t>Ngân sách thực hiện</t>
  </si>
  <si>
    <t>Mức độ hoàn thành (%) so với KH</t>
  </si>
  <si>
    <t xml:space="preserve">Tiến độ thực hiện </t>
  </si>
  <si>
    <t>Nguyên nhân chưa hoàn thành, ngân sách không đạt KH</t>
  </si>
  <si>
    <t>Phổ biến kế hoạch/mục tiêu và các chỉ số đo lường của Xưởng đến các đội hành chính</t>
  </si>
  <si>
    <t>Minhvq; Haint; Linhln</t>
  </si>
  <si>
    <t>Kiaq;
Trangnv</t>
  </si>
  <si>
    <t>Xây dựng kế hoạch/mục tiêu và các chỉ số đo lường đến các đội hành chính</t>
  </si>
  <si>
    <t>Sắp xếp/tổ chức nguồn lực các đội đảm bảo đủ để triển khai kế hoạch bảo dưỡng định kỳ</t>
  </si>
  <si>
    <t>Tuần đầu tiên của tháng</t>
  </si>
  <si>
    <t>Lập kế hoạch tổ chức triển khai kế hoạch BD ĐK hàng tháng</t>
  </si>
  <si>
    <t xml:space="preserve">Triển khai kế hoạch BDĐK hàng ngày theo kế hoạch triển khai </t>
  </si>
  <si>
    <t>Cuối tháng</t>
  </si>
  <si>
    <t>Đánh giá tiến độ triển khai hàng tuần để điều chỉnh, đảm bảo kiểm soát các hạng mục triển khai đúng kế hoạch; có giải pháp trong trường hợp các hạng mục triển khai không đúng kế hoạch</t>
  </si>
  <si>
    <t>Báo cáo kết quả triển khai KH BDĐK hàng tháng</t>
  </si>
  <si>
    <t>Phổ biến kế hoạch/mục tiêu và các chỉ số đo lường của Xưởng đến các tổ trực ca Điều khiển</t>
  </si>
  <si>
    <t>Thanhdq; Doint; Chienpq; Loitt</t>
  </si>
  <si>
    <t>Kiaq</t>
  </si>
  <si>
    <t>Xây dựng kế hoạch/mục tiêu và các chỉ số đo lường đến các Tổ trực ca Điều khiển</t>
  </si>
  <si>
    <t>Sắp xếp/tổ chức nguồn lực Tổ trực ca đảm bảo đủ về số lượng và đáp ứng về chuyên môn để triển khai công việc</t>
  </si>
  <si>
    <t xml:space="preserve"> Lập kế hoạch tổ chức triển khai khi có hư hỏng đột xuất phát sinh</t>
  </si>
  <si>
    <t>Triển khai thực hiện công tác sửa chữa theo kế hoạch</t>
  </si>
  <si>
    <t>Đánh giá tồn động hàng ngày để điều chỉnh, đảm bảo kiểm soát các hạng mục triển khai đúng kế hoạch; có giải pháp trong trường hợp các hạng mục triển khai không đúng kế hoạch</t>
  </si>
  <si>
    <t>Báo cáo kết quả triển khai hàng ca, hàng tuần và hàng tháng</t>
  </si>
  <si>
    <t>% HM BDTT hoàn thành theo kế hoạch &amp; Số giờ (h) vượt kế hoạch</t>
  </si>
  <si>
    <t>&gt;= 99%, &gt;= 4h</t>
  </si>
  <si>
    <t>Phổ biến kế hoạch/mục tiêu và các chỉ số đo lường của Xưởng đến các đội/tổ và nhóm theo sơ đồ BDTT</t>
  </si>
  <si>
    <t>Trước BDTT</t>
  </si>
  <si>
    <t>Xây dựng kế hoạch/mục tiêu và các chỉ số đo lường đến các đội/tổ và nhóm theo sơ đồ BDTT</t>
  </si>
  <si>
    <t>Xây dựng Sơ đồ tổ chức/chức năng nhiệm vụ Tổ thiết bị đo lường và điều khiển</t>
  </si>
  <si>
    <t>Lập kế hoạch công tác chuẩn bị bảo dưỡng tổng thể</t>
  </si>
  <si>
    <t>Triển khai kế hoạch công tác chuẩn bị bảo dưỡng tổng thể</t>
  </si>
  <si>
    <t xml:space="preserve">Lên tiến độ triển khai công tác bảo dưỡng tổng thể </t>
  </si>
  <si>
    <t>Triển khai công tác bảo dưỡng tổng thể theo tiến độ đã ban hành</t>
  </si>
  <si>
    <t>Bắt đầu BDTT</t>
  </si>
  <si>
    <t>Kết thúc BDTT</t>
  </si>
  <si>
    <t>Đánh giá rà soát tiến độ/chất lượng công tác triển khai hàng ngày, điều chỉnh khi tiến độ/chất lượng bị ảnh hưởng</t>
  </si>
  <si>
    <t>Báo cáo kết quả triển khai công tác bảo dưỡng tổng thể</t>
  </si>
  <si>
    <t>Sau BDTT</t>
  </si>
  <si>
    <t>Tổ chức nhóm để triển khai thực hiện công việc</t>
  </si>
  <si>
    <t xml:space="preserve"> Lập kế hoạch tổ chức triển khai</t>
  </si>
  <si>
    <t>Triển khai mua sắm vật tư/thiết bị và CCDC để thực hiện công việc</t>
  </si>
  <si>
    <t>Triển khai các công tác chuẩn bị bao gồm: Phương án kỹ thuật, Phương án thi công, ĐGRR về kỹ thuật/an toàn, nhân sự giám sát/thực hiện</t>
  </si>
  <si>
    <t>Lập YCDV để lựa chọn NCC thực hiện công việc thi công/lắp đặt hạ tầng hệ thống cáp/thiết bị</t>
  </si>
  <si>
    <t>Triển khai giám sát công tác thi công lắp đặt hạ tầng hệ thống cáp/thiết bị trước BDTT</t>
  </si>
  <si>
    <t>Lắp đặt thiết bị, kiểm tra chức năng và bàn giao trong BDTT</t>
  </si>
  <si>
    <t xml:space="preserve">Báo cáo kết quả thực hiện công việc </t>
  </si>
  <si>
    <t>Lập kế hoạch tổ chức triển khai</t>
  </si>
  <si>
    <t>Triển khai thực hiện theo Phương án đã phê duyệt trong BDTT</t>
  </si>
  <si>
    <t>Lập kế hoạch tổ chức triển khai hàng tháng</t>
  </si>
  <si>
    <t>Mua sắm vật tư chính, vật tư tiêu hao phục vụ công tác chống ăn mòn</t>
  </si>
  <si>
    <t>Tổ chức triển khai công việc theo kế hoạch</t>
  </si>
  <si>
    <t>Đánh giá/báo cáo kết quả thực hiện công việc hàng tháng</t>
  </si>
  <si>
    <t>Theo dõi, tiếp nhận các yêu cầu KPPN định kỳ hàng ngày</t>
  </si>
  <si>
    <t>Cunghv; Minhvq; Haint; Linhln</t>
  </si>
  <si>
    <t>Triển khai thực hiện các yêu cầu KPPN khi có đủ điều kiện</t>
  </si>
  <si>
    <t>Báo cáo kết quả thực hiện</t>
  </si>
  <si>
    <t>Tổ chức nhân sự chịu trách nhiệm đầu mối công tác kiểm tra an toàn cấp 2 định kỳ hàng tháng</t>
  </si>
  <si>
    <t>Minhvq; Haint; Linhln; 
Thanhdq; Doint; Chienpq; Loitt</t>
  </si>
  <si>
    <t>Định kỳ kiểm tra an toàn cấp 2 hàng tháng</t>
  </si>
  <si>
    <t>Xử lý các vi phạm được phát hiện trong quá trình kiểm tra</t>
  </si>
  <si>
    <t>Báo cáo kết quả kiểm tra đến P. ATMT</t>
  </si>
  <si>
    <t>Xây dựng chỉ tiêu nhân sự tham gia chương trình hàng tháng</t>
  </si>
  <si>
    <t>Tổ chức nhân sự chịu trách nhiệm đầu mối xem xét/đánh giá các thẻ được ghi nhận</t>
  </si>
  <si>
    <t>Báo cáo các thẻ được ghi nhận định kỳ hàng tháng đến P. ATMT</t>
  </si>
  <si>
    <t>Tiếp nhận thông tin yêu cầu từ P. ATMT/P. NSĐT</t>
  </si>
  <si>
    <t>Lập danh sách nhân sự phù hợp tham gia các khóa đào tạo</t>
  </si>
  <si>
    <t xml:space="preserve"> Sắp xếp công việc phù hợp để nhân sự tham gia khóa đào tạo</t>
  </si>
  <si>
    <t xml:space="preserve">Theo dõi đánh giá thường xuyên các hư hỏng của thiết bị </t>
  </si>
  <si>
    <t>Lập và trình kế hoạch bảo dưỡng định kỳ hàng tháng</t>
  </si>
  <si>
    <t>Lập và trình kế hoạch mua sắm vật tư phục vụ cho công tác bảo dưỡng/sửa chữa thường xuyên</t>
  </si>
  <si>
    <t>Triển khai mua sắm vật tư phục vụ cho công tác BD/SC</t>
  </si>
  <si>
    <t>Sắp xếp/tổ chức nguồn lực các Tổ trực ca đảm bảo đủ về số lượng và đáp ứng về chuyên môn để triển khai công việc</t>
  </si>
  <si>
    <t>Lập kế hoạch tổ chức triển khai khi có hư hỏng đột xuất phát sinh</t>
  </si>
  <si>
    <t>Tiếp nhận yêu cầu từ đầu mối các dự án đối với phần công việc PVCFC tự thực hiện</t>
  </si>
  <si>
    <t>Tổ chức nguồn lực tổ/nhóm chuyên trách để triển khai thực hiện (áp dụng cho các hạng mục cải hoán phức tạp)</t>
  </si>
  <si>
    <t xml:space="preserve"> Xây dựng phương án thi công để triển khai thi công</t>
  </si>
  <si>
    <t>Tổ chức triển khai thi công/chạy thử theo phương án</t>
  </si>
  <si>
    <t>Đánh giá nguyên nhân và tìm giải pháp để tăng độ chính xác và nâng cao độ ổn định của hệ thống</t>
  </si>
  <si>
    <t>Cưnghv</t>
  </si>
  <si>
    <t>Báo cáo và đề xuất giải pháp đến GĐNM</t>
  </si>
  <si>
    <t>Lập phương án kỹ thuật</t>
  </si>
  <si>
    <t>Mua sắm vật tư theo phương án kỹ thuật</t>
  </si>
  <si>
    <t>Triển khai thực hiện thi công</t>
  </si>
  <si>
    <t>Chạy thử để đánh giá kết quả</t>
  </si>
  <si>
    <t>Báo cáo quá trình thực hiện và kết quả đạt được</t>
  </si>
  <si>
    <t>Đánh giá và tìm giải pháp để cải tiến Robot vận hành được bao 25 Kg</t>
  </si>
  <si>
    <t xml:space="preserve">Đánh giá nguyên nhân và tìm giải pháp để thực hiện nâng cấp hệ thống phân tích </t>
  </si>
  <si>
    <t>Lập yêu cầu kỹ thuật để thuê NCC cung cấp dịch vụ và thiết bị</t>
  </si>
  <si>
    <t>Phối hợp triển khai lựa chọn NCC</t>
  </si>
  <si>
    <t>Giám sát công tác lắp đặt/chạy thử của Nhà cung cấp</t>
  </si>
  <si>
    <t>Nghiệm thu các công việc theo phạm vi của Nhà cung cấp</t>
  </si>
  <si>
    <t>Bàn giao đến các bộ phận có liên quan</t>
  </si>
  <si>
    <t>Rà soát chức năng nhiệm vụ cho từng vị trí chức danh</t>
  </si>
  <si>
    <t>Minhvq; Haint; Linhln; 
Thanhdq; Doint; Chienpq; Loitt;
Cunghv; Quyenpt</t>
  </si>
  <si>
    <t>Nghiên cứu chương trình đào tạo, chuẩn đầu ra chuyên ngành Tự động hóa/Cơ điện tử ở các trường đại học Cần thơ, Bách khoa.</t>
  </si>
  <si>
    <t>Tham khảo cách triển khai từ các đơn vị trong ngành/ các bộ phận trong nhà máy</t>
  </si>
  <si>
    <t>Rà soát kiến thức/kỹ năng cần thiết cho công việc hiện tại và tương lai</t>
  </si>
  <si>
    <t>Triển khai xây dựng từ điển năng lực</t>
  </si>
  <si>
    <t>Báo cáo định kỳ tình hình thực hiện</t>
  </si>
  <si>
    <t>Lấy ý kiến từ bộ phận tư vấn và tùy chỉnh phù hợp</t>
  </si>
  <si>
    <t>Báo cáo kết quả triển khai đến Ban GĐNM</t>
  </si>
  <si>
    <t>01/011/2025</t>
  </si>
  <si>
    <t xml:space="preserve">Phổ biến cho CBCNV về tiêu chí đánh giá </t>
  </si>
  <si>
    <t>Sắp xếp công việc, phân bổ thời gian cho CBCNV nghiên cứu từ điển năng lực.</t>
  </si>
  <si>
    <t>Xây dựng hội đồng đánh giá</t>
  </si>
  <si>
    <t>Xây dựng biểu mẫu kết quả đánh giá</t>
  </si>
  <si>
    <t>Triển khai đánh giá</t>
  </si>
  <si>
    <t xml:space="preserve"> Sắp xếp nguồn lực, phân bổ công việc phù hợp </t>
  </si>
  <si>
    <t>Báo cáo định kỳ, theo dõi tình hình nhân sự tham gia.</t>
  </si>
  <si>
    <t>Đôn đốc, nhắc nhở CBCNV tham gia đầy đủ theo kế hoạch</t>
  </si>
  <si>
    <t>Tham gia các khóa học giảng viên đào tạo, nâng cao kỹ năng giảng dạy</t>
  </si>
  <si>
    <t>Kiaq; Trangnv</t>
  </si>
  <si>
    <t xml:space="preserve">Triển khai đào tạo khi có yêu cầu </t>
  </si>
  <si>
    <t>Sắp xếp nguồn lực tham gia</t>
  </si>
  <si>
    <t xml:space="preserve">Minhvq; Haint; Linhln; </t>
  </si>
  <si>
    <t>Thực hiện xây dựng các module theo chuyên môn phụ trách</t>
  </si>
  <si>
    <t>Đôn đốc, báo cáo, theo dõi tình hình thực hiện</t>
  </si>
  <si>
    <t>Gửi đầu mối kết quả thực hiện</t>
  </si>
  <si>
    <t>Nghiên cứu các tiêu chuẩn, qui định pháp luật cho các hệ thống đặc thù.</t>
  </si>
  <si>
    <t>Rà soát tình trạng thực tế của hệ thống</t>
  </si>
  <si>
    <t xml:space="preserve">Cập nhật phương thức bảo dưỡng </t>
  </si>
  <si>
    <t>Gửi đầu mối cập nhật trên hệ thống SAP</t>
  </si>
  <si>
    <t>Khuyến khích, đôn đốc CBCNV tham gia</t>
  </si>
  <si>
    <t>Tạo động lực cho CBCNV có sáng kiến bằng cách phân bổ KPI</t>
  </si>
  <si>
    <t>Trangnv</t>
  </si>
  <si>
    <t xml:space="preserve">Đăng ký sáng kiến/ý tưởng/cải tiến kỹ thuật hàng tháng </t>
  </si>
  <si>
    <t xml:space="preserve"> Triển khai thực hiện và đăng ký trên EO theo qui trình</t>
  </si>
  <si>
    <t xml:space="preserve"> Bảo vệ và hoàn thiện hồ sơ </t>
  </si>
  <si>
    <t>Tổ chức triển khai đào tạo nội bộ theo kế hoạch đã được phê duyệt</t>
  </si>
  <si>
    <t>Đánh giá thường xuyên/đột xuất việc triển khai đào tạo nội bộ</t>
  </si>
  <si>
    <t>Hoàn thiện hồ sơ đào tạo nội bộ theo qui trình</t>
  </si>
  <si>
    <t>Tổ chức đầu mối triển khai</t>
  </si>
  <si>
    <t xml:space="preserve">Thường xuyên khuyến khích, vận động CBCNV tham gia </t>
  </si>
  <si>
    <t>Cân nhắc phân bổ KPI đối với Đội tổ/cá nhân tích cực tham gia và hoàn thành tốt công việc chuyên môn</t>
  </si>
  <si>
    <t>Cuối Quý</t>
  </si>
  <si>
    <t>TIÊU CHÍ ĐÁNH GIÁ MỨC ĐỘ HOÀN THÀNH KH/MT HÀNG THÁNG 
XƯỞNG ĐIỀU KHIỂN</t>
  </si>
  <si>
    <t>Không hoàn thành nhiệm vụ</t>
  </si>
  <si>
    <t>Đội/tổ thực hiện không hoàn thành một trong các chỉ tiêu theo kế hoạch/mục tiêu đã đăng ký hoặc vi phạm bất kỳ qui định/qui trình của Nhà máy/Công ty</t>
  </si>
  <si>
    <t>Hoàn thành nhiệm vụ</t>
  </si>
  <si>
    <t>Đội/tổ thực hiện hoàn thành các chỉ tiêu theo kế hoạch/mục tiêu đã đăng ký và 
- Không vi phạm bất kỳ qui định/qui trình của Nhà máy/Công ty</t>
  </si>
  <si>
    <t>Hoàn thành tốt nhiệm vụ</t>
  </si>
  <si>
    <t>Hoàn thành xuất sắc nhiệm vụ</t>
  </si>
  <si>
    <t>NGUYÊN TẮC CHUNG TRONG QUÁ TRÌNH ĐÁNH GIÁ</t>
  </si>
  <si>
    <t xml:space="preserve">Nguyên tắc </t>
  </si>
  <si>
    <t>Nội dung</t>
  </si>
  <si>
    <t xml:space="preserve">Nguyên tắc 1 </t>
  </si>
  <si>
    <t>Đối với nhóm nhân sự không thuộc các đội/tổ quản lý, QĐX sẽ tự đánh giá và QĐ sau đó mới phân bổ chỉ tiêu đến các đội/tổ</t>
  </si>
  <si>
    <t xml:space="preserve">Nguyên tắc 2 </t>
  </si>
  <si>
    <t>Đối với các đội/tổ hoàn thành đúng tiến độ/chất lượng các hạng mục công việc phát sinh với khối lượng lớn, LĐX sẽ xem xét đánh giá và phân bổ bổ sung các chỉ tiêu A1, A2 đến đội/tổ</t>
  </si>
  <si>
    <t xml:space="preserve">Nguyên tắc 3 </t>
  </si>
  <si>
    <t xml:space="preserve">Nguyên tắc 4 </t>
  </si>
  <si>
    <t>Đối với hoạt động đoàn thể BT.ĐTN, TT. CĐ có đánh giá đoàn viên thanh niên/công đoàn viên tham gia tích cực để các đội/tổ xem xét đánh giá A1/A2 cho đoàn viên thanh niên/công đoàn viên</t>
  </si>
  <si>
    <t xml:space="preserve">Nguyên tắc 5 </t>
  </si>
  <si>
    <r>
      <t>Đối với các cá nhân đi thực hiện dịch vụ bên ngoài/hỗ trợ đơn vị trong ngành:</t>
    </r>
    <r>
      <rPr>
        <sz val="11"/>
        <color rgb="FFFF0000"/>
        <rFont val="Times New Roman"/>
        <family val="1"/>
      </rPr>
      <t xml:space="preserve">
</t>
    </r>
    <r>
      <rPr>
        <sz val="11"/>
        <rFont val="Times New Roman"/>
        <family val="1"/>
      </rPr>
      <t xml:space="preserve">- Trên 3 tuần: LĐX xem xét đánh giá A1/A2
- Dưới 3 tuần: KPI của Đội </t>
    </r>
  </si>
  <si>
    <t xml:space="preserve">Nguyên tắc 6 </t>
  </si>
  <si>
    <t>Đội/tổ không hoàn thành nhiệm vụ sẽ không phân bổ KPI tháng đó</t>
  </si>
  <si>
    <t>Nguyên tắc 7</t>
  </si>
  <si>
    <t>Đội/tổ hoàn thành tốt nhiệm vụ được phân bổ KPI nhiều hơn đội/tổ chỉ hoàn thành nhiệm vụ</t>
  </si>
  <si>
    <t>Nguyên tắc 8</t>
  </si>
  <si>
    <t>Đội/tổ hoàn thành xuất sắc nhiệm vụ được phân bổ KPI nhiều hơn đội/tổ chỉ hoàn thành tốt nhiệm vụ</t>
  </si>
  <si>
    <t>Nguyên tắc 9</t>
  </si>
  <si>
    <t>Nguyên tắc 10</t>
  </si>
  <si>
    <t xml:space="preserve">Nguyên tắc 11 </t>
  </si>
  <si>
    <t>Nguyên tắc 12</t>
  </si>
  <si>
    <t>Đối với hoạt động phong trào/Đầu mục công việc trong tháng đầu mối Xưởng không tổ chức chương trình thì không xét vào tiêu chí đánh giá của tháng</t>
  </si>
  <si>
    <t>Tuần 14</t>
  </si>
  <si>
    <t>Tồn động</t>
  </si>
  <si>
    <t>Tuần 15</t>
  </si>
  <si>
    <t>Tuần 16</t>
  </si>
  <si>
    <t>Tuần 17</t>
  </si>
  <si>
    <t>Tuần 18</t>
  </si>
  <si>
    <t>Tuần 19</t>
  </si>
  <si>
    <t>Tuần 20</t>
  </si>
  <si>
    <t>Tuần 21</t>
  </si>
  <si>
    <t>Tuần 22</t>
  </si>
  <si>
    <t xml:space="preserve">Lũy kế </t>
  </si>
  <si>
    <t>Nguyễn Hoàng Mai</t>
  </si>
  <si>
    <t>Tháng 1</t>
  </si>
  <si>
    <t>LŨY KẾT KẾT QUẢ THỰC HIỆN KẾ HOẠCH MỤC TIÊU NĂM  2026 CỦA ĐỘI/TỔ</t>
  </si>
  <si>
    <t>KẾ HOẠCH /MỤC TIÊU 2026 XƯỞNG ĐIỀU KHIỂN</t>
  </si>
  <si>
    <t>Mã Mục tiêu (O), Kết quả then chốt (KR), Kế hoạch hành động (KHHĐ) Nhà máy</t>
  </si>
  <si>
    <t>Tên Mục tiêu (O), Kết quả then chốt (KR), Kế hoạch hành động (KHHĐ) Nhà máy</t>
  </si>
  <si>
    <t>Tỷ trọng Mục tiêu (O), Kết quả then chốt (KR), Kế hoạch hành động (KHHĐ) Nhà máy</t>
  </si>
  <si>
    <t>Tỷ trọng mục tiêu</t>
  </si>
  <si>
    <t>Người thực hiện/Đầu mối</t>
  </si>
  <si>
    <t>Kiểm tra đánh giá</t>
  </si>
  <si>
    <t>ĐCM.O1</t>
  </si>
  <si>
    <t>Mục tiêu 1: Đảm bảo Nhà máy hoạt động an toàn, ổn định đạt sản lượng sản xuất 935K tấn Urê quy đổi</t>
  </si>
  <si>
    <t>ĐCM.O1.KR1</t>
  </si>
  <si>
    <t>Đảm bảo không có Sự cố gây dừng máy hay mất sản lượng do lỗi chủ quan của con người</t>
  </si>
  <si>
    <t>ĐCM.O1.KR1.ĐK.O1</t>
  </si>
  <si>
    <t>Số sự cố</t>
  </si>
  <si>
    <t>ĐCM.O1.KR1.ĐK.O1.KR1</t>
  </si>
  <si>
    <t>Đảm bảo công tác BD có kế hoạch có đầy đủ hướng dẫn</t>
  </si>
  <si>
    <t xml:space="preserve">Hướng dẫn bảo dưỡng </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</si>
  <si>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ban hành
</t>
    </r>
    <r>
      <rPr>
        <sz val="14"/>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</si>
  <si>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t>ĐCM.O1.KR1.ĐK.O1.KR2</t>
  </si>
  <si>
    <r>
      <t xml:space="preserve">Đảm bảo công tác sửa chữa đột xuất có nhận diện mối nguy và ĐGRR đối với hạng mục có mối nguy </t>
    </r>
    <r>
      <rPr>
        <sz val="14"/>
        <color rgb="FFFF0000"/>
        <rFont val="Times New Roman"/>
        <family val="1"/>
      </rPr>
      <t>ảnh hưởng đến giảm tải, gián đoạn sản xuất</t>
    </r>
  </si>
  <si>
    <t>Có thực hiện ĐGRR cho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</si>
  <si>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</si>
  <si>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 xml:space="preserve">Thanhdq; Doint; Chienpq; Loitt
Minhvq; Haint; Linhln; </t>
  </si>
  <si>
    <t>ĐCM.O1.KR1.ĐK.O1.KR3</t>
  </si>
  <si>
    <t>Đảm bảo công tác lắp đặt cải tiến cải tạo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</si>
  <si>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</si>
  <si>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ĐCM.O1.KR2</t>
  </si>
  <si>
    <t>ĐCM.O1.KR2.ĐK.O2</t>
  </si>
  <si>
    <t>Số ngày dừng máy do lỗi thiết bị (không tính thời gian dừng và khởi động Nhà máy)</t>
  </si>
  <si>
    <t>≤ 4,19 ngày hoặc 
100,5 giờ</t>
  </si>
  <si>
    <t>ĐCM.O1.KR2.ĐK.O2.KR1</t>
  </si>
  <si>
    <t>Quản trị rủi ro thiết bị</t>
  </si>
  <si>
    <t>- Tổ chức nhân sự chủ trì và thành phần tham gia
- Tổ chức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</si>
  <si>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Quyenpt</t>
  </si>
  <si>
    <t>Kiaq;</t>
  </si>
  <si>
    <t>ĐCM.O1.KR2.ĐK.O2.KR2</t>
  </si>
  <si>
    <r>
      <t xml:space="preserve">Triển khai công tác BD định kỳ theo kế hoạch đảm bảo </t>
    </r>
    <r>
      <rPr>
        <b/>
        <sz val="14"/>
        <color theme="1"/>
        <rFont val="Times New Roman"/>
        <family val="1"/>
      </rPr>
      <t>chất lượng</t>
    </r>
    <r>
      <rPr>
        <sz val="14"/>
        <color theme="1"/>
        <rFont val="Times New Roman"/>
        <family val="1"/>
      </rPr>
      <t xml:space="preserve"> và đúng </t>
    </r>
    <r>
      <rPr>
        <b/>
        <sz val="14"/>
        <color theme="1"/>
        <rFont val="Times New Roman"/>
        <family val="1"/>
      </rPr>
      <t>tiến độ</t>
    </r>
  </si>
  <si>
    <t>- Phổ biến kế hoạch/mục tiêu và các chỉ số đo lường của Xưởng đến các đội hành chính
- Xây dựng kế hoạch/mục tiêu và các chỉ số đo lường đến các đội hành chính
- Sắp xếp/tổ chức nguồn lực các đội đảm bảo đủ để triển khai kế hoạch bảo dưỡng định kỳ
- Lập kế hoạch tổ chức triển khai kế hoạch BD ĐK hàng tháng
- Triển khai kế hoạch BDĐK hàng ngày theo kế hoạch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KH BDĐK hàng tháng</t>
  </si>
  <si>
    <t>ĐCM.O1.KR2.ĐK.O2.KR3</t>
  </si>
  <si>
    <r>
      <t>Triển khai công tác sửa chữa đột xuất đảm bảo</t>
    </r>
    <r>
      <rPr>
        <b/>
        <sz val="14"/>
        <color theme="1"/>
        <rFont val="Times New Roman"/>
        <family val="1"/>
      </rPr>
      <t xml:space="preserve"> kịp thời</t>
    </r>
    <r>
      <rPr>
        <sz val="14"/>
        <color theme="1"/>
        <rFont val="Times New Roman"/>
        <family val="1"/>
      </rPr>
      <t xml:space="preserve"> và </t>
    </r>
    <r>
      <rPr>
        <b/>
        <sz val="14"/>
        <color theme="1"/>
        <rFont val="Times New Roman"/>
        <family val="1"/>
      </rPr>
      <t>chất lượng</t>
    </r>
  </si>
  <si>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</si>
  <si>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ĐCM.O1.KR2.ĐK.O2.KR4</t>
  </si>
  <si>
    <r>
      <t xml:space="preserve">Triển khai công tác BDTT theo kế hoạch đảm bảo </t>
    </r>
    <r>
      <rPr>
        <b/>
        <sz val="14"/>
        <color theme="1"/>
        <rFont val="Times New Roman"/>
        <family val="1"/>
      </rPr>
      <t>chất lượng</t>
    </r>
    <r>
      <rPr>
        <sz val="14"/>
        <color theme="1"/>
        <rFont val="Times New Roman"/>
        <family val="1"/>
      </rPr>
      <t xml:space="preserve"> và </t>
    </r>
    <r>
      <rPr>
        <sz val="14"/>
        <color rgb="FFFF0000"/>
        <rFont val="Times New Roman"/>
        <family val="1"/>
      </rPr>
      <t>vượt tiến độ</t>
    </r>
  </si>
  <si>
    <t>% HM BDTT hoàn thành theo kế hoạch;
Số giờ (h) vượt kế hoạch</t>
  </si>
  <si>
    <t>&gt;= 99%;
&gt;= 4h</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</si>
  <si>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</si>
  <si>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ĐCM.O1.KR2.ĐK.O2.KR5</t>
  </si>
  <si>
    <t>Triển khai hạng mục nâng cao độ tin cậy:
- Chuyển đổi positioner FF-4.20mmA
- Chuyển Redundant Solenoid</t>
  </si>
  <si>
    <t>%Hoàn thành theo kế hoạch</t>
  </si>
  <si>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</si>
  <si>
    <t>ĐCM.O1.KR2.ĐK.O2.KR6</t>
  </si>
  <si>
    <t xml:space="preserve">- Theo dõi, tiếp nhận các yêu cầu KPPN định kỳ hàng ngày
- Triển khai thực hiện các yêu cầu KPPN khi có đủ điều kiện
- Báo cáo kết quả thực hiện </t>
  </si>
  <si>
    <t>Minhvq; Haint; Linhln;'Thanhdq; Doint; Chienpq; Loitt</t>
  </si>
  <si>
    <t>ĐCM.O1.KR3</t>
  </si>
  <si>
    <t>ĐCM.O1.KR3.ĐK.O3</t>
  </si>
  <si>
    <t>ĐCM.O1.KR3.ĐK.O3.KR1</t>
  </si>
  <si>
    <t>- Tổ chức nhân sự chịu trách nhiệm đầu mối công tác kiểm tra an toàn cấp 2 định kỳ hàng tháng
- Định kỳ kiểm tra an toàn cấp 2 hàng tháng
- Xử lý các vi phạm được phát hiện trong quá trình kiểm tra
- Báo cáo kết quả kiểm tra đến P. ATMT</t>
  </si>
  <si>
    <t>ĐCM.O1.KR3.ĐK.O3.KR2</t>
  </si>
  <si>
    <t>200</t>
  </si>
  <si>
    <t>- Xây dựng chỉ tiêu nhân sự tham gia chương trình hàng tháng
- Tổ chức nhân sự chịu trách nhiệm đầu mối xem xét/đánh giá các thẻ được ghi nhận
- Báo cáo các thẻ được ghi nhận định kỳ hàng tháng đến P. ATMT</t>
  </si>
  <si>
    <t>ĐCM.O1.KR3.ĐK.O3.KR3</t>
  </si>
  <si>
    <t>- Tiếp nhận thông tin yêu cầu từ P. ATMT/P. NSĐT
- Lập danh sách nhân sự phù hợp tham gia các khóa đào tạo
- Sắp xếp công việc phù hợp để nhân sự tham gia khóa đào tạo</t>
  </si>
  <si>
    <t>ĐCM.O3</t>
  </si>
  <si>
    <t>Mục tiêu 3: Duy trì Tổng tiêu hao năng lượng ≤ 21,639 GJ/ T. Ure bao (Bộ năng lượng kỹ thuật; mục IV; tải NM ≥ 115%; không bao gồm sự cố)</t>
  </si>
  <si>
    <t>ĐCM.O3.KR1</t>
  </si>
  <si>
    <t>Triển khai công tác cải hoán và tối ưu hóa</t>
  </si>
  <si>
    <t>ĐCM.O3.KR1.ĐK.O4</t>
  </si>
  <si>
    <t>ĐCM.O3.KR1.ĐK.O4.KR1</t>
  </si>
  <si>
    <t>Triển khai công tác cải hoán thuộc chuyên môn phụ trách khi có yêu cầu từ đầu mối</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</si>
  <si>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</si>
  <si>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ĐCM.O3.KR1.ĐK.O4.KR2</t>
  </si>
  <si>
    <t>Cải tiến hệ thống robot NPK gấp được bao 25Kg</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</si>
  <si>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</si>
  <si>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Cunghv</t>
  </si>
  <si>
    <t>ĐCM.O3.KR1.ĐK.O4.KR3</t>
  </si>
  <si>
    <t>Triển khai dự án lắp đặt 2 Robot Depalletizing</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</si>
  <si>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</si>
  <si>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ĐCM.O3.KR1.ĐK.O4.KR4</t>
  </si>
  <si>
    <t>Mở rộng  hệ thống Fire and Gas theo kết quả Gas mapping report</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</si>
  <si>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</si>
  <si>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ĐCM.O3.KR1.ĐK.O4.KR5</t>
  </si>
  <si>
    <t>Cải tạo hệ thống tiếp địa cho thiết bị đo lường, van điều khiển và hệ thống điều khiển</t>
  </si>
  <si>
    <t>- Khảo sát và trình phê duyệt PA triển khai
- Thiết kế kỹ thuật
- Bốc tách vật tư và triển khai mua sắm
- Xây dựng PA kỹ thuật và thi công
- Thực hiện thi công
- Báo cáo kết quả thực hiện</t>
  </si>
  <si>
    <t>Haint</t>
  </si>
  <si>
    <t>ĐCM.O3.KR1.ĐK.O4.KR6</t>
  </si>
  <si>
    <t>Cải tạo hệ thống máng cáp</t>
  </si>
  <si>
    <t>% Hoàn thành theo kế hoạch</t>
  </si>
  <si>
    <t>Linhln</t>
  </si>
  <si>
    <t>ĐCM.O4</t>
  </si>
  <si>
    <t>Nâng mức độ triển khai TPM toàn Nhà máy lên đạt tối thiểu 60% theo bộ tiêu chuẩn TPM Excellence Award</t>
  </si>
  <si>
    <t>ĐCM.O4.ĐK.O5</t>
  </si>
  <si>
    <t xml:space="preserve">Triển khai các trụ cột TPM thuộc chuyên môn phụ trách </t>
  </si>
  <si>
    <t>ĐCM.O4.ĐK.O5.KR1</t>
  </si>
  <si>
    <t>- Rà soát nhiệm vụ cho từng vị trí chức danh
- Nghiên cứu chương trình đào tạo, chuẩn đầu ra chuyên ngành Tự động hóa/Cơ điện tử ở các trường đại học Cần thơ, Bách khoa.
- Tham khảo cách triển khai từ các đơn vị trong ngành/ các bộ phận trong nhà máy
- Rà soát kiến thức/kỹ năng cần thiết cho công việc hiện tại và tương lai
- Triển khai xây dựng từ điển năng lực
- Báo cáo định kỳ tình hình thực hiện
- Lấy ý kiến từ bộ phận tư vấn và tùy chỉnh phù hợp
- Báo cáo kết quả triển khai đến Ban GĐNM
- Gia đoạn I: 6 tháng đầu năm (4 KNL KTV)
- Giai đoạn II: 6 tháng cuối năm (4 KNL KS)</t>
  </si>
  <si>
    <t>ĐCM.O4.ĐK.O5.KR2</t>
  </si>
  <si>
    <t>Số KTV hoàn thành đánh giá</t>
  </si>
  <si>
    <t>- Phổ biến cho CBCNV về tiêu chí đánh giá 
- Sắp xếp công việc, phân bổ thời gian cho CBCNV nghiên cứu từ điển năng lực.
- Xây dựng hội đồng đánh giá
- Xây dựng biểu mẫu kết quả đánh giá
- Lấy ý kiến từ bộ phận tư vấn và tùy chỉnh phù hợp
- Triển khai đánh giá
- Báo cáo định kỳ tình hình thực hiện
- Báo cáo kết quả triển khai đến Ban GĐNM</t>
  </si>
  <si>
    <t>ĐCM.O4.ĐK.O5.KR3</t>
  </si>
  <si>
    <t>Trụ cột ET: Triển khai đào tạo nội bộ theo kế hoạch được phê duyệt</t>
  </si>
  <si>
    <t>%Hoàn thành giờ đào tạo nội bộ</t>
  </si>
  <si>
    <t>- Tổ chức triển khai đào tạo nội bộ theo kế hoạch đã được phê duyệt
- Đánh giá thường xuyên/đột xuất việc triển khai đào tạo nội bộ
- Hoàn thiện hồ sơ đào tạo nội bộ theo qui trình</t>
  </si>
  <si>
    <t>Quyentt</t>
  </si>
  <si>
    <t>ĐCM.O4.ĐK.O5.KR4</t>
  </si>
  <si>
    <t>Trụ cột ET: Tổ chức hội thảo chuyên môn 
(Bắt buộc với chức danh Kỹ sư và khuyến khích đối với chức danh KTV)</t>
  </si>
  <si>
    <t>- Xây dựng kế hoạch hội thảo
- Phân công nhân sự thực hiện
- Vận động và khuyến khích CBCNV tham gia
- Tổ chức thực hiện
- Đánh giá &amp; cải tiến</t>
  </si>
  <si>
    <t>ĐCM.O4.ĐK.O5.KR5</t>
  </si>
  <si>
    <t>Trụ cột ET: Triển khai đào tạo bên ngoài theo kế hoạch được phê duyệt</t>
  </si>
  <si>
    <t>- Rà soát kế hoạch đào tạo bên ngoài đã được phê duyệt
- Lập danh sách CBCNV tham gia 
- Phối hợp đăng ký và tổ chức cho CBCNV tham gia đào tạo
- Tổ chức chia sẻ, chuyển giao kiến thức sau đào tạo</t>
  </si>
  <si>
    <t>ĐCM.O4.ĐK.O5.KR6</t>
  </si>
  <si>
    <t>Trụ cột ET: Triển khai chuẩn hóa giáo trình đào tạo theo kế hoạch được phê duyệt</t>
  </si>
  <si>
    <t>- Rà soát xây dựng kế hoạch và phân công nhân sự xây dựng giáo trình
- Chuẩn hóa và phê duyệt theo quy trình quản lý tài liệu.
- Triển khai áp dụng
- Hoàn thiện hồ sơ</t>
  </si>
  <si>
    <t>ĐCM.O4.ĐK.O5.KR7</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</si>
  <si>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</si>
  <si>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</si>
  <si>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Haint </t>
  </si>
  <si>
    <t>ĐCM.O4.ĐK.O5.KR8</t>
  </si>
  <si>
    <t>Trụ cột AM: Rà soát ống turbing van điều khiển và thiết bị đo</t>
  </si>
  <si>
    <t>- Rà soát hiện trạng
- Phân loại và xử lý bất thường
- Chuẩn hóa
- Đánh giá và duy trì
- Báo cáo kết quả thực hiện</t>
  </si>
  <si>
    <t xml:space="preserve">Haint; Linhln; </t>
  </si>
  <si>
    <t>ĐCM.O4.ĐK.O5.KR9</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</si>
  <si>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</si>
  <si>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</si>
  <si>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 xml:space="preserve">Haint; </t>
  </si>
  <si>
    <t>ĐCM.O4.ĐK.O5.KR10</t>
  </si>
  <si>
    <t>Trụ cột AM: Xử lý các thẻ TPM tag</t>
  </si>
  <si>
    <t>- Thu thập và phân loại TPM Tag
- Chuyển giao đến Đội/Tổ chuyên môn
- Xử lý và khắc phục
- Theo dõi tình hình thực hiện 
- Đánh giá và duy trì
- Báo cáo kết quả thực hiện</t>
  </si>
  <si>
    <t xml:space="preserve">Doint </t>
  </si>
  <si>
    <t>ĐCM.O4.ĐK.O5.KR11</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</si>
  <si>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</si>
  <si>
    <t>- Nghiên cứu các tiêu chuẩn, qui định pháp luật cho các hệ thống đặc thù.
- Rà soát tình trạng thực tế của hệ thống
- Cập nhật phương thức bảo dưỡng 
- Gửi đầu mối cập nhật trên hệ thống SAP</t>
  </si>
  <si>
    <t>ĐCM.O4.ĐK.O5.KR12</t>
  </si>
  <si>
    <t>Trụ cột FI: Có Sáng kiến được công nhận cấp tiểu ban Điều khiển (Mỗi Đội/tổ 2 cái)</t>
  </si>
  <si>
    <t>Số sáng kiến được công nhận</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</si>
  <si>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</si>
  <si>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ĐCM.O4.ĐK.O5.KR13</t>
  </si>
  <si>
    <t>Trụ cột FI: Mỗi Đội/Tổ có ý tưởng/CTKT được công nhận Cấp Xưởng</t>
  </si>
  <si>
    <t>- Phát động và đăng ký ý tưởng
- Triển khai thực hiện
- Kiểm tra hoàn thiện
- Đánh giá và công nhận
- Chuẩn hóa và nhân rộng</t>
  </si>
  <si>
    <t>ĐCM.O4.ĐK.O5.KR14</t>
  </si>
  <si>
    <t>Trụ cột OI: Thực hiện theo yêu cầu TPM center</t>
  </si>
  <si>
    <t>%Hoàn thành theo kế hoạch của TPM center</t>
  </si>
  <si>
    <t xml:space="preserve">- Tiếp nhận và triển khai yêu cầu
- Triển khai thực hiện
- Tổng hợp, báo cáo kết quả </t>
  </si>
  <si>
    <t>Mainh</t>
  </si>
  <si>
    <t>ĐCM.O4.ĐK.O5.KR15</t>
  </si>
  <si>
    <t>Trụ cột SHE: Thực hiện theo yêu cầu TPM center</t>
  </si>
  <si>
    <t xml:space="preserve">- Tiếp nhận và phổ biến yêu cầu
- Triển khai thực hiện
- Giám sát và đánh giá
- Tổng hợp, báo cáo kết quả </t>
  </si>
  <si>
    <t>ĐK.O6</t>
  </si>
  <si>
    <t>ĐK.O6.KR1</t>
  </si>
  <si>
    <t>Tháng
(Trừ Tháng thực hiện BDTT, Tết nguyên đán)</t>
  </si>
  <si>
    <t>- Tổ chức đầu mối triển khai
- Thường xuyên khuyến khích, vận động CBCNV tham gia 
- Cân nhắc phân bổ KPI đối với Đội tổ/cá nhân tích cực tham gia và hoàn thành tốt công việc chuyên môn</t>
  </si>
  <si>
    <t>ĐK.O6.KR2</t>
  </si>
  <si>
    <t>ĐK.O6.KR3</t>
  </si>
  <si>
    <t>Chia sẽ văn hoá /Quy trình/Chuyên môn chung
(Chiều thứ 6, tuần cuối cùng của tháng)</t>
  </si>
  <si>
    <t>- Tổ chức đầu mối triển khai
- Xây dựng kế hoạch triển khai
- Thường xuyên khuyến khích, vận động CBCNV tham gia 
- Cân nhắc phân bổ KPI đối với Đội tổ/cá nhân tích cực tham gia và hoàn thành tốt công việc chuyên môn
- Gợi ý: Tháng 7: Hội thảo công tác chuẩn bị BDTT
- Gợi ý: Tháng 9: Hội thảo đúc kết kinh nghiệm BDTT
- Đối tượng đứng: Nhóm Cán bộ được công nhận Giảng viên nội bộ</t>
  </si>
  <si>
    <t>ĐK.O6.KR4</t>
  </si>
  <si>
    <t>Truyền thông Xưởng Điều khiển trên GapoWork</t>
  </si>
  <si>
    <t>Số lần thực hiện</t>
  </si>
  <si>
    <t>- Phân công đầu mối phụ trách truyền thông Xưởng
- Thu thập nội dung từ các Đội/Tổ
- Biên tập bài viết, hình ảnh
- Đăng tải trên GapoWork
- Theo dõi tương tác, phản hồi</t>
  </si>
  <si>
    <r>
      <t xml:space="preserve"> Đội/tổ thực hiện hoàn thành nhiệm vụ và 
- Thực hiện vượt tiêu chí </t>
    </r>
    <r>
      <rPr>
        <sz val="13"/>
        <color rgb="FFFF0000"/>
        <rFont val="Times New Roman"/>
        <family val="1"/>
      </rPr>
      <t>KR ĐK.6.11 (3 ý tưởng/CTKT)</t>
    </r>
    <r>
      <rPr>
        <sz val="13"/>
        <rFont val="Times New Roman"/>
        <family val="1"/>
      </rPr>
      <t xml:space="preserve">
- Là đội/tổ có tỉ lệ tham gia trên 50% đối với </t>
    </r>
    <r>
      <rPr>
        <sz val="13"/>
        <color rgb="FFFF0000"/>
        <rFont val="Times New Roman"/>
        <family val="1"/>
      </rPr>
      <t xml:space="preserve">ĐK.8.1 &amp; 8.2 (*) </t>
    </r>
    <r>
      <rPr>
        <sz val="13"/>
        <rFont val="Times New Roman"/>
        <family val="1"/>
      </rPr>
      <t xml:space="preserve">
- Là đội/tổ có tỉ lệ tham gia trên 50% các hoạt động phong trào chung của Xưởng (*)
+ Tính theo tỷ lệ cá nhân tham gia
+ Chương trình: Hội thao PVCFC</t>
    </r>
  </si>
  <si>
    <r>
      <t xml:space="preserve">Đội/tổ thực hiện hoàn thành tốt nhiệm vụ và 
- Là đội/tổ có tỉ lệ tham gia tất cả các hoạt động tại KR </t>
    </r>
    <r>
      <rPr>
        <sz val="13"/>
        <color rgb="FFFF0000"/>
        <rFont val="Times New Roman"/>
        <family val="1"/>
      </rPr>
      <t>ĐK.8.1 &amp; 8.2 đạt 90%</t>
    </r>
    <r>
      <rPr>
        <sz val="13"/>
        <color theme="1"/>
        <rFont val="Times New Roman"/>
        <family val="1"/>
      </rPr>
      <t xml:space="preserve"> hoặc (*)
- Có giải pháp xử lý được vấn đề phức tạp do LĐX đánh giá hoặc
- Có giải pháp mang lại hiệu quả lớn do LĐX đánh giá</t>
    </r>
  </si>
  <si>
    <r>
      <t xml:space="preserve">(*) Đối với tổ trực ca điều khiển vì tính chất đi ca/kip không có mặt thường xuyên ở Nhà máy cho nên:
- Chỉ tính tỉ lệ trên 02 KIP cụ thể là 7 nhân sự
</t>
    </r>
    <r>
      <rPr>
        <sz val="13"/>
        <color rgb="FFFF0000"/>
        <rFont val="Times New Roman"/>
        <family val="1"/>
      </rPr>
      <t>- Trừ nhân sự đi công tác hoặc điều ca đối với nhân sự hành chính</t>
    </r>
  </si>
  <si>
    <t>Đối với các tổ chức đoàn thể, tùy vào phong trào Xưởng sẽ có đánh giá trực tiếp A1/A2 cho BT. ĐTN, TT. CĐ sau đó mới phân bổ chỉ tiêu đến các đội/tổ</t>
  </si>
  <si>
    <t>Đội/tổ hoàn thành xuất sắc nhiệm vụ đội/tổ trưởng sẽ được phân bổ 01 A1 (Đối với tổ trực ca chỉ tính 01 chỉ tiêu) sau đó mới phân bổ chỉ tiêu đến các đội/tổ</t>
  </si>
  <si>
    <t>Đội/tổ hoàn thành tốt nhiệm vụ trong 02 tháng liên tiếp đội/tổ trưởng sẽ được phân bổ 01 A2 (Đối với tổ trực ca chỉ tính 01 chỉ tiêu) sau đó mới phân bổ chỉ tiêu đến các đội/tổ</t>
  </si>
  <si>
    <t>Đội/tổ hoàn thành tốt nhiệm vụ trong 04 tháng liên tiếp đội/tổ trưởng sẽ được phân bổ 01 A1 (Đối với tổ trực ca chỉ tính 01 chỉ tiêu) sau đó mới phân bổ chỉ tiêu đến các đội/tổ</t>
  </si>
  <si>
    <t>Đối với tháng triển khai thực hiện BDTT các nhóm theo sơ đồ tổ chức BDTT</t>
  </si>
  <si>
    <t>Nguyên tắc 13</t>
  </si>
  <si>
    <t>Nhóm nhân sự trực Tết âm lịch được xem xét ưu tiên</t>
  </si>
  <si>
    <t>Nguyên tắc 14</t>
  </si>
  <si>
    <t>Nguyên tắc 15</t>
  </si>
  <si>
    <t>Đối với Tháng 12 sẽ ưu tiên đánh giá các cá nhân có thành tích nổi bật trong năm sau đó mới phân bổ chỉ tiêu đến các đội/tổ</t>
  </si>
  <si>
    <t>O1</t>
  </si>
  <si>
    <t>KR1</t>
  </si>
  <si>
    <t>KR2</t>
  </si>
  <si>
    <t>KR3</t>
  </si>
  <si>
    <t>O2</t>
  </si>
  <si>
    <t>O3</t>
  </si>
  <si>
    <t>O4</t>
  </si>
  <si>
    <t>KR4</t>
  </si>
  <si>
    <t>KR5</t>
  </si>
  <si>
    <t>KR6</t>
  </si>
  <si>
    <t>O5</t>
  </si>
  <si>
    <t>KR7</t>
  </si>
  <si>
    <t>KR8</t>
  </si>
  <si>
    <t>KR9</t>
  </si>
  <si>
    <t>KR10</t>
  </si>
  <si>
    <t>KR11</t>
  </si>
  <si>
    <t>KR12</t>
  </si>
  <si>
    <t>KR13</t>
  </si>
  <si>
    <t>KR14</t>
  </si>
  <si>
    <t>KR15</t>
  </si>
  <si>
    <t>BÁO CÁO KẾ HOẠCH MỤC TIÊU XƯỞNG ĐIỀU KHIỂN THÁNG 1 VÀ LŨY KẾ NĂM 2026</t>
  </si>
  <si>
    <t>O6</t>
  </si>
  <si>
    <r>
      <t xml:space="preserve">O1 - O5 </t>
    </r>
    <r>
      <rPr>
        <b/>
        <sz val="15"/>
        <color rgb="FF00B050"/>
        <rFont val="Times New Roman"/>
        <family val="1"/>
      </rPr>
      <t>NOT NG</t>
    </r>
  </si>
  <si>
    <r>
      <t xml:space="preserve">O1- O5 </t>
    </r>
    <r>
      <rPr>
        <sz val="15"/>
        <color rgb="FFFF0000"/>
        <rFont val="Times New Roman"/>
        <family val="1"/>
      </rPr>
      <t xml:space="preserve">= </t>
    </r>
    <r>
      <rPr>
        <b/>
        <sz val="15"/>
        <color rgb="FFFF0000"/>
        <rFont val="Times New Roman"/>
        <family val="1"/>
      </rPr>
      <t>NG</t>
    </r>
  </si>
  <si>
    <t>Cấp LĐX</t>
  </si>
  <si>
    <t xml:space="preserve">CHUNG MỘT NIỀM TIN - VƯƠN MÌNH PHÁT TRIỂN  </t>
  </si>
  <si>
    <t>BÁO CÁO KẾ HOẠCH /MỤC TIÊU 2026 ĐỘI THIẾT BỊ HỆ THỐNG ĐIỀU KHIỂN</t>
  </si>
  <si>
    <t>Mã mục tiêu/Kết quả then chốt Đội/Tổ</t>
  </si>
  <si>
    <t>Báo cáo tình hình thực hiện tháng 1</t>
  </si>
  <si>
    <t>ĐK.O1.TBHTĐK.O1</t>
  </si>
  <si>
    <t>ĐK.O1.KR1.TBHTĐK.O1.KR1</t>
  </si>
  <si>
    <t>Các hạng mục BD có kế hoạch cần có đầy đủ hướng dẫn</t>
  </si>
  <si>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</si>
  <si>
    <t>31/12/2026</t>
  </si>
  <si>
    <t>Minhvq</t>
  </si>
  <si>
    <t>Đã rà soát các hạng mục BD có đầy đủ HD</t>
  </si>
  <si>
    <t>ĐK.O1.KR2.TBHTĐK.O1.KR2</t>
  </si>
  <si>
    <t xml:space="preserve">Công tác sửa chữa đột xuất cần có nhận diện mối nguy và ĐGRR đối với hạng mục có mối nguy ảnh hưởng đến giảm tải, gián đoạn sản xuất được giao </t>
  </si>
  <si>
    <t>- Thực hiện đúng phương án cách ly cô lập
- Nâng cao nâng lực nhận diện mối nguy
- Thường xuyên cập nhật các MOC, yêu cầu đơn vị chuyên môn chuẩn hóa, bổ sung tài liệu kỹ thuật</t>
  </si>
  <si>
    <t>Trong tháng không có hạng mục</t>
  </si>
  <si>
    <t>ĐK.O1.KR3.TBHTĐK.O1.KR3</t>
  </si>
  <si>
    <t>Công tác lắp đặt cải tiến cải tạo cần có nhận diện mối nguy và ĐGRR đối với hạng mục có mối nguy</t>
  </si>
  <si>
    <t>- Nâng cao nâng lực nhận diện mối nguy
- Thực hiện ĐRGG nếu có mối nguy
- Tăng cường giám sát và dừng việc nếu nhận diện có mối nguy mới</t>
  </si>
  <si>
    <t>ĐK.O2.TBHTĐK.O2</t>
  </si>
  <si>
    <t>ĐK.O2.KR1.TBHTĐK.O2.KR1</t>
  </si>
  <si>
    <t>Tham gia đầy đủ các cuộc họp và thực hiện hoàn thành các kết luận được giao</t>
  </si>
  <si>
    <t>- Tổ chức và sắp xếp công việc phù hợp đảm bảo có nhân sự tham gia 
- Lên kế hoạch triển khai thực hiện các kết luận được giao
- Triển khai thực hiện
- Báo cáo kết quả thực hiện hàng tháng</t>
  </si>
  <si>
    <t>Trong tháng chưa đến lịch họp</t>
  </si>
  <si>
    <t>ĐK.O2.KR3.TBHTĐK.O2.KR2</t>
  </si>
  <si>
    <t>Triển khai công tác BD định kỳ theo kế hoạch đảm bảo chất lượng và đúng tiến độ</t>
  </si>
  <si>
    <t>% số hạng mục hoàn thành đảm bảo đảm bảo chất lượng và đúng tiến độ</t>
  </si>
  <si>
    <t xml:space="preserve">&gt; 98% </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</si>
  <si>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</si>
  <si>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254/254 hạng mục theo kế hoạch ngày 28/01</t>
  </si>
  <si>
    <t>ĐK.O2.KR4.TBHTĐK.O2.KR3</t>
  </si>
  <si>
    <t>Triển khai công tác BDTT theo kế hoạch đảm bảo chất lượng và vượt tiến độ</t>
  </si>
  <si>
    <t>% thực hiện hoàn thành công tác BDTT theo kế hoạch, đảm bảo chất lượng và vượt tiến độ so với kế hoạch 4h</t>
  </si>
  <si>
    <t>&gt; 99% và vượt tiến độ 4h</t>
  </si>
  <si>
    <t>Tháng BDTT</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</si>
  <si>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</si>
  <si>
    <t>ĐK.O2.KR5.TBHTĐK.O2.KR4</t>
  </si>
  <si>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</si>
  <si>
    <t>ĐK.O2.KR6.TBHTĐK.O2.KR5</t>
  </si>
  <si>
    <t>% Hoàn thành phiếu KPPN được giao</t>
  </si>
  <si>
    <t xml:space="preserve">- Tiếp nhận phiếu KPPN thuộc chuyên môn của đội
- Triển khai thực hiện phiếu KPPN 
- Báo cáo kết quả thực hiện </t>
  </si>
  <si>
    <t>Hoàn thành phiếu KPPN sự cố mất alram các HIS</t>
  </si>
  <si>
    <t>ĐK.O3.TBHTĐK.O3</t>
  </si>
  <si>
    <t>ĐK.O3.KR1.TBHTĐK.O3.KR1</t>
  </si>
  <si>
    <t>Hoàn thành phối hợp công tác kiểm tra an toàn cấp 1, 2, 3 đầy đủ, nghiêm túc</t>
  </si>
  <si>
    <t xml:space="preserve">Theo kế hoạch </t>
  </si>
  <si>
    <t>- Phối hợp thực hiện kiểm tra an toàn cấp 2 đầy đủ, nghiêm túc theo kế hoạch
- Phối hợp thực hiện kiểm tra an toàn cấp 3 theo lịch, đảm bảo 100% các điểm không phù hợp được khắc phục đúng thời hạn;</t>
  </si>
  <si>
    <t>Hoàn thành phối hợp đầu mối kiểm tra an toàn cấp 2</t>
  </si>
  <si>
    <t>ĐK.O3.KR2.TBHTĐK.O3.KR2</t>
  </si>
  <si>
    <t>Số thẻ ghi được trong tháng</t>
  </si>
  <si>
    <t>5 thẻ</t>
  </si>
  <si>
    <t>Tổ chức và sắp xếp công việc phù hợp đảm bảo hoàn thành chỉ tiêu ghi thẻ</t>
  </si>
  <si>
    <t>Trong tháng có 17 thẻ được ghi nhận</t>
  </si>
  <si>
    <t>ĐK.O3.KR3.TBHTĐK.O3.KR3</t>
  </si>
  <si>
    <t xml:space="preserve">% CBCNV tham gia </t>
  </si>
  <si>
    <t>Tổ chức và sắp xếp công việc phù hợp đảm bảo tất cả CBCNV tham gia các khóa đào tạo an toàn</t>
  </si>
  <si>
    <t>Trong tháng không có khóa học</t>
  </si>
  <si>
    <t>ĐK.O4.TBHTĐK.O4</t>
  </si>
  <si>
    <t>ĐK.O4.KR1.TBHTĐK.O4.KR1</t>
  </si>
  <si>
    <t>- Sắp xếp nguồn lực để triển khai công việc
- Xây dựng phương án thi công 
- Tổ chức triển khai thi công/chạy thử theo phương án
- Báo cáo kết quả thực hiện</t>
  </si>
  <si>
    <t>Hoàn thành hạng mục khái báo modbus dự án CO2 thực phẩm trên DCS</t>
  </si>
  <si>
    <t>ĐK.O4.KR4.TBHTĐK.O4.KR2</t>
  </si>
  <si>
    <t>- Cử nhân sự tham gia
- Sắp xếp nguồn lực để triển khai công việc
- Xây dựng phương án thi công 
- Tổ chức triển khai thi công/chạy thử theo phương án
- Báo cáo kết quả thực hiện</t>
  </si>
  <si>
    <t>Trong tháng không có hạng mục được giao</t>
  </si>
  <si>
    <t>ĐK.O4.KR5.TBHTĐK.O4.KR3</t>
  </si>
  <si>
    <t>Cải tạo hệ thống tiếp địa cho thiết bị hệ thống điều khiển</t>
  </si>
  <si>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</si>
  <si>
    <t>Trong tháng không có kế hoạch</t>
  </si>
  <si>
    <t>ĐK.O5.TBHTĐK.O5</t>
  </si>
  <si>
    <t>ĐK.O5.KR1.TBHTĐK.O5.KR1</t>
  </si>
  <si>
    <t>% hoàn thành công việc được giao</t>
  </si>
  <si>
    <t>Phối hợp thực hiện theo yêu cầu của đầu mối</t>
  </si>
  <si>
    <t>Trong tháng không có công việc được giao</t>
  </si>
  <si>
    <t>ĐK.O5.KR2.TBHTĐK.O5.KR2</t>
  </si>
  <si>
    <t>Tham gia đánh giá năng lực CBCNV khi có yêu cầu</t>
  </si>
  <si>
    <t>ĐK.O5.KR3.TBHTĐK.O5.KR3</t>
  </si>
  <si>
    <t>% hoàn thành triển khai đào tạo nội bộ theo kế hoạch được phê duyệt</t>
  </si>
  <si>
    <t xml:space="preserve"> Tháng</t>
  </si>
  <si>
    <r>
      <t>- Tổ chức triển khai đào tạo nội bộ theo kế hoạch đã được phê duyệt như</t>
    </r>
    <r>
      <rPr>
        <sz val="14"/>
        <color rgb="FFFF0000"/>
        <rFont val="Times New Roman"/>
        <family val="1"/>
      </rPr>
      <t xml:space="preserve"> Phụ lục 1</t>
    </r>
    <r>
      <rPr>
        <sz val="14"/>
        <rFont val="Times New Roman"/>
        <family val="1"/>
      </rPr>
      <t xml:space="preserve">
- Đánh giá thường xuyên/đột xuất việc triển khai đào tạo nội bộ trong đội
- Hoàn thiện hồ sơ đào tạo nội bộ theo qui chế</t>
    </r>
  </si>
  <si>
    <t>Trong tháng không có kế hoạch, bắt đầu tháng 2</t>
  </si>
  <si>
    <t>ĐK.O5.KR4.TBHTĐK.O5.KR4</t>
  </si>
  <si>
    <t>Trụ cột ET:  Tổ chức hội thảo chuyên môn (KSC 2 HT, Kỹ sư 1 HT và khuyến khích đối với chức danh KTV)</t>
  </si>
  <si>
    <t>% hoàn thành hội thảo chuyên môn theo kế hoạch được phê duyệt</t>
  </si>
  <si>
    <r>
      <t>- Tổ chức triển khai hội thảo theo kế hoạch như</t>
    </r>
    <r>
      <rPr>
        <sz val="14"/>
        <color rgb="FFFF0000"/>
        <rFont val="Times New Roman"/>
        <family val="1"/>
      </rPr>
      <t xml:space="preserve"> Phụ lục 2</t>
    </r>
    <r>
      <rPr>
        <sz val="14"/>
        <rFont val="Times New Roman"/>
        <family val="1"/>
      </rPr>
      <t xml:space="preserve">
- Báo cáo kết quả thực hiện</t>
    </r>
  </si>
  <si>
    <t>Trong tháng không có kế hoạch, bắt đầu tháng 3</t>
  </si>
  <si>
    <t>ĐK.O5.KR5.TBHTĐK.O5.KR5</t>
  </si>
  <si>
    <t>% hoàn thành triển khai đào tạo đào tạo bên ngoài theo kế hoạch được phê duyệt</t>
  </si>
  <si>
    <r>
      <t xml:space="preserve">- Đề xuất triển khai đào tạo theo kế hoạch đã được phê duyệt như </t>
    </r>
    <r>
      <rPr>
        <sz val="14"/>
        <color rgb="FFFF0000"/>
        <rFont val="Times New Roman"/>
        <family val="1"/>
      </rPr>
      <t>Phụ lục 1</t>
    </r>
    <r>
      <rPr>
        <sz val="14"/>
        <rFont val="Times New Roman"/>
        <family val="1"/>
      </rPr>
      <t xml:space="preserve">
- Báo cáo kết quả đào tạo</t>
    </r>
  </si>
  <si>
    <t>SIMATIC S7-400H Redundant System &amp; Advanced Programming, thời gian đào tạo quý 2</t>
  </si>
  <si>
    <t>ĐK.O5.KR6.TBHTĐK.O5.KR6</t>
  </si>
  <si>
    <t>% tài liệu hoàn thành chuẩn hóa theo kế hoạch được phê duyệt</t>
  </si>
  <si>
    <r>
      <t xml:space="preserve">- Thực hiện chuẩn hóa giáo trình như </t>
    </r>
    <r>
      <rPr>
        <sz val="14"/>
        <color rgb="FFFF0000"/>
        <rFont val="Times New Roman"/>
        <family val="1"/>
      </rPr>
      <t>Phụ lục 3</t>
    </r>
    <r>
      <rPr>
        <sz val="14"/>
        <rFont val="Times New Roman"/>
        <family val="1"/>
      </rPr>
      <t xml:space="preserve">
- Gửi file tài liệu đã chuẩn hóa cho đầu mối và chỉnh sửa theo yêu cầu (nếu có)</t>
    </r>
  </si>
  <si>
    <t>ĐK.O5.KR9.TBHTĐK.O5.KR7</t>
  </si>
  <si>
    <t>Trụ cột AM: Tiêu chuẩn hóa thiết bị hệ thống điều khiển và thiết bị phòng cháy</t>
  </si>
  <si>
    <t>% hoàn thành theo kế hoạch</t>
  </si>
  <si>
    <t>- Rà soát hiện trạng thiết bị, lập danh mục thiết bị cần chuẩn hóa
- Xây dựng và chuẩn hóa tiêu chuẩn cho thiết bị
- Triển khai áp dụng
- Đánh giá và duy trì
- Báo cáo kết quả thực hiện</t>
  </si>
  <si>
    <t>ĐK.O5.KR10.TBHTĐK.O5.K8</t>
  </si>
  <si>
    <t>% hoàn thành theo kế hoạch của TPM center</t>
  </si>
  <si>
    <t>- Tổ chức triển khai thực hiện công việc thuộc chuyên môn phụ trách 
- Báo cáo kết quả thực hiện</t>
  </si>
  <si>
    <t>ĐK.O5.KR11.TBHTĐK.O5.KR9</t>
  </si>
  <si>
    <t>Rà soát cập nhật lại kế hoạch bảo dưỡng theo phương thức bảo dưỡng để tăng hiệu quả trong công tác bảo dưỡng (áp dụng đối với Phân xưởng/hệ thống do X. ĐK phụ trách công tác lập kế hoạch)</t>
  </si>
  <si>
    <t>% hoàn thành các thiết bị/hệ thống phòng cháy</t>
  </si>
  <si>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</si>
  <si>
    <t>30/10/2026</t>
  </si>
  <si>
    <t>ĐK.O5.KR12.TBHTĐK.O5.KR10</t>
  </si>
  <si>
    <t>Số lượng sáng kiến được cấp Tiểu Ban công nhận</t>
  </si>
  <si>
    <t>- Đăng ký sáng kiến hàng tháng nếu có
- Triển khai thực hiện và đăng ký trên EO sau khi xưởng phê duyệt
- Bảo vệ và hoàn thiện hồ sơ theo yêu cầu</t>
  </si>
  <si>
    <t>Trong tháng không có đợt xét của tiểu ban</t>
  </si>
  <si>
    <t>ĐK.O5.KR13.TBHTĐK.O5.KR11</t>
  </si>
  <si>
    <t>Số lượng ý tưởng/CTKT được cấp Xưởng công nhận</t>
  </si>
  <si>
    <t>1 ý tưởng/ CTKT</t>
  </si>
  <si>
    <t>- Đăng ký ý tưởng/CTKT hàng tháng
- Triển khai thực hiện sau khi xưởng phê duyệt
- Báo cáo kết quả thực hiện</t>
  </si>
  <si>
    <t>Đăng ký 1 SK/CTKT đã được LĐX công nhận</t>
  </si>
  <si>
    <t>ĐK.O5.KR14.TBHTĐK.O5.KR12</t>
  </si>
  <si>
    <t>- Tổ chức triển khai thực hiện công việc được phân công 
- Báo cáo kết quả thực hiện</t>
  </si>
  <si>
    <t>ĐK.O5.KR15.TBHTĐK.O5.KR13</t>
  </si>
  <si>
    <t>ĐK.O6.TBHTĐK.O6</t>
  </si>
  <si>
    <t>ĐK.O6.KR1.TBHTĐK.O6.KR1</t>
  </si>
  <si>
    <t>Khuyến khích tham gia chương trình chạy bộ giao lưu 01 lần/02 tuần</t>
  </si>
  <si>
    <t>Có nhân sự đội tham gia chương trình</t>
  </si>
  <si>
    <t>Tham gia</t>
  </si>
  <si>
    <t>Thường xuyên khuyến khích, vận động CBCNV tham gia (Trừ cá nhân đang có bệnh hiểm nghèo)</t>
  </si>
  <si>
    <t>Minhnc</t>
  </si>
  <si>
    <t>Chạy bộ 17/01: Kiều, Quỳnh, Đình, Hải. Đạt 50% ( tính 8 nhân sự, trừ Tứ và Tiến tham gia BDTT ĐPM)</t>
  </si>
  <si>
    <t>Không tính Tứ</t>
  </si>
  <si>
    <t>ĐK.O6.KR2.TBHTĐK.O6.KR2</t>
  </si>
  <si>
    <t>Khuyến khích tham gia chương trình thể thao giao lưu 01 lần/01 quý</t>
  </si>
  <si>
    <t>Trong tháng chưa có kế hoạch</t>
  </si>
  <si>
    <t>ĐK.O6.KR3.TBHTĐK.O6.KR3</t>
  </si>
  <si>
    <t>Chia sẽ văn hoá /Quy trình/Chuyên môn chung (Chiều thứ 6, tuần cuối cùng của tháng)</t>
  </si>
  <si>
    <t xml:space="preserve">% hoàn thành theo kế hoạch </t>
  </si>
  <si>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</si>
  <si>
    <t>Trong tháng không có tổ chức</t>
  </si>
  <si>
    <t xml:space="preserve">Đánh giá chung tháng </t>
  </si>
  <si>
    <t>BÁO CÁO KẾ HOẠCH MỤC TIÊU ĐỘI TB ĐO LƯỜNG_THÁNG 2</t>
  </si>
  <si>
    <t>ĐK.O1.TBĐ.O1</t>
  </si>
  <si>
    <t>ĐK.O1.KR1.TBĐ.O1.KR1</t>
  </si>
  <si>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</si>
  <si>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 Rà soát các hạng mục có đầy đủ hướng dẫn
- Tuâ thủ các hạng mục kiểm tra chức năng chỉ thực hiện khi GPCL được ban hành</t>
  </si>
  <si>
    <t>ĐK.O1.KR1.TBĐ.O1.KR2</t>
  </si>
  <si>
    <t>Đảm bảo công tác sửa chữa đột xuất có nhận diện mối nguy và ĐGRR đối với hạng mục có mối nguy ảnh hưởng đến giảm tải, gián đoạn sản xuất</t>
  </si>
  <si>
    <t>- Thực hiện đúng phương án cách ly cô lập được ban hành
- Nâng cao nâng lực nhận diện mối nguy</t>
  </si>
  <si>
    <t>Thực hiện tuân thủ các phương án cách ly được ban hành
Trong tháng có 2 hạng mục sử dụng GPCL được ban hành</t>
  </si>
  <si>
    <t>ĐK.O1.KR1.TBĐ.O1.KR3</t>
  </si>
  <si>
    <t>ĐK.O2.TBĐ.O2</t>
  </si>
  <si>
    <t>ĐK.O2.KR1.TBĐ.O2.KR1</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</si>
  <si>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</si>
  <si>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Chưa có lịch họp trong tháng</t>
  </si>
  <si>
    <t>ĐK.O2.KR1.TBĐ.O2.KR2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</si>
  <si>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</si>
  <si>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r>
      <t xml:space="preserve">Hoàn thành </t>
    </r>
    <r>
      <rPr>
        <b/>
        <sz val="14"/>
        <rFont val="Times New Roman"/>
        <family val="1"/>
      </rPr>
      <t>366/440</t>
    </r>
    <r>
      <rPr>
        <sz val="14"/>
        <rFont val="Times New Roman"/>
        <family val="1"/>
      </rPr>
      <t xml:space="preserve"> hạng mục chiếm tỷ trọng </t>
    </r>
    <r>
      <rPr>
        <b/>
        <sz val="14"/>
        <rFont val="Times New Roman"/>
        <family val="1"/>
      </rPr>
      <t>83.2%</t>
    </r>
    <r>
      <rPr>
        <sz val="14"/>
        <rFont val="Times New Roman"/>
        <family val="1"/>
      </rPr>
      <t xml:space="preserve"> (Tính đến ngày 26/1)</t>
    </r>
  </si>
  <si>
    <t>ĐK.O2.KR1.TBĐ.O2.KR3</t>
  </si>
  <si>
    <r>
      <t xml:space="preserve">Triển khai công tác BDTT theo kế hoạch đảm bảo </t>
    </r>
    <r>
      <rPr>
        <b/>
        <sz val="14"/>
        <color theme="1"/>
        <rFont val="Times New Roman"/>
        <family val="1"/>
      </rPr>
      <t>chất lượng</t>
    </r>
  </si>
  <si>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</si>
  <si>
    <t>ĐK.O2.KR1.TBĐ.O2.KR4</t>
  </si>
  <si>
    <t>- Tiếp nhận phiếu KPPN theo kết luận đoàn điều tra sự cố
- Tổ chức, sắp xếp nguồn lực triển khai thực hiện
- Báo cáo kết quả thực hiện</t>
  </si>
  <si>
    <t>ĐK.O3.TBĐ.O3</t>
  </si>
  <si>
    <t>ĐK.O3.KR1.TBĐ.O3.KR1</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</si>
  <si>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</si>
  <si>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Kiểm tra, tuân thủ đầy đủ theo yêu cầu đầu mối</t>
  </si>
  <si>
    <t>ĐK.O3.KR1.TBĐ.O3.KR2</t>
  </si>
  <si>
    <t>tháng</t>
  </si>
  <si>
    <t>- Tuyên truyền, phổ biến thường xuyên các qui định liên quan đến chương trình STOP đến CBCNV trong đội;
- Tham gia ghi thẻ STOP đảm bảo số lượng thẻ ghi được ít nhất bằng 50% số lượng CBCNV trong đội.</t>
  </si>
  <si>
    <r>
      <t xml:space="preserve">Trong tháng thẻ STOP ghi được </t>
    </r>
    <r>
      <rPr>
        <b/>
        <sz val="14"/>
        <rFont val="Times New Roman"/>
        <family val="1"/>
      </rPr>
      <t>10/6</t>
    </r>
    <r>
      <rPr>
        <sz val="14"/>
        <rFont val="Times New Roman"/>
        <family val="1"/>
      </rPr>
      <t xml:space="preserve"> thẻ đạt tỷ lệ </t>
    </r>
    <r>
      <rPr>
        <b/>
        <sz val="14"/>
        <rFont val="Times New Roman"/>
        <family val="1"/>
      </rPr>
      <t>83.3%</t>
    </r>
    <r>
      <rPr>
        <sz val="14"/>
        <rFont val="Times New Roman"/>
        <family val="1"/>
      </rPr>
      <t xml:space="preserve"> so với tổng số nhân sự</t>
    </r>
  </si>
  <si>
    <t>ĐK.O3.KR1.TBĐ.O3.KR3</t>
  </si>
  <si>
    <t>Đảm bảo tất cả CBCNV tham gia các khóa đào tạo an toàn theo yêu cầu từ đầu mối.</t>
  </si>
  <si>
    <t>Trong tháng không có chương trình</t>
  </si>
  <si>
    <t>ĐK.O4.TBĐ.O4</t>
  </si>
  <si>
    <t>ĐK.O4.KR1.TBĐ.O4.KR1</t>
  </si>
  <si>
    <t>Không có kế hoạch trong tháng</t>
  </si>
  <si>
    <t>ĐK.O4.KR1.TBĐ.O4.KR2</t>
  </si>
  <si>
    <t>Haint; Linhln</t>
  </si>
  <si>
    <t>Đã hoàn thành họp thống nhất đối tượng thực hiện, làm rõ phạm vi công việc</t>
  </si>
  <si>
    <t>ĐK.O5.TBĐ.O5</t>
  </si>
  <si>
    <t>ĐK.O5.KR1.TBĐ.O5.KR1</t>
  </si>
  <si>
    <t>Phối hợp đầu mối khi có yêu cầu.</t>
  </si>
  <si>
    <t>ĐK.O5.KR1.TBĐ.O5.KR2</t>
  </si>
  <si>
    <t>Tham gia đánh giá năng lực cho CBCNV khi có yêu cầu.</t>
  </si>
  <si>
    <t>ĐK.O5.KR1.TBĐ.O5.KR3</t>
  </si>
  <si>
    <r>
      <t xml:space="preserve">- Tổ chức triển khai đào tạo nội bộ theo kế hoạch đã được phê duyệt như </t>
    </r>
    <r>
      <rPr>
        <b/>
        <sz val="14"/>
        <rFont val="Times New Roman"/>
        <family val="1"/>
      </rPr>
      <t>Phụ lục 1.1</t>
    </r>
    <r>
      <rPr>
        <sz val="14"/>
        <rFont val="Times New Roman"/>
        <family val="1"/>
      </rPr>
      <t>;
- Đánh giá thường xuyên/đột xuất việc triển khai đào tạo nội bộ trong đội;
- Hoàn thiện hồ sơ đào tạo nội bộ theo qui chế.</t>
    </r>
  </si>
  <si>
    <t>ĐK.O5.KR1.TBĐ.O5.KR4</t>
  </si>
  <si>
    <r>
      <t xml:space="preserve">- Tìm hiểu, nghiên cứu soạn slide trình bày nội bộ Đội;
- Thông báo khuyến khích các Đội/ tổ khác tham gia;
- Tổ chức triển khai hội thảo theo kế hoạch như </t>
    </r>
    <r>
      <rPr>
        <b/>
        <sz val="14"/>
        <rFont val="Times New Roman"/>
        <family val="1"/>
      </rPr>
      <t>Phụ lục 1.2.</t>
    </r>
  </si>
  <si>
    <t>ĐK.O5.KR1.TBĐ.O5.KR5</t>
  </si>
  <si>
    <r>
      <t xml:space="preserve">- Thực hiện chuẩn hóa giáo trình như </t>
    </r>
    <r>
      <rPr>
        <b/>
        <sz val="14"/>
        <rFont val="Times New Roman"/>
        <family val="1"/>
      </rPr>
      <t>Phụ lục 1.3</t>
    </r>
    <r>
      <rPr>
        <sz val="14"/>
        <rFont val="Times New Roman"/>
        <family val="1"/>
      </rPr>
      <t>;
- Gửi file tài liệu đã chuẩn hóa cho đầu mối và chỉnh sửa theo yêu cầu (nếu có).</t>
    </r>
  </si>
  <si>
    <t>ĐK.O5.KR1.TBĐ.O5.KR6</t>
  </si>
  <si>
    <t>ĐK.O5.KR1.TBĐ.O5.KR7</t>
  </si>
  <si>
    <t>ĐK.O5.KR1.TBĐ.O5.KR8</t>
  </si>
  <si>
    <t>ĐK.O5.KR1.TBĐ.O5.KR9</t>
  </si>
  <si>
    <t>- Tiếp nhận các TPM Tag thuộc phạm vi Đội phụ trách
- Lập kế hoạch xử lý và khắc phục
- Theo dõi tình hình thực hiện 
- Đánh giá và duy trì
- Báo cáo kết quả thực hiện</t>
  </si>
  <si>
    <t>Đã bố trí, sắp xếp nhân sự xử lý 2 hạng mục TPM tag từ đầu mối gửi</t>
  </si>
  <si>
    <t>ĐK.O5.KR1.TBĐ.O5.KR10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</si>
  <si>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</si>
  <si>
    <t>- Thực hiện rà soát kế hoạch bảo dưỡng cả năm các thiết bị PI/TI, ACS, PA, Camera, bộ đàm;
- Gửi đầu mối cập nhật dữ liệu master trên SAP nếu có điều chỉnh.</t>
  </si>
  <si>
    <t>ĐK.O5.KR1.TBĐ.O5.KR11</t>
  </si>
  <si>
    <t>Trong tháng chưa có SK được cấp tiểu ban công nhận</t>
  </si>
  <si>
    <t>ĐK.O5.KR1.TBĐ.O5.KR12</t>
  </si>
  <si>
    <t>- Phát động và đăng ký ý tưởng hàng thàng
- Triển khai thực hiện
- Kiểm tra hoàn thiện
- Đánh giá và công nhận
- Chuẩn hóa và nhân rộng</t>
  </si>
  <si>
    <t>- Trong tháng đăng ký 9 CTKT đã thông qua cấp Xưởng
- Đăng ký 3 CTKT cho kế hoạch mục tiêu tháng</t>
  </si>
  <si>
    <t>ĐK.O5.KR1.TBĐ.O5.KR13</t>
  </si>
  <si>
    <t xml:space="preserve">- Đóng góp ý kiến, tiếp nhận đầu mục thuộc phạm vi Đội
- Triển khai thực hiện
- Tổng hợp, báo cáo kết quả </t>
  </si>
  <si>
    <t>ĐK.O5.KR1.TBĐ.O5.KR14</t>
  </si>
  <si>
    <t>Bố trí, sắp xếp công việc phù hợp tham gia đầy đủ theo yêu cầu đầu mối</t>
  </si>
  <si>
    <t>ĐK.O6.TBĐ.O6</t>
  </si>
  <si>
    <t>ĐK.O6.TBĐ.O6.KR1</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</si>
  <si>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</si>
  <si>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 Ngày 17/1 có 6/8 nhân sự thàm gia T. Hải, Đ.Hiếu, N Quang, T Sang, M Thành, Hoàng (Trừ 4 nhân sự V Ngà, T Kiên, Q Linh, P Tùng tham gia BDTT ĐPM)</t>
  </si>
  <si>
    <t>ĐK.O6.TBĐ.O6.KR2</t>
  </si>
  <si>
    <t>- Thường xuyên khuyến khích, động viên các thành viên trong Đội tham gia chương trình chạy bộ của đầu mối ĐTN.
- Cân nhắc đánh giá KPI đối với cá nhân tích cực tham gia và hoàn thành tốt công việc chuyên môn</t>
  </si>
  <si>
    <t>- Ngày 27/12 có 6/8 nhân sự thàm gia T. Hải, N Quang, T Sang, M Thành, Hoàng, C Bằng (Trừ 4 nhân sự V Ngà, T Kiên, Q Linh, P Tùng tham gia BDTT ĐPM)</t>
  </si>
  <si>
    <t>ĐK.O6.TBĐ.O6.KR3</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</si>
  <si>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</si>
  <si>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ĐK.O6.TBĐ.O6.KR4</t>
  </si>
  <si>
    <t>- Cung cấp thông tin, cập nhật nội dung nổi bật của Đội cho đầu mối Xưởng 
- Thường xuyên động viên các thành viên trong Đội theo dõi tương tác, phản hồi các bài viết của Xưởng</t>
  </si>
  <si>
    <t>BÁO CÁO KẾ HOẠCH MỤC TIÊU ĐỘI THIẾT BỊ CHẤP HÀNH THÁNG 1</t>
  </si>
  <si>
    <t>Kế hoạch hành động của Xưởng</t>
  </si>
  <si>
    <t>Kế hoạch hành động của Đội TBCH</t>
  </si>
  <si>
    <t>ĐK.O1.TBCH.O1</t>
  </si>
  <si>
    <t>ĐK.O1.KR1.TBCH.O1.KR1</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</si>
  <si>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được phê duyệt như </t>
    </r>
    <r>
      <rPr>
        <b/>
        <sz val="14"/>
        <color rgb="FFFF0000"/>
        <rFont val="Times New Roman"/>
        <family val="1"/>
      </rPr>
      <t>Phụ lục 1.5.</t>
    </r>
    <r>
      <rPr>
        <sz val="14"/>
        <color rgb="FFFF0000"/>
        <rFont val="Times New Roman"/>
        <family val="1"/>
      </rPr>
      <t xml:space="preserve">
</t>
    </r>
    <r>
      <rPr>
        <sz val="14"/>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</si>
  <si>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t xml:space="preserve">- Tuân thủ các hạng mục kiểm tra chức năng chỉ thực hiện khi GPCL được ban hành.
 - Đã ban hành 1 HBDB soạn mới theo kế hoạch tháng 1 (Hướng dẫn bảo dưỡng thiết bị do khí cầm tay hãng Draeger).
</t>
  </si>
  <si>
    <t>ĐK.O1.KR1.TBCH.O1.KR2</t>
  </si>
  <si>
    <t>ĐK.O1.KR1.TBCH.O1.KR3</t>
  </si>
  <si>
    <t>ĐK.O2.TBCH.O2</t>
  </si>
  <si>
    <t>ĐK.O2.KR1.TBCH.O2.KR1</t>
  </si>
  <si>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</si>
  <si>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ĐK.O2.KR1.TBCH.O2.KR2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</si>
  <si>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</si>
  <si>
    <r>
      <t xml:space="preserve">Hoàn thành </t>
    </r>
    <r>
      <rPr>
        <b/>
        <sz val="14"/>
        <rFont val="Times New Roman"/>
        <family val="1"/>
      </rPr>
      <t>682/801</t>
    </r>
    <r>
      <rPr>
        <sz val="14"/>
        <rFont val="Times New Roman"/>
        <family val="1"/>
      </rPr>
      <t xml:space="preserve"> hạng mục chiếm tỷ trọng </t>
    </r>
    <r>
      <rPr>
        <b/>
        <sz val="14"/>
        <rFont val="Times New Roman"/>
        <family val="1"/>
      </rPr>
      <t>85%</t>
    </r>
    <r>
      <rPr>
        <sz val="14"/>
        <rFont val="Times New Roman"/>
        <family val="1"/>
      </rPr>
      <t xml:space="preserve"> (Tính đến ngày 26/1). Kế hoạch hoàn thành đến 30/01/2026</t>
    </r>
  </si>
  <si>
    <t>ĐK.O2.KR1.TBCH.O2.KR3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</si>
  <si>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</si>
  <si>
    <t>ĐK.O2.KR1.TBCH.O2.KR4</t>
  </si>
  <si>
    <t>Minhvq; Linhln</t>
  </si>
  <si>
    <t>ĐK.O2.KR1.TBCH.O2.KR5</t>
  </si>
  <si>
    <t>Hoàn thành thực hiện KPPN 1 hạng mục lắp mái che cho 16 switch báo vị trí gàu nâng V07611A/B</t>
  </si>
  <si>
    <t>ĐK.O3.TBCH.O3</t>
  </si>
  <si>
    <t>ĐK.O3.KR1.TBCH.O3.KR1</t>
  </si>
  <si>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</si>
  <si>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ĐK.O3.KR1.TBCH.O3.KR2</t>
  </si>
  <si>
    <r>
      <t xml:space="preserve">Trong tháng thẻ STOP ghi được </t>
    </r>
    <r>
      <rPr>
        <b/>
        <sz val="14"/>
        <rFont val="Times New Roman"/>
        <family val="1"/>
      </rPr>
      <t>14/7</t>
    </r>
    <r>
      <rPr>
        <sz val="14"/>
        <rFont val="Times New Roman"/>
        <family val="1"/>
      </rPr>
      <t xml:space="preserve"> thẻ đạt tỷ lệ </t>
    </r>
    <r>
      <rPr>
        <b/>
        <sz val="14"/>
        <rFont val="Times New Roman"/>
        <family val="1"/>
      </rPr>
      <t>100%</t>
    </r>
    <r>
      <rPr>
        <sz val="14"/>
        <rFont val="Times New Roman"/>
        <family val="1"/>
      </rPr>
      <t xml:space="preserve"> so với tổng số nhân sự</t>
    </r>
  </si>
  <si>
    <t>ĐK.O3.KR1.TBCH.O3.KR3</t>
  </si>
  <si>
    <t>ĐK.O4.TBCH.O4</t>
  </si>
  <si>
    <t>ĐK.O4.KR1.TBCH.O4.KR1</t>
  </si>
  <si>
    <t>ĐK.O4.KR1.TBCH.O4.KR2</t>
  </si>
  <si>
    <t>ĐK.O4.KR1.TBCH.O4.KR3</t>
  </si>
  <si>
    <t>Phối hợp đầu mối thực hiện các công việc theo phạm vị Đội TBCH phụ trách khi có yêu cầu.</t>
  </si>
  <si>
    <t>ĐK.O4.KR1.TBCH.O4.KR4</t>
  </si>
  <si>
    <t>ĐK.O4.KR1.TBCH.O4.KR5</t>
  </si>
  <si>
    <t>Đã tham gia họp thống nhất đối tượng thực hiện, làm rõ phạm vi công việc theo lịch của đầu mối.</t>
  </si>
  <si>
    <t>ĐK.O4.KR1.TBCH.O4.KR6</t>
  </si>
  <si>
    <t>Vunv</t>
  </si>
  <si>
    <r>
      <t>Đã tham gia họp thống nhất kế hoạch thực hiện công việc và đưa ra deadline ra YCKT dịch vụ cải tạo hệ thống máng cáp và giao cho nhận sự</t>
    </r>
    <r>
      <rPr>
        <sz val="14"/>
        <color rgb="FFFF0000"/>
        <rFont val="Times New Roman"/>
        <family val="1"/>
      </rPr>
      <t xml:space="preserve"> Nguyễn Văn Vũ</t>
    </r>
    <r>
      <rPr>
        <sz val="14"/>
        <rFont val="Times New Roman"/>
        <family val="1"/>
      </rPr>
      <t xml:space="preserve"> phụ trách trực tiếp gói dịch vụ này.</t>
    </r>
  </si>
  <si>
    <t>ĐK.O5.TBCH.O5</t>
  </si>
  <si>
    <t>ĐK.O5.KR1.TBCH.O5.KR1</t>
  </si>
  <si>
    <t>ĐK.O5.KR1.TBCH.O5.KR2</t>
  </si>
  <si>
    <t>ĐK.O5.KR1.TBCH.O5.KR3</t>
  </si>
  <si>
    <r>
      <t xml:space="preserve">- Tổ chức triển khai đào tạo nội bộ theo kế hoạch đã được phê duyệt như </t>
    </r>
    <r>
      <rPr>
        <b/>
        <sz val="14"/>
        <rFont val="Times New Roman"/>
        <family val="1"/>
      </rPr>
      <t>Phụ lục 1.2</t>
    </r>
    <r>
      <rPr>
        <sz val="14"/>
        <rFont val="Times New Roman"/>
        <family val="1"/>
      </rPr>
      <t>;
- Đánh giá thường xuyên/đột xuất việc triển khai đào tạo nội bộ trong đội;
- Hoàn thiện hồ sơ đào tạo nội bộ theo qui chế.</t>
    </r>
  </si>
  <si>
    <t>ĐK.O5.KR1.TBCH.O5.KR4</t>
  </si>
  <si>
    <r>
      <t xml:space="preserve">- Tìm hiểu, nghiên cứu soạn slide trình bày nội bộ Đội;
- Thông báo khuyến khích các Đội/ tổ khác tham gia;
- Tổ chức triển khai hội thảo theo kế hoạch như </t>
    </r>
    <r>
      <rPr>
        <b/>
        <sz val="14"/>
        <rFont val="Times New Roman"/>
        <family val="1"/>
      </rPr>
      <t>Phụ lục 1.4.</t>
    </r>
  </si>
  <si>
    <t>ĐK.O5.KR1.TBCH.O5.KR5</t>
  </si>
  <si>
    <t>Đã bố trí, sắp xếp nhân sự xử lý 4 hạng mục TPM tag từ đầu mối gửi</t>
  </si>
  <si>
    <t>ĐK.O5.KR1.TBCH.O5.KR6</t>
  </si>
  <si>
    <t>ĐK.O5.KR1.TBCH.O5.KR7</t>
  </si>
  <si>
    <t>ĐK.O5.KR1.TBCH.O5.KR8</t>
  </si>
  <si>
    <t>ĐK.O5.KR1.TBCH.O5.KR9</t>
  </si>
  <si>
    <t>ĐK.O5.KR1.TBCH.O5.KR10</t>
  </si>
  <si>
    <r>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t>
    </r>
    <r>
      <rPr>
        <sz val="14"/>
        <color rgb="FFFF0000"/>
        <rFont val="Times New Roman"/>
        <family val="1"/>
      </rPr>
      <t>/Phân tích/TB đo khí cầm tay;</t>
    </r>
    <r>
      <rPr>
        <sz val="14"/>
        <color theme="1"/>
        <rFont val="Times New Roman"/>
        <family val="1"/>
      </rPr>
      <t xml:space="preserve">
- Đội TB Đo: PI,TI/ ACC/ PA/Camera/Bộ đàm;
- Đội TBHTĐK: Hệ thống phòng cháy</t>
    </r>
  </si>
  <si>
    <r>
      <t xml:space="preserve">- Thực hiện rà soát kế hoạch bảo dưỡng cả năm các thiết bị TB </t>
    </r>
    <r>
      <rPr>
        <sz val="14"/>
        <color rgb="FFFF0000"/>
        <rFont val="Times New Roman"/>
        <family val="1"/>
      </rPr>
      <t>SP/NPK/GN/Quan trắc/Phân tích/TB đo khí cầm tay.</t>
    </r>
    <r>
      <rPr>
        <sz val="14"/>
        <color theme="1"/>
        <rFont val="Times New Roman"/>
        <family val="1"/>
      </rPr>
      <t xml:space="preserve">
- Gửi đầu mối cập nhật dữ liệu master trên SAP nếu có điều chỉnh.</t>
    </r>
  </si>
  <si>
    <t xml:space="preserve">Linhln; </t>
  </si>
  <si>
    <t>ĐK.O5.KR1.TBCH.O5.KR11</t>
  </si>
  <si>
    <t>ĐK.O5.KR1.TBCH.O5.KR12</t>
  </si>
  <si>
    <t>Trong tháng  có đăng ký 1 CTKT đã được LĐX phê duyệt.</t>
  </si>
  <si>
    <t>ĐK.O5.KR1.TBCH.O5.KR13</t>
  </si>
  <si>
    <t>ĐK.O5.KR1.TBCH.O5.KR14</t>
  </si>
  <si>
    <t>ĐK.O6.TBCH.O6</t>
  </si>
  <si>
    <t>ĐK.O6.TBCH.O6.KR1</t>
  </si>
  <si>
    <t>Số nhân sự tham gia</t>
  </si>
  <si>
    <t>Có tham gia</t>
  </si>
  <si>
    <t>- Ngày 17/1 có 5/8 nhân sự thàm gia Lĩnh, Vũ, Cưng, Đ. Trung, Đức Anh. (Trừ 6 nhân sự tham gia BDTT ĐPM và Tuyên được miễn)</t>
  </si>
  <si>
    <t>ĐK.O6.TBCH.O6.KR2</t>
  </si>
  <si>
    <t>ĐK.O6.TBCH.O6.KR3</t>
  </si>
  <si>
    <t xml:space="preserve">-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
</t>
  </si>
  <si>
    <t>ĐK.O6.TBCH.O6.KR4</t>
  </si>
  <si>
    <t>Số nhân sự tương tác</t>
  </si>
  <si>
    <t>Có tương tác</t>
  </si>
  <si>
    <t>- Cung cấp thông tin, cập nhật nội dung nổi bật của Đội cho đầu mối Xưởng.
- Thường xuyên động viên các thành viên trong Đội theo dõi tương tác, phản hồi các bài viết của Xưởng sau khi được đăng trên Gapo.</t>
  </si>
  <si>
    <t>TỔNG</t>
  </si>
  <si>
    <t>Đánh giá chung</t>
  </si>
  <si>
    <t>KẾ HOẠCH /MỤC TIÊU 2026 TỔ TRỰC CA ĐIỀU KHIỂN</t>
  </si>
  <si>
    <t>Báo cáo tình hình thực hiện: Tháng 1/2026</t>
  </si>
  <si>
    <t>Tình hình thực hiện:
- % 100 Hoàn thành 230 hạng mục  trong đó 06 chưa hoàn thành vì lý do khách quan( hết tồn kho, chưa bàn giao ...) 
- Số thẻ STOP ghi nhận: 10/8 thẻ
- Số SK/CTKT trong tháng: 03
- Số giờ ĐTNB thực hiện trong tháng 0/296 giờ 
 - HT nội bộ theo kế hoạch 0/12 hội thảo .
- TĐT theo kế hoạch xx. Tích lũy 3/39 
- % Nhân sự tham gia hoạt động ĐTN Lần 1: 5 người, &gt;50%
-%  Nhân sự tham gia hoạt động ĐTN  lần 2:N/A.</t>
  </si>
  <si>
    <t xml:space="preserve">Đánh giá 
</t>
  </si>
  <si>
    <t xml:space="preserve">Ghi chú </t>
  </si>
  <si>
    <t>ĐK.O1.TCĐK.O1</t>
  </si>
  <si>
    <t>ĐK.O1.KR1.TCĐK.O1.KR3</t>
  </si>
  <si>
    <t>Đảm bảo công tác sửa chữa đột xuất có nhận diện mối nguy và ĐGRR đối với hạng mục có mối nguy</t>
  </si>
  <si>
    <r>
      <t xml:space="preserve">- Thực hiện đúng phương án cách ly cô lập
- Nâng cao nâng lực nhận diện mối nguy.
+ Kiểm tra tính đúng của GPLV.
+ ATVSV thường xuyên kiểm tra An toàn con người &amp; thiết bị khi thực hiện công việc.
+ Tham gia đầy đủ các khóa đào tạo về An toàn do nhà máy tổ chức.
+ Thường xuyên đọc phân tích logic P&amp;ID </t>
    </r>
    <r>
      <rPr>
        <b/>
        <sz val="20"/>
        <color theme="1"/>
        <rFont val="Times New Roman"/>
        <family val="1"/>
      </rPr>
      <t>mới</t>
    </r>
    <r>
      <rPr>
        <sz val="20"/>
        <color theme="1"/>
        <rFont val="Times New Roman"/>
        <family val="1"/>
      </rPr>
      <t xml:space="preserve"> của phòng CN.  
+ Tổ chức hội thảo  trong ca về chủ đề nâng cao độ tin cậy </t>
    </r>
    <r>
      <rPr>
        <b/>
        <sz val="20"/>
        <color theme="1"/>
        <rFont val="Times New Roman"/>
        <family val="1"/>
      </rPr>
      <t>Volting</t>
    </r>
    <r>
      <rPr>
        <sz val="20"/>
        <color theme="1"/>
        <rFont val="Times New Roman"/>
        <family val="1"/>
      </rPr>
      <t xml:space="preserve"> thiết bị trong nhà máy.
+ Tổ chức hội thảo trong ca về </t>
    </r>
    <r>
      <rPr>
        <b/>
        <sz val="20"/>
        <color theme="1"/>
        <rFont val="Times New Roman"/>
        <family val="1"/>
      </rPr>
      <t>Voting thiết bị động</t>
    </r>
    <r>
      <rPr>
        <sz val="20"/>
        <color theme="1"/>
        <rFont val="Times New Roman"/>
        <family val="1"/>
      </rPr>
      <t xml:space="preserve"> (2oo4 ) máy động trong nhà máy</t>
    </r>
    <r>
      <rPr>
        <sz val="20"/>
        <rFont val="Times New Roman"/>
        <family val="1"/>
      </rPr>
      <t xml:space="preserve"> (Phụ lục 01 Hội thảo)</t>
    </r>
    <r>
      <rPr>
        <sz val="20"/>
        <color theme="1"/>
        <rFont val="Times New Roman"/>
        <family val="1"/>
      </rPr>
      <t xml:space="preserve">
- Thường xuyên cập nhật các MOC( Management of Change) , yêu cầu đơn vị chuyên môn chuẩn hóa, bổ sung tài liệu kỹ thuật</t>
    </r>
  </si>
  <si>
    <t xml:space="preserve">Kiaq;
</t>
  </si>
  <si>
    <t xml:space="preserve">Hoàn thành </t>
  </si>
  <si>
    <t>- Quản lý, lưu trữ các phương án cách ly đã được ban hành để đảm bảo truy xuất dễ nhất</t>
  </si>
  <si>
    <t>ĐK.O1.KR1.TCĐK.O1.KR4</t>
  </si>
  <si>
    <t>- Nâng cao nâng lực nhận diện mối nguy, như mô tả 'ĐK.O1.KR1.TCĐK.O1.KR3
- Thực hiện ĐGRR nếu có mối nguy
- Tăng cường giám sát và dừng việc nếu nhận diện có mối nguy mới</t>
  </si>
  <si>
    <t>ĐK.O2.TCĐK.O2</t>
  </si>
  <si>
    <t>ĐK.O1.KR1.TCĐK.O2.KR1</t>
  </si>
  <si>
    <t xml:space="preserve">-Triển khai 100%  theo sự phân công của đầu mối, 
 -Phối hợp đầu mối khi có yêu cầu đầu mối
</t>
  </si>
  <si>
    <t xml:space="preserve">Triển khai theo đầu mối tổ chức </t>
  </si>
  <si>
    <t>ĐK.O2.KR1.TCĐK.O2.KR2</t>
  </si>
  <si>
    <r>
      <t>Triển khai công tác sửa chữa đột xuất đảm bảo</t>
    </r>
    <r>
      <rPr>
        <b/>
        <sz val="20"/>
        <color theme="1"/>
        <rFont val="Times New Roman"/>
        <family val="1"/>
      </rPr>
      <t xml:space="preserve"> kịp thời</t>
    </r>
    <r>
      <rPr>
        <sz val="20"/>
        <color theme="1"/>
        <rFont val="Times New Roman"/>
        <family val="1"/>
      </rPr>
      <t xml:space="preserve"> và </t>
    </r>
    <r>
      <rPr>
        <b/>
        <sz val="20"/>
        <color theme="1"/>
        <rFont val="Times New Roman"/>
        <family val="1"/>
      </rPr>
      <t>chất lượng</t>
    </r>
  </si>
  <si>
    <r>
      <t xml:space="preserve">-Tổ chức nguồn nhân sự trực ca đảm bảo đủ về số lượng, đạt yêu cầu về chuyên môn.
- Sắp xếp nguồn lực dự phòng phù hợp đảm bảo hỗ trợ xử lý kịp thời các tình huống sự cố Nhà máy.
- Thường xuyên kiểm tra chất lượng công tác SCĐX, đảm bảo các hạng mục đã sửa chữa không lặp lại hư hỏng do chủ quan với cùng nội dung trong tháng.(Loại trừ khu vực  đóng bao Sản Phẩm, Giao Nhận, NPK. )
- Thực hiện các cải tiến/cải tạo đối với các hạng mục hư hỏng thường xuyên do thiết kế hay điều kiện không phù hợp.
- </t>
    </r>
    <r>
      <rPr>
        <sz val="20"/>
        <rFont val="Times New Roman"/>
        <family val="1"/>
      </rPr>
      <t xml:space="preserve"> Tổ chức ĐGRR về kỹ thuật</t>
    </r>
    <r>
      <rPr>
        <sz val="20"/>
        <color theme="1"/>
        <rFont val="Times New Roman"/>
        <family val="1"/>
      </rPr>
      <t xml:space="preserve">, an toàn khi thực hiện với các vấn đề có liên quan, phổ biến bảng ĐGRR </t>
    </r>
    <r>
      <rPr>
        <sz val="20"/>
        <rFont val="Times New Roman"/>
        <family val="1"/>
      </rPr>
      <t>đến các thành viên trước khi thực công việc.</t>
    </r>
    <r>
      <rPr>
        <sz val="20"/>
        <color theme="1"/>
        <rFont val="Times New Roman"/>
        <family val="1"/>
      </rPr>
      <t xml:space="preserve">
- Theo dõi các hạng mục tồn động, đề xuất vật tư có liên quan. 
- Theo dõi tình hình vật tư trong công tác SCĐX . 
- Đánh giá tồn động hàng ngày để điều chỉnh, đảm bảo kiểm soát các hạng mục triển khai thự hiện.
- Báo cáo kết quả triển khai hàng ca, hàng tuần và hàng tháng</t>
    </r>
  </si>
  <si>
    <t xml:space="preserve"> Trong tháng 25/12 ~ 25/1 có tổng  230 hạng mục xử lý, trong đó tồn đọng 7 hạng mục chưa đạt khách quan: 
+ 5 hết tồn kho(06TT-1081, 04TT-2114, 06TT-1068,04TT-2027B, 20AT-2008)  
+ 1  chuyển Đội HC xử lý do cần đầu mối liên hệ NCC xử lý tìm nguyên nhân (04PIC-2410) </t>
  </si>
  <si>
    <t>ĐK.O2.KR1.TCĐK.O2.KR3</t>
  </si>
  <si>
    <r>
      <t xml:space="preserve">Triển khai công tác BDTT theo kế hoạch đảm bảo </t>
    </r>
    <r>
      <rPr>
        <b/>
        <sz val="20"/>
        <color theme="1"/>
        <rFont val="Times New Roman"/>
        <family val="1"/>
      </rPr>
      <t>chất lượng</t>
    </r>
  </si>
  <si>
    <t>- Sắp xếp nguồn lực cho các tổ BDTT2025 theo yêu cầu.
- Thực hiện theo yêu cầu VH dừng máy An Toàn.
- Thực hiện theo yêu cầu VH khởi động máy An Toàn.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</si>
  <si>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 xml:space="preserve">Triển khai theo đầu mối tổ chức nhóm BDTT </t>
  </si>
  <si>
    <t>ĐK.O2.KR1.TCĐK.O2.KR5</t>
  </si>
  <si>
    <t>Triển khai hành động KPPN, căn cứ theo KL điều tra sự cố</t>
  </si>
  <si>
    <t xml:space="preserve">-Sắp xếp nguồn lực kịp thời, nhanh chóng xử lý KPPN có liên quan khi xảy ra sự cố.
- Theo dõi, tiếp nhận các yêu cầu KPPN định kỳ hàng ngày
- Triển khai, phối hợp thực hiện các yêu cầu KPPN khi có đủ điều kiện
</t>
  </si>
  <si>
    <t>ĐK.O3.TCĐK.O3</t>
  </si>
  <si>
    <t>ĐK.O3.KR1.TCĐK.O3.KR1</t>
  </si>
  <si>
    <t>- Thực hiện kiểm tra an toàn cấp 1 đầy đủ, nghiêm túc.
- Phối hợp kiểm tra an toàn cấp 2, 3  đảm bảo 100% điểm không phù hợp được khắc phục.
- Sử dụng đầy đủ PPE, các thiết bị, công cụ, dụng cụ đảm bảo an toàn khi thực hiện công việc.
- Tổ chức ĐGRR về an toàn, phổ biến bảng ĐGRR đến bộ cá nhân tham gia thực công việc.
- Tuyên truyền cho thành viên Tổ Trực Ca trong công tác ATVSLĐ/Nâng cao ý thức  trong công tác ATVSLĐ.</t>
  </si>
  <si>
    <t>ĐK.O3.KR1.TCĐK.O3.KR2</t>
  </si>
  <si>
    <r>
      <t xml:space="preserve">-Triển khai hoàn thành các công việc được phân công với chỉ tiêu đạt </t>
    </r>
    <r>
      <rPr>
        <b/>
        <sz val="20"/>
        <color theme="1"/>
        <rFont val="Times New Roman"/>
        <family val="1"/>
      </rPr>
      <t>100%</t>
    </r>
    <r>
      <rPr>
        <sz val="20"/>
        <color theme="1"/>
        <rFont val="Times New Roman"/>
        <family val="1"/>
      </rPr>
      <t xml:space="preserve"> trong hoạt động xây dựng chương trình STOP của Xưởng, trong tháng có ít n</t>
    </r>
    <r>
      <rPr>
        <sz val="20"/>
        <rFont val="Times New Roman"/>
        <family val="1"/>
      </rPr>
      <t>hất 8</t>
    </r>
    <r>
      <rPr>
        <sz val="20"/>
        <color theme="1"/>
        <rFont val="Times New Roman"/>
        <family val="1"/>
      </rPr>
      <t xml:space="preserve"> thẻ Stop được ghi nhận </t>
    </r>
  </si>
  <si>
    <t>Tham gia chương trình STOP, trong tháng tích lũy 10/8 thẻ</t>
  </si>
  <si>
    <t xml:space="preserve">Hoàn thành tốt  </t>
  </si>
  <si>
    <t xml:space="preserve">STOP: 10/8 thẻ </t>
  </si>
  <si>
    <t>ĐK.O3.KR1.TCĐK.O3.KR3</t>
  </si>
  <si>
    <t>-Tham gia các khóa đào tạo an toàn theo yêu cầu từ đầu mối Xưởng tổ chức và các hoạt động về diễn tập An toàn được tổ chức bởi ca / kíp Nhà máy.</t>
  </si>
  <si>
    <t xml:space="preserve">Trong tháng không có khóa đào tạo </t>
  </si>
  <si>
    <t>ĐK.O4.TCĐK.O4</t>
  </si>
  <si>
    <t>ĐK.O4.KR1.TCĐK.O4.KR2</t>
  </si>
  <si>
    <t xml:space="preserve">Tháng </t>
  </si>
  <si>
    <t xml:space="preserve">-Triển khai theo phân công của đầu mối, và nguồn lực của hiện tại của trực ca </t>
  </si>
  <si>
    <t xml:space="preserve">Triển khai theo yêu cầu phối hợp của đầu mối tổ chức </t>
  </si>
  <si>
    <t>ĐK.O4.KR1.TCĐK.O4.KR3</t>
  </si>
  <si>
    <t>ĐK.O4.KR1.TCĐK.O4.KR4</t>
  </si>
  <si>
    <t>ĐK.O4.KR1.TCĐK.O4.KR5</t>
  </si>
  <si>
    <t>ĐK.O4.KR1.TCĐK.O4.KR6</t>
  </si>
  <si>
    <t>ĐK.O5.TCĐK.O5</t>
  </si>
  <si>
    <t>ĐK.O5.KR1.TCĐK.O5.KR1</t>
  </si>
  <si>
    <r>
      <t>-Triển khai 100%  theo sự phân công của đầu mối, 
 -Phối hợp đầu mối khi có yêu cầ</t>
    </r>
    <r>
      <rPr>
        <sz val="20"/>
        <rFont val="Times New Roman"/>
        <family val="1"/>
      </rPr>
      <t>u đầu mối</t>
    </r>
  </si>
  <si>
    <t>Triển khai theo đầu mối tổ chức</t>
  </si>
  <si>
    <t>ĐK.O5.KR1.TCĐK.O5.KR2</t>
  </si>
  <si>
    <r>
      <t>-Triển khai 100%  theo sự phân công của đầu mối, 
 -Phối hợp đầu mối khi có yêu cầu</t>
    </r>
    <r>
      <rPr>
        <sz val="20"/>
        <rFont val="Times New Roman"/>
        <family val="1"/>
      </rPr>
      <t xml:space="preserve"> đầu mối</t>
    </r>
  </si>
  <si>
    <t>ĐK.O5.KR1.TCĐK.O5.KR3</t>
  </si>
  <si>
    <r>
      <t>-Triển khai 100%  theo sự phân công của đầu mối, 
 -Phối hợp đầu mối khi có yêu c</t>
    </r>
    <r>
      <rPr>
        <sz val="20"/>
        <rFont val="Times New Roman"/>
        <family val="1"/>
      </rPr>
      <t>ầu đầu mối.
-Triển khai đào tạo nội bộ theo kế hoạch, phụ lục 04</t>
    </r>
  </si>
  <si>
    <t>Đào tạo nội bộ theo kế hoạch phê duyệt 
Theo kế hoạch: 0/296 giờ.
Tích lũy: 0%</t>
  </si>
  <si>
    <t>Theo kế hoạch: 0 
Tích lũy: 0/11</t>
  </si>
  <si>
    <t>ĐK.O5.KR1.TCĐK.O5.KR4</t>
  </si>
  <si>
    <t>Trụ cột ET: Tổ chức hội thảo chuyên môn (Bắt buộc với chức danh Kỹ sư và khuyến khích đối với chức danh KTV)</t>
  </si>
  <si>
    <t xml:space="preserve">- Tổ chức hội thảo theo kế hoạch đăng ký, phụ lục 01
</t>
  </si>
  <si>
    <t xml:space="preserve">Tổ chức hội thảo theo kế hoạch.
Theo kế hoạch: 0/12 hội thảo 
Tích lũy: 0% </t>
  </si>
  <si>
    <t>Theo kế hoạch: 0 
Tích lũy: 0/12</t>
  </si>
  <si>
    <t>ĐK.O5.KR1.TCĐK.O5.KR5</t>
  </si>
  <si>
    <t>-Triển khai theo theo đầu mối phụ trách .</t>
  </si>
  <si>
    <t xml:space="preserve"> Triển khai đào tạo bên ngoài theo kế hoạch được phê duyệt</t>
  </si>
  <si>
    <t>ĐK.O5.KR1.TCĐK.O5.KR6</t>
  </si>
  <si>
    <t>-Triển khai 100%  Triển khai chuẩn hóa giáo trình đào tạo theo kế hoạch, phụ lục 02</t>
  </si>
  <si>
    <t xml:space="preserve"> Chuẩn hóa giáo trình theo kế hoạch
Theo kế hoạch: 0/2 GT 
Tích lũy: 0%
</t>
  </si>
  <si>
    <t>CHCG: 0 / tháng 
Tích  lũy : 0/2</t>
  </si>
  <si>
    <t>ĐK.O5.KR1.TCĐK.O5.KR7</t>
  </si>
  <si>
    <t xml:space="preserve">Trụ cột ET: Triển khai chuẩn hóa TĐT theo kế hoạch </t>
  </si>
  <si>
    <t>-Triển khai 100%  Triển khai chuẩn hóa thẻ đào tạo theo kế hoạch, phụ lục 03</t>
  </si>
  <si>
    <t xml:space="preserve">Chuẩn hóa TĐT theo kế hoạch 
Theo kế hoạch: 2/39 TĐT + 1 TĐT mới 
Tích lũy:0.05%
</t>
  </si>
  <si>
    <t>Theo kế hoạch 2 / tháng + 1 đăng ký thêm 
Tích lũy : 3/ 39</t>
  </si>
  <si>
    <t>ĐK.O5.KR1.TCĐK.O5.KR8</t>
  </si>
  <si>
    <t>ĐK.O5.KR1.TCĐK.O5.KR9</t>
  </si>
  <si>
    <t>ĐK.O5.KR1.TCĐK.O5.KR10</t>
  </si>
  <si>
    <t>Triển khai theo trụ cột AM Xử lý các thẻ TPM tag</t>
  </si>
  <si>
    <t>ĐK.O5.KR1.TCĐK.O5.KR12</t>
  </si>
  <si>
    <r>
      <t>-Triển khai 100%  theo sự phân công của đầu mối, 
 -Phối hợp đầu mối khi có yêu cầu</t>
    </r>
    <r>
      <rPr>
        <sz val="20"/>
        <rFont val="Times New Roman"/>
        <family val="1"/>
      </rPr>
      <t xml:space="preserve"> đẩu mối.</t>
    </r>
  </si>
  <si>
    <t xml:space="preserve">Triển khai theo đầu mối phụ trách </t>
  </si>
  <si>
    <t>ĐK.O5.KR1.TCĐK.O5.KR13</t>
  </si>
  <si>
    <r>
      <t xml:space="preserve">-Triển khai 100%  theo sự phân công của đầu mối, 
 -Phối hợp đầu mối khi có yêu cầu </t>
    </r>
    <r>
      <rPr>
        <sz val="20"/>
        <rFont val="Times New Roman"/>
        <family val="1"/>
      </rPr>
      <t>đẩu mối.</t>
    </r>
  </si>
  <si>
    <t>3 ý tưởng/CTKT được công nhận</t>
  </si>
  <si>
    <t xml:space="preserve">Hoàn thành tốt </t>
  </si>
  <si>
    <t>ĐK.O5.KR1.TCĐK.O5.KR14</t>
  </si>
  <si>
    <t>Triển khai theo đầu mối  trụ cột OI</t>
  </si>
  <si>
    <t>ĐK.O5.KR1.TCĐK.O5.KR15</t>
  </si>
  <si>
    <t>Triển khai theo đầu mối trụ cột SHE</t>
  </si>
  <si>
    <t>ĐK.O6.TCĐK.O6</t>
  </si>
  <si>
    <t>ĐK.O6.TCĐK.O6.KR1</t>
  </si>
  <si>
    <t xml:space="preserve">Tháng
</t>
  </si>
  <si>
    <t xml:space="preserve">- Tổ chức đầu mối triển khai theo đầu mối ĐTN
- Thường xuyên khuyến khích, vận động Tổ trực ca tham gia
</t>
  </si>
  <si>
    <t xml:space="preserve">Lần 1 có 5/7 thành viên tham gia </t>
  </si>
  <si>
    <t>ĐK.O6.TCĐK.O6.KR2</t>
  </si>
  <si>
    <t xml:space="preserve">- Tổ chức đầu mối triển khai theo đầu mối ĐTN
- Thường xuyên khuyến khích, vận động Tổ trực ca tham gia 
</t>
  </si>
  <si>
    <t>ĐK.O6.TCĐK.O6.KR3</t>
  </si>
  <si>
    <r>
      <t xml:space="preserve">- Tổ chức đầu mối triển khai theo đầu mối ĐTN
- Thường xuyên khuyến khích, vận động CBCNV tham gia 
- Tháng 7: Hội thảo công tác chuẩn bị BDTT
- Đối tượng đứng: </t>
    </r>
    <r>
      <rPr>
        <sz val="20"/>
        <rFont val="Times New Roman"/>
        <family val="1"/>
      </rPr>
      <t>Nhóm Cán bộ được công nhận Giảng viên nội bộ</t>
    </r>
  </si>
  <si>
    <t>Kết luận chung :</t>
  </si>
  <si>
    <t xml:space="preserve">Tổ trực Ca </t>
  </si>
  <si>
    <r>
      <t xml:space="preserve">O6.KR1 OR/AND O6.KR2 (VHDN) = </t>
    </r>
    <r>
      <rPr>
        <b/>
        <sz val="15"/>
        <color rgb="FF00B050"/>
        <rFont val="Times New Roman"/>
        <family val="1"/>
      </rPr>
      <t>GOOD</t>
    </r>
  </si>
  <si>
    <r>
      <t xml:space="preserve">O5.KR13 (SK/CTKT) = </t>
    </r>
    <r>
      <rPr>
        <b/>
        <sz val="15"/>
        <color rgb="FF00B050"/>
        <rFont val="Times New Roman"/>
        <family val="1"/>
      </rPr>
      <t>GOOD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</si>
</sst>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0\ _₫_-;\-* #,##0.00\ _₫_-;_-* &quot;-&quot;??\ _₫_-;_-@_-"/>
    <numFmt numFmtId="166" formatCode="0.0%"/>
  </numFmts>
  <fonts count="58">
    <font>
      <sz val="11"/>
      <color theme="1"/>
      <name val="Calibri"/>
      <family val="2"/>
      <scheme val="minor"/>
    </font>
    <font>
      <sz val="12"/>
      <name val="Times New Roman"/>
      <family val="1"/>
    </font>
    <font>
      <b/>
      <sz val="12"/>
      <name val="Times New Roman"/>
      <family val="1"/>
    </font>
    <font>
      <b/>
      <sz val="12"/>
      <color theme="1"/>
      <name val="Times New Roman"/>
      <family val="1"/>
    </font>
    <font>
      <sz val="12"/>
      <color theme="1"/>
      <name val="Times New Roman"/>
      <family val="1"/>
    </font>
    <font>
      <sz val="11"/>
      <color theme="1"/>
      <name val="Calibri"/>
      <family val="2"/>
      <charset val="163"/>
      <scheme val="minor"/>
    </font>
    <font>
      <sz val="11"/>
      <color theme="1"/>
      <name val="Calibri"/>
      <family val="2"/>
      <scheme val="minor"/>
    </font>
    <font>
      <sz val="10"/>
      <name val="Arial"/>
      <family val="2"/>
    </font>
    <font>
      <sz val="12"/>
      <color theme="4"/>
      <name val="Times New Roman"/>
      <family val="1"/>
    </font>
    <font>
      <sz val="10"/>
      <color rgb="FF000000"/>
      <name val="Arial"/>
      <family val="2"/>
    </font>
    <font>
      <sz val="11"/>
      <name val="ＭＳ Ｐゴシック"/>
      <family val="3"/>
      <charset val="128"/>
    </font>
    <font>
      <sz val="12"/>
      <color rgb="FFFF0000"/>
      <name val="Times New Roman"/>
      <family val="1"/>
    </font>
    <font>
      <sz val="8"/>
      <name val="Calibri"/>
      <family val="2"/>
      <scheme val="minor"/>
    </font>
    <font>
      <i/>
      <sz val="12"/>
      <color theme="1"/>
      <name val="Times New Roman"/>
      <family val="1"/>
    </font>
    <font>
      <sz val="11"/>
      <color theme="0" tint="-0.34998626667073579"/>
      <name val="Calibri"/>
      <family val="2"/>
      <scheme val="minor"/>
    </font>
    <font>
      <b/>
      <i/>
      <sz val="14"/>
      <color rgb="FFFF0000"/>
      <name val="Times New Roman"/>
      <family val="1"/>
    </font>
    <font>
      <b/>
      <sz val="13"/>
      <color theme="1"/>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b/>
      <sz val="14"/>
      <color theme="1"/>
      <name val="Times New Roman"/>
      <family val="1"/>
    </font>
    <font>
      <b/>
      <sz val="16"/>
      <name val="Times New Roman"/>
      <family val="1"/>
    </font>
    <font>
      <b/>
      <sz val="16"/>
      <color rgb="FF00B050"/>
      <name val="Times New Roman"/>
      <family val="1"/>
    </font>
    <font>
      <b/>
      <sz val="16"/>
      <color rgb="FFFF33CC"/>
      <name val="Times New Roman"/>
      <family val="1"/>
    </font>
    <font>
      <sz val="16"/>
      <name val="Times New Roman"/>
      <family val="1"/>
    </font>
    <font>
      <sz val="15"/>
      <name val="Times New Roman"/>
      <family val="1"/>
    </font>
    <font>
      <b/>
      <sz val="15"/>
      <color rgb="FFFF0000"/>
      <name val="Times New Roman"/>
      <family val="1"/>
    </font>
    <font>
      <sz val="15"/>
      <color rgb="FFFF0000"/>
      <name val="Times New Roman"/>
      <family val="1"/>
    </font>
    <font>
      <b/>
      <sz val="15"/>
      <color rgb="FF00B050"/>
      <name val="Times New Roman"/>
      <family val="1"/>
    </font>
    <font>
      <b/>
      <sz val="18"/>
      <name val="Times New Roman"/>
      <family val="1"/>
    </font>
    <font>
      <b/>
      <sz val="16"/>
      <color rgb="FFFF0000"/>
      <name val="Times New Roman"/>
      <family val="1"/>
    </font>
    <font>
      <i/>
      <sz val="14"/>
      <name val="Times New Roman"/>
      <family val="1"/>
    </font>
    <font>
      <b/>
      <sz val="16"/>
      <color rgb="FF7030A0"/>
      <name val="Times New Roman"/>
      <family val="1"/>
    </font>
    <font>
      <sz val="13"/>
      <color theme="1"/>
      <name val="Times New Roman"/>
      <family val="1"/>
    </font>
    <font>
      <sz val="13"/>
      <name val="Times New Roman"/>
      <family val="1"/>
    </font>
    <font>
      <sz val="13"/>
      <color rgb="FFFF0000"/>
      <name val="Times New Roman"/>
      <family val="1"/>
    </font>
    <font>
      <b/>
      <sz val="11"/>
      <color theme="1"/>
      <name val="Times New Roman"/>
      <family val="1"/>
    </font>
    <font>
      <sz val="11"/>
      <color theme="1"/>
      <name val="Times New Roman"/>
      <family val="1"/>
    </font>
    <font>
      <sz val="11"/>
      <color rgb="FFFF0000"/>
      <name val="Times New Roman"/>
      <family val="1"/>
    </font>
    <font>
      <sz val="11"/>
      <name val="Times New Roman"/>
      <family val="1"/>
    </font>
    <font>
      <sz val="20"/>
      <name val="Times New Roman"/>
      <family val="1"/>
    </font>
    <font>
      <sz val="14"/>
      <color theme="1"/>
      <name val="Times New Roman"/>
      <family val="1"/>
    </font>
    <font>
      <sz val="14"/>
      <color theme="4"/>
      <name val="Times New Roman"/>
      <family val="1"/>
    </font>
    <font>
      <sz val="14"/>
      <color theme="1"/>
      <name val="Calibri"/>
      <family val="2"/>
      <scheme val="minor"/>
    </font>
    <font>
      <b/>
      <sz val="36"/>
      <color theme="0"/>
      <name val="Times New Roman"/>
      <family val="1"/>
    </font>
    <font>
      <b/>
      <sz val="24"/>
      <color rgb="FF7030A0"/>
      <name val="Adobe Pi Std"/>
      <family val="5"/>
    </font>
    <font>
      <b/>
      <sz val="20"/>
      <name val="Times New Roman"/>
      <family val="1"/>
    </font>
    <font>
      <sz val="12"/>
      <color theme="1"/>
      <name val="Calibri"/>
      <family val="2"/>
      <scheme val="minor"/>
    </font>
    <font>
      <b/>
      <sz val="14"/>
      <color rgb="FF002060"/>
      <name val="Times New Roman"/>
      <family val="1"/>
    </font>
    <font>
      <b/>
      <sz val="26"/>
      <color theme="1"/>
      <name val="Times New Roman"/>
      <family val="1"/>
    </font>
    <font>
      <b/>
      <sz val="20"/>
      <color theme="1"/>
      <name val="Times New Roman"/>
      <family val="1"/>
    </font>
    <font>
      <i/>
      <sz val="20"/>
      <color theme="1"/>
      <name val="Times New Roman"/>
      <family val="1"/>
    </font>
    <font>
      <b/>
      <i/>
      <sz val="20"/>
      <color theme="1"/>
      <name val="Times New Roman"/>
      <family val="1"/>
    </font>
    <font>
      <b/>
      <sz val="20"/>
      <color rgb="FFFF0000"/>
      <name val="Times New Roman"/>
      <family val="1"/>
    </font>
    <font>
      <sz val="20"/>
      <color theme="1"/>
      <name val="Times New Roman"/>
      <family val="1"/>
    </font>
    <font>
      <sz val="20"/>
      <color rgb="FFFF0000"/>
      <name val="Times New Roman"/>
      <family val="1"/>
    </font>
    <font>
      <b/>
      <sz val="20"/>
      <color theme="1"/>
      <name val="Times New Roman"/>
      <family val="1"/>
      <charset val="163"/>
    </font>
  </fonts>
  <fills count="19">
    <fill>
      <patternFill patternType="none"/>
    </fill>
    <fill>
      <patternFill patternType="gray125"/>
    </fill>
    <fill>
      <patternFill patternType="solid">
        <fgColor theme="9" tint="0.59999389629810485"/>
        <bgColor indexed="64"/>
      </patternFill>
    </fill>
    <fill>
      <patternFill patternType="solid">
        <fgColor rgb="FF00B0F0"/>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E598"/>
        <bgColor rgb="FFFFE598"/>
      </patternFill>
    </fill>
    <fill>
      <patternFill patternType="solid">
        <fgColor rgb="FFFFC00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rgb="FFFFE598"/>
      </patternFill>
    </fill>
    <fill>
      <patternFill patternType="solid">
        <fgColor theme="7" tint="0.79998168889431442"/>
        <bgColor rgb="FFFFE598"/>
      </patternFill>
    </fill>
    <fill>
      <patternFill patternType="solid">
        <fgColor rgb="FF00B0F0"/>
        <bgColor rgb="FFFFE598"/>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bgColor rgb="FFFFE598"/>
      </patternFill>
    </fill>
  </fills>
  <borders count="21">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64"/>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s>
  <cellStyleXfs count="13">
    <xf numFmtId="0" fontId="0" fillId="0" borderId="0"/>
    <xf numFmtId="164" fontId="5" fillId="0" borderId="0"/>
    <xf numFmtId="165" fontId="5" fillId="0" borderId="0"/>
    <xf numFmtId="0" fontId="1" fillId="0" borderId="0"/>
    <xf numFmtId="0" fontId="6" fillId="0" borderId="0"/>
    <xf numFmtId="0" fontId="5" fillId="0" borderId="0"/>
    <xf numFmtId="0" fontId="7" fillId="0" borderId="0"/>
    <xf numFmtId="0" fontId="9" fillId="0" borderId="0"/>
    <xf numFmtId="0" fontId="10" fillId="0" borderId="0">
      <alignment vertical="center"/>
    </xf>
    <xf numFmtId="164" fontId="6" fillId="0" borderId="0" applyFont="0" applyFill="0" applyBorder="0" applyAlignment="0" applyProtection="0"/>
    <xf numFmtId="9" fontId="6" fillId="0" borderId="0"/>
    <xf numFmtId="9" fontId="6" fillId="0" borderId="0" applyFont="0" applyFill="0" applyBorder="0" applyAlignment="0" applyProtection="0"/>
    <xf numFmtId="164" fontId="6" fillId="0" borderId="0" applyFont="0" applyFill="0" applyBorder="0" applyAlignment="0" applyProtection="0"/>
  </cellStyleXfs>
  <cellXfs count="480">
    <xf numFmtId="0" fontId="0" fillId="0" borderId="0" xfId="0"/>
    <xf numFmtId="0" fontId="2" fillId="2" borderId="1" xfId="0" applyFont="1" applyFill="1" applyBorder="1" applyAlignment="1">
      <alignment horizontal="center" vertical="center" wrapText="1"/>
    </xf>
    <xf numFmtId="0" fontId="4" fillId="0" borderId="1" xfId="5" applyFont="1" applyBorder="1" applyAlignment="1">
      <alignment horizontal="center" vertical="center" wrapText="1"/>
    </xf>
    <xf numFmtId="0" fontId="1" fillId="0" borderId="1" xfId="5" applyFont="1" applyBorder="1" applyAlignment="1">
      <alignment horizontal="center" vertical="center" wrapText="1"/>
    </xf>
    <xf numFmtId="0" fontId="4" fillId="0" borderId="0" xfId="0" applyFont="1"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4" fillId="0" borderId="1" xfId="0" applyFont="1" applyBorder="1" applyAlignment="1">
      <alignment vertical="center" wrapText="1"/>
    </xf>
    <xf numFmtId="0" fontId="8" fillId="0" borderId="0" xfId="0" applyFont="1" applyAlignment="1">
      <alignment vertical="center" wrapText="1"/>
    </xf>
    <xf numFmtId="9" fontId="11" fillId="0" borderId="0" xfId="0" applyNumberFormat="1" applyFont="1" applyAlignment="1">
      <alignment horizontal="center" vertical="center" wrapText="1"/>
    </xf>
    <xf numFmtId="0" fontId="3" fillId="3" borderId="1" xfId="0" quotePrefix="1" applyFont="1" applyFill="1" applyBorder="1" applyAlignment="1">
      <alignment horizontal="center" vertical="center"/>
    </xf>
    <xf numFmtId="0" fontId="2" fillId="3" borderId="1" xfId="0" quotePrefix="1" applyFont="1" applyFill="1" applyBorder="1" applyAlignment="1">
      <alignment horizontal="left" vertical="center" wrapText="1"/>
    </xf>
    <xf numFmtId="0" fontId="3" fillId="3" borderId="1" xfId="0" quotePrefix="1" applyFont="1" applyFill="1" applyBorder="1" applyAlignment="1">
      <alignment vertical="center" wrapText="1"/>
    </xf>
    <xf numFmtId="0" fontId="4" fillId="0" borderId="1" xfId="6" quotePrefix="1" applyFont="1" applyBorder="1" applyAlignment="1">
      <alignment horizontal="left" vertical="center" wrapText="1"/>
    </xf>
    <xf numFmtId="0" fontId="3" fillId="0" borderId="1" xfId="0" quotePrefix="1" applyFont="1" applyBorder="1" applyAlignment="1">
      <alignment horizontal="center" vertical="center"/>
    </xf>
    <xf numFmtId="0" fontId="1" fillId="0" borderId="1" xfId="0" quotePrefix="1" applyFont="1" applyBorder="1" applyAlignment="1">
      <alignment horizontal="left" vertical="center" wrapText="1"/>
    </xf>
    <xf numFmtId="0" fontId="0" fillId="0" borderId="0" xfId="0" applyAlignment="1">
      <alignment horizontal="center" vertical="center"/>
    </xf>
    <xf numFmtId="14" fontId="4" fillId="0" borderId="1" xfId="6" quotePrefix="1"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0" fontId="3" fillId="3" borderId="1" xfId="0" quotePrefix="1" applyFont="1" applyFill="1" applyBorder="1" applyAlignment="1">
      <alignment horizontal="center" vertical="center" wrapText="1"/>
    </xf>
    <xf numFmtId="0" fontId="3" fillId="0" borderId="0" xfId="0" quotePrefix="1" applyFont="1" applyAlignment="1">
      <alignment horizontal="center" vertical="center"/>
    </xf>
    <xf numFmtId="0" fontId="11" fillId="0" borderId="0" xfId="0" applyFont="1" applyAlignment="1">
      <alignment vertical="center" wrapText="1"/>
    </xf>
    <xf numFmtId="9" fontId="8" fillId="0" borderId="0" xfId="0" applyNumberFormat="1" applyFont="1" applyAlignment="1">
      <alignment vertical="center" wrapText="1"/>
    </xf>
    <xf numFmtId="9" fontId="2" fillId="3" borderId="1" xfId="0" quotePrefix="1" applyNumberFormat="1" applyFont="1" applyFill="1" applyBorder="1" applyAlignment="1">
      <alignment horizontal="center" vertical="center" wrapText="1"/>
    </xf>
    <xf numFmtId="9" fontId="1" fillId="0" borderId="1" xfId="6" quotePrefix="1" applyNumberFormat="1" applyFont="1" applyBorder="1" applyAlignment="1">
      <alignment horizontal="center" vertical="center" wrapText="1"/>
    </xf>
    <xf numFmtId="9" fontId="1" fillId="0" borderId="1" xfId="0" applyNumberFormat="1" applyFont="1" applyBorder="1" applyAlignment="1">
      <alignment horizontal="center" vertical="center" wrapText="1"/>
    </xf>
    <xf numFmtId="9" fontId="1" fillId="0" borderId="1" xfId="0" quotePrefix="1" applyNumberFormat="1" applyFont="1" applyBorder="1" applyAlignment="1">
      <alignment horizontal="center" vertical="center" wrapText="1"/>
    </xf>
    <xf numFmtId="9" fontId="2" fillId="2" borderId="1" xfId="0" applyNumberFormat="1" applyFont="1" applyFill="1" applyBorder="1" applyAlignment="1">
      <alignment horizontal="center" vertical="center" wrapText="1"/>
    </xf>
    <xf numFmtId="9" fontId="4" fillId="0" borderId="1" xfId="0" applyNumberFormat="1" applyFont="1" applyBorder="1" applyAlignment="1">
      <alignment vertical="center" wrapText="1"/>
    </xf>
    <xf numFmtId="0" fontId="1" fillId="0" borderId="1" xfId="0" applyFont="1" applyBorder="1" applyAlignment="1">
      <alignment vertical="center" wrapText="1"/>
    </xf>
    <xf numFmtId="9" fontId="0" fillId="0" borderId="0" xfId="11" applyFont="1"/>
    <xf numFmtId="166" fontId="0" fillId="0" borderId="0" xfId="11" applyNumberFormat="1" applyFont="1"/>
    <xf numFmtId="0" fontId="14" fillId="5" borderId="0" xfId="0" applyFont="1" applyFill="1"/>
    <xf numFmtId="0" fontId="0" fillId="6" borderId="0" xfId="0" applyFill="1"/>
    <xf numFmtId="0" fontId="0" fillId="0" borderId="0" xfId="0" applyAlignment="1">
      <alignment horizontal="center"/>
    </xf>
    <xf numFmtId="10" fontId="0" fillId="0" borderId="0" xfId="11" applyNumberFormat="1" applyFont="1" applyFill="1"/>
    <xf numFmtId="9" fontId="0" fillId="0" borderId="0" xfId="11" applyFont="1" applyFill="1"/>
    <xf numFmtId="0" fontId="3" fillId="7" borderId="10" xfId="0" quotePrefix="1" applyFont="1" applyFill="1" applyBorder="1" applyAlignment="1">
      <alignment horizontal="left" vertical="center" wrapText="1"/>
    </xf>
    <xf numFmtId="0" fontId="3" fillId="7" borderId="11" xfId="0" quotePrefix="1" applyFont="1" applyFill="1" applyBorder="1" applyAlignment="1">
      <alignment horizontal="left" vertical="center" wrapText="1"/>
    </xf>
    <xf numFmtId="0" fontId="3" fillId="7" borderId="11" xfId="0" applyFont="1" applyFill="1" applyBorder="1" applyAlignment="1">
      <alignment horizontal="center" vertical="center" wrapText="1"/>
    </xf>
    <xf numFmtId="0" fontId="2" fillId="3" borderId="1" xfId="0" quotePrefix="1"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6" quotePrefix="1" applyFont="1" applyBorder="1" applyAlignment="1">
      <alignment horizontal="center" vertical="center" wrapText="1"/>
    </xf>
    <xf numFmtId="9" fontId="4" fillId="0" borderId="1" xfId="6" quotePrefix="1" applyNumberFormat="1" applyFont="1" applyBorder="1" applyAlignment="1">
      <alignment horizontal="center" vertical="center" wrapText="1"/>
    </xf>
    <xf numFmtId="9" fontId="1" fillId="4" borderId="1" xfId="6" quotePrefix="1" applyNumberFormat="1" applyFont="1" applyFill="1" applyBorder="1" applyAlignment="1">
      <alignment horizontal="left" vertical="center" wrapText="1"/>
    </xf>
    <xf numFmtId="0" fontId="1" fillId="0" borderId="1" xfId="0" quotePrefix="1"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xf numFmtId="0" fontId="4" fillId="8" borderId="1" xfId="6" quotePrefix="1" applyFont="1" applyFill="1" applyBorder="1" applyAlignment="1">
      <alignment horizontal="center" vertical="center" wrapText="1"/>
    </xf>
    <xf numFmtId="0" fontId="16" fillId="0" borderId="1" xfId="0" applyFont="1" applyBorder="1" applyAlignment="1">
      <alignment vertical="center"/>
    </xf>
    <xf numFmtId="0" fontId="4" fillId="0" borderId="1" xfId="6" quotePrefix="1" applyFont="1" applyBorder="1" applyAlignment="1">
      <alignment vertical="center" wrapText="1"/>
    </xf>
    <xf numFmtId="0" fontId="4" fillId="8" borderId="1" xfId="5" applyFont="1" applyFill="1" applyBorder="1" applyAlignment="1">
      <alignment horizontal="center" vertical="center" wrapText="1"/>
    </xf>
    <xf numFmtId="0" fontId="4" fillId="8" borderId="1" xfId="6" quotePrefix="1" applyFont="1" applyFill="1" applyBorder="1" applyAlignment="1">
      <alignment horizontal="left" vertical="center" wrapText="1"/>
    </xf>
    <xf numFmtId="9" fontId="1" fillId="8" borderId="1" xfId="6" quotePrefix="1" applyNumberFormat="1" applyFont="1" applyFill="1" applyBorder="1" applyAlignment="1">
      <alignment horizontal="center" vertical="center" wrapText="1"/>
    </xf>
    <xf numFmtId="9" fontId="1" fillId="8" borderId="1" xfId="6" quotePrefix="1" applyNumberFormat="1" applyFont="1" applyFill="1" applyBorder="1" applyAlignment="1">
      <alignment horizontal="left" vertical="center" wrapText="1"/>
    </xf>
    <xf numFmtId="14" fontId="1" fillId="8" borderId="1" xfId="0" applyNumberFormat="1" applyFont="1" applyFill="1" applyBorder="1" applyAlignment="1">
      <alignment horizontal="center" vertical="center" wrapText="1"/>
    </xf>
    <xf numFmtId="14" fontId="4" fillId="8" borderId="1" xfId="6" quotePrefix="1" applyNumberFormat="1" applyFont="1" applyFill="1" applyBorder="1" applyAlignment="1">
      <alignment horizontal="center" vertical="center" wrapText="1"/>
    </xf>
    <xf numFmtId="0" fontId="1" fillId="8" borderId="1" xfId="0" quotePrefix="1" applyFont="1" applyFill="1" applyBorder="1" applyAlignment="1">
      <alignment horizontal="center" vertical="center" wrapText="1"/>
    </xf>
    <xf numFmtId="0" fontId="1" fillId="8" borderId="0" xfId="0" applyFont="1" applyFill="1" applyAlignment="1">
      <alignment vertical="center" wrapText="1"/>
    </xf>
    <xf numFmtId="9" fontId="4" fillId="8" borderId="1" xfId="6" quotePrefix="1" applyNumberFormat="1" applyFont="1" applyFill="1" applyBorder="1" applyAlignment="1">
      <alignment horizontal="center" vertical="center" wrapText="1"/>
    </xf>
    <xf numFmtId="0" fontId="4" fillId="3" borderId="1" xfId="6" quotePrefix="1" applyFont="1" applyFill="1" applyBorder="1" applyAlignment="1">
      <alignment horizontal="center" vertical="center" wrapText="1"/>
    </xf>
    <xf numFmtId="9" fontId="1" fillId="3" borderId="1" xfId="6" quotePrefix="1" applyNumberFormat="1" applyFont="1" applyFill="1" applyBorder="1" applyAlignment="1">
      <alignment horizontal="center" vertical="center" wrapText="1"/>
    </xf>
    <xf numFmtId="0" fontId="1" fillId="0" borderId="1" xfId="6" quotePrefix="1" applyFont="1" applyBorder="1" applyAlignment="1">
      <alignment horizontal="center" vertical="center" wrapText="1"/>
    </xf>
    <xf numFmtId="0" fontId="1" fillId="0" borderId="1" xfId="0" applyFont="1" applyBorder="1" applyAlignment="1">
      <alignment horizontal="center" vertical="center" wrapText="1"/>
    </xf>
    <xf numFmtId="0" fontId="4" fillId="0" borderId="5" xfId="5" applyFont="1" applyBorder="1" applyAlignment="1">
      <alignment horizontal="center" vertical="center" wrapText="1"/>
    </xf>
    <xf numFmtId="0" fontId="4" fillId="0" borderId="0" xfId="6" quotePrefix="1" applyFont="1" applyAlignment="1">
      <alignment horizontal="left" vertical="center" wrapText="1"/>
    </xf>
    <xf numFmtId="0" fontId="8" fillId="0" borderId="0" xfId="0" applyFont="1" applyAlignment="1">
      <alignment horizontal="center" vertical="center" wrapText="1"/>
    </xf>
    <xf numFmtId="9" fontId="11" fillId="0" borderId="0" xfId="6" quotePrefix="1" applyNumberFormat="1" applyFont="1" applyAlignment="1">
      <alignment horizontal="center" vertical="center" wrapText="1"/>
    </xf>
    <xf numFmtId="14" fontId="1" fillId="0" borderId="0" xfId="0" applyNumberFormat="1" applyFont="1" applyAlignment="1">
      <alignment vertical="center" wrapText="1"/>
    </xf>
    <xf numFmtId="14" fontId="4" fillId="0" borderId="0" xfId="6" quotePrefix="1" applyNumberFormat="1" applyFont="1" applyAlignment="1">
      <alignment vertical="center" wrapText="1"/>
    </xf>
    <xf numFmtId="0" fontId="1" fillId="0" borderId="0" xfId="0" quotePrefix="1" applyFont="1" applyAlignment="1">
      <alignment horizontal="center" vertical="center" wrapText="1"/>
    </xf>
    <xf numFmtId="9" fontId="8" fillId="0" borderId="0" xfId="0" applyNumberFormat="1" applyFont="1" applyAlignment="1">
      <alignment horizontal="center" vertical="center" wrapText="1"/>
    </xf>
    <xf numFmtId="0" fontId="17" fillId="9" borderId="0" xfId="0" applyFont="1" applyFill="1" applyAlignment="1">
      <alignment horizontal="center" vertical="top" wrapText="1"/>
    </xf>
    <xf numFmtId="0" fontId="15" fillId="9" borderId="0" xfId="0" applyFont="1" applyFill="1" applyAlignment="1">
      <alignment horizontal="center" vertical="top" wrapText="1"/>
    </xf>
    <xf numFmtId="0" fontId="18" fillId="9" borderId="0" xfId="0" applyFont="1" applyFill="1" applyAlignment="1">
      <alignment horizontal="center" vertical="top" wrapText="1"/>
    </xf>
    <xf numFmtId="0" fontId="17" fillId="9" borderId="1" xfId="0" applyFont="1" applyFill="1" applyBorder="1" applyAlignment="1">
      <alignment horizontal="center" vertical="top" wrapText="1"/>
    </xf>
    <xf numFmtId="0" fontId="19" fillId="9" borderId="1" xfId="0" applyFont="1" applyFill="1" applyBorder="1" applyAlignment="1">
      <alignment horizontal="center" vertical="top" wrapText="1"/>
    </xf>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14" fillId="9" borderId="0" xfId="0" applyFont="1" applyFill="1"/>
    <xf numFmtId="0" fontId="0" fillId="6" borderId="0" xfId="0" applyFill="1" applyAlignment="1">
      <alignment horizontal="center"/>
    </xf>
    <xf numFmtId="10" fontId="0" fillId="0" borderId="0" xfId="0" applyNumberFormat="1"/>
    <xf numFmtId="0" fontId="17" fillId="4" borderId="1" xfId="0" applyFont="1" applyFill="1" applyBorder="1" applyAlignment="1">
      <alignment horizontal="center" vertical="top" wrapText="1"/>
    </xf>
    <xf numFmtId="0" fontId="19" fillId="9" borderId="0" xfId="0" applyFont="1" applyFill="1" applyAlignment="1">
      <alignment horizontal="center" vertical="center"/>
    </xf>
    <xf numFmtId="0" fontId="26" fillId="9" borderId="0" xfId="0" applyFont="1" applyFill="1" applyAlignment="1">
      <alignment horizontal="right" vertical="center"/>
    </xf>
    <xf numFmtId="0" fontId="19" fillId="9" borderId="14" xfId="0" applyFont="1" applyFill="1" applyBorder="1" applyAlignment="1">
      <alignment horizontal="center" vertical="center"/>
    </xf>
    <xf numFmtId="166" fontId="0" fillId="0" borderId="0" xfId="0" applyNumberFormat="1"/>
    <xf numFmtId="0" fontId="22" fillId="9" borderId="0" xfId="0" applyFont="1" applyFill="1" applyAlignment="1">
      <alignment horizontal="center" vertical="center"/>
    </xf>
    <xf numFmtId="0" fontId="32" fillId="9" borderId="0" xfId="0" applyFont="1" applyFill="1" applyAlignment="1">
      <alignment horizontal="right" vertical="center" wrapText="1"/>
    </xf>
    <xf numFmtId="0" fontId="32" fillId="11" borderId="0" xfId="0" applyFont="1" applyFill="1" applyAlignment="1">
      <alignment horizontal="right" vertical="center" wrapText="1"/>
    </xf>
    <xf numFmtId="0" fontId="19" fillId="11" borderId="0" xfId="0" applyFont="1" applyFill="1" applyAlignment="1">
      <alignment horizontal="center" vertical="center" wrapText="1"/>
    </xf>
    <xf numFmtId="0" fontId="15" fillId="11" borderId="0" xfId="0" applyFont="1" applyFill="1" applyAlignment="1">
      <alignment horizontal="center" vertical="top" wrapText="1"/>
    </xf>
    <xf numFmtId="0" fontId="17" fillId="11" borderId="0" xfId="0" applyFont="1" applyFill="1" applyAlignment="1">
      <alignment horizontal="center" vertical="top"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14" fontId="1" fillId="0" borderId="13" xfId="0" applyNumberFormat="1" applyFont="1" applyBorder="1" applyAlignment="1">
      <alignment horizontal="center" vertical="center" wrapText="1"/>
    </xf>
    <xf numFmtId="0" fontId="3" fillId="7" borderId="10" xfId="0" applyFont="1" applyFill="1" applyBorder="1" applyAlignment="1">
      <alignment horizontal="center" vertical="center" wrapText="1"/>
    </xf>
    <xf numFmtId="10" fontId="4" fillId="0" borderId="1" xfId="0" applyNumberFormat="1" applyFont="1" applyBorder="1" applyAlignment="1">
      <alignment horizontal="center" vertical="center"/>
    </xf>
    <xf numFmtId="9" fontId="1" fillId="0" borderId="1" xfId="6" quotePrefix="1" applyNumberFormat="1" applyFont="1" applyBorder="1" applyAlignment="1">
      <alignment horizontal="left" vertical="center" wrapText="1"/>
    </xf>
    <xf numFmtId="9" fontId="1" fillId="0" borderId="12" xfId="6" quotePrefix="1" applyNumberFormat="1" applyFont="1" applyBorder="1" applyAlignment="1">
      <alignment horizontal="left" vertical="center" wrapText="1"/>
    </xf>
    <xf numFmtId="9" fontId="4" fillId="0" borderId="12" xfId="0" applyNumberFormat="1" applyFont="1" applyBorder="1" applyAlignment="1">
      <alignment vertical="center" wrapText="1"/>
    </xf>
    <xf numFmtId="0" fontId="4" fillId="0" borderId="12" xfId="0" applyFont="1" applyBorder="1" applyAlignment="1">
      <alignment vertical="center" wrapText="1"/>
    </xf>
    <xf numFmtId="10" fontId="4" fillId="0" borderId="12" xfId="0" applyNumberFormat="1" applyFont="1" applyBorder="1" applyAlignment="1">
      <alignment horizontal="center" vertical="center"/>
    </xf>
    <xf numFmtId="9" fontId="1" fillId="0" borderId="13" xfId="6" quotePrefix="1" applyNumberFormat="1" applyFont="1" applyBorder="1" applyAlignment="1">
      <alignment horizontal="left" vertical="center" wrapText="1"/>
    </xf>
    <xf numFmtId="0" fontId="4" fillId="0" borderId="4" xfId="0" applyFont="1" applyBorder="1" applyAlignment="1">
      <alignment vertical="center" wrapText="1"/>
    </xf>
    <xf numFmtId="0" fontId="4" fillId="0" borderId="0" xfId="5" applyFont="1" applyAlignment="1">
      <alignment horizontal="center" vertical="center" wrapText="1"/>
    </xf>
    <xf numFmtId="0" fontId="0" fillId="4" borderId="0" xfId="0" applyFill="1"/>
    <xf numFmtId="0" fontId="34" fillId="0" borderId="0" xfId="0" applyFont="1"/>
    <xf numFmtId="0" fontId="34" fillId="0" borderId="1" xfId="0" applyFont="1" applyBorder="1" applyAlignment="1">
      <alignment horizontal="center" vertical="center"/>
    </xf>
    <xf numFmtId="0" fontId="34" fillId="0" borderId="1" xfId="0" applyFont="1" applyBorder="1" applyAlignment="1">
      <alignment vertical="center"/>
    </xf>
    <xf numFmtId="0" fontId="34" fillId="0" borderId="1" xfId="0" applyFont="1" applyBorder="1" applyAlignment="1">
      <alignment vertical="center" wrapText="1"/>
    </xf>
    <xf numFmtId="0" fontId="35" fillId="0" borderId="1" xfId="0" applyFont="1" applyBorder="1" applyAlignment="1">
      <alignment vertical="center" wrapText="1"/>
    </xf>
    <xf numFmtId="0" fontId="34" fillId="0" borderId="0" xfId="0" applyFont="1" applyAlignment="1">
      <alignment wrapText="1"/>
    </xf>
    <xf numFmtId="0" fontId="37" fillId="0" borderId="1" xfId="0" applyFont="1" applyBorder="1" applyAlignment="1">
      <alignment horizontal="center" vertical="center"/>
    </xf>
    <xf numFmtId="0" fontId="38" fillId="0" borderId="1" xfId="0" applyFont="1" applyBorder="1" applyAlignment="1">
      <alignment horizontal="center" vertical="center"/>
    </xf>
    <xf numFmtId="0" fontId="38" fillId="0" borderId="1" xfId="0" applyFont="1" applyBorder="1" applyAlignment="1">
      <alignment vertical="center" wrapText="1"/>
    </xf>
    <xf numFmtId="0" fontId="38" fillId="0" borderId="0" xfId="0" applyFont="1"/>
    <xf numFmtId="0" fontId="0" fillId="0" borderId="1" xfId="0" applyBorder="1" applyAlignment="1">
      <alignment horizontal="center"/>
    </xf>
    <xf numFmtId="10" fontId="0" fillId="4" borderId="0" xfId="0" applyNumberFormat="1" applyFill="1"/>
    <xf numFmtId="9" fontId="0" fillId="4" borderId="0" xfId="11" applyFont="1" applyFill="1"/>
    <xf numFmtId="0" fontId="41" fillId="9" borderId="0" xfId="0" applyFont="1" applyFill="1" applyAlignment="1">
      <alignment horizontal="center" vertical="center"/>
    </xf>
    <xf numFmtId="0" fontId="15" fillId="9" borderId="0" xfId="0" applyFont="1" applyFill="1" applyAlignment="1">
      <alignment horizontal="left" vertical="top"/>
    </xf>
    <xf numFmtId="0" fontId="24" fillId="9" borderId="0" xfId="0" applyFont="1" applyFill="1" applyAlignment="1">
      <alignment horizontal="center" vertical="center" wrapText="1"/>
    </xf>
    <xf numFmtId="0" fontId="42" fillId="0" borderId="0" xfId="0" applyFont="1" applyAlignment="1">
      <alignment vertical="center" wrapText="1"/>
    </xf>
    <xf numFmtId="0" fontId="20" fillId="2" borderId="1" xfId="0" applyFont="1" applyFill="1" applyBorder="1" applyAlignment="1">
      <alignment horizontal="center" vertical="center" wrapText="1"/>
    </xf>
    <xf numFmtId="9" fontId="20" fillId="2" borderId="1" xfId="0" applyNumberFormat="1" applyFont="1" applyFill="1" applyBorder="1" applyAlignment="1">
      <alignment horizontal="center" vertical="center" wrapText="1"/>
    </xf>
    <xf numFmtId="0" fontId="21" fillId="7" borderId="10" xfId="0" applyFont="1" applyFill="1" applyBorder="1" applyAlignment="1">
      <alignment horizontal="center" vertical="center" wrapText="1"/>
    </xf>
    <xf numFmtId="0" fontId="21" fillId="7" borderId="11" xfId="0" applyFont="1" applyFill="1" applyBorder="1" applyAlignment="1">
      <alignment horizontal="center" vertical="center" wrapText="1"/>
    </xf>
    <xf numFmtId="0" fontId="20" fillId="12" borderId="1" xfId="0" quotePrefix="1" applyFont="1" applyFill="1" applyBorder="1" applyAlignment="1">
      <alignment horizontal="center" vertical="center"/>
    </xf>
    <xf numFmtId="0" fontId="20" fillId="12" borderId="2" xfId="0" quotePrefix="1" applyFont="1" applyFill="1" applyBorder="1" applyAlignment="1">
      <alignment horizontal="left" vertical="center" wrapText="1"/>
    </xf>
    <xf numFmtId="9" fontId="20" fillId="12" borderId="2" xfId="0" quotePrefix="1" applyNumberFormat="1" applyFont="1" applyFill="1" applyBorder="1" applyAlignment="1">
      <alignment horizontal="center" vertical="center"/>
    </xf>
    <xf numFmtId="0" fontId="19" fillId="12" borderId="1" xfId="0" applyFont="1" applyFill="1" applyBorder="1" applyAlignment="1">
      <alignment vertical="center"/>
    </xf>
    <xf numFmtId="0" fontId="19" fillId="12" borderId="1" xfId="0" applyFont="1" applyFill="1" applyBorder="1" applyAlignment="1">
      <alignment horizontal="center" vertical="center"/>
    </xf>
    <xf numFmtId="0" fontId="19" fillId="0" borderId="0" xfId="0" applyFont="1" applyAlignment="1">
      <alignment vertical="center"/>
    </xf>
    <xf numFmtId="0" fontId="21" fillId="3" borderId="1" xfId="0" quotePrefix="1" applyFont="1" applyFill="1" applyBorder="1" applyAlignment="1">
      <alignment horizontal="center" vertical="center"/>
    </xf>
    <xf numFmtId="0" fontId="21" fillId="3" borderId="1" xfId="0" quotePrefix="1" applyFont="1" applyFill="1" applyBorder="1" applyAlignment="1">
      <alignment horizontal="left" vertical="center" wrapText="1"/>
    </xf>
    <xf numFmtId="9" fontId="21" fillId="3" borderId="1" xfId="0" quotePrefix="1" applyNumberFormat="1" applyFont="1" applyFill="1" applyBorder="1" applyAlignment="1">
      <alignment horizontal="center" vertical="center"/>
    </xf>
    <xf numFmtId="0" fontId="20" fillId="3" borderId="1" xfId="0" quotePrefix="1" applyFont="1" applyFill="1" applyBorder="1" applyAlignment="1">
      <alignment horizontal="center" vertical="center" wrapText="1"/>
    </xf>
    <xf numFmtId="9" fontId="20" fillId="3" borderId="1" xfId="0" quotePrefix="1" applyNumberFormat="1" applyFont="1" applyFill="1" applyBorder="1" applyAlignment="1">
      <alignment horizontal="center" vertical="center" wrapText="1"/>
    </xf>
    <xf numFmtId="9" fontId="20" fillId="3" borderId="1" xfId="0" quotePrefix="1" applyNumberFormat="1" applyFont="1" applyFill="1" applyBorder="1" applyAlignment="1">
      <alignment horizontal="left" vertical="center" wrapText="1"/>
    </xf>
    <xf numFmtId="0" fontId="21" fillId="3" borderId="1" xfId="0" quotePrefix="1" applyFont="1" applyFill="1" applyBorder="1" applyAlignment="1">
      <alignment vertical="center" wrapText="1"/>
    </xf>
    <xf numFmtId="0" fontId="42" fillId="0" borderId="1" xfId="0" applyFont="1" applyBorder="1" applyAlignment="1">
      <alignment horizontal="center" vertical="center"/>
    </xf>
    <xf numFmtId="10" fontId="42" fillId="0" borderId="1" xfId="0" applyNumberFormat="1" applyFont="1" applyBorder="1" applyAlignment="1">
      <alignment horizontal="center" vertical="center"/>
    </xf>
    <xf numFmtId="0" fontId="21" fillId="0" borderId="1" xfId="0" quotePrefix="1" applyFont="1" applyBorder="1" applyAlignment="1">
      <alignment horizontal="center" vertical="center"/>
    </xf>
    <xf numFmtId="0" fontId="42" fillId="0" borderId="1" xfId="5" applyFont="1" applyBorder="1" applyAlignment="1">
      <alignment horizontal="center" vertical="center" wrapText="1"/>
    </xf>
    <xf numFmtId="9" fontId="42" fillId="0" borderId="1" xfId="5" applyNumberFormat="1" applyFont="1" applyBorder="1" applyAlignment="1">
      <alignment horizontal="center" vertical="center" wrapText="1"/>
    </xf>
    <xf numFmtId="0" fontId="42" fillId="0" borderId="1" xfId="5" quotePrefix="1" applyFont="1" applyBorder="1" applyAlignment="1">
      <alignment horizontal="center" vertical="center" wrapText="1"/>
    </xf>
    <xf numFmtId="0" fontId="42" fillId="0" borderId="1" xfId="6" quotePrefix="1" applyFont="1" applyBorder="1" applyAlignment="1">
      <alignment horizontal="left" vertical="center" wrapText="1"/>
    </xf>
    <xf numFmtId="0" fontId="42" fillId="0" borderId="1" xfId="6" quotePrefix="1" applyFont="1" applyBorder="1" applyAlignment="1">
      <alignment horizontal="center" vertical="center" wrapText="1"/>
    </xf>
    <xf numFmtId="9" fontId="42" fillId="0" borderId="1" xfId="6" quotePrefix="1" applyNumberFormat="1" applyFont="1" applyBorder="1" applyAlignment="1">
      <alignment horizontal="center" vertical="center" wrapText="1"/>
    </xf>
    <xf numFmtId="9" fontId="42" fillId="0" borderId="1" xfId="6" quotePrefix="1" applyNumberFormat="1" applyFont="1" applyBorder="1" applyAlignment="1">
      <alignment horizontal="left" vertical="center" wrapText="1"/>
    </xf>
    <xf numFmtId="14" fontId="42" fillId="0" borderId="1" xfId="0" applyNumberFormat="1" applyFont="1" applyBorder="1" applyAlignment="1">
      <alignment horizontal="center" vertical="center" wrapText="1"/>
    </xf>
    <xf numFmtId="14" fontId="42" fillId="0" borderId="1" xfId="6" quotePrefix="1" applyNumberFormat="1" applyFont="1" applyBorder="1" applyAlignment="1">
      <alignment horizontal="center" vertical="center" wrapText="1"/>
    </xf>
    <xf numFmtId="0" fontId="42" fillId="0" borderId="1" xfId="0" quotePrefix="1" applyFont="1" applyBorder="1" applyAlignment="1">
      <alignment horizontal="center" vertical="center" wrapText="1"/>
    </xf>
    <xf numFmtId="9" fontId="42" fillId="0" borderId="1" xfId="0" applyNumberFormat="1" applyFont="1" applyBorder="1" applyAlignment="1">
      <alignment vertical="center" wrapText="1"/>
    </xf>
    <xf numFmtId="0" fontId="42" fillId="0" borderId="1" xfId="0" applyFont="1" applyBorder="1" applyAlignment="1">
      <alignment vertical="center" wrapText="1"/>
    </xf>
    <xf numFmtId="0" fontId="20" fillId="0" borderId="1" xfId="0" applyFont="1" applyBorder="1" applyAlignment="1">
      <alignment horizontal="center" vertical="center"/>
    </xf>
    <xf numFmtId="9" fontId="18" fillId="0" borderId="1" xfId="6" quotePrefix="1" applyNumberFormat="1" applyFont="1" applyBorder="1" applyAlignment="1">
      <alignment horizontal="left" vertical="center" wrapText="1"/>
    </xf>
    <xf numFmtId="0" fontId="18" fillId="0" borderId="1" xfId="0" quotePrefix="1" applyFont="1" applyBorder="1" applyAlignment="1">
      <alignment horizontal="center" vertical="center" wrapText="1"/>
    </xf>
    <xf numFmtId="0" fontId="21" fillId="3" borderId="1" xfId="0" quotePrefix="1" applyFont="1" applyFill="1" applyBorder="1" applyAlignment="1">
      <alignment horizontal="left" vertical="center"/>
    </xf>
    <xf numFmtId="9" fontId="42" fillId="0" borderId="1" xfId="0" applyNumberFormat="1" applyFont="1" applyBorder="1" applyAlignment="1">
      <alignment horizontal="center" vertical="center" wrapText="1"/>
    </xf>
    <xf numFmtId="0" fontId="42" fillId="0" borderId="1" xfId="0" applyFont="1" applyBorder="1" applyAlignment="1">
      <alignment horizontal="center" vertical="center" wrapText="1"/>
    </xf>
    <xf numFmtId="9" fontId="19" fillId="0" borderId="1" xfId="6" quotePrefix="1" applyNumberFormat="1" applyFont="1" applyBorder="1" applyAlignment="1">
      <alignment horizontal="center" vertical="center" wrapText="1"/>
    </xf>
    <xf numFmtId="9" fontId="19" fillId="0" borderId="1" xfId="6" quotePrefix="1" applyNumberFormat="1" applyFont="1" applyBorder="1" applyAlignment="1">
      <alignment horizontal="left" vertical="center" wrapText="1"/>
    </xf>
    <xf numFmtId="14" fontId="19" fillId="0" borderId="1" xfId="0" applyNumberFormat="1" applyFont="1" applyBorder="1" applyAlignment="1">
      <alignment horizontal="center" vertical="center" wrapText="1"/>
    </xf>
    <xf numFmtId="0" fontId="19" fillId="0" borderId="1" xfId="0" quotePrefix="1" applyFont="1" applyBorder="1" applyAlignment="1">
      <alignment horizontal="center" vertical="center" wrapText="1"/>
    </xf>
    <xf numFmtId="0" fontId="19" fillId="0" borderId="0" xfId="0" applyFont="1" applyAlignment="1">
      <alignment vertical="center" wrapText="1"/>
    </xf>
    <xf numFmtId="9" fontId="19" fillId="0" borderId="1" xfId="0" applyNumberFormat="1" applyFont="1" applyBorder="1" applyAlignment="1">
      <alignment horizontal="center" vertical="center" wrapText="1"/>
    </xf>
    <xf numFmtId="0" fontId="42" fillId="0" borderId="12" xfId="0" applyFont="1" applyBorder="1" applyAlignment="1">
      <alignment horizontal="center" vertical="center" wrapText="1"/>
    </xf>
    <xf numFmtId="9" fontId="42" fillId="0" borderId="12" xfId="0" applyNumberFormat="1" applyFont="1" applyBorder="1" applyAlignment="1">
      <alignment horizontal="center" vertical="center" wrapText="1"/>
    </xf>
    <xf numFmtId="0" fontId="42" fillId="0" borderId="12" xfId="6" quotePrefix="1" applyFont="1" applyBorder="1" applyAlignment="1">
      <alignment horizontal="left" vertical="center" wrapText="1"/>
    </xf>
    <xf numFmtId="0" fontId="42" fillId="0" borderId="12" xfId="6" quotePrefix="1" applyFont="1" applyBorder="1" applyAlignment="1">
      <alignment horizontal="center" vertical="center" wrapText="1"/>
    </xf>
    <xf numFmtId="9" fontId="19" fillId="0" borderId="12" xfId="0" applyNumberFormat="1" applyFont="1" applyBorder="1" applyAlignment="1">
      <alignment horizontal="center" vertical="center" wrapText="1"/>
    </xf>
    <xf numFmtId="9" fontId="19" fillId="0" borderId="12" xfId="6" quotePrefix="1" applyNumberFormat="1" applyFont="1" applyBorder="1" applyAlignment="1">
      <alignment horizontal="left" vertical="center" wrapText="1"/>
    </xf>
    <xf numFmtId="0" fontId="18" fillId="0" borderId="1" xfId="0" applyFont="1" applyBorder="1" applyAlignment="1">
      <alignment vertical="center" wrapText="1"/>
    </xf>
    <xf numFmtId="9" fontId="18" fillId="0" borderId="1" xfId="0" applyNumberFormat="1" applyFont="1" applyBorder="1" applyAlignment="1">
      <alignment vertical="center" wrapText="1"/>
    </xf>
    <xf numFmtId="0" fontId="19" fillId="0" borderId="1" xfId="0" applyFont="1" applyBorder="1" applyAlignment="1">
      <alignment vertical="center" wrapText="1"/>
    </xf>
    <xf numFmtId="0" fontId="20" fillId="3" borderId="1" xfId="0" quotePrefix="1" applyFont="1" applyFill="1" applyBorder="1" applyAlignment="1">
      <alignment horizontal="left" vertical="center" wrapText="1"/>
    </xf>
    <xf numFmtId="0" fontId="21" fillId="3" borderId="1" xfId="0" quotePrefix="1" applyFont="1" applyFill="1" applyBorder="1" applyAlignment="1">
      <alignment horizontal="center" vertical="center" wrapText="1"/>
    </xf>
    <xf numFmtId="0" fontId="21" fillId="0" borderId="1" xfId="0" applyFont="1" applyBorder="1" applyAlignment="1">
      <alignment vertical="center"/>
    </xf>
    <xf numFmtId="0" fontId="20" fillId="12" borderId="1" xfId="0" applyFont="1" applyFill="1" applyBorder="1" applyAlignment="1">
      <alignment horizontal="center" vertical="center" wrapText="1"/>
    </xf>
    <xf numFmtId="0" fontId="20" fillId="12" borderId="2" xfId="0" applyFont="1" applyFill="1" applyBorder="1" applyAlignment="1">
      <alignment horizontal="left" vertical="center" wrapText="1"/>
    </xf>
    <xf numFmtId="9" fontId="20" fillId="12" borderId="2" xfId="0" applyNumberFormat="1"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3" borderId="2" xfId="0" applyFont="1" applyFill="1" applyBorder="1" applyAlignment="1">
      <alignment horizontal="left" vertical="center" wrapText="1"/>
    </xf>
    <xf numFmtId="9" fontId="20" fillId="3" borderId="2" xfId="0" applyNumberFormat="1" applyFont="1" applyFill="1" applyBorder="1" applyAlignment="1">
      <alignment horizontal="center" vertical="center" wrapText="1"/>
    </xf>
    <xf numFmtId="0" fontId="20" fillId="3" borderId="1" xfId="0" applyFont="1" applyFill="1" applyBorder="1" applyAlignment="1">
      <alignment horizontal="left" vertical="center" wrapText="1"/>
    </xf>
    <xf numFmtId="0" fontId="20" fillId="3" borderId="3" xfId="0" applyFont="1" applyFill="1" applyBorder="1" applyAlignment="1">
      <alignment horizontal="left" vertical="center" wrapText="1"/>
    </xf>
    <xf numFmtId="0" fontId="20" fillId="3" borderId="4" xfId="0" applyFont="1" applyFill="1" applyBorder="1" applyAlignment="1">
      <alignment horizontal="left" vertical="center" wrapText="1"/>
    </xf>
    <xf numFmtId="0" fontId="19" fillId="12" borderId="0" xfId="0" applyFont="1" applyFill="1" applyAlignment="1">
      <alignment vertical="center"/>
    </xf>
    <xf numFmtId="0" fontId="18" fillId="0" borderId="1" xfId="5" applyFont="1" applyBorder="1" applyAlignment="1">
      <alignment horizontal="center" vertical="center" wrapText="1"/>
    </xf>
    <xf numFmtId="9" fontId="18" fillId="0" borderId="1" xfId="5" applyNumberFormat="1" applyFont="1" applyBorder="1" applyAlignment="1">
      <alignment horizontal="center" vertical="center" wrapText="1"/>
    </xf>
    <xf numFmtId="0" fontId="42" fillId="3" borderId="1" xfId="6" quotePrefix="1" applyFont="1" applyFill="1" applyBorder="1" applyAlignment="1">
      <alignment horizontal="center" vertical="center" wrapText="1"/>
    </xf>
    <xf numFmtId="9" fontId="21" fillId="3" borderId="1" xfId="0" quotePrefix="1" applyNumberFormat="1" applyFont="1" applyFill="1" applyBorder="1" applyAlignment="1">
      <alignment horizontal="center" vertical="center" wrapText="1"/>
    </xf>
    <xf numFmtId="9" fontId="42" fillId="3" borderId="1" xfId="6" quotePrefix="1" applyNumberFormat="1" applyFont="1" applyFill="1" applyBorder="1" applyAlignment="1">
      <alignment horizontal="center" vertical="center" wrapText="1"/>
    </xf>
    <xf numFmtId="0" fontId="21" fillId="0" borderId="0" xfId="0" quotePrefix="1" applyFont="1" applyAlignment="1">
      <alignment horizontal="center" vertical="center"/>
    </xf>
    <xf numFmtId="0" fontId="18" fillId="0" borderId="0" xfId="0" applyFont="1" applyAlignment="1">
      <alignment vertical="center" wrapText="1"/>
    </xf>
    <xf numFmtId="9" fontId="43" fillId="0" borderId="0" xfId="0" applyNumberFormat="1" applyFont="1" applyAlignment="1">
      <alignment horizontal="center" vertical="center" wrapText="1"/>
    </xf>
    <xf numFmtId="9" fontId="18" fillId="0" borderId="0" xfId="0" applyNumberFormat="1" applyFont="1" applyAlignment="1">
      <alignment horizontal="center" vertical="center" wrapText="1"/>
    </xf>
    <xf numFmtId="0" fontId="43" fillId="0" borderId="0" xfId="0" applyFont="1" applyAlignment="1">
      <alignment horizontal="center" vertical="center" wrapText="1"/>
    </xf>
    <xf numFmtId="0" fontId="43" fillId="0" borderId="0" xfId="0" applyFont="1" applyAlignment="1">
      <alignment vertical="center" wrapText="1"/>
    </xf>
    <xf numFmtId="9" fontId="43" fillId="0" borderId="0" xfId="0" applyNumberFormat="1" applyFont="1" applyAlignment="1">
      <alignment vertical="center" wrapText="1"/>
    </xf>
    <xf numFmtId="0" fontId="44" fillId="0" borderId="0" xfId="0" applyFont="1"/>
    <xf numFmtId="0" fontId="39" fillId="0" borderId="1" xfId="0" applyFont="1" applyBorder="1" applyAlignment="1">
      <alignment horizontal="center" vertical="center"/>
    </xf>
    <xf numFmtId="0" fontId="39" fillId="0" borderId="1" xfId="0" applyFont="1" applyBorder="1" applyAlignment="1">
      <alignment vertical="center" wrapText="1"/>
    </xf>
    <xf numFmtId="0" fontId="2" fillId="9" borderId="1" xfId="0" applyFont="1" applyFill="1" applyBorder="1" applyAlignment="1">
      <alignment horizontal="center" vertical="center" wrapText="1"/>
    </xf>
    <xf numFmtId="0" fontId="0" fillId="4" borderId="1" xfId="0" applyFill="1" applyBorder="1"/>
    <xf numFmtId="0" fontId="0" fillId="4" borderId="1" xfId="0" applyFill="1" applyBorder="1" applyAlignment="1">
      <alignment horizontal="center" vertical="center"/>
    </xf>
    <xf numFmtId="0" fontId="0" fillId="0" borderId="1" xfId="0" applyBorder="1" applyAlignment="1">
      <alignment horizontal="center" vertical="center"/>
    </xf>
    <xf numFmtId="166" fontId="0" fillId="0" borderId="0" xfId="11" applyNumberFormat="1" applyFont="1" applyFill="1"/>
    <xf numFmtId="166" fontId="0" fillId="4" borderId="0" xfId="0" applyNumberFormat="1" applyFill="1"/>
    <xf numFmtId="0" fontId="20" fillId="9" borderId="0" xfId="0" applyFont="1" applyFill="1" applyAlignment="1">
      <alignment horizontal="center" vertical="center" wrapText="1"/>
    </xf>
    <xf numFmtId="0" fontId="1" fillId="9" borderId="0" xfId="0" applyFont="1" applyFill="1" applyAlignment="1">
      <alignment horizontal="center" vertical="center" wrapText="1"/>
    </xf>
    <xf numFmtId="0" fontId="14" fillId="11" borderId="0" xfId="0" applyFont="1" applyFill="1"/>
    <xf numFmtId="0" fontId="42" fillId="11" borderId="0" xfId="0" applyFont="1" applyFill="1" applyAlignment="1">
      <alignment vertical="center" wrapText="1"/>
    </xf>
    <xf numFmtId="0" fontId="19" fillId="2" borderId="1" xfId="0" applyFont="1" applyFill="1" applyBorder="1" applyAlignment="1">
      <alignment horizontal="center" vertical="center" wrapText="1"/>
    </xf>
    <xf numFmtId="0" fontId="21" fillId="7" borderId="1" xfId="0" applyFont="1" applyFill="1" applyBorder="1" applyAlignment="1">
      <alignment horizontal="center" vertical="center" wrapText="1"/>
    </xf>
    <xf numFmtId="0" fontId="42" fillId="3" borderId="1" xfId="0" quotePrefix="1" applyFont="1" applyFill="1" applyBorder="1" applyAlignment="1">
      <alignment horizontal="center" vertical="center"/>
    </xf>
    <xf numFmtId="0" fontId="21" fillId="7" borderId="1" xfId="0" quotePrefix="1" applyFont="1" applyFill="1" applyBorder="1" applyAlignment="1">
      <alignment horizontal="center" vertical="center" wrapText="1"/>
    </xf>
    <xf numFmtId="0" fontId="19" fillId="0" borderId="1" xfId="0" applyFont="1" applyBorder="1" applyAlignment="1">
      <alignment horizontal="center" vertical="center"/>
    </xf>
    <xf numFmtId="0" fontId="19" fillId="11" borderId="1" xfId="0" applyFont="1" applyFill="1" applyBorder="1" applyAlignment="1">
      <alignment vertical="center" wrapText="1"/>
    </xf>
    <xf numFmtId="0" fontId="42" fillId="0" borderId="1" xfId="0" quotePrefix="1" applyFont="1" applyBorder="1" applyAlignment="1">
      <alignment horizontal="center" vertical="center"/>
    </xf>
    <xf numFmtId="9" fontId="4" fillId="0" borderId="1" xfId="0" applyNumberFormat="1" applyFont="1" applyBorder="1" applyAlignment="1">
      <alignment horizontal="center" vertical="center" wrapText="1"/>
    </xf>
    <xf numFmtId="0" fontId="19" fillId="0" borderId="1" xfId="5" quotePrefix="1" applyFont="1" applyBorder="1" applyAlignment="1">
      <alignment horizontal="center" vertical="center" wrapText="1"/>
    </xf>
    <xf numFmtId="0" fontId="19" fillId="0" borderId="1" xfId="6" quotePrefix="1" applyFont="1" applyBorder="1" applyAlignment="1">
      <alignment horizontal="left" vertical="center" wrapText="1"/>
    </xf>
    <xf numFmtId="0" fontId="19" fillId="0" borderId="1" xfId="0" quotePrefix="1" applyFont="1" applyBorder="1" applyAlignment="1">
      <alignment horizontal="left" vertical="center" wrapText="1"/>
    </xf>
    <xf numFmtId="9" fontId="19" fillId="0" borderId="1" xfId="0" quotePrefix="1" applyNumberFormat="1"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quotePrefix="1" applyFont="1" applyBorder="1" applyAlignment="1">
      <alignment vertical="center" wrapText="1"/>
    </xf>
    <xf numFmtId="0" fontId="19" fillId="11" borderId="1" xfId="0" quotePrefix="1" applyFont="1" applyFill="1" applyBorder="1" applyAlignment="1">
      <alignment horizontal="left" vertical="center" wrapText="1"/>
    </xf>
    <xf numFmtId="9" fontId="19" fillId="11" borderId="1" xfId="0" quotePrefix="1" applyNumberFormat="1" applyFont="1" applyFill="1" applyBorder="1" applyAlignment="1">
      <alignment horizontal="center" vertical="center" wrapText="1"/>
    </xf>
    <xf numFmtId="0" fontId="19" fillId="11" borderId="1" xfId="0" applyFont="1" applyFill="1" applyBorder="1" applyAlignment="1">
      <alignment horizontal="center" vertical="center" wrapText="1"/>
    </xf>
    <xf numFmtId="9" fontId="19" fillId="11" borderId="1" xfId="0" applyNumberFormat="1" applyFont="1" applyFill="1" applyBorder="1" applyAlignment="1">
      <alignment horizontal="center" vertical="center" wrapText="1"/>
    </xf>
    <xf numFmtId="0" fontId="19" fillId="11" borderId="1" xfId="0" quotePrefix="1" applyFont="1" applyFill="1" applyBorder="1" applyAlignment="1">
      <alignment vertical="center" wrapText="1"/>
    </xf>
    <xf numFmtId="0" fontId="42" fillId="0" borderId="1" xfId="0" applyFont="1" applyBorder="1" applyAlignment="1">
      <alignment horizontal="left" vertical="center" wrapText="1"/>
    </xf>
    <xf numFmtId="0" fontId="48" fillId="0" borderId="1" xfId="0" applyFont="1" applyBorder="1"/>
    <xf numFmtId="0" fontId="19" fillId="0" borderId="1" xfId="12" quotePrefix="1" applyNumberFormat="1" applyFont="1" applyFill="1" applyBorder="1" applyAlignment="1">
      <alignment horizontal="left" vertical="center" wrapText="1"/>
    </xf>
    <xf numFmtId="9" fontId="19" fillId="11" borderId="1" xfId="6" quotePrefix="1" applyNumberFormat="1" applyFont="1" applyFill="1" applyBorder="1" applyAlignment="1">
      <alignment horizontal="center" vertical="center" wrapText="1"/>
    </xf>
    <xf numFmtId="0" fontId="19" fillId="3" borderId="1" xfId="0" applyFont="1" applyFill="1" applyBorder="1" applyAlignment="1">
      <alignment horizontal="center" vertical="center" wrapText="1"/>
    </xf>
    <xf numFmtId="14" fontId="19" fillId="0" borderId="1" xfId="6" quotePrefix="1" applyNumberFormat="1" applyFont="1" applyBorder="1" applyAlignment="1">
      <alignment horizontal="center" vertical="center" wrapText="1"/>
    </xf>
    <xf numFmtId="0" fontId="42" fillId="11" borderId="1" xfId="6" quotePrefix="1" applyFont="1" applyFill="1" applyBorder="1" applyAlignment="1">
      <alignment horizontal="left" vertical="center" wrapText="1"/>
    </xf>
    <xf numFmtId="9" fontId="42" fillId="11" borderId="1" xfId="6" quotePrefix="1" applyNumberFormat="1" applyFont="1" applyFill="1" applyBorder="1" applyAlignment="1">
      <alignment horizontal="center" vertical="center" wrapText="1"/>
    </xf>
    <xf numFmtId="0" fontId="19" fillId="11" borderId="1" xfId="0" applyFont="1" applyFill="1" applyBorder="1" applyAlignment="1">
      <alignment horizontal="left" vertical="center" wrapText="1"/>
    </xf>
    <xf numFmtId="0" fontId="19" fillId="11" borderId="1" xfId="6" quotePrefix="1" applyFont="1" applyFill="1" applyBorder="1" applyAlignment="1">
      <alignment horizontal="left" vertical="center" wrapText="1"/>
    </xf>
    <xf numFmtId="9" fontId="42" fillId="11" borderId="1" xfId="0" applyNumberFormat="1" applyFont="1" applyFill="1" applyBorder="1" applyAlignment="1">
      <alignment horizontal="center" vertical="center" wrapText="1"/>
    </xf>
    <xf numFmtId="0" fontId="2" fillId="0" borderId="1" xfId="5" applyFont="1" applyBorder="1" applyAlignment="1">
      <alignment horizontal="center" vertical="center" wrapText="1"/>
    </xf>
    <xf numFmtId="0" fontId="4" fillId="0" borderId="0" xfId="0" applyFont="1" applyAlignment="1">
      <alignment horizontal="center" vertical="center" wrapText="1"/>
    </xf>
    <xf numFmtId="0" fontId="48" fillId="0" borderId="0" xfId="0" applyFont="1" applyAlignment="1">
      <alignment wrapText="1"/>
    </xf>
    <xf numFmtId="0" fontId="48" fillId="0" borderId="0" xfId="0" applyFont="1" applyAlignment="1">
      <alignment horizontal="center" vertical="center" wrapText="1"/>
    </xf>
    <xf numFmtId="0" fontId="48" fillId="0" borderId="0" xfId="0" applyFont="1"/>
    <xf numFmtId="0" fontId="21" fillId="13" borderId="1" xfId="0" applyFont="1" applyFill="1" applyBorder="1" applyAlignment="1">
      <alignment horizontal="center" vertical="center" wrapText="1"/>
    </xf>
    <xf numFmtId="0" fontId="21" fillId="13" borderId="1" xfId="0" quotePrefix="1" applyFont="1" applyFill="1" applyBorder="1" applyAlignment="1">
      <alignment horizontal="center" vertical="center" wrapText="1"/>
    </xf>
    <xf numFmtId="0" fontId="42" fillId="0" borderId="1" xfId="0" quotePrefix="1" applyFont="1" applyBorder="1" applyAlignment="1">
      <alignment vertical="center" wrapText="1"/>
    </xf>
    <xf numFmtId="0" fontId="19" fillId="0" borderId="1" xfId="0" applyFont="1" applyBorder="1" applyAlignment="1">
      <alignment vertical="center"/>
    </xf>
    <xf numFmtId="0" fontId="19" fillId="0" borderId="1" xfId="6" quotePrefix="1" applyFont="1" applyBorder="1" applyAlignment="1">
      <alignment horizontal="center" vertical="center" wrapText="1"/>
    </xf>
    <xf numFmtId="0" fontId="42" fillId="3" borderId="1" xfId="0" applyFont="1" applyFill="1" applyBorder="1" applyAlignment="1">
      <alignment horizontal="center" vertical="center" wrapText="1"/>
    </xf>
    <xf numFmtId="0" fontId="20" fillId="15" borderId="1" xfId="0" quotePrefix="1" applyFont="1" applyFill="1" applyBorder="1" applyAlignment="1">
      <alignment horizontal="center" vertical="center" wrapText="1"/>
    </xf>
    <xf numFmtId="0" fontId="20" fillId="15" borderId="1" xfId="0" applyFont="1" applyFill="1" applyBorder="1" applyAlignment="1">
      <alignment horizontal="center" vertical="center" wrapText="1"/>
    </xf>
    <xf numFmtId="0" fontId="19" fillId="3" borderId="1" xfId="0" applyFont="1" applyFill="1" applyBorder="1" applyAlignment="1">
      <alignment vertical="center"/>
    </xf>
    <xf numFmtId="0" fontId="21" fillId="3"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9" fillId="3" borderId="0" xfId="0" applyFont="1" applyFill="1" applyAlignment="1">
      <alignment vertical="center"/>
    </xf>
    <xf numFmtId="0" fontId="18" fillId="0" borderId="1" xfId="6" quotePrefix="1" applyFont="1" applyBorder="1" applyAlignment="1">
      <alignment horizontal="center" vertical="center" wrapText="1"/>
    </xf>
    <xf numFmtId="9" fontId="1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9" fontId="49" fillId="16" borderId="1" xfId="0" applyNumberFormat="1" applyFont="1" applyFill="1" applyBorder="1" applyAlignment="1">
      <alignment horizontal="center" vertical="center" wrapText="1"/>
    </xf>
    <xf numFmtId="9" fontId="49" fillId="16" borderId="0" xfId="0" applyNumberFormat="1" applyFont="1" applyFill="1" applyAlignment="1">
      <alignment horizontal="center" vertical="center" wrapText="1"/>
    </xf>
    <xf numFmtId="0" fontId="21" fillId="0" borderId="0" xfId="0" quotePrefix="1" applyFont="1" applyAlignment="1">
      <alignment horizontal="center" vertical="center" wrapText="1"/>
    </xf>
    <xf numFmtId="0" fontId="42" fillId="0" borderId="0" xfId="0" applyFont="1" applyAlignment="1">
      <alignment horizontal="center" vertical="center" wrapText="1"/>
    </xf>
    <xf numFmtId="0" fontId="51" fillId="2" borderId="1" xfId="0" applyFont="1" applyFill="1" applyBorder="1" applyAlignment="1">
      <alignment horizontal="center" vertical="center" wrapText="1"/>
    </xf>
    <xf numFmtId="9" fontId="51" fillId="2" borderId="12" xfId="0" applyNumberFormat="1" applyFont="1" applyFill="1" applyBorder="1" applyAlignment="1">
      <alignment horizontal="center" vertical="center" wrapText="1"/>
    </xf>
    <xf numFmtId="9" fontId="51" fillId="2" borderId="1" xfId="0" applyNumberFormat="1" applyFont="1" applyFill="1" applyBorder="1" applyAlignment="1">
      <alignment horizontal="center" vertical="center" wrapText="1"/>
    </xf>
    <xf numFmtId="0" fontId="51" fillId="17" borderId="1" xfId="0" quotePrefix="1" applyFont="1" applyFill="1" applyBorder="1" applyAlignment="1">
      <alignment horizontal="center" vertical="center"/>
    </xf>
    <xf numFmtId="0" fontId="51" fillId="17" borderId="1" xfId="0" quotePrefix="1" applyFont="1" applyFill="1" applyBorder="1" applyAlignment="1">
      <alignment horizontal="left" vertical="center" wrapText="1"/>
    </xf>
    <xf numFmtId="0" fontId="51" fillId="17" borderId="1" xfId="0" quotePrefix="1" applyFont="1" applyFill="1" applyBorder="1" applyAlignment="1">
      <alignment horizontal="center" vertical="center" wrapText="1"/>
    </xf>
    <xf numFmtId="0" fontId="51" fillId="17" borderId="2" xfId="0" quotePrefix="1" applyFont="1" applyFill="1" applyBorder="1" applyAlignment="1">
      <alignment horizontal="center" vertical="center" wrapText="1"/>
    </xf>
    <xf numFmtId="9" fontId="54" fillId="17" borderId="1" xfId="0" quotePrefix="1" applyNumberFormat="1" applyFont="1" applyFill="1" applyBorder="1" applyAlignment="1">
      <alignment horizontal="center" vertical="center" wrapText="1"/>
    </xf>
    <xf numFmtId="9" fontId="51" fillId="17" borderId="4" xfId="0" quotePrefix="1" applyNumberFormat="1" applyFont="1" applyFill="1" applyBorder="1" applyAlignment="1">
      <alignment horizontal="left" vertical="center" wrapText="1"/>
    </xf>
    <xf numFmtId="0" fontId="51" fillId="17" borderId="1" xfId="0" quotePrefix="1" applyFont="1" applyFill="1" applyBorder="1" applyAlignment="1">
      <alignment vertical="center" wrapText="1"/>
    </xf>
    <xf numFmtId="0" fontId="42" fillId="0" borderId="0" xfId="0" applyFont="1" applyAlignment="1">
      <alignment vertical="center"/>
    </xf>
    <xf numFmtId="0" fontId="55" fillId="0" borderId="12" xfId="6" quotePrefix="1" applyFont="1" applyBorder="1" applyAlignment="1">
      <alignment horizontal="center" vertical="center" wrapText="1"/>
    </xf>
    <xf numFmtId="9" fontId="55" fillId="0" borderId="12" xfId="6" quotePrefix="1" applyNumberFormat="1" applyFont="1" applyBorder="1" applyAlignment="1">
      <alignment horizontal="center" vertical="center" wrapText="1"/>
    </xf>
    <xf numFmtId="9" fontId="55" fillId="0" borderId="13" xfId="6" quotePrefix="1" applyNumberFormat="1" applyFont="1" applyBorder="1" applyAlignment="1">
      <alignment horizontal="center" vertical="center" wrapText="1"/>
    </xf>
    <xf numFmtId="0" fontId="55" fillId="0" borderId="1" xfId="6" quotePrefix="1" applyFont="1" applyBorder="1" applyAlignment="1">
      <alignment horizontal="left" vertical="center" wrapText="1"/>
    </xf>
    <xf numFmtId="14" fontId="55" fillId="0" borderId="1" xfId="0" applyNumberFormat="1" applyFont="1" applyBorder="1" applyAlignment="1">
      <alignment horizontal="center" vertical="center" wrapText="1"/>
    </xf>
    <xf numFmtId="14" fontId="55" fillId="0" borderId="1" xfId="6" quotePrefix="1" applyNumberFormat="1" applyFont="1" applyBorder="1" applyAlignment="1">
      <alignment horizontal="center" vertical="center" wrapText="1"/>
    </xf>
    <xf numFmtId="0" fontId="55" fillId="0" borderId="1" xfId="0" quotePrefix="1" applyFont="1" applyBorder="1" applyAlignment="1">
      <alignment horizontal="center" vertical="center" wrapText="1"/>
    </xf>
    <xf numFmtId="0" fontId="55" fillId="0" borderId="1" xfId="6" quotePrefix="1" applyFont="1" applyBorder="1" applyAlignment="1">
      <alignment horizontal="center" vertical="center" wrapText="1"/>
    </xf>
    <xf numFmtId="0" fontId="55" fillId="0" borderId="1" xfId="0" applyFont="1" applyBorder="1" applyAlignment="1">
      <alignment vertical="center" wrapText="1"/>
    </xf>
    <xf numFmtId="0" fontId="51" fillId="11" borderId="1" xfId="0" quotePrefix="1" applyFont="1" applyFill="1" applyBorder="1" applyAlignment="1">
      <alignment horizontal="center" vertical="center"/>
    </xf>
    <xf numFmtId="0" fontId="55" fillId="0" borderId="1" xfId="5" quotePrefix="1" applyFont="1" applyBorder="1" applyAlignment="1">
      <alignment horizontal="center" vertical="center" wrapText="1"/>
    </xf>
    <xf numFmtId="9" fontId="55" fillId="0" borderId="1" xfId="6" quotePrefix="1" applyNumberFormat="1" applyFont="1" applyBorder="1" applyAlignment="1">
      <alignment horizontal="center" vertical="center" wrapText="1"/>
    </xf>
    <xf numFmtId="0" fontId="55" fillId="0" borderId="1" xfId="0" quotePrefix="1" applyFont="1" applyBorder="1" applyAlignment="1">
      <alignment vertical="center" wrapText="1"/>
    </xf>
    <xf numFmtId="0" fontId="51" fillId="17" borderId="1" xfId="0" quotePrefix="1" applyFont="1" applyFill="1" applyBorder="1" applyAlignment="1">
      <alignment horizontal="left" vertical="center"/>
    </xf>
    <xf numFmtId="9" fontId="51" fillId="17" borderId="4" xfId="0" quotePrefix="1" applyNumberFormat="1" applyFont="1" applyFill="1" applyBorder="1" applyAlignment="1">
      <alignment horizontal="center" vertical="center" wrapText="1"/>
    </xf>
    <xf numFmtId="0" fontId="55" fillId="17" borderId="1" xfId="0" applyFont="1" applyFill="1" applyBorder="1" applyAlignment="1">
      <alignment vertical="center" wrapText="1"/>
    </xf>
    <xf numFmtId="0" fontId="55" fillId="17" borderId="1" xfId="0" applyFont="1" applyFill="1" applyBorder="1" applyAlignment="1">
      <alignment vertical="center"/>
    </xf>
    <xf numFmtId="0" fontId="55" fillId="11" borderId="1" xfId="5" quotePrefix="1" applyFont="1" applyFill="1" applyBorder="1" applyAlignment="1">
      <alignment horizontal="center" vertical="center" wrapText="1"/>
    </xf>
    <xf numFmtId="0" fontId="55" fillId="11" borderId="1" xfId="6" quotePrefix="1" applyFont="1" applyFill="1" applyBorder="1" applyAlignment="1">
      <alignment horizontal="center" vertical="center" wrapText="1"/>
    </xf>
    <xf numFmtId="9" fontId="55" fillId="11" borderId="13" xfId="0" applyNumberFormat="1" applyFont="1" applyFill="1" applyBorder="1" applyAlignment="1">
      <alignment horizontal="center" vertical="center" wrapText="1"/>
    </xf>
    <xf numFmtId="14" fontId="55" fillId="11" borderId="1" xfId="0" applyNumberFormat="1" applyFont="1" applyFill="1" applyBorder="1" applyAlignment="1">
      <alignment horizontal="center" vertical="center" wrapText="1"/>
    </xf>
    <xf numFmtId="14" fontId="55" fillId="11" borderId="1" xfId="6" quotePrefix="1" applyNumberFormat="1" applyFont="1" applyFill="1" applyBorder="1" applyAlignment="1">
      <alignment horizontal="center" vertical="center" wrapText="1"/>
    </xf>
    <xf numFmtId="0" fontId="55" fillId="11" borderId="1" xfId="0" applyFont="1" applyFill="1" applyBorder="1" applyAlignment="1">
      <alignment horizontal="center" vertical="center" wrapText="1"/>
    </xf>
    <xf numFmtId="0" fontId="55" fillId="11" borderId="1" xfId="0" quotePrefix="1" applyFont="1" applyFill="1" applyBorder="1" applyAlignment="1">
      <alignment horizontal="center" vertical="center" wrapText="1"/>
    </xf>
    <xf numFmtId="0" fontId="55" fillId="0" borderId="1" xfId="0" applyFont="1" applyBorder="1" applyAlignment="1">
      <alignment vertical="center"/>
    </xf>
    <xf numFmtId="0" fontId="51" fillId="11" borderId="1" xfId="0" applyFont="1" applyFill="1" applyBorder="1" applyAlignment="1">
      <alignment horizontal="center" vertical="center"/>
    </xf>
    <xf numFmtId="9" fontId="55" fillId="0" borderId="1" xfId="0" applyNumberFormat="1" applyFont="1" applyBorder="1" applyAlignment="1">
      <alignment horizontal="center" vertical="center" wrapText="1"/>
    </xf>
    <xf numFmtId="0" fontId="55" fillId="11" borderId="1" xfId="0" quotePrefix="1" applyFont="1" applyFill="1" applyBorder="1" applyAlignment="1">
      <alignment vertical="center" wrapText="1"/>
    </xf>
    <xf numFmtId="0" fontId="55" fillId="0" borderId="12" xfId="6" quotePrefix="1" applyFont="1" applyBorder="1" applyAlignment="1">
      <alignment horizontal="left" vertical="center" wrapText="1"/>
    </xf>
    <xf numFmtId="9" fontId="55" fillId="0" borderId="12" xfId="0" applyNumberFormat="1" applyFont="1" applyBorder="1" applyAlignment="1">
      <alignment horizontal="center" vertical="center" wrapText="1"/>
    </xf>
    <xf numFmtId="0" fontId="55" fillId="0" borderId="12" xfId="0" applyFont="1" applyBorder="1" applyAlignment="1">
      <alignment horizontal="center" vertical="center" wrapText="1"/>
    </xf>
    <xf numFmtId="0" fontId="56" fillId="0" borderId="1" xfId="0" applyFont="1" applyBorder="1" applyAlignment="1">
      <alignment vertical="center" wrapText="1"/>
    </xf>
    <xf numFmtId="0" fontId="51" fillId="0" borderId="1" xfId="0" quotePrefix="1" applyFont="1" applyBorder="1" applyAlignment="1">
      <alignment horizontal="center" vertical="center"/>
    </xf>
    <xf numFmtId="9" fontId="55" fillId="0" borderId="1" xfId="6" quotePrefix="1" applyNumberFormat="1" applyFont="1" applyBorder="1" applyAlignment="1">
      <alignment horizontal="left" vertical="center" wrapText="1"/>
    </xf>
    <xf numFmtId="0" fontId="51" fillId="17" borderId="1" xfId="0" applyFont="1" applyFill="1" applyBorder="1" applyAlignment="1">
      <alignment horizontal="center" vertical="center" wrapText="1"/>
    </xf>
    <xf numFmtId="0" fontId="51" fillId="17" borderId="4" xfId="0" applyFont="1" applyFill="1" applyBorder="1" applyAlignment="1">
      <alignment horizontal="left" vertical="center" wrapText="1"/>
    </xf>
    <xf numFmtId="0" fontId="51" fillId="17" borderId="3" xfId="0" applyFont="1" applyFill="1" applyBorder="1" applyAlignment="1">
      <alignment horizontal="left" vertical="center" wrapText="1"/>
    </xf>
    <xf numFmtId="0" fontId="42" fillId="11" borderId="0" xfId="0" applyFont="1" applyFill="1" applyAlignment="1">
      <alignment vertical="center"/>
    </xf>
    <xf numFmtId="0" fontId="55" fillId="11" borderId="1" xfId="6" quotePrefix="1" applyFont="1" applyFill="1" applyBorder="1" applyAlignment="1">
      <alignment horizontal="left" vertical="center" wrapText="1"/>
    </xf>
    <xf numFmtId="9" fontId="55" fillId="0" borderId="1" xfId="0" applyNumberFormat="1" applyFont="1" applyBorder="1" applyAlignment="1">
      <alignment vertical="center" wrapText="1"/>
    </xf>
    <xf numFmtId="9" fontId="55" fillId="11" borderId="1" xfId="6" quotePrefix="1" applyNumberFormat="1" applyFont="1" applyFill="1" applyBorder="1" applyAlignment="1">
      <alignment horizontal="left" vertical="center" wrapText="1"/>
    </xf>
    <xf numFmtId="0" fontId="55" fillId="0" borderId="12" xfId="5" quotePrefix="1" applyFont="1" applyBorder="1" applyAlignment="1">
      <alignment vertical="center" wrapText="1"/>
    </xf>
    <xf numFmtId="0" fontId="55" fillId="0" borderId="13" xfId="5" quotePrefix="1" applyFont="1" applyBorder="1" applyAlignment="1">
      <alignment vertical="center" wrapText="1"/>
    </xf>
    <xf numFmtId="0" fontId="51" fillId="17" borderId="1" xfId="5" quotePrefix="1" applyFont="1" applyFill="1" applyBorder="1" applyAlignment="1">
      <alignment horizontal="center" vertical="center" wrapText="1"/>
    </xf>
    <xf numFmtId="0" fontId="55" fillId="17" borderId="1" xfId="6" quotePrefix="1" applyFont="1" applyFill="1" applyBorder="1" applyAlignment="1">
      <alignment horizontal="center" vertical="center" wrapText="1"/>
    </xf>
    <xf numFmtId="0" fontId="55" fillId="17" borderId="2" xfId="6" quotePrefix="1" applyFont="1" applyFill="1" applyBorder="1" applyAlignment="1">
      <alignment horizontal="center" vertical="center" wrapText="1"/>
    </xf>
    <xf numFmtId="9" fontId="55" fillId="17" borderId="4" xfId="6" quotePrefix="1" applyNumberFormat="1" applyFont="1" applyFill="1" applyBorder="1" applyAlignment="1">
      <alignment horizontal="center" vertical="center" wrapText="1"/>
    </xf>
    <xf numFmtId="0" fontId="51" fillId="0" borderId="1" xfId="0" applyFont="1" applyBorder="1" applyAlignment="1">
      <alignment horizontal="center" vertical="center"/>
    </xf>
    <xf numFmtId="0" fontId="56" fillId="0" borderId="1" xfId="0" applyFont="1" applyBorder="1" applyAlignment="1">
      <alignment vertical="center"/>
    </xf>
    <xf numFmtId="0" fontId="55" fillId="0" borderId="1" xfId="0" applyFont="1" applyBorder="1" applyAlignment="1">
      <alignment horizontal="center" vertical="center" wrapText="1"/>
    </xf>
    <xf numFmtId="9" fontId="54" fillId="11" borderId="1" xfId="0" applyNumberFormat="1" applyFont="1" applyFill="1" applyBorder="1" applyAlignment="1">
      <alignment horizontal="center" vertical="center" wrapText="1"/>
    </xf>
    <xf numFmtId="9" fontId="55" fillId="11" borderId="1" xfId="0" applyNumberFormat="1" applyFont="1" applyFill="1" applyBorder="1" applyAlignment="1">
      <alignment horizontal="center" vertical="center" wrapText="1"/>
    </xf>
    <xf numFmtId="0" fontId="55" fillId="11" borderId="1" xfId="0" applyFont="1" applyFill="1" applyBorder="1" applyAlignment="1">
      <alignment vertical="center" wrapText="1"/>
    </xf>
    <xf numFmtId="0" fontId="54" fillId="11" borderId="1" xfId="0" applyFont="1" applyFill="1" applyBorder="1" applyAlignment="1">
      <alignment vertical="center" wrapText="1"/>
    </xf>
    <xf numFmtId="0" fontId="55" fillId="0" borderId="0" xfId="0" applyFont="1" applyAlignment="1">
      <alignment vertical="center" wrapText="1"/>
    </xf>
    <xf numFmtId="9" fontId="42" fillId="0" borderId="0" xfId="0" applyNumberFormat="1" applyFont="1" applyAlignment="1">
      <alignment horizontal="center" vertical="center" wrapText="1"/>
    </xf>
    <xf numFmtId="0" fontId="20" fillId="10" borderId="1" xfId="0" applyFont="1" applyFill="1" applyBorder="1" applyAlignment="1">
      <alignment horizontal="center" vertical="center"/>
    </xf>
    <xf numFmtId="0" fontId="19" fillId="9" borderId="2" xfId="0" applyFont="1" applyFill="1" applyBorder="1" applyAlignment="1">
      <alignment horizontal="center" vertical="center"/>
    </xf>
    <xf numFmtId="0" fontId="19" fillId="9" borderId="4" xfId="0" applyFont="1" applyFill="1" applyBorder="1" applyAlignment="1">
      <alignment horizontal="center" vertical="center"/>
    </xf>
    <xf numFmtId="0" fontId="22" fillId="4" borderId="1" xfId="0" applyFont="1" applyFill="1" applyBorder="1" applyAlignment="1">
      <alignment horizontal="center" vertical="center" wrapText="1"/>
    </xf>
    <xf numFmtId="0" fontId="22" fillId="4" borderId="2" xfId="0" applyFont="1" applyFill="1" applyBorder="1" applyAlignment="1">
      <alignment horizontal="center" vertical="center" wrapText="1"/>
    </xf>
    <xf numFmtId="0" fontId="22" fillId="4" borderId="3" xfId="0" applyFont="1" applyFill="1" applyBorder="1" applyAlignment="1">
      <alignment horizontal="center" vertical="center" wrapText="1"/>
    </xf>
    <xf numFmtId="0" fontId="22" fillId="4" borderId="4" xfId="0" applyFont="1" applyFill="1" applyBorder="1" applyAlignment="1">
      <alignment horizontal="center" vertical="center" wrapText="1"/>
    </xf>
    <xf numFmtId="0" fontId="33" fillId="9" borderId="6" xfId="0" applyFont="1" applyFill="1" applyBorder="1" applyAlignment="1">
      <alignment horizontal="center" vertical="center"/>
    </xf>
    <xf numFmtId="0" fontId="19" fillId="9" borderId="1" xfId="0" applyFont="1" applyFill="1" applyBorder="1" applyAlignment="1">
      <alignment horizontal="center" vertical="center"/>
    </xf>
    <xf numFmtId="0" fontId="17" fillId="4" borderId="1" xfId="0" applyFont="1" applyFill="1" applyBorder="1" applyAlignment="1">
      <alignment horizontal="center" vertical="top" wrapText="1"/>
    </xf>
    <xf numFmtId="0" fontId="20" fillId="9" borderId="0" xfId="0" applyFont="1" applyFill="1" applyAlignment="1">
      <alignment horizontal="center" vertical="top" wrapText="1"/>
    </xf>
    <xf numFmtId="0" fontId="19" fillId="4" borderId="2"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32" fillId="9" borderId="2" xfId="0" applyFont="1" applyFill="1" applyBorder="1" applyAlignment="1">
      <alignment horizontal="right" vertical="center" wrapText="1"/>
    </xf>
    <xf numFmtId="0" fontId="32" fillId="9" borderId="3" xfId="0" applyFont="1" applyFill="1" applyBorder="1" applyAlignment="1">
      <alignment horizontal="right" vertical="center" wrapText="1"/>
    </xf>
    <xf numFmtId="0" fontId="32" fillId="9" borderId="4" xfId="0" applyFont="1" applyFill="1" applyBorder="1" applyAlignment="1">
      <alignment horizontal="right" vertical="center" wrapText="1"/>
    </xf>
    <xf numFmtId="0" fontId="20" fillId="9"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22" fillId="9" borderId="0" xfId="0" applyFont="1" applyFill="1" applyAlignment="1">
      <alignment horizontal="left" vertical="center"/>
    </xf>
    <xf numFmtId="0" fontId="30" fillId="9" borderId="1" xfId="0" applyFont="1" applyFill="1" applyBorder="1" applyAlignment="1">
      <alignment horizontal="center" vertical="center"/>
    </xf>
    <xf numFmtId="0" fontId="25" fillId="9" borderId="0" xfId="0" applyFont="1" applyFill="1" applyAlignment="1">
      <alignment horizontal="right" vertical="center"/>
    </xf>
    <xf numFmtId="0" fontId="26" fillId="9" borderId="0" xfId="0" applyFont="1" applyFill="1" applyAlignment="1">
      <alignment horizontal="right" vertical="center"/>
    </xf>
    <xf numFmtId="0" fontId="22" fillId="9" borderId="1" xfId="0" applyFont="1" applyFill="1" applyBorder="1" applyAlignment="1">
      <alignment horizontal="center" vertical="center"/>
    </xf>
    <xf numFmtId="0" fontId="17" fillId="9" borderId="1" xfId="0" applyFont="1" applyFill="1" applyBorder="1" applyAlignment="1">
      <alignment horizontal="center" vertical="top" wrapText="1"/>
    </xf>
    <xf numFmtId="0" fontId="21" fillId="9" borderId="6" xfId="0" applyFont="1" applyFill="1" applyBorder="1" applyAlignment="1">
      <alignment horizontal="center" vertical="top" wrapText="1"/>
    </xf>
    <xf numFmtId="0" fontId="17" fillId="9" borderId="0" xfId="0" applyFont="1" applyFill="1" applyAlignment="1">
      <alignment horizontal="center" vertical="top" wrapText="1"/>
    </xf>
    <xf numFmtId="0" fontId="45" fillId="6" borderId="0" xfId="0" applyFont="1" applyFill="1" applyAlignment="1">
      <alignment horizontal="center" vertical="center" wrapText="1"/>
    </xf>
    <xf numFmtId="0" fontId="19" fillId="9" borderId="6" xfId="0" applyFont="1" applyFill="1" applyBorder="1" applyAlignment="1">
      <alignment horizontal="center"/>
    </xf>
    <xf numFmtId="0" fontId="19" fillId="9" borderId="6" xfId="0" applyFont="1" applyFill="1" applyBorder="1" applyAlignment="1">
      <alignment horizontal="center" wrapText="1"/>
    </xf>
    <xf numFmtId="0" fontId="19" fillId="9" borderId="0" xfId="0" applyFont="1" applyFill="1" applyAlignment="1">
      <alignment horizontal="center" wrapText="1"/>
    </xf>
    <xf numFmtId="0" fontId="46" fillId="9" borderId="0" xfId="0" applyFont="1" applyFill="1" applyAlignment="1">
      <alignment horizontal="center" vertical="center" wrapText="1"/>
    </xf>
    <xf numFmtId="0" fontId="2" fillId="9" borderId="1" xfId="0" applyFont="1" applyFill="1" applyBorder="1" applyAlignment="1">
      <alignment horizontal="center" vertical="center" wrapText="1"/>
    </xf>
    <xf numFmtId="0" fontId="20" fillId="9" borderId="1" xfId="0" applyFont="1" applyFill="1" applyBorder="1" applyAlignment="1">
      <alignment horizontal="center" vertical="center"/>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1" fillId="0" borderId="12" xfId="5" applyFont="1" applyBorder="1" applyAlignment="1">
      <alignment horizontal="center" vertical="center" wrapText="1"/>
    </xf>
    <xf numFmtId="0" fontId="1" fillId="0" borderId="13" xfId="5" applyFont="1" applyBorder="1" applyAlignment="1">
      <alignment horizontal="center" vertical="center" wrapText="1"/>
    </xf>
    <xf numFmtId="0" fontId="4" fillId="0" borderId="12" xfId="6" quotePrefix="1" applyFont="1" applyBorder="1" applyAlignment="1">
      <alignment horizontal="left" vertical="center" wrapText="1"/>
    </xf>
    <xf numFmtId="0" fontId="4" fillId="0" borderId="13" xfId="6" quotePrefix="1" applyFont="1" applyBorder="1" applyAlignment="1">
      <alignment horizontal="left" vertical="center" wrapText="1"/>
    </xf>
    <xf numFmtId="0" fontId="4" fillId="0" borderId="12" xfId="6" quotePrefix="1" applyFont="1" applyBorder="1" applyAlignment="1">
      <alignment horizontal="center" vertical="center" wrapText="1"/>
    </xf>
    <xf numFmtId="0" fontId="4" fillId="0" borderId="13" xfId="6" quotePrefix="1" applyFont="1" applyBorder="1" applyAlignment="1">
      <alignment horizontal="center" vertical="center" wrapText="1"/>
    </xf>
    <xf numFmtId="9" fontId="1" fillId="0" borderId="12" xfId="0" applyNumberFormat="1" applyFont="1" applyBorder="1" applyAlignment="1">
      <alignment horizontal="center" vertical="center" wrapText="1"/>
    </xf>
    <xf numFmtId="9" fontId="1" fillId="0" borderId="13" xfId="0" applyNumberFormat="1" applyFont="1" applyBorder="1" applyAlignment="1">
      <alignment horizontal="center" vertical="center" wrapText="1"/>
    </xf>
    <xf numFmtId="9" fontId="1" fillId="4" borderId="12" xfId="6" quotePrefix="1" applyNumberFormat="1" applyFont="1" applyFill="1" applyBorder="1" applyAlignment="1">
      <alignment horizontal="left" vertical="center" wrapText="1"/>
    </xf>
    <xf numFmtId="9" fontId="1" fillId="4" borderId="13" xfId="6" quotePrefix="1" applyNumberFormat="1" applyFont="1" applyFill="1" applyBorder="1" applyAlignment="1">
      <alignment horizontal="left" vertical="center" wrapText="1"/>
    </xf>
    <xf numFmtId="14" fontId="1" fillId="0" borderId="12" xfId="0" applyNumberFormat="1" applyFont="1" applyBorder="1" applyAlignment="1">
      <alignment horizontal="center" vertical="center" wrapText="1"/>
    </xf>
    <xf numFmtId="14" fontId="1" fillId="0" borderId="13" xfId="0" applyNumberFormat="1" applyFont="1" applyBorder="1" applyAlignment="1">
      <alignment horizontal="center" vertical="center" wrapText="1"/>
    </xf>
    <xf numFmtId="14" fontId="4" fillId="0" borderId="12" xfId="6" quotePrefix="1" applyNumberFormat="1" applyFont="1" applyBorder="1" applyAlignment="1">
      <alignment horizontal="center" vertical="center" wrapText="1"/>
    </xf>
    <xf numFmtId="14" fontId="4" fillId="0" borderId="13" xfId="6" quotePrefix="1" applyNumberFormat="1" applyFont="1" applyBorder="1" applyAlignment="1">
      <alignment horizontal="center" vertical="center" wrapText="1"/>
    </xf>
    <xf numFmtId="0" fontId="1" fillId="0" borderId="12" xfId="0" quotePrefix="1" applyFont="1" applyBorder="1" applyAlignment="1">
      <alignment horizontal="center" vertical="center" wrapText="1"/>
    </xf>
    <xf numFmtId="0" fontId="1" fillId="0" borderId="13" xfId="0" quotePrefix="1" applyFont="1" applyBorder="1" applyAlignment="1">
      <alignment horizontal="center" vertical="center" wrapText="1"/>
    </xf>
    <xf numFmtId="0" fontId="3" fillId="7" borderId="7"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1" fillId="7" borderId="7" xfId="0" applyFont="1" applyFill="1" applyBorder="1" applyAlignment="1">
      <alignment horizontal="center" vertical="center" wrapText="1"/>
    </xf>
    <xf numFmtId="0" fontId="21" fillId="7" borderId="8" xfId="0" applyFont="1" applyFill="1" applyBorder="1" applyAlignment="1">
      <alignment horizontal="center" vertical="center" wrapText="1"/>
    </xf>
    <xf numFmtId="0" fontId="21" fillId="7" borderId="9" xfId="0" applyFont="1" applyFill="1" applyBorder="1" applyAlignment="1">
      <alignment horizontal="center" vertical="center" wrapText="1"/>
    </xf>
    <xf numFmtId="0" fontId="21" fillId="12" borderId="2" xfId="0" applyFont="1" applyFill="1" applyBorder="1" applyAlignment="1">
      <alignment horizontal="left" vertical="center" wrapText="1"/>
    </xf>
    <xf numFmtId="0" fontId="21" fillId="12" borderId="3" xfId="0" applyFont="1" applyFill="1" applyBorder="1" applyAlignment="1">
      <alignment horizontal="left" vertical="center" wrapText="1"/>
    </xf>
    <xf numFmtId="0" fontId="21" fillId="12" borderId="4" xfId="0" applyFont="1" applyFill="1" applyBorder="1" applyAlignment="1">
      <alignment horizontal="left" vertical="center" wrapText="1"/>
    </xf>
    <xf numFmtId="0" fontId="20" fillId="12" borderId="2" xfId="0" applyFont="1" applyFill="1" applyBorder="1" applyAlignment="1">
      <alignment horizontal="left" vertical="center" wrapText="1"/>
    </xf>
    <xf numFmtId="0" fontId="20" fillId="12" borderId="3"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0" fillId="0" borderId="0" xfId="0" applyAlignment="1">
      <alignment horizontal="center"/>
    </xf>
    <xf numFmtId="0" fontId="47" fillId="11" borderId="0" xfId="0" applyFont="1" applyFill="1" applyAlignment="1">
      <alignment horizontal="center" vertical="center" wrapText="1"/>
    </xf>
    <xf numFmtId="0" fontId="21" fillId="7" borderId="1" xfId="0" applyFont="1" applyFill="1" applyBorder="1" applyAlignment="1">
      <alignment horizontal="center" vertical="center" wrapText="1"/>
    </xf>
    <xf numFmtId="0" fontId="2" fillId="0" borderId="1" xfId="5" applyFont="1" applyBorder="1" applyAlignment="1">
      <alignment horizontal="center" vertical="center" wrapText="1"/>
    </xf>
    <xf numFmtId="0" fontId="30" fillId="3" borderId="14" xfId="0" applyFont="1" applyFill="1" applyBorder="1" applyAlignment="1">
      <alignment horizontal="center" vertical="center" wrapText="1"/>
    </xf>
    <xf numFmtId="0" fontId="30" fillId="3" borderId="6" xfId="0" applyFont="1" applyFill="1" applyBorder="1" applyAlignment="1">
      <alignment horizontal="center" vertical="center" wrapText="1"/>
    </xf>
    <xf numFmtId="0" fontId="21" fillId="14" borderId="1" xfId="0" applyFont="1" applyFill="1" applyBorder="1" applyAlignment="1">
      <alignment horizontal="center" vertical="center" wrapText="1"/>
    </xf>
    <xf numFmtId="9" fontId="49" fillId="16" borderId="1" xfId="0" applyNumberFormat="1" applyFont="1" applyFill="1" applyBorder="1" applyAlignment="1">
      <alignment horizontal="center" vertical="center" wrapText="1"/>
    </xf>
    <xf numFmtId="9" fontId="49" fillId="16" borderId="5" xfId="0" applyNumberFormat="1" applyFont="1" applyFill="1" applyBorder="1" applyAlignment="1">
      <alignment horizontal="center" vertical="center" wrapText="1"/>
    </xf>
    <xf numFmtId="0" fontId="49" fillId="16" borderId="1" xfId="0" applyFont="1" applyFill="1" applyBorder="1" applyAlignment="1">
      <alignment horizontal="center" vertical="center" wrapText="1"/>
    </xf>
    <xf numFmtId="0" fontId="47" fillId="0" borderId="14" xfId="0" applyFont="1" applyBorder="1" applyAlignment="1">
      <alignment horizontal="center" vertical="center" wrapText="1"/>
    </xf>
    <xf numFmtId="0" fontId="47" fillId="0" borderId="6" xfId="0" applyFont="1" applyBorder="1" applyAlignment="1">
      <alignment horizontal="center" vertical="center" wrapText="1"/>
    </xf>
    <xf numFmtId="0" fontId="21" fillId="13" borderId="1" xfId="0" applyFont="1" applyFill="1" applyBorder="1" applyAlignment="1">
      <alignment horizontal="center" vertical="center" wrapText="1"/>
    </xf>
    <xf numFmtId="0" fontId="50" fillId="17" borderId="2" xfId="0" applyFont="1" applyFill="1" applyBorder="1" applyAlignment="1">
      <alignment horizontal="center" vertical="center" wrapText="1"/>
    </xf>
    <xf numFmtId="0" fontId="50" fillId="17" borderId="3" xfId="0" applyFont="1" applyFill="1" applyBorder="1" applyAlignment="1">
      <alignment horizontal="center" vertical="center" wrapText="1"/>
    </xf>
    <xf numFmtId="0" fontId="50" fillId="17" borderId="4" xfId="0" applyFont="1" applyFill="1" applyBorder="1" applyAlignment="1">
      <alignment horizontal="center" vertical="center" wrapText="1"/>
    </xf>
    <xf numFmtId="0" fontId="51" fillId="18" borderId="1" xfId="0" quotePrefix="1" applyFont="1" applyFill="1" applyBorder="1" applyAlignment="1">
      <alignment horizontal="center" vertical="center" wrapText="1"/>
    </xf>
    <xf numFmtId="0" fontId="52" fillId="18" borderId="12" xfId="0" quotePrefix="1" applyFont="1" applyFill="1" applyBorder="1" applyAlignment="1">
      <alignment horizontal="left" vertical="top" wrapText="1"/>
    </xf>
    <xf numFmtId="0" fontId="52" fillId="18" borderId="13" xfId="0" quotePrefix="1" applyFont="1" applyFill="1" applyBorder="1" applyAlignment="1">
      <alignment horizontal="left" vertical="top" wrapText="1"/>
    </xf>
    <xf numFmtId="0" fontId="53" fillId="18" borderId="12" xfId="0" quotePrefix="1" applyFont="1" applyFill="1" applyBorder="1" applyAlignment="1">
      <alignment horizontal="center" vertical="top" wrapText="1"/>
    </xf>
    <xf numFmtId="0" fontId="53" fillId="18" borderId="13" xfId="0" quotePrefix="1" applyFont="1" applyFill="1" applyBorder="1" applyAlignment="1">
      <alignment horizontal="center" vertical="top" wrapText="1"/>
    </xf>
    <xf numFmtId="0" fontId="55" fillId="0" borderId="1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17" xfId="0" applyFont="1" applyBorder="1" applyAlignment="1">
      <alignment horizontal="center" vertical="center" wrapText="1"/>
    </xf>
    <xf numFmtId="0" fontId="55" fillId="0" borderId="18" xfId="0" applyFont="1" applyBorder="1" applyAlignment="1">
      <alignment horizontal="center" vertical="center" wrapText="1"/>
    </xf>
    <xf numFmtId="0" fontId="55" fillId="0" borderId="0" xfId="0" applyFont="1" applyAlignment="1">
      <alignment horizontal="center" vertical="center" wrapText="1"/>
    </xf>
    <xf numFmtId="0" fontId="55" fillId="0" borderId="19" xfId="0" applyFont="1" applyBorder="1" applyAlignment="1">
      <alignment horizontal="center" vertical="center" wrapText="1"/>
    </xf>
    <xf numFmtId="0" fontId="55" fillId="0" borderId="14" xfId="0" applyFont="1" applyBorder="1" applyAlignment="1">
      <alignment horizontal="center" vertical="center" wrapText="1"/>
    </xf>
    <xf numFmtId="0" fontId="55" fillId="0" borderId="6" xfId="0" applyFont="1" applyBorder="1" applyAlignment="1">
      <alignment horizontal="center" vertical="center" wrapText="1"/>
    </xf>
    <xf numFmtId="0" fontId="55" fillId="0" borderId="20" xfId="0" applyFont="1" applyBorder="1" applyAlignment="1">
      <alignment horizontal="center" vertical="center" wrapText="1"/>
    </xf>
    <xf numFmtId="0" fontId="51" fillId="11" borderId="1" xfId="5" quotePrefix="1" applyFont="1" applyFill="1" applyBorder="1" applyAlignment="1">
      <alignment horizontal="center" vertical="center" wrapText="1"/>
    </xf>
    <xf numFmtId="0" fontId="55" fillId="0" borderId="12" xfId="6" quotePrefix="1" applyFont="1" applyBorder="1" applyAlignment="1">
      <alignment horizontal="center" vertical="center" wrapText="1"/>
    </xf>
    <xf numFmtId="0" fontId="55" fillId="0" borderId="13" xfId="6" quotePrefix="1" applyFont="1" applyBorder="1" applyAlignment="1">
      <alignment horizontal="center" vertical="center" wrapText="1"/>
    </xf>
    <xf numFmtId="0" fontId="55" fillId="0" borderId="1" xfId="6" quotePrefix="1" applyFont="1" applyBorder="1" applyAlignment="1">
      <alignment horizontal="center" vertical="center" wrapText="1"/>
    </xf>
    <xf numFmtId="0" fontId="51" fillId="17" borderId="2" xfId="0" quotePrefix="1" applyFont="1" applyFill="1" applyBorder="1" applyAlignment="1">
      <alignment horizontal="left" vertical="center" wrapText="1"/>
    </xf>
    <xf numFmtId="0" fontId="51" fillId="17" borderId="3" xfId="0" quotePrefix="1" applyFont="1" applyFill="1" applyBorder="1" applyAlignment="1">
      <alignment horizontal="left" vertical="center" wrapText="1"/>
    </xf>
    <xf numFmtId="0" fontId="55" fillId="11" borderId="2" xfId="0" applyFont="1" applyFill="1" applyBorder="1" applyAlignment="1">
      <alignment horizontal="center" vertical="center" wrapText="1"/>
    </xf>
    <xf numFmtId="0" fontId="55" fillId="11" borderId="3" xfId="0" applyFont="1" applyFill="1" applyBorder="1" applyAlignment="1">
      <alignment horizontal="center" vertical="center" wrapText="1"/>
    </xf>
    <xf numFmtId="0" fontId="55" fillId="11" borderId="4" xfId="0" applyFont="1" applyFill="1" applyBorder="1" applyAlignment="1">
      <alignment horizontal="center" vertical="center" wrapText="1"/>
    </xf>
    <xf numFmtId="0" fontId="57" fillId="11" borderId="1" xfId="0" applyFont="1" applyFill="1" applyBorder="1" applyAlignment="1">
      <alignment horizontal="center" vertical="center" wrapText="1"/>
    </xf>
    <xf numFmtId="0" fontId="51" fillId="11" borderId="12" xfId="0" applyFont="1" applyFill="1" applyBorder="1" applyAlignment="1">
      <alignment horizontal="center" vertical="center"/>
    </xf>
    <xf numFmtId="0" fontId="51" fillId="11" borderId="13" xfId="0" applyFont="1" applyFill="1" applyBorder="1" applyAlignment="1">
      <alignment horizontal="center" vertical="center"/>
    </xf>
    <xf numFmtId="0" fontId="55" fillId="0" borderId="12" xfId="5" quotePrefix="1" applyFont="1" applyBorder="1" applyAlignment="1">
      <alignment horizontal="center" vertical="center" wrapText="1"/>
    </xf>
    <xf numFmtId="0" fontId="55" fillId="0" borderId="13" xfId="5" quotePrefix="1" applyFont="1" applyBorder="1" applyAlignment="1">
      <alignment horizontal="center" vertical="center" wrapText="1"/>
    </xf>
    <xf numFmtId="9" fontId="55" fillId="0" borderId="12" xfId="6" quotePrefix="1" applyNumberFormat="1" applyFont="1" applyBorder="1" applyAlignment="1">
      <alignment horizontal="center" vertical="center" wrapText="1"/>
    </xf>
    <xf numFmtId="9" fontId="55" fillId="0" borderId="13" xfId="6" quotePrefix="1" applyNumberFormat="1" applyFont="1" applyBorder="1" applyAlignment="1">
      <alignment horizontal="center" vertical="center" wrapText="1"/>
    </xf>
    <xf numFmtId="0" fontId="16" fillId="3" borderId="1" xfId="0" applyFont="1" applyFill="1" applyBorder="1" applyAlignment="1">
      <alignment horizontal="center" vertical="center" wrapText="1"/>
    </xf>
    <xf numFmtId="0" fontId="34" fillId="0" borderId="5" xfId="0" applyFont="1" applyBorder="1" applyAlignment="1">
      <alignment horizontal="left" vertical="center" wrapText="1"/>
    </xf>
    <xf numFmtId="0" fontId="34" fillId="0" borderId="5" xfId="0" applyFont="1" applyBorder="1" applyAlignment="1">
      <alignment horizontal="left" vertical="center"/>
    </xf>
    <xf numFmtId="0" fontId="37" fillId="3" borderId="1" xfId="0" applyFont="1" applyFill="1" applyBorder="1" applyAlignment="1">
      <alignment horizontal="center" vertical="center"/>
    </xf>
    <xf numFmtId="0" fontId="4" fillId="0" borderId="12" xfId="5" applyFont="1" applyBorder="1" applyAlignment="1">
      <alignment horizontal="center" vertical="center" wrapText="1"/>
    </xf>
    <xf numFmtId="0" fontId="4" fillId="0" borderId="15" xfId="5" applyFont="1" applyBorder="1" applyAlignment="1">
      <alignment horizontal="center" vertical="center" wrapText="1"/>
    </xf>
    <xf numFmtId="0" fontId="4" fillId="0" borderId="13" xfId="5" applyFont="1" applyBorder="1" applyAlignment="1">
      <alignment horizontal="center" vertical="center" wrapText="1"/>
    </xf>
    <xf numFmtId="0" fontId="1" fillId="0" borderId="15" xfId="5" applyFont="1" applyBorder="1" applyAlignment="1">
      <alignment horizontal="center" vertical="center" wrapText="1"/>
    </xf>
    <xf numFmtId="0" fontId="4" fillId="0" borderId="15" xfId="6" quotePrefix="1" applyFont="1" applyBorder="1" applyAlignment="1">
      <alignment horizontal="center" vertical="center" wrapText="1"/>
    </xf>
    <xf numFmtId="9" fontId="4" fillId="0" borderId="12" xfId="6" quotePrefix="1" applyNumberFormat="1" applyFont="1" applyBorder="1" applyAlignment="1">
      <alignment horizontal="center" vertical="center" wrapText="1"/>
    </xf>
    <xf numFmtId="9" fontId="4" fillId="0" borderId="15" xfId="6" quotePrefix="1" applyNumberFormat="1" applyFont="1" applyBorder="1" applyAlignment="1">
      <alignment horizontal="center" vertical="center" wrapText="1"/>
    </xf>
    <xf numFmtId="9" fontId="4" fillId="0" borderId="13" xfId="6" quotePrefix="1" applyNumberFormat="1" applyFont="1" applyBorder="1" applyAlignment="1">
      <alignment horizontal="center" vertical="center" wrapText="1"/>
    </xf>
    <xf numFmtId="9" fontId="1" fillId="0" borderId="12" xfId="6" quotePrefix="1" applyNumberFormat="1" applyFont="1" applyBorder="1" applyAlignment="1">
      <alignment horizontal="center" vertical="center" wrapText="1"/>
    </xf>
    <xf numFmtId="9" fontId="1" fillId="0" borderId="15" xfId="6" quotePrefix="1" applyNumberFormat="1" applyFont="1" applyBorder="1" applyAlignment="1">
      <alignment horizontal="center" vertical="center" wrapText="1"/>
    </xf>
    <xf numFmtId="9" fontId="1" fillId="0" borderId="13" xfId="6" quotePrefix="1" applyNumberFormat="1" applyFont="1" applyBorder="1" applyAlignment="1">
      <alignment horizontal="center" vertical="center" wrapText="1"/>
    </xf>
    <xf numFmtId="9" fontId="1" fillId="0" borderId="15" xfId="0" applyNumberFormat="1"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quotePrefix="1" applyFont="1" applyBorder="1" applyAlignment="1">
      <alignment horizontal="center" vertical="center"/>
    </xf>
    <xf numFmtId="0" fontId="4" fillId="0" borderId="15" xfId="0" quotePrefix="1" applyFont="1" applyBorder="1" applyAlignment="1">
      <alignment horizontal="center" vertical="center"/>
    </xf>
    <xf numFmtId="0" fontId="4" fillId="0" borderId="13" xfId="0" quotePrefix="1" applyFont="1" applyBorder="1" applyAlignment="1">
      <alignment horizontal="center" vertical="center"/>
    </xf>
    <xf numFmtId="0" fontId="4" fillId="0" borderId="12" xfId="0" quotePrefix="1" applyFont="1" applyBorder="1" applyAlignment="1">
      <alignment horizontal="center" vertical="center" wrapText="1"/>
    </xf>
    <xf numFmtId="0" fontId="4" fillId="0" borderId="15" xfId="0" quotePrefix="1" applyFont="1" applyBorder="1" applyAlignment="1">
      <alignment horizontal="center" vertical="center" wrapText="1"/>
    </xf>
    <xf numFmtId="0" fontId="4" fillId="0" borderId="13" xfId="0" quotePrefix="1" applyFont="1" applyBorder="1" applyAlignment="1">
      <alignment horizontal="center" vertical="center" wrapText="1"/>
    </xf>
    <xf numFmtId="9" fontId="1" fillId="0" borderId="12" xfId="0" quotePrefix="1" applyNumberFormat="1" applyFont="1" applyBorder="1" applyAlignment="1">
      <alignment horizontal="center" vertical="center" wrapText="1"/>
    </xf>
    <xf numFmtId="9" fontId="1" fillId="0" borderId="15" xfId="0" quotePrefix="1" applyNumberFormat="1" applyFont="1" applyBorder="1" applyAlignment="1">
      <alignment horizontal="center" vertical="center" wrapText="1"/>
    </xf>
    <xf numFmtId="9" fontId="1" fillId="0" borderId="13" xfId="0" quotePrefix="1" applyNumberFormat="1" applyFont="1" applyBorder="1" applyAlignment="1">
      <alignment horizontal="center" vertical="center" wrapText="1"/>
    </xf>
    <xf numFmtId="9" fontId="4" fillId="0" borderId="12" xfId="5" applyNumberFormat="1" applyFont="1" applyBorder="1" applyAlignment="1">
      <alignment horizontal="center" vertical="center" wrapText="1"/>
    </xf>
  </cellXfs>
  <cellStyles count="13">
    <cellStyle name="Comma" xfId="12" builtinId="3"/>
    <cellStyle name="Comma 2" xfId="1" xr:uid="{00000000-0005-0000-0000-000000000000}"/>
    <cellStyle name="Comma 3" xfId="2" xr:uid="{00000000-0005-0000-0000-000001000000}"/>
    <cellStyle name="Comma 4" xfId="9" xr:uid="{F8CD4910-D9F8-4836-A9C2-7585E803CDCF}"/>
    <cellStyle name="Ledger 17 x 11 in" xfId="3" xr:uid="{00000000-0005-0000-0000-000002000000}"/>
    <cellStyle name="Normal" xfId="0" builtinId="0"/>
    <cellStyle name="Normal 2" xfId="4" xr:uid="{00000000-0005-0000-0000-000004000000}"/>
    <cellStyle name="Normal 2 2" xfId="5" xr:uid="{00000000-0005-0000-0000-000005000000}"/>
    <cellStyle name="Normal 2 3" xfId="8" xr:uid="{CB933B2E-45F8-4DB6-86C1-96583D9F05B8}"/>
    <cellStyle name="Normal 3" xfId="7" xr:uid="{15486C3E-C9AC-4626-B702-FB9A9E3DABAF}"/>
    <cellStyle name="Normal 3 2" xfId="6" xr:uid="{A12D2684-7F7C-48D1-BAF5-89D13BCC951A}"/>
    <cellStyle name="Percent" xfId="11" builtinId="5"/>
    <cellStyle name="Percent 2" xfId="10" xr:uid="{1033E7B1-7930-4080-ACBD-851C8059E277}"/>
  </cellStyles>
  <dxfs count="5">
    <dxf>
      <fill>
        <patternFill>
          <bgColor theme="9" tint="0.79998168889431442"/>
        </patternFill>
      </fill>
    </dxf>
    <dxf>
      <fill>
        <patternFill>
          <bgColor rgb="FF00B050"/>
        </patternFill>
      </fill>
    </dxf>
    <dxf>
      <fill>
        <patternFill>
          <bgColor rgb="FFFF0000"/>
        </patternFill>
      </fill>
    </dxf>
    <dxf>
      <fill>
        <patternFill>
          <bgColor rgb="FF92D050"/>
        </patternFill>
      </fill>
    </dxf>
    <dxf>
      <fill>
        <patternFill>
          <bgColor rgb="FF00B050"/>
        </patternFill>
      </fill>
    </dxf>
  </dxfs>
  <tableStyles count="0" defaultTableStyle="TableStyleMedium2" defaultPivotStyle="PivotStyleLight16"/>
  <colors>
    <mruColors>
      <color rgb="FFFFFFFF"/>
      <color rgb="FF66FF33"/>
      <color rgb="FFFF66FF"/>
      <color rgb="FFFF99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dLbl>
              <c:idx val="0"/>
              <c:layout>
                <c:manualLayout>
                  <c:x val="-9.0909101754843916E-3"/>
                  <c:y val="-2.27390176252006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7B-4144-8809-3BAB89A7CA72}"/>
                </c:ext>
              </c:extLst>
            </c:dLbl>
            <c:dLbl>
              <c:idx val="1"/>
              <c:layout>
                <c:manualLayout>
                  <c:x val="-5.1961548454143936E-3"/>
                  <c:y val="-1.5779092702169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02C-40EB-BCF9-93723024CC3F}"/>
                </c:ext>
              </c:extLst>
            </c:dLbl>
            <c:dLbl>
              <c:idx val="8"/>
              <c:layout>
                <c:manualLayout>
                  <c:x val="-1.552582421343974E-2"/>
                  <c:y val="-1.0295067163153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25-4C9A-A702-177A46B75087}"/>
                </c:ext>
              </c:extLst>
            </c:dLbl>
            <c:dLbl>
              <c:idx val="9"/>
              <c:layout>
                <c:manualLayout>
                  <c:x val="-7.0903128600550798E-3"/>
                  <c:y val="3.79218809252938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25-4C9A-A702-177A46B75087}"/>
                </c:ext>
              </c:extLst>
            </c:dLbl>
            <c:dLbl>
              <c:idx val="10"/>
              <c:layout>
                <c:manualLayout>
                  <c:x val="3.3527919564531276E-3"/>
                  <c:y val="-0.10687971436002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2C-40EB-BCF9-93723024CC3F}"/>
                </c:ext>
              </c:extLst>
            </c:dLbl>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data!$B$3:$B$14</c:f>
              <c:numCache>
                <c:formatCode>General</c:formatCode>
                <c:ptCount val="12"/>
                <c:pt idx="0">
                  <c:v>1302</c:v>
                </c:pt>
              </c:numCache>
            </c:numRef>
          </c:val>
          <c:extLst>
            <c:ext xmlns:c16="http://schemas.microsoft.com/office/drawing/2014/chart" uri="{C3380CC4-5D6E-409C-BE32-E72D297353CC}">
              <c16:uniqueId val="{00000000-CF36-4C12-A972-B6328BC83E5A}"/>
            </c:ext>
          </c:extLst>
        </c:ser>
        <c:ser>
          <c:idx val="1"/>
          <c:order val="1"/>
          <c:tx>
            <c:v>Kế hoạch</c:v>
          </c:tx>
          <c:spPr>
            <a:solidFill>
              <a:schemeClr val="accent2"/>
            </a:solidFill>
            <a:ln>
              <a:noFill/>
            </a:ln>
            <a:effectLst/>
          </c:spPr>
          <c:invertIfNegative val="0"/>
          <c:dLbls>
            <c:dLbl>
              <c:idx val="0"/>
              <c:layout>
                <c:manualLayout>
                  <c:x val="2.4242427134625044E-2"/>
                  <c:y val="-8.527131609450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36-4C12-A972-B6328BC83E5A}"/>
                </c:ext>
              </c:extLst>
            </c:dLbl>
            <c:dLbl>
              <c:idx val="1"/>
              <c:layout>
                <c:manualLayout>
                  <c:x val="5.2603068109332227E-3"/>
                  <c:y val="-8.3525038863507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3-4646-AA50-6C974A08D7DE}"/>
                </c:ext>
              </c:extLst>
            </c:dLbl>
            <c:dLbl>
              <c:idx val="2"/>
              <c:layout>
                <c:manualLayout>
                  <c:x val="1.6164834093717478E-2"/>
                  <c:y val="-7.58467365458476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F36-4C12-A972-B6328BC83E5A}"/>
                </c:ext>
              </c:extLst>
            </c:dLbl>
            <c:dLbl>
              <c:idx val="3"/>
              <c:layout>
                <c:manualLayout>
                  <c:x val="-1.6248445934191963E-17"/>
                  <c:y val="-3.03375047402351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36-4C12-A972-B6328BC83E5A}"/>
                </c:ext>
              </c:extLst>
            </c:dLbl>
            <c:dLbl>
              <c:idx val="4"/>
              <c:layout>
                <c:manualLayout>
                  <c:x val="1.2602903399247209E-2"/>
                  <c:y val="-6.5929814710309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25-4C9A-A702-177A46B75087}"/>
                </c:ext>
              </c:extLst>
            </c:dLbl>
            <c:dLbl>
              <c:idx val="5"/>
              <c:layout>
                <c:manualLayout>
                  <c:x val="9.5836700299646894E-3"/>
                  <c:y val="-7.3697089431642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25-4C9A-A702-177A46B75087}"/>
                </c:ext>
              </c:extLst>
            </c:dLbl>
            <c:dLbl>
              <c:idx val="6"/>
              <c:layout>
                <c:manualLayout>
                  <c:x val="1.2778226706619645E-2"/>
                  <c:y val="-6.99048465027388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2C-40EB-BCF9-93723024CC3F}"/>
                </c:ext>
              </c:extLst>
            </c:dLbl>
            <c:dLbl>
              <c:idx val="8"/>
              <c:layout>
                <c:manualLayout>
                  <c:x val="1.5525824213439614E-2"/>
                  <c:y val="-3.60327350710379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78-44BE-B002-E321E883FC54}"/>
                </c:ext>
              </c:extLst>
            </c:dLbl>
            <c:dLbl>
              <c:idx val="9"/>
              <c:layout>
                <c:manualLayout>
                  <c:x val="1.461285522150685E-2"/>
                  <c:y val="-2.10383537471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2C-40EB-BCF9-93723024CC3F}"/>
                </c:ext>
              </c:extLst>
            </c:dLbl>
            <c:dLbl>
              <c:idx val="11"/>
              <c:layout>
                <c:manualLayout>
                  <c:x val="2.6634385387672561E-2"/>
                  <c:y val="-3.50917185616540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2C-40EB-BCF9-93723024CC3F}"/>
                </c:ext>
              </c:extLst>
            </c:dLbl>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data!$C$3:$C$14</c:f>
              <c:numCache>
                <c:formatCode>General</c:formatCode>
                <c:ptCount val="12"/>
                <c:pt idx="0">
                  <c:v>1495</c:v>
                </c:pt>
              </c:numCache>
            </c:numRef>
          </c:val>
          <c:extLst>
            <c:ext xmlns:c16="http://schemas.microsoft.com/office/drawing/2014/chart" uri="{C3380CC4-5D6E-409C-BE32-E72D297353CC}">
              <c16:uniqueId val="{00000001-CF36-4C12-A972-B6328BC83E5A}"/>
            </c:ext>
          </c:extLst>
        </c:ser>
        <c:dLbls>
          <c:showLegendKey val="0"/>
          <c:showVal val="1"/>
          <c:showCatName val="0"/>
          <c:showSerName val="0"/>
          <c:showPercent val="0"/>
          <c:showBubbleSize val="0"/>
        </c:dLbls>
        <c:gapWidth val="150"/>
        <c:axId val="1240931503"/>
        <c:axId val="1269321887"/>
      </c:barChart>
      <c:lineChart>
        <c:grouping val="standard"/>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dLbl>
              <c:idx val="0"/>
              <c:layout>
                <c:manualLayout>
                  <c:x val="3.0303033918281305E-3"/>
                  <c:y val="-4.263565804725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F36-4C12-A972-B6328BC83E5A}"/>
                </c:ext>
              </c:extLst>
            </c:dLbl>
            <c:dLbl>
              <c:idx val="1"/>
              <c:layout>
                <c:manualLayout>
                  <c:x val="-2.2498997545208267E-2"/>
                  <c:y val="7.06787103964235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3-4646-AA50-6C974A08D7DE}"/>
                </c:ext>
              </c:extLst>
            </c:dLbl>
            <c:dLbl>
              <c:idx val="2"/>
              <c:layout>
                <c:manualLayout>
                  <c:x val="-3.4780141960041432E-3"/>
                  <c:y val="0.111367158986783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F36-4C12-A972-B6328BC83E5A}"/>
                </c:ext>
              </c:extLst>
            </c:dLbl>
            <c:dLbl>
              <c:idx val="3"/>
              <c:layout>
                <c:manualLayout>
                  <c:x val="-9.5517873204275031E-3"/>
                  <c:y val="7.7038624609793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F36-4C12-A972-B6328BC83E5A}"/>
                </c:ext>
              </c:extLst>
            </c:dLbl>
            <c:dLbl>
              <c:idx val="4"/>
              <c:layout>
                <c:manualLayout>
                  <c:x val="-2.5169872755255375E-2"/>
                  <c:y val="7.1579192532674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25-4C9A-A702-177A46B75087}"/>
                </c:ext>
              </c:extLst>
            </c:dLbl>
            <c:dLbl>
              <c:idx val="5"/>
              <c:layout>
                <c:manualLayout>
                  <c:x val="-3.901275021381851E-2"/>
                  <c:y val="0.140295730951719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F36-4C12-A972-B6328BC83E5A}"/>
                </c:ext>
              </c:extLst>
            </c:dLbl>
            <c:dLbl>
              <c:idx val="6"/>
              <c:layout>
                <c:manualLayout>
                  <c:x val="-2.8398126373517494E-2"/>
                  <c:y val="6.06684403357430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2C-40EB-BCF9-93723024CC3F}"/>
                </c:ext>
              </c:extLst>
            </c:dLbl>
            <c:dLbl>
              <c:idx val="8"/>
              <c:layout>
                <c:manualLayout>
                  <c:x val="-3.8996720730302289E-2"/>
                  <c:y val="4.92939945895051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25-4C9A-A702-177A46B75087}"/>
                </c:ext>
              </c:extLst>
            </c:dLbl>
            <c:dLbl>
              <c:idx val="9"/>
              <c:layout>
                <c:manualLayout>
                  <c:x val="-3.3678986085261015E-2"/>
                  <c:y val="4.92704187985597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1F-493B-B79F-5513F83F3290}"/>
                </c:ext>
              </c:extLst>
            </c:dLbl>
            <c:dLbl>
              <c:idx val="10"/>
              <c:layout>
                <c:manualLayout>
                  <c:x val="-1.4796880770929139E-3"/>
                  <c:y val="4.97132679623431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1F-493B-B79F-5513F83F3290}"/>
                </c:ext>
              </c:extLst>
            </c:dLbl>
            <c:dLbl>
              <c:idx val="11"/>
              <c:layout>
                <c:manualLayout>
                  <c:x val="-2.8114073464765365E-2"/>
                  <c:y val="-6.7259127243170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2C-40EB-BCF9-93723024CC3F}"/>
                </c:ext>
              </c:extLst>
            </c:dLbl>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data!$D$3:$D$14</c:f>
              <c:numCache>
                <c:formatCode>0.0%</c:formatCode>
                <c:ptCount val="12"/>
                <c:pt idx="0">
                  <c:v>0.87090301003344484</c:v>
                </c:pt>
              </c:numCache>
            </c:numRef>
          </c:val>
          <c:smooth val="0"/>
          <c:extLst>
            <c:ext xmlns:c16="http://schemas.microsoft.com/office/drawing/2014/chart" uri="{C3380CC4-5D6E-409C-BE32-E72D297353CC}">
              <c16:uniqueId val="{00000003-CF36-4C12-A972-B6328BC83E5A}"/>
            </c:ext>
          </c:extLst>
        </c:ser>
        <c:ser>
          <c:idx val="3"/>
          <c:order val="3"/>
          <c:tx>
            <c:v>Mục tiêu</c:v>
          </c:tx>
          <c:spPr>
            <a:ln w="15875" cap="rnd" cmpd="dbl">
              <a:solidFill>
                <a:schemeClr val="accent4"/>
              </a:solidFill>
              <a:round/>
            </a:ln>
            <a:effectLst/>
          </c:spPr>
          <c:marker>
            <c:symbol val="circle"/>
            <c:size val="5"/>
            <c:spPr>
              <a:solidFill>
                <a:schemeClr val="accent4"/>
              </a:solidFill>
              <a:ln w="9525">
                <a:solidFill>
                  <a:schemeClr val="accent4"/>
                </a:solidFill>
              </a:ln>
              <a:effectLst/>
            </c:spPr>
          </c:marker>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data!$E$3:$E$14</c:f>
              <c:numCache>
                <c:formatCode>0%</c:formatCode>
                <c:ptCount val="12"/>
                <c:pt idx="0">
                  <c:v>0.98</c:v>
                </c:pt>
                <c:pt idx="1">
                  <c:v>0.98</c:v>
                </c:pt>
                <c:pt idx="2">
                  <c:v>0.98</c:v>
                </c:pt>
                <c:pt idx="3">
                  <c:v>0.98</c:v>
                </c:pt>
                <c:pt idx="4">
                  <c:v>0.98</c:v>
                </c:pt>
                <c:pt idx="5">
                  <c:v>0.98</c:v>
                </c:pt>
                <c:pt idx="6">
                  <c:v>0.98</c:v>
                </c:pt>
                <c:pt idx="7">
                  <c:v>0.98</c:v>
                </c:pt>
                <c:pt idx="8">
                  <c:v>0.98</c:v>
                </c:pt>
                <c:pt idx="9">
                  <c:v>0.98</c:v>
                </c:pt>
                <c:pt idx="10">
                  <c:v>0.98</c:v>
                </c:pt>
                <c:pt idx="11">
                  <c:v>0.98</c:v>
                </c:pt>
              </c:numCache>
            </c:numRef>
          </c:val>
          <c:smooth val="0"/>
          <c:extLst>
            <c:ext xmlns:c16="http://schemas.microsoft.com/office/drawing/2014/chart" uri="{C3380CC4-5D6E-409C-BE32-E72D297353CC}">
              <c16:uniqueId val="{0000000C-CF36-4C12-A972-B6328BC83E5A}"/>
            </c:ext>
          </c:extLst>
        </c:ser>
        <c:dLbls>
          <c:showLegendKey val="0"/>
          <c:showVal val="1"/>
          <c:showCatName val="0"/>
          <c:showSerName val="0"/>
          <c:showPercent val="0"/>
          <c:showBubbleSize val="0"/>
        </c:dLbls>
        <c:marker val="1"/>
        <c:smooth val="0"/>
        <c:axId val="783432607"/>
        <c:axId val="953506879"/>
      </c:lineChart>
      <c:catAx>
        <c:axId val="12409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1887"/>
        <c:crosses val="autoZero"/>
        <c:auto val="1"/>
        <c:lblAlgn val="ctr"/>
        <c:lblOffset val="100"/>
        <c:noMultiLvlLbl val="0"/>
      </c:catAx>
      <c:valAx>
        <c:axId val="1269321887"/>
        <c:scaling>
          <c:orientation val="minMax"/>
          <c:max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40931503"/>
        <c:crosses val="autoZero"/>
        <c:crossBetween val="between"/>
      </c:valAx>
      <c:valAx>
        <c:axId val="953506879"/>
        <c:scaling>
          <c:orientation val="minMax"/>
          <c:max val="1.1000000000000001"/>
          <c:min val="0.4"/>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83432607"/>
        <c:crosses val="max"/>
        <c:crossBetween val="between"/>
        <c:majorUnit val="0.2"/>
      </c:valAx>
      <c:catAx>
        <c:axId val="783432607"/>
        <c:scaling>
          <c:orientation val="minMax"/>
        </c:scaling>
        <c:delete val="1"/>
        <c:axPos val="b"/>
        <c:numFmt formatCode="General" sourceLinked="1"/>
        <c:majorTickMark val="out"/>
        <c:minorTickMark val="none"/>
        <c:tickLblPos val="nextTo"/>
        <c:crossAx val="9535068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dLbl>
              <c:idx val="1"/>
              <c:layout>
                <c:manualLayout>
                  <c:x val="-7.7175099666779712E-3"/>
                  <c:y val="-9.201081670467329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0F-41F2-9CC7-8FEC1FE575C0}"/>
                </c:ext>
              </c:extLst>
            </c:dLbl>
            <c:dLbl>
              <c:idx val="8"/>
              <c:layout>
                <c:manualLayout>
                  <c:x val="-3.6373870326021795E-2"/>
                  <c:y val="-2.46376734276387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0F-41F2-9CC7-8FEC1FE575C0}"/>
                </c:ext>
              </c:extLst>
            </c:dLbl>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data!$B$23:$B$34</c:f>
              <c:numCache>
                <c:formatCode>General</c:formatCode>
                <c:ptCount val="12"/>
                <c:pt idx="0">
                  <c:v>224</c:v>
                </c:pt>
              </c:numCache>
            </c:numRef>
          </c:val>
          <c:extLst>
            <c:ext xmlns:c16="http://schemas.microsoft.com/office/drawing/2014/chart" uri="{C3380CC4-5D6E-409C-BE32-E72D297353CC}">
              <c16:uniqueId val="{00000000-FA2F-4AA6-8B52-53DF024AA1C3}"/>
            </c:ext>
          </c:extLst>
        </c:ser>
        <c:ser>
          <c:idx val="1"/>
          <c:order val="1"/>
          <c:tx>
            <c:v>Kế hoạch</c:v>
          </c:tx>
          <c:spPr>
            <a:solidFill>
              <a:schemeClr val="accent2"/>
            </a:solidFill>
            <a:ln>
              <a:noFill/>
            </a:ln>
            <a:effectLst/>
          </c:spPr>
          <c:invertIfNegative val="0"/>
          <c:dLbls>
            <c:dLbl>
              <c:idx val="0"/>
              <c:layout>
                <c:manualLayout>
                  <c:x val="1.9737749743504892E-2"/>
                  <c:y val="-7.4330674037473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A2F-4AA6-8B52-53DF024AA1C3}"/>
                </c:ext>
              </c:extLst>
            </c:dLbl>
            <c:dLbl>
              <c:idx val="1"/>
              <c:layout>
                <c:manualLayout>
                  <c:x val="1.9293774916694949E-2"/>
                  <c:y val="-1.3801622505700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C7-4DBF-ACFE-F13EC091CDC2}"/>
                </c:ext>
              </c:extLst>
            </c:dLbl>
            <c:dLbl>
              <c:idx val="2"/>
              <c:layout>
                <c:manualLayout>
                  <c:x val="3.4459456098336338E-2"/>
                  <c:y val="-2.3809523809523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A2F-4AA6-8B52-53DF024AA1C3}"/>
                </c:ext>
              </c:extLst>
            </c:dLbl>
            <c:dLbl>
              <c:idx val="3"/>
              <c:layout>
                <c:manualLayout>
                  <c:x val="1.9883037639686165E-3"/>
                  <c:y val="-3.58366301151851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A2F-4AA6-8B52-53DF024AA1C3}"/>
                </c:ext>
              </c:extLst>
            </c:dLbl>
            <c:dLbl>
              <c:idx val="4"/>
              <c:layout>
                <c:manualLayout>
                  <c:x val="0"/>
                  <c:y val="-4.927536640837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DE-4EC6-9E59-3804310AE832}"/>
                </c:ext>
              </c:extLst>
            </c:dLbl>
            <c:dLbl>
              <c:idx val="5"/>
              <c:layout>
                <c:manualLayout>
                  <c:x val="-3.6451814578285412E-17"/>
                  <c:y val="-3.5836630115185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FA2F-4AA6-8B52-53DF024AA1C3}"/>
                </c:ext>
              </c:extLst>
            </c:dLbl>
            <c:dLbl>
              <c:idx val="6"/>
              <c:layout>
                <c:manualLayout>
                  <c:x val="0"/>
                  <c:y val="-4.0316208879583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0F-41F2-9CC7-8FEC1FE575C0}"/>
                </c:ext>
              </c:extLst>
            </c:dLbl>
            <c:dLbl>
              <c:idx val="8"/>
              <c:layout>
                <c:manualLayout>
                  <c:x val="2.3584543700824637E-2"/>
                  <c:y val="-2.105895712064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DE-4EC6-9E59-3804310AE832}"/>
                </c:ext>
              </c:extLst>
            </c:dLbl>
            <c:dLbl>
              <c:idx val="9"/>
              <c:layout>
                <c:manualLayout>
                  <c:x val="0"/>
                  <c:y val="-4.0316208879583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DE-4EC6-9E59-3804310AE832}"/>
                </c:ext>
              </c:extLst>
            </c:dLbl>
            <c:dLbl>
              <c:idx val="10"/>
              <c:layout>
                <c:manualLayout>
                  <c:x val="1.7306906106627499E-2"/>
                  <c:y val="-1.40032961039228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5F-4461-BE9E-8ADE7E26DDAC}"/>
                </c:ext>
              </c:extLst>
            </c:dLbl>
            <c:dLbl>
              <c:idx val="11"/>
              <c:layout>
                <c:manualLayout>
                  <c:x val="7.4133977960374794E-3"/>
                  <c:y val="-4.660016663884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0F-41F2-9CC7-8FEC1FE575C0}"/>
                </c:ext>
              </c:extLst>
            </c:dLbl>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data!$C$23:$C$34</c:f>
              <c:numCache>
                <c:formatCode>General</c:formatCode>
                <c:ptCount val="12"/>
                <c:pt idx="0">
                  <c:v>230</c:v>
                </c:pt>
              </c:numCache>
            </c:numRef>
          </c:val>
          <c:extLst>
            <c:ext xmlns:c16="http://schemas.microsoft.com/office/drawing/2014/chart" uri="{C3380CC4-5D6E-409C-BE32-E72D297353CC}">
              <c16:uniqueId val="{00000001-FA2F-4AA6-8B52-53DF024AA1C3}"/>
            </c:ext>
          </c:extLst>
        </c:ser>
        <c:dLbls>
          <c:showLegendKey val="0"/>
          <c:showVal val="1"/>
          <c:showCatName val="0"/>
          <c:showSerName val="0"/>
          <c:showPercent val="0"/>
          <c:showBubbleSize val="0"/>
        </c:dLbls>
        <c:gapWidth val="150"/>
        <c:axId val="336665615"/>
        <c:axId val="336664175"/>
      </c:barChart>
      <c:lineChart>
        <c:grouping val="standard"/>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dLbl>
              <c:idx val="1"/>
              <c:layout>
                <c:manualLayout>
                  <c:x val="3.0705395316739815E-2"/>
                  <c:y val="3.63217097862764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AA-428F-925B-D65A13C4E871}"/>
                </c:ext>
              </c:extLst>
            </c:dLbl>
            <c:dLbl>
              <c:idx val="2"/>
              <c:layout>
                <c:manualLayout>
                  <c:x val="-3.2376740855291519E-2"/>
                  <c:y val="6.73886627860701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2F-4AA6-8B52-53DF024AA1C3}"/>
                </c:ext>
              </c:extLst>
            </c:dLbl>
            <c:dLbl>
              <c:idx val="3"/>
              <c:layout>
                <c:manualLayout>
                  <c:x val="-3.5789467751435107E-2"/>
                  <c:y val="7.16732602303702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DE-4EC6-9E59-3804310AE832}"/>
                </c:ext>
              </c:extLst>
            </c:dLbl>
            <c:dLbl>
              <c:idx val="4"/>
              <c:layout>
                <c:manualLayout>
                  <c:x val="-4.4165571083644474E-2"/>
                  <c:y val="0.118270751197873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DE-4EC6-9E59-3804310AE832}"/>
                </c:ext>
              </c:extLst>
            </c:dLbl>
            <c:dLbl>
              <c:idx val="5"/>
              <c:layout>
                <c:manualLayout>
                  <c:x val="-2.1871341403654859E-2"/>
                  <c:y val="-5.9343392773906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40F-41F2-9CC7-8FEC1FE575C0}"/>
                </c:ext>
              </c:extLst>
            </c:dLbl>
            <c:dLbl>
              <c:idx val="8"/>
              <c:layout>
                <c:manualLayout>
                  <c:x val="-5.5872949589924358E-2"/>
                  <c:y val="-6.03194859359330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DE-4EC6-9E59-3804310AE832}"/>
                </c:ext>
              </c:extLst>
            </c:dLbl>
            <c:dLbl>
              <c:idx val="9"/>
              <c:layout>
                <c:manualLayout>
                  <c:x val="-1.9298831964460025E-2"/>
                  <c:y val="-6.80758148987312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DE-4EC6-9E59-3804310AE832}"/>
                </c:ext>
              </c:extLst>
            </c:dLbl>
            <c:dLbl>
              <c:idx val="10"/>
              <c:layout>
                <c:manualLayout>
                  <c:x val="-7.6576569107414168E-3"/>
                  <c:y val="-2.85714285714285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0F-41F2-9CC7-8FEC1FE575C0}"/>
                </c:ext>
              </c:extLst>
            </c:dLbl>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data!$D$23:$D$34</c:f>
              <c:numCache>
                <c:formatCode>0.00%</c:formatCode>
                <c:ptCount val="12"/>
                <c:pt idx="0" formatCode="0.0%">
                  <c:v>0.97391304347826091</c:v>
                </c:pt>
              </c:numCache>
            </c:numRef>
          </c:val>
          <c:smooth val="0"/>
          <c:extLst>
            <c:ext xmlns:c16="http://schemas.microsoft.com/office/drawing/2014/chart" uri="{C3380CC4-5D6E-409C-BE32-E72D297353CC}">
              <c16:uniqueId val="{00000002-FA2F-4AA6-8B52-53DF024AA1C3}"/>
            </c:ext>
          </c:extLst>
        </c:ser>
        <c:ser>
          <c:idx val="3"/>
          <c:order val="3"/>
          <c:tx>
            <c:v>Mục tiêu</c:v>
          </c:tx>
          <c:spPr>
            <a:ln w="28575" cap="rnd">
              <a:solidFill>
                <a:schemeClr val="accent4"/>
              </a:solidFill>
              <a:round/>
            </a:ln>
            <a:effectLst/>
          </c:spPr>
          <c:marker>
            <c:symbol val="circle"/>
            <c:size val="5"/>
            <c:spPr>
              <a:solidFill>
                <a:schemeClr val="bg1"/>
              </a:solidFill>
              <a:ln w="9525">
                <a:solidFill>
                  <a:schemeClr val="accent4"/>
                </a:solidFill>
              </a:ln>
              <a:effectLst/>
            </c:spPr>
          </c:marker>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data!$E$23:$E$34</c:f>
              <c:numCache>
                <c:formatCode>0%</c:formatCode>
                <c:ptCount val="12"/>
                <c:pt idx="0">
                  <c:v>0.99</c:v>
                </c:pt>
                <c:pt idx="1">
                  <c:v>0.99</c:v>
                </c:pt>
                <c:pt idx="2">
                  <c:v>0.99</c:v>
                </c:pt>
                <c:pt idx="3">
                  <c:v>0.99</c:v>
                </c:pt>
                <c:pt idx="4">
                  <c:v>0.99</c:v>
                </c:pt>
                <c:pt idx="5">
                  <c:v>0.99</c:v>
                </c:pt>
                <c:pt idx="6">
                  <c:v>0.99</c:v>
                </c:pt>
                <c:pt idx="7">
                  <c:v>0.99</c:v>
                </c:pt>
                <c:pt idx="8">
                  <c:v>0.99</c:v>
                </c:pt>
                <c:pt idx="9">
                  <c:v>0.99</c:v>
                </c:pt>
                <c:pt idx="10">
                  <c:v>0.99</c:v>
                </c:pt>
                <c:pt idx="11">
                  <c:v>0.99</c:v>
                </c:pt>
              </c:numCache>
            </c:numRef>
          </c:val>
          <c:smooth val="0"/>
          <c:extLst>
            <c:ext xmlns:c16="http://schemas.microsoft.com/office/drawing/2014/chart" uri="{C3380CC4-5D6E-409C-BE32-E72D297353CC}">
              <c16:uniqueId val="{00000003-FA2F-4AA6-8B52-53DF024AA1C3}"/>
            </c:ext>
          </c:extLst>
        </c:ser>
        <c:dLbls>
          <c:showLegendKey val="0"/>
          <c:showVal val="1"/>
          <c:showCatName val="0"/>
          <c:showSerName val="0"/>
          <c:showPercent val="0"/>
          <c:showBubbleSize val="0"/>
        </c:dLbls>
        <c:marker val="1"/>
        <c:smooth val="0"/>
        <c:axId val="656799935"/>
        <c:axId val="656799455"/>
      </c:lineChart>
      <c:catAx>
        <c:axId val="3366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4175"/>
        <c:crosses val="autoZero"/>
        <c:auto val="1"/>
        <c:lblAlgn val="ctr"/>
        <c:lblOffset val="100"/>
        <c:noMultiLvlLbl val="0"/>
      </c:catAx>
      <c:valAx>
        <c:axId val="3366641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5615"/>
        <c:crosses val="autoZero"/>
        <c:crossBetween val="between"/>
      </c:valAx>
      <c:valAx>
        <c:axId val="656799455"/>
        <c:scaling>
          <c:orientation val="minMax"/>
          <c:min val="0.9"/>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56799935"/>
        <c:crosses val="max"/>
        <c:crossBetween val="between"/>
        <c:majorUnit val="2.0000000000000004E-2"/>
      </c:valAx>
      <c:catAx>
        <c:axId val="656799935"/>
        <c:scaling>
          <c:orientation val="minMax"/>
        </c:scaling>
        <c:delete val="1"/>
        <c:axPos val="b"/>
        <c:numFmt formatCode="General" sourceLinked="1"/>
        <c:majorTickMark val="none"/>
        <c:minorTickMark val="none"/>
        <c:tickLblPos val="nextTo"/>
        <c:crossAx val="6567994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Số thẻ ghi nhận</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data!$B$67:$B$70</c:f>
              <c:numCache>
                <c:formatCode>General</c:formatCode>
                <c:ptCount val="4"/>
                <c:pt idx="0">
                  <c:v>17</c:v>
                </c:pt>
                <c:pt idx="1">
                  <c:v>14</c:v>
                </c:pt>
                <c:pt idx="2">
                  <c:v>10</c:v>
                </c:pt>
                <c:pt idx="3">
                  <c:v>10</c:v>
                </c:pt>
              </c:numCache>
            </c:numRef>
          </c:val>
          <c:extLst>
            <c:ext xmlns:c16="http://schemas.microsoft.com/office/drawing/2014/chart" uri="{C3380CC4-5D6E-409C-BE32-E72D297353CC}">
              <c16:uniqueId val="{00000000-37A3-4C8B-9CB5-1CABBABFA6FD}"/>
            </c:ext>
          </c:extLst>
        </c:ser>
        <c:ser>
          <c:idx val="1"/>
          <c:order val="1"/>
          <c:tx>
            <c:v>Tổng nhân sự</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data!$C$67:$C$70</c:f>
              <c:numCache>
                <c:formatCode>General</c:formatCode>
                <c:ptCount val="4"/>
                <c:pt idx="0">
                  <c:v>10</c:v>
                </c:pt>
                <c:pt idx="1">
                  <c:v>14</c:v>
                </c:pt>
                <c:pt idx="2">
                  <c:v>12</c:v>
                </c:pt>
                <c:pt idx="3">
                  <c:v>14</c:v>
                </c:pt>
              </c:numCache>
            </c:numRef>
          </c:val>
          <c:extLst>
            <c:ext xmlns:c16="http://schemas.microsoft.com/office/drawing/2014/chart" uri="{C3380CC4-5D6E-409C-BE32-E72D297353CC}">
              <c16:uniqueId val="{00000001-37A3-4C8B-9CB5-1CABBABFA6FD}"/>
            </c:ext>
          </c:extLst>
        </c:ser>
        <c:dLbls>
          <c:showLegendKey val="0"/>
          <c:showVal val="1"/>
          <c:showCatName val="0"/>
          <c:showSerName val="0"/>
          <c:showPercent val="0"/>
          <c:showBubbleSize val="0"/>
        </c:dLbls>
        <c:gapWidth val="150"/>
        <c:axId val="1160554319"/>
        <c:axId val="1160553359"/>
      </c:barChart>
      <c:lineChart>
        <c:grouping val="standard"/>
        <c:varyColors val="0"/>
        <c:ser>
          <c:idx val="2"/>
          <c:order val="2"/>
          <c:tx>
            <c:v>Ghi nhận (%)</c:v>
          </c:tx>
          <c:spPr>
            <a:ln w="28575" cap="rnd">
              <a:solidFill>
                <a:srgbClr val="FF0000"/>
              </a:solidFill>
              <a:round/>
            </a:ln>
            <a:effectLst/>
          </c:spPr>
          <c:marker>
            <c:symbol val="circle"/>
            <c:size val="5"/>
            <c:spPr>
              <a:solidFill>
                <a:schemeClr val="bg1"/>
              </a:solidFill>
              <a:ln w="9525">
                <a:solidFill>
                  <a:schemeClr val="accent3"/>
                </a:solidFill>
              </a:ln>
              <a:effectLst/>
            </c:spPr>
          </c:marker>
          <c:dLbls>
            <c:dLbl>
              <c:idx val="0"/>
              <c:layout>
                <c:manualLayout>
                  <c:x val="-7.0053891142648428E-2"/>
                  <c:y val="-5.9045587100962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A3-4C8B-9CB5-1CABBABFA6FD}"/>
                </c:ext>
              </c:extLst>
            </c:dLbl>
            <c:dLbl>
              <c:idx val="1"/>
              <c:layout>
                <c:manualLayout>
                  <c:x val="-3.88888888888888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A3-4C8B-9CB5-1CABBABFA6FD}"/>
                </c:ext>
              </c:extLst>
            </c:dLbl>
            <c:dLbl>
              <c:idx val="2"/>
              <c:layout>
                <c:manualLayout>
                  <c:x val="-4.0584679387449009E-2"/>
                  <c:y val="-9.3487911897339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70-44E3-9187-467F602CEFA9}"/>
                </c:ext>
              </c:extLst>
            </c:dLbl>
            <c:dLbl>
              <c:idx val="3"/>
              <c:layout>
                <c:manualLayout>
                  <c:x val="-7.2786283281635489E-3"/>
                  <c:y val="-4.5844097857017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70-44E3-9187-467F602CEFA9}"/>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data!$D$67:$D$70</c:f>
              <c:numCache>
                <c:formatCode>0.0%</c:formatCode>
                <c:ptCount val="4"/>
                <c:pt idx="0">
                  <c:v>1.7</c:v>
                </c:pt>
                <c:pt idx="1">
                  <c:v>1</c:v>
                </c:pt>
                <c:pt idx="2">
                  <c:v>0.83333333333333337</c:v>
                </c:pt>
                <c:pt idx="3">
                  <c:v>0.7142857142857143</c:v>
                </c:pt>
              </c:numCache>
            </c:numRef>
          </c:val>
          <c:smooth val="0"/>
          <c:extLst>
            <c:ext xmlns:c16="http://schemas.microsoft.com/office/drawing/2014/chart" uri="{C3380CC4-5D6E-409C-BE32-E72D297353CC}">
              <c16:uniqueId val="{00000004-37A3-4C8B-9CB5-1CABBABFA6FD}"/>
            </c:ext>
          </c:extLst>
        </c:ser>
        <c:ser>
          <c:idx val="3"/>
          <c:order val="3"/>
          <c:tx>
            <c:v>Chỉ tiêu (%)</c:v>
          </c:tx>
          <c:spPr>
            <a:ln w="28575" cap="rnd">
              <a:solidFill>
                <a:schemeClr val="accent4"/>
              </a:solidFill>
              <a:round/>
            </a:ln>
            <a:effectLst/>
          </c:spPr>
          <c:marker>
            <c:symbol val="circle"/>
            <c:size val="5"/>
            <c:spPr>
              <a:solidFill>
                <a:schemeClr val="accent4"/>
              </a:solidFill>
              <a:ln w="9525">
                <a:solidFill>
                  <a:schemeClr val="bg1"/>
                </a:solidFill>
              </a:ln>
              <a:effectLst/>
            </c:spPr>
          </c:marker>
          <c:dLbls>
            <c:dLbl>
              <c:idx val="0"/>
              <c:layout>
                <c:manualLayout>
                  <c:x val="-0.10791664137502961"/>
                  <c:y val="-1.93400630810832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A3-4C8B-9CB5-1CABBABFA6FD}"/>
                </c:ext>
              </c:extLst>
            </c:dLbl>
            <c:dLbl>
              <c:idx val="1"/>
              <c:layout>
                <c:manualLayout>
                  <c:x val="-3.9260970452873793E-2"/>
                  <c:y val="-4.4305442417751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A3-4C8B-9CB5-1CABBABFA6FD}"/>
                </c:ext>
              </c:extLst>
            </c:dLbl>
            <c:dLbl>
              <c:idx val="2"/>
              <c:layout>
                <c:manualLayout>
                  <c:x val="-3.6643572422682166E-2"/>
                  <c:y val="-3.54443539342012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A3-4C8B-9CB5-1CABBABFA6FD}"/>
                </c:ext>
              </c:extLst>
            </c:dLbl>
            <c:dLbl>
              <c:idx val="3"/>
              <c:layout>
                <c:manualLayout>
                  <c:x val="-1.9915800965710009E-2"/>
                  <c:y val="-5.94973925333089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70-44E3-9187-467F602CEFA9}"/>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data!$E$67:$E$70</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5-37A3-4C8B-9CB5-1CABBABFA6FD}"/>
            </c:ext>
          </c:extLst>
        </c:ser>
        <c:dLbls>
          <c:showLegendKey val="0"/>
          <c:showVal val="1"/>
          <c:showCatName val="0"/>
          <c:showSerName val="0"/>
          <c:showPercent val="0"/>
          <c:showBubbleSize val="0"/>
        </c:dLbls>
        <c:marker val="1"/>
        <c:smooth val="0"/>
        <c:axId val="1160552879"/>
        <c:axId val="1160550959"/>
      </c:line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majorUnit val="0.2"/>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v>Số thẻ ghi nhận</c:v>
          </c:tx>
          <c:spPr>
            <a:ln w="28575" cap="rnd">
              <a:solidFill>
                <a:srgbClr val="FF000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data!$A$72:$A$83</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data!$B$72:$B$83</c:f>
              <c:numCache>
                <c:formatCode>General</c:formatCode>
                <c:ptCount val="12"/>
                <c:pt idx="0">
                  <c:v>51</c:v>
                </c:pt>
              </c:numCache>
            </c:numRef>
          </c:val>
          <c:smooth val="0"/>
          <c:extLst>
            <c:ext xmlns:c16="http://schemas.microsoft.com/office/drawing/2014/chart" uri="{C3380CC4-5D6E-409C-BE32-E72D297353CC}">
              <c16:uniqueId val="{00000000-BDE3-460F-870E-FD13388B417C}"/>
            </c:ext>
          </c:extLst>
        </c:ser>
        <c:dLbls>
          <c:dLblPos val="t"/>
          <c:showLegendKey val="0"/>
          <c:showVal val="1"/>
          <c:showCatName val="0"/>
          <c:showSerName val="0"/>
          <c:showPercent val="0"/>
          <c:showBubbleSize val="0"/>
        </c:dLbls>
        <c:marker val="1"/>
        <c:smooth val="0"/>
        <c:axId val="1515602911"/>
        <c:axId val="1515589951"/>
      </c:lineChart>
      <c:catAx>
        <c:axId val="151560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589951"/>
        <c:crosses val="autoZero"/>
        <c:auto val="1"/>
        <c:lblAlgn val="ctr"/>
        <c:lblOffset val="100"/>
        <c:noMultiLvlLbl val="0"/>
      </c:catAx>
      <c:valAx>
        <c:axId val="151558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602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data!$B$86:$B$89</c:f>
              <c:numCache>
                <c:formatCode>General</c:formatCode>
                <c:ptCount val="4"/>
                <c:pt idx="0">
                  <c:v>4</c:v>
                </c:pt>
                <c:pt idx="1">
                  <c:v>5</c:v>
                </c:pt>
                <c:pt idx="2">
                  <c:v>6</c:v>
                </c:pt>
                <c:pt idx="3">
                  <c:v>5</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data!$C$86:$C$89</c:f>
              <c:numCache>
                <c:formatCode>General</c:formatCode>
                <c:ptCount val="4"/>
                <c:pt idx="0">
                  <c:v>8</c:v>
                </c:pt>
                <c:pt idx="1">
                  <c:v>8</c:v>
                </c:pt>
                <c:pt idx="2">
                  <c:v>8</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2"/>
          <c:order val="2"/>
          <c:tx>
            <c:v>% tham gia</c:v>
          </c:tx>
          <c:spPr>
            <a:ln w="28575" cap="rnd">
              <a:solidFill>
                <a:srgbClr val="FF0000"/>
              </a:solidFill>
              <a:round/>
            </a:ln>
            <a:effectLst/>
          </c:spPr>
          <c:marker>
            <c:symbol val="circle"/>
            <c:size val="5"/>
            <c:spPr>
              <a:solidFill>
                <a:schemeClr val="accent3"/>
              </a:solidFill>
              <a:ln w="9525">
                <a:solidFill>
                  <a:srgbClr val="FF0000"/>
                </a:solidFill>
              </a:ln>
              <a:effectLst/>
            </c:spPr>
          </c:marker>
          <c:dLbls>
            <c:dLbl>
              <c:idx val="0"/>
              <c:layout>
                <c:manualLayout>
                  <c:x val="-1.7866070481702183E-2"/>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1.754796708736346E-3"/>
                  <c:y val="-0.1843140100571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2.748626227954188E-2"/>
                  <c:y val="-9.803936705167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data!$D$86:$D$89</c:f>
              <c:numCache>
                <c:formatCode>0.0%</c:formatCode>
                <c:ptCount val="4"/>
                <c:pt idx="0">
                  <c:v>0.5</c:v>
                </c:pt>
                <c:pt idx="1">
                  <c:v>0.625</c:v>
                </c:pt>
                <c:pt idx="2">
                  <c:v>0.75</c:v>
                </c:pt>
                <c:pt idx="3">
                  <c:v>0.7142857142857143</c:v>
                </c:pt>
              </c:numCache>
            </c:numRef>
          </c:val>
          <c:smooth val="0"/>
          <c:extLst>
            <c:ext xmlns:c16="http://schemas.microsoft.com/office/drawing/2014/chart" uri="{C3380CC4-5D6E-409C-BE32-E72D297353CC}">
              <c16:uniqueId val="{00000006-63C9-43E9-876C-0AA4D1D8DA08}"/>
            </c:ext>
          </c:extLst>
        </c:ser>
        <c:ser>
          <c:idx val="3"/>
          <c:order val="3"/>
          <c:tx>
            <c:v>Mục tiêu</c:v>
          </c:tx>
          <c:spPr>
            <a:ln w="28575" cap="rnd">
              <a:solidFill>
                <a:schemeClr val="accent4"/>
              </a:solidFill>
              <a:round/>
            </a:ln>
            <a:effectLst/>
          </c:spPr>
          <c:marker>
            <c:symbol val="none"/>
          </c:marker>
          <c:dLbls>
            <c:dLbl>
              <c:idx val="0"/>
              <c:layout>
                <c:manualLayout>
                  <c:x val="0"/>
                  <c:y val="9.0196217687536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C9-43E9-876C-0AA4D1D8DA08}"/>
                </c:ext>
              </c:extLst>
            </c:dLbl>
            <c:dLbl>
              <c:idx val="1"/>
              <c:layout>
                <c:manualLayout>
                  <c:x val="6.1991427540894553E-2"/>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C9-43E9-876C-0AA4D1D8DA08}"/>
                </c:ext>
              </c:extLst>
            </c:dLbl>
            <c:dLbl>
              <c:idx val="2"/>
              <c:layout>
                <c:manualLayout>
                  <c:x val="-1.3743131139770891E-3"/>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C9-43E9-876C-0AA4D1D8DA08}"/>
                </c:ext>
              </c:extLst>
            </c:dLbl>
            <c:dLbl>
              <c:idx val="3"/>
              <c:layout>
                <c:manualLayout>
                  <c:x val="-1.3743131139771897E-3"/>
                  <c:y val="7.4509918959269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63-42CB-BD76-0C1D616B175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data!$E$86:$E$89</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max val="1"/>
          <c:min val="-0.5"/>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majorUnit val="0.30000000000000004"/>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data!$B$91:$B$94</c:f>
              <c:numCache>
                <c:formatCode>General</c:formatCode>
                <c:ptCount val="4"/>
                <c:pt idx="0">
                  <c:v>6</c:v>
                </c:pt>
                <c:pt idx="1">
                  <c:v>5</c:v>
                </c:pt>
                <c:pt idx="2">
                  <c:v>6</c:v>
                </c:pt>
                <c:pt idx="3">
                  <c:v>6</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data!$C$91:$C$94</c:f>
              <c:numCache>
                <c:formatCode>General</c:formatCode>
                <c:ptCount val="4"/>
                <c:pt idx="0">
                  <c:v>9</c:v>
                </c:pt>
                <c:pt idx="1">
                  <c:v>8</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2"/>
          <c:order val="2"/>
          <c:tx>
            <c:v>% tham gia</c:v>
          </c:tx>
          <c:spPr>
            <a:ln w="28575" cap="rnd">
              <a:solidFill>
                <a:srgbClr val="FF0000"/>
              </a:solidFill>
              <a:round/>
            </a:ln>
            <a:effectLst/>
          </c:spPr>
          <c:marker>
            <c:symbol val="square"/>
            <c:size val="5"/>
            <c:spPr>
              <a:solidFill>
                <a:schemeClr val="accent3"/>
              </a:solidFill>
              <a:ln w="9525">
                <a:solidFill>
                  <a:srgbClr val="FF0000"/>
                </a:solidFill>
              </a:ln>
              <a:effectLst/>
            </c:spPr>
          </c:marker>
          <c:dLbls>
            <c:dLbl>
              <c:idx val="0"/>
              <c:layout>
                <c:manualLayout>
                  <c:x val="-2.3127290421222622E-3"/>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2.775274850546719E-2"/>
                  <c:y val="-9.8039367051670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3.7003664673956112E-2"/>
                  <c:y val="-4.31373215027350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dLbl>
              <c:idx val="3"/>
              <c:layout>
                <c:manualLayout>
                  <c:x val="0"/>
                  <c:y val="-7.4509918959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1C-49AF-BFE5-15DAF303987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data!$D$91:$D$94</c:f>
              <c:numCache>
                <c:formatCode>0.0%</c:formatCode>
                <c:ptCount val="4"/>
                <c:pt idx="0">
                  <c:v>0.66666666666666663</c:v>
                </c:pt>
                <c:pt idx="1">
                  <c:v>0.625</c:v>
                </c:pt>
                <c:pt idx="2">
                  <c:v>0.5</c:v>
                </c:pt>
                <c:pt idx="3">
                  <c:v>0.8571428571428571</c:v>
                </c:pt>
              </c:numCache>
            </c:numRef>
          </c:val>
          <c:smooth val="0"/>
          <c:extLst>
            <c:ext xmlns:c16="http://schemas.microsoft.com/office/drawing/2014/chart" uri="{C3380CC4-5D6E-409C-BE32-E72D297353CC}">
              <c16:uniqueId val="{00000006-63C9-43E9-876C-0AA4D1D8DA08}"/>
            </c:ext>
          </c:extLst>
        </c:ser>
        <c:ser>
          <c:idx val="3"/>
          <c:order val="3"/>
          <c:tx>
            <c:v>Mục tiêu</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data!$E$91:$E$94</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11302213503178E-2"/>
          <c:y val="3.6557157883354466E-2"/>
          <c:w val="0.9155301837270341"/>
          <c:h val="0.79081838728492271"/>
        </c:manualLayout>
      </c:layout>
      <c:bar3DChart>
        <c:barDir val="col"/>
        <c:grouping val="standard"/>
        <c:varyColors val="0"/>
        <c:ser>
          <c:idx val="0"/>
          <c:order val="0"/>
          <c:spPr>
            <a:solidFill>
              <a:srgbClr val="00B0F0"/>
            </a:solidFill>
            <a:ln>
              <a:noFill/>
            </a:ln>
            <a:effectLst/>
            <a:sp3d/>
          </c:spPr>
          <c:invertIfNegative val="0"/>
          <c:dLbls>
            <c:dLbl>
              <c:idx val="0"/>
              <c:layout>
                <c:manualLayout>
                  <c:x val="0"/>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C3-4040-A809-056889E0EC56}"/>
                </c:ext>
              </c:extLst>
            </c:dLbl>
            <c:dLbl>
              <c:idx val="1"/>
              <c:layout>
                <c:manualLayout>
                  <c:x val="-5.0925337632079971E-1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C3-4040-A809-056889E0EC56}"/>
                </c:ext>
              </c:extLst>
            </c:dLbl>
            <c:dLbl>
              <c:idx val="2"/>
              <c:layout>
                <c:manualLayout>
                  <c:x val="2.777777777777676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C3-4040-A809-056889E0EC56}"/>
                </c:ext>
              </c:extLst>
            </c:dLbl>
            <c:dLbl>
              <c:idx val="3"/>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C3-4040-A809-056889E0EC56}"/>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0000"/>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data!$A$111:$A$114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data!$B$111:$B$114</c:f>
              <c:numCache>
                <c:formatCode>General</c:formatCode>
                <c:ptCount val="4"/>
                <c:pt idx="0">
                  <c:v>1</c:v>
                </c:pt>
                <c:pt idx="1">
                  <c:v>1</c:v>
                </c:pt>
                <c:pt idx="2">
                  <c:v>3</c:v>
                </c:pt>
                <c:pt idx="3">
                  <c:v>3</c:v>
                </c:pt>
              </c:numCache>
            </c:numRef>
          </c:val>
          <c:extLst>
            <c:ext xmlns:c16="http://schemas.microsoft.com/office/drawing/2014/chart" uri="{C3380CC4-5D6E-409C-BE32-E72D297353CC}">
              <c16:uniqueId val="{00000004-56C3-4040-A809-056889E0EC56}"/>
            </c:ext>
          </c:extLst>
        </c:ser>
        <c:dLbls>
          <c:showLegendKey val="0"/>
          <c:showVal val="1"/>
          <c:showCatName val="0"/>
          <c:showSerName val="0"/>
          <c:showPercent val="0"/>
          <c:showBubbleSize val="0"/>
        </c:dLbls>
        <c:gapWidth val="150"/>
        <c:shape val="box"/>
        <c:axId val="1588004944"/>
        <c:axId val="1588001104"/>
        <c:axId val="308627200"/>
      </c:bar3DChart>
      <c:catAx>
        <c:axId val="15880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88001104"/>
        <c:crosses val="autoZero"/>
        <c:auto val="1"/>
        <c:lblAlgn val="ctr"/>
        <c:lblOffset val="100"/>
        <c:noMultiLvlLbl val="0"/>
      </c:catAx>
      <c:valAx>
        <c:axId val="15880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04944"/>
        <c:crosses val="autoZero"/>
        <c:crossBetween val="between"/>
      </c:valAx>
      <c:serAx>
        <c:axId val="308627200"/>
        <c:scaling>
          <c:orientation val="minMax"/>
        </c:scaling>
        <c:delete val="1"/>
        <c:axPos val="b"/>
        <c:majorTickMark val="none"/>
        <c:minorTickMark val="none"/>
        <c:tickLblPos val="nextTo"/>
        <c:crossAx val="15880011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Hoàn thành</c:v>
          </c:tx>
          <c:spPr>
            <a:solidFill>
              <a:schemeClr val="accent6">
                <a:lumMod val="40000"/>
                <a:lumOff val="60000"/>
              </a:schemeClr>
            </a:solidFill>
            <a:ln>
              <a:noFill/>
            </a:ln>
            <a:effectLst/>
          </c:spPr>
          <c:invertIfNegative val="0"/>
          <c:dLbls>
            <c:dLbl>
              <c:idx val="0"/>
              <c:layout>
                <c:manualLayout>
                  <c:x val="0.17499999999999999"/>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72-4B34-A9E8-A10B6D6EF941}"/>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data!$B$21</c:f>
              <c:numCache>
                <c:formatCode>General</c:formatCode>
                <c:ptCount val="1"/>
                <c:pt idx="0">
                  <c:v>224</c:v>
                </c:pt>
              </c:numCache>
            </c:numRef>
          </c:val>
          <c:extLst>
            <c:ext xmlns:c16="http://schemas.microsoft.com/office/drawing/2014/chart" uri="{C3380CC4-5D6E-409C-BE32-E72D297353CC}">
              <c16:uniqueId val="{00000003-FD72-4B34-A9E8-A10B6D6EF941}"/>
            </c:ext>
          </c:extLst>
        </c:ser>
        <c:ser>
          <c:idx val="1"/>
          <c:order val="1"/>
          <c:tx>
            <c:v>Tổng Hạng mục</c:v>
          </c:tx>
          <c:spPr>
            <a:solidFill>
              <a:srgbClr val="00B050"/>
            </a:solidFill>
            <a:ln>
              <a:noFill/>
            </a:ln>
            <a:effectLst/>
          </c:spPr>
          <c:invertIfNegative val="0"/>
          <c:dLbls>
            <c:dLbl>
              <c:idx val="0"/>
              <c:layout>
                <c:manualLayout>
                  <c:x val="0.17622176228674119"/>
                  <c:y val="-0.35686809188349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72-4B34-A9E8-A10B6D6EF941}"/>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data!$C$21</c:f>
              <c:numCache>
                <c:formatCode>General</c:formatCode>
                <c:ptCount val="1"/>
                <c:pt idx="0">
                  <c:v>230</c:v>
                </c:pt>
              </c:numCache>
            </c:numRef>
          </c:val>
          <c:extLst>
            <c:ext xmlns:c16="http://schemas.microsoft.com/office/drawing/2014/chart" uri="{C3380CC4-5D6E-409C-BE32-E72D297353CC}">
              <c16:uniqueId val="{00000001-FD72-4B34-A9E8-A10B6D6EF941}"/>
            </c:ext>
          </c:extLst>
        </c:ser>
        <c:dLbls>
          <c:showLegendKey val="0"/>
          <c:showVal val="0"/>
          <c:showCatName val="0"/>
          <c:showSerName val="0"/>
          <c:showPercent val="0"/>
          <c:showBubbleSize val="0"/>
        </c:dLbls>
        <c:gapWidth val="254"/>
        <c:axId val="664067439"/>
        <c:axId val="1237232095"/>
      </c:barChart>
      <c:lineChart>
        <c:grouping val="standard"/>
        <c:varyColors val="0"/>
        <c:ser>
          <c:idx val="2"/>
          <c:order val="2"/>
          <c:tx>
            <c:v>Hoàn thành (%)</c:v>
          </c:tx>
          <c:spPr>
            <a:ln w="28575" cap="rnd">
              <a:solidFill>
                <a:schemeClr val="accent3"/>
              </a:solidFill>
              <a:round/>
            </a:ln>
            <a:effectLst/>
          </c:spPr>
          <c:marker>
            <c:symbol val="none"/>
          </c:marker>
          <c:dLbls>
            <c:dLbl>
              <c:idx val="0"/>
              <c:layout>
                <c:manualLayout>
                  <c:x val="0.21319412310912494"/>
                  <c:y val="-0.42616636165399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72-4B34-A9E8-A10B6D6EF941}"/>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data!$D$21</c:f>
              <c:numCache>
                <c:formatCode>0.0%</c:formatCode>
                <c:ptCount val="1"/>
                <c:pt idx="0">
                  <c:v>0.97391304347826091</c:v>
                </c:pt>
              </c:numCache>
            </c:numRef>
          </c:val>
          <c:smooth val="0"/>
          <c:extLst>
            <c:ext xmlns:c16="http://schemas.microsoft.com/office/drawing/2014/chart" uri="{C3380CC4-5D6E-409C-BE32-E72D297353CC}">
              <c16:uniqueId val="{00000005-FD72-4B34-A9E8-A10B6D6EF941}"/>
            </c:ext>
          </c:extLst>
        </c:ser>
        <c:dLbls>
          <c:showLegendKey val="0"/>
          <c:showVal val="0"/>
          <c:showCatName val="0"/>
          <c:showSerName val="0"/>
          <c:showPercent val="0"/>
          <c:showBubbleSize val="0"/>
        </c:dLbls>
        <c:marker val="1"/>
        <c:smooth val="0"/>
        <c:axId val="664067439"/>
        <c:axId val="1237232095"/>
      </c:lineChart>
      <c:catAx>
        <c:axId val="664067439"/>
        <c:scaling>
          <c:orientation val="minMax"/>
        </c:scaling>
        <c:delete val="1"/>
        <c:axPos val="b"/>
        <c:numFmt formatCode="General" sourceLinked="1"/>
        <c:majorTickMark val="out"/>
        <c:minorTickMark val="none"/>
        <c:tickLblPos val="nextTo"/>
        <c:crossAx val="1237232095"/>
        <c:crosses val="autoZero"/>
        <c:auto val="1"/>
        <c:lblAlgn val="ctr"/>
        <c:lblOffset val="100"/>
        <c:noMultiLvlLbl val="0"/>
      </c:catAx>
      <c:valAx>
        <c:axId val="1237232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64067439"/>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HM hoàn thành</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data!$B$16:$B$18</c:f>
              <c:numCache>
                <c:formatCode>General</c:formatCode>
                <c:ptCount val="3"/>
                <c:pt idx="0">
                  <c:v>254</c:v>
                </c:pt>
                <c:pt idx="1">
                  <c:v>682</c:v>
                </c:pt>
                <c:pt idx="2">
                  <c:v>366</c:v>
                </c:pt>
              </c:numCache>
            </c:numRef>
          </c:val>
          <c:extLst>
            <c:ext xmlns:c16="http://schemas.microsoft.com/office/drawing/2014/chart" uri="{C3380CC4-5D6E-409C-BE32-E72D297353CC}">
              <c16:uniqueId val="{00000000-0AFE-486B-8610-44AC95C3C283}"/>
            </c:ext>
          </c:extLst>
        </c:ser>
        <c:ser>
          <c:idx val="1"/>
          <c:order val="1"/>
          <c:tx>
            <c:v>HM theo kế hoạch</c:v>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data!$C$16:$C$18</c:f>
              <c:numCache>
                <c:formatCode>General</c:formatCode>
                <c:ptCount val="3"/>
                <c:pt idx="0">
                  <c:v>254</c:v>
                </c:pt>
                <c:pt idx="1">
                  <c:v>801</c:v>
                </c:pt>
                <c:pt idx="2">
                  <c:v>440</c:v>
                </c:pt>
              </c:numCache>
            </c:numRef>
          </c:val>
          <c:extLst>
            <c:ext xmlns:c16="http://schemas.microsoft.com/office/drawing/2014/chart" uri="{C3380CC4-5D6E-409C-BE32-E72D297353CC}">
              <c16:uniqueId val="{00000001-0AFE-486B-8610-44AC95C3C283}"/>
            </c:ext>
          </c:extLst>
        </c:ser>
        <c:dLbls>
          <c:showLegendKey val="0"/>
          <c:showVal val="1"/>
          <c:showCatName val="0"/>
          <c:showSerName val="0"/>
          <c:showPercent val="0"/>
          <c:showBubbleSize val="0"/>
        </c:dLbls>
        <c:gapWidth val="150"/>
        <c:axId val="1476576271"/>
        <c:axId val="1476569071"/>
      </c:barChart>
      <c:lineChart>
        <c:grouping val="standard"/>
        <c:varyColors val="0"/>
        <c:ser>
          <c:idx val="2"/>
          <c:order val="2"/>
          <c:tx>
            <c:v>HM đã thực hiện (%)</c:v>
          </c:tx>
          <c:spPr>
            <a:ln w="25400" cap="rnd">
              <a:solidFill>
                <a:srgbClr val="FF0000"/>
              </a:solidFill>
              <a:round/>
            </a:ln>
            <a:effectLst/>
          </c:spPr>
          <c:marker>
            <c:symbol val="circle"/>
            <c:size val="5"/>
            <c:spPr>
              <a:solidFill>
                <a:schemeClr val="bg1"/>
              </a:solidFill>
              <a:ln w="3175">
                <a:solidFill>
                  <a:schemeClr val="accent3"/>
                </a:solidFill>
              </a:ln>
              <a:effectLst/>
            </c:spPr>
          </c:marker>
          <c:dLbls>
            <c:dLbl>
              <c:idx val="0"/>
              <c:layout>
                <c:manualLayout>
                  <c:x val="-4.1119768038036644E-2"/>
                  <c:y val="5.2052052052052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FE-486B-8610-44AC95C3C283}"/>
                </c:ext>
              </c:extLst>
            </c:dLbl>
            <c:dLbl>
              <c:idx val="1"/>
              <c:layout>
                <c:manualLayout>
                  <c:x val="-0.14761671015369079"/>
                  <c:y val="2.902142667935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data!$D$16:$D$18</c:f>
              <c:numCache>
                <c:formatCode>0.0%</c:formatCode>
                <c:ptCount val="3"/>
                <c:pt idx="0">
                  <c:v>1</c:v>
                </c:pt>
                <c:pt idx="1">
                  <c:v>0.85143570536828961</c:v>
                </c:pt>
                <c:pt idx="2">
                  <c:v>0.83181818181818179</c:v>
                </c:pt>
              </c:numCache>
            </c:numRef>
          </c:val>
          <c:smooth val="0"/>
          <c:extLst>
            <c:ext xmlns:c16="http://schemas.microsoft.com/office/drawing/2014/chart" uri="{C3380CC4-5D6E-409C-BE32-E72D297353CC}">
              <c16:uniqueId val="{00000002-0AFE-486B-8610-44AC95C3C283}"/>
            </c:ext>
          </c:extLst>
        </c:ser>
        <c:ser>
          <c:idx val="3"/>
          <c:order val="3"/>
          <c:tx>
            <c:v>Mục tiêu (%)</c:v>
          </c:tx>
          <c:spPr>
            <a:ln w="15875" cap="rnd">
              <a:solidFill>
                <a:schemeClr val="accent4"/>
              </a:solidFill>
              <a:round/>
            </a:ln>
            <a:effectLst/>
          </c:spPr>
          <c:marker>
            <c:symbol val="circle"/>
            <c:size val="5"/>
            <c:spPr>
              <a:solidFill>
                <a:schemeClr val="bg1"/>
              </a:solidFill>
              <a:ln w="9525">
                <a:solidFill>
                  <a:schemeClr val="accent4"/>
                </a:solidFill>
              </a:ln>
              <a:effectLst/>
            </c:spPr>
          </c:marker>
          <c:dLbls>
            <c:dLbl>
              <c:idx val="0"/>
              <c:layout>
                <c:manualLayout>
                  <c:x val="-1.6931669192132737E-2"/>
                  <c:y val="-5.6056056056056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FE-486B-8610-44AC95C3C283}"/>
                </c:ext>
              </c:extLst>
            </c:dLbl>
            <c:dLbl>
              <c:idx val="1"/>
              <c:layout>
                <c:manualLayout>
                  <c:x val="-3.6282148268855861E-2"/>
                  <c:y val="-4.804804804804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FE-486B-8610-44AC95C3C283}"/>
                </c:ext>
              </c:extLst>
            </c:dLbl>
            <c:dLbl>
              <c:idx val="2"/>
              <c:layout>
                <c:manualLayout>
                  <c:x val="-2.6606908730494299E-2"/>
                  <c:y val="-5.2052052052052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data!$E$16:$E$18</c:f>
              <c:numCache>
                <c:formatCode>0%</c:formatCode>
                <c:ptCount val="3"/>
                <c:pt idx="0">
                  <c:v>0.98</c:v>
                </c:pt>
                <c:pt idx="1">
                  <c:v>0.98</c:v>
                </c:pt>
                <c:pt idx="2">
                  <c:v>0.98</c:v>
                </c:pt>
              </c:numCache>
            </c:numRef>
          </c:val>
          <c:smooth val="0"/>
          <c:extLst>
            <c:ext xmlns:c16="http://schemas.microsoft.com/office/drawing/2014/chart" uri="{C3380CC4-5D6E-409C-BE32-E72D297353CC}">
              <c16:uniqueId val="{00000003-0AFE-486B-8610-44AC95C3C283}"/>
            </c:ext>
          </c:extLst>
        </c:ser>
        <c:dLbls>
          <c:showLegendKey val="0"/>
          <c:showVal val="1"/>
          <c:showCatName val="0"/>
          <c:showSerName val="0"/>
          <c:showPercent val="0"/>
          <c:showBubbleSize val="0"/>
        </c:dLbls>
        <c:marker val="1"/>
        <c:smooth val="0"/>
        <c:axId val="1269324287"/>
        <c:axId val="1269319967"/>
      </c:lineChart>
      <c:catAx>
        <c:axId val="14765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69071"/>
        <c:crosses val="autoZero"/>
        <c:auto val="1"/>
        <c:lblAlgn val="ctr"/>
        <c:lblOffset val="100"/>
        <c:noMultiLvlLbl val="0"/>
      </c:catAx>
      <c:valAx>
        <c:axId val="1476569071"/>
        <c:scaling>
          <c:orientation val="minMax"/>
          <c:max val="13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76271"/>
        <c:crosses val="autoZero"/>
        <c:crossBetween val="between"/>
      </c:valAx>
      <c:valAx>
        <c:axId val="1269319967"/>
        <c:scaling>
          <c:orientation val="minMax"/>
          <c:max val="1.1500000000000001"/>
          <c:min val="0"/>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4287"/>
        <c:crosses val="max"/>
        <c:crossBetween val="between"/>
      </c:valAx>
      <c:catAx>
        <c:axId val="1269324287"/>
        <c:scaling>
          <c:orientation val="minMax"/>
        </c:scaling>
        <c:delete val="1"/>
        <c:axPos val="b"/>
        <c:numFmt formatCode="General" sourceLinked="1"/>
        <c:majorTickMark val="none"/>
        <c:minorTickMark val="none"/>
        <c:tickLblPos val="nextTo"/>
        <c:crossAx val="1269319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05874977392122"/>
          <c:y val="2.6779386194069815E-2"/>
          <c:w val="0.82494126407178392"/>
          <c:h val="0.69149522281444875"/>
        </c:manualLayout>
      </c:layout>
      <c:barChart>
        <c:barDir val="col"/>
        <c:grouping val="clustered"/>
        <c:varyColors val="0"/>
        <c:ser>
          <c:idx val="0"/>
          <c:order val="0"/>
          <c:tx>
            <c:v>Kế hoạch</c:v>
          </c:tx>
          <c:spPr>
            <a:solidFill>
              <a:srgbClr val="7030A0"/>
            </a:solidFill>
            <a:ln>
              <a:noFill/>
            </a:ln>
            <a:effectLst/>
          </c:spPr>
          <c:invertIfNegative val="0"/>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extLst>
            <c:ext xmlns:c16="http://schemas.microsoft.com/office/drawing/2014/chart" uri="{C3380CC4-5D6E-409C-BE32-E72D297353CC}">
              <c16:uniqueId val="{00000000-5E23-4064-8554-10E378855660}"/>
            </c:ext>
          </c:extLst>
        </c:ser>
        <c:dLbls>
          <c:showLegendKey val="0"/>
          <c:showVal val="0"/>
          <c:showCatName val="0"/>
          <c:showSerName val="0"/>
          <c:showPercent val="0"/>
          <c:showBubbleSize val="0"/>
        </c:dLbls>
        <c:gapWidth val="150"/>
        <c:axId val="326927280"/>
        <c:axId val="326928720"/>
      </c:barChart>
      <c:lineChart>
        <c:grouping val="standard"/>
        <c:varyColors val="0"/>
        <c:ser>
          <c:idx val="1"/>
          <c:order val="1"/>
          <c:tx>
            <c:v>Thực hiện</c:v>
          </c:tx>
          <c:spPr>
            <a:ln w="28575" cap="rnd">
              <a:solidFill>
                <a:schemeClr val="accent2"/>
              </a:solidFill>
              <a:round/>
            </a:ln>
            <a:effectLst/>
          </c:spPr>
          <c:marker>
            <c:symbol val="square"/>
            <c:size val="5"/>
            <c:spPr>
              <a:solidFill>
                <a:schemeClr val="accent2"/>
              </a:solidFill>
              <a:ln w="9525">
                <a:solidFill>
                  <a:schemeClr val="accent2"/>
                </a:solidFill>
              </a:ln>
              <a:effectLst/>
            </c:spPr>
          </c:marker>
          <c:val>
            <c:numRef>
              <c:f>data!$B$104:$L$104</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1"/>
          <c:extLst>
            <c:ext xmlns:c16="http://schemas.microsoft.com/office/drawing/2014/chart" uri="{C3380CC4-5D6E-409C-BE32-E72D297353CC}">
              <c16:uniqueId val="{00000001-5E23-4064-8554-10E378855660}"/>
            </c:ext>
          </c:extLst>
        </c:ser>
        <c:dLbls>
          <c:showLegendKey val="0"/>
          <c:showVal val="0"/>
          <c:showCatName val="0"/>
          <c:showSerName val="0"/>
          <c:showPercent val="0"/>
          <c:showBubbleSize val="0"/>
        </c:dLbls>
        <c:marker val="1"/>
        <c:smooth val="0"/>
        <c:axId val="326927280"/>
        <c:axId val="326928720"/>
      </c:lineChart>
      <c:catAx>
        <c:axId val="3269272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8720"/>
        <c:crosses val="autoZero"/>
        <c:auto val="1"/>
        <c:lblAlgn val="ctr"/>
        <c:lblOffset val="100"/>
        <c:noMultiLvlLbl val="0"/>
      </c:catAx>
      <c:valAx>
        <c:axId val="326928720"/>
        <c:scaling>
          <c:orientation val="minMax"/>
        </c:scaling>
        <c:delete val="0"/>
        <c:axPos val="l"/>
        <c:title>
          <c:tx>
            <c:rich>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Giờ đâò tạo</a:t>
                </a:r>
              </a:p>
            </c:rich>
          </c:tx>
          <c:layout>
            <c:manualLayout>
              <c:xMode val="edge"/>
              <c:yMode val="edge"/>
              <c:x val="5.5254847913672661E-2"/>
              <c:y val="0.28928659959171776"/>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72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data!$A$99</c:f>
              <c:strCache>
                <c:ptCount val="1"/>
                <c:pt idx="0">
                  <c:v>Đội thiết bị Hệ thống điều khiển</c:v>
                </c:pt>
              </c:strCache>
            </c:strRef>
          </c:tx>
          <c:spPr>
            <a:solidFill>
              <a:schemeClr val="accent1"/>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data!$B$99:$L$99</c:f>
              <c:numCache>
                <c:formatCode>General</c:formatCode>
                <c:ptCount val="11"/>
                <c:pt idx="0">
                  <c:v>0</c:v>
                </c:pt>
                <c:pt idx="1">
                  <c:v>32</c:v>
                </c:pt>
                <c:pt idx="2">
                  <c:v>32</c:v>
                </c:pt>
                <c:pt idx="3">
                  <c:v>32</c:v>
                </c:pt>
                <c:pt idx="4">
                  <c:v>24</c:v>
                </c:pt>
                <c:pt idx="5">
                  <c:v>24</c:v>
                </c:pt>
                <c:pt idx="6">
                  <c:v>40</c:v>
                </c:pt>
                <c:pt idx="8">
                  <c:v>0</c:v>
                </c:pt>
                <c:pt idx="9">
                  <c:v>48</c:v>
                </c:pt>
                <c:pt idx="10">
                  <c:v>48</c:v>
                </c:pt>
              </c:numCache>
            </c:numRef>
          </c:val>
          <c:extLst>
            <c:ext xmlns:c16="http://schemas.microsoft.com/office/drawing/2014/chart" uri="{C3380CC4-5D6E-409C-BE32-E72D297353CC}">
              <c16:uniqueId val="{00000000-756B-461E-AEA9-D7A56E409C60}"/>
            </c:ext>
          </c:extLst>
        </c:ser>
        <c:ser>
          <c:idx val="1"/>
          <c:order val="1"/>
          <c:tx>
            <c:strRef>
              <c:f>data!$A$100</c:f>
              <c:strCache>
                <c:ptCount val="1"/>
                <c:pt idx="0">
                  <c:v>Đội thiết bị Chấp hành</c:v>
                </c:pt>
              </c:strCache>
            </c:strRef>
          </c:tx>
          <c:spPr>
            <a:solidFill>
              <a:schemeClr val="accent2"/>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data!$B$100:$L$100</c:f>
              <c:numCache>
                <c:formatCode>General</c:formatCode>
                <c:ptCount val="11"/>
                <c:pt idx="0">
                  <c:v>0</c:v>
                </c:pt>
                <c:pt idx="1">
                  <c:v>15</c:v>
                </c:pt>
                <c:pt idx="2">
                  <c:v>30</c:v>
                </c:pt>
                <c:pt idx="3">
                  <c:v>30</c:v>
                </c:pt>
                <c:pt idx="4">
                  <c:v>30</c:v>
                </c:pt>
                <c:pt idx="5">
                  <c:v>27</c:v>
                </c:pt>
                <c:pt idx="6">
                  <c:v>30</c:v>
                </c:pt>
                <c:pt idx="8">
                  <c:v>42</c:v>
                </c:pt>
                <c:pt idx="9">
                  <c:v>33</c:v>
                </c:pt>
                <c:pt idx="10">
                  <c:v>45</c:v>
                </c:pt>
              </c:numCache>
            </c:numRef>
          </c:val>
          <c:extLst>
            <c:ext xmlns:c16="http://schemas.microsoft.com/office/drawing/2014/chart" uri="{C3380CC4-5D6E-409C-BE32-E72D297353CC}">
              <c16:uniqueId val="{00000001-756B-461E-AEA9-D7A56E409C60}"/>
            </c:ext>
          </c:extLst>
        </c:ser>
        <c:ser>
          <c:idx val="2"/>
          <c:order val="2"/>
          <c:tx>
            <c:strRef>
              <c:f>data!$A$101</c:f>
              <c:strCache>
                <c:ptCount val="1"/>
                <c:pt idx="0">
                  <c:v>Đội thiết bị Đo lường</c:v>
                </c:pt>
              </c:strCache>
            </c:strRef>
          </c:tx>
          <c:spPr>
            <a:solidFill>
              <a:schemeClr val="accent3"/>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data!$B$101:$L$101</c:f>
              <c:numCache>
                <c:formatCode>General</c:formatCode>
                <c:ptCount val="11"/>
                <c:pt idx="0">
                  <c:v>24</c:v>
                </c:pt>
                <c:pt idx="1">
                  <c:v>0</c:v>
                </c:pt>
                <c:pt idx="2">
                  <c:v>44</c:v>
                </c:pt>
                <c:pt idx="4">
                  <c:v>80</c:v>
                </c:pt>
                <c:pt idx="5">
                  <c:v>0</c:v>
                </c:pt>
                <c:pt idx="6">
                  <c:v>40</c:v>
                </c:pt>
                <c:pt idx="8">
                  <c:v>0</c:v>
                </c:pt>
                <c:pt idx="9">
                  <c:v>80</c:v>
                </c:pt>
                <c:pt idx="10">
                  <c:v>0</c:v>
                </c:pt>
              </c:numCache>
            </c:numRef>
          </c:val>
          <c:extLst>
            <c:ext xmlns:c16="http://schemas.microsoft.com/office/drawing/2014/chart" uri="{C3380CC4-5D6E-409C-BE32-E72D297353CC}">
              <c16:uniqueId val="{00000002-756B-461E-AEA9-D7A56E409C60}"/>
            </c:ext>
          </c:extLst>
        </c:ser>
        <c:ser>
          <c:idx val="3"/>
          <c:order val="3"/>
          <c:tx>
            <c:strRef>
              <c:f>data!$A$102</c:f>
              <c:strCache>
                <c:ptCount val="1"/>
                <c:pt idx="0">
                  <c:v>Tổ trực ca điều khiển</c:v>
                </c:pt>
              </c:strCache>
            </c:strRef>
          </c:tx>
          <c:spPr>
            <a:solidFill>
              <a:schemeClr val="accent4"/>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data!$B$102:$L$102</c:f>
              <c:numCache>
                <c:formatCode>General</c:formatCode>
                <c:ptCount val="11"/>
                <c:pt idx="0">
                  <c:v>0</c:v>
                </c:pt>
                <c:pt idx="1">
                  <c:v>0</c:v>
                </c:pt>
                <c:pt idx="2">
                  <c:v>0</c:v>
                </c:pt>
                <c:pt idx="3">
                  <c:v>104</c:v>
                </c:pt>
                <c:pt idx="4">
                  <c:v>0</c:v>
                </c:pt>
                <c:pt idx="5">
                  <c:v>0</c:v>
                </c:pt>
                <c:pt idx="6">
                  <c:v>96</c:v>
                </c:pt>
                <c:pt idx="8">
                  <c:v>0</c:v>
                </c:pt>
                <c:pt idx="9">
                  <c:v>96</c:v>
                </c:pt>
                <c:pt idx="10">
                  <c:v>0</c:v>
                </c:pt>
              </c:numCache>
            </c:numRef>
          </c:val>
          <c:extLst>
            <c:ext xmlns:c16="http://schemas.microsoft.com/office/drawing/2014/chart" uri="{C3380CC4-5D6E-409C-BE32-E72D297353CC}">
              <c16:uniqueId val="{00000003-756B-461E-AEA9-D7A56E409C60}"/>
            </c:ext>
          </c:extLst>
        </c:ser>
        <c:dLbls>
          <c:showLegendKey val="0"/>
          <c:showVal val="0"/>
          <c:showCatName val="0"/>
          <c:showSerName val="0"/>
          <c:showPercent val="0"/>
          <c:showBubbleSize val="0"/>
        </c:dLbls>
        <c:gapWidth val="219"/>
        <c:axId val="158806208"/>
        <c:axId val="97287136"/>
      </c:barChart>
      <c:lineChart>
        <c:grouping val="standard"/>
        <c:varyColors val="0"/>
        <c:ser>
          <c:idx val="4"/>
          <c:order val="4"/>
          <c:tx>
            <c:strRef>
              <c:f>data!$A$103</c:f>
              <c:strCache>
                <c:ptCount val="1"/>
                <c:pt idx="0">
                  <c:v>Kế hoạch </c:v>
                </c:pt>
              </c:strCache>
            </c:strRef>
          </c:tx>
          <c:spPr>
            <a:ln w="28575" cap="rnd">
              <a:solidFill>
                <a:schemeClr val="accent5"/>
              </a:solidFill>
              <a:round/>
            </a:ln>
            <a:effectLst/>
          </c:spPr>
          <c:marker>
            <c:symbol val="none"/>
          </c:marker>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smooth val="0"/>
          <c:extLst>
            <c:ext xmlns:c16="http://schemas.microsoft.com/office/drawing/2014/chart" uri="{C3380CC4-5D6E-409C-BE32-E72D297353CC}">
              <c16:uniqueId val="{00000004-756B-461E-AEA9-D7A56E409C60}"/>
            </c:ext>
          </c:extLst>
        </c:ser>
        <c:ser>
          <c:idx val="5"/>
          <c:order val="5"/>
          <c:tx>
            <c:strRef>
              <c:f>data!$A$104</c:f>
              <c:strCache>
                <c:ptCount val="1"/>
                <c:pt idx="0">
                  <c:v>thực hiện</c:v>
                </c:pt>
              </c:strCache>
            </c:strRef>
          </c:tx>
          <c:spPr>
            <a:ln w="28575" cap="rnd">
              <a:solidFill>
                <a:schemeClr val="accent6"/>
              </a:solidFill>
              <a:round/>
            </a:ln>
            <a:effectLst/>
          </c:spPr>
          <c:marker>
            <c:symbol val="none"/>
          </c:marker>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data!$B$104:$L$104</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5-756B-461E-AEA9-D7A56E409C60}"/>
            </c:ext>
          </c:extLst>
        </c:ser>
        <c:dLbls>
          <c:showLegendKey val="0"/>
          <c:showVal val="0"/>
          <c:showCatName val="0"/>
          <c:showSerName val="0"/>
          <c:showPercent val="0"/>
          <c:showBubbleSize val="0"/>
        </c:dLbls>
        <c:marker val="1"/>
        <c:smooth val="0"/>
        <c:axId val="158806208"/>
        <c:axId val="97287136"/>
      </c:lineChart>
      <c:catAx>
        <c:axId val="15880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7136"/>
        <c:crosses val="autoZero"/>
        <c:auto val="1"/>
        <c:lblAlgn val="ctr"/>
        <c:lblOffset val="100"/>
        <c:noMultiLvlLbl val="0"/>
      </c:catAx>
      <c:valAx>
        <c:axId val="9728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5.xml"/><Relationship Id="rId18" Type="http://schemas.openxmlformats.org/officeDocument/2006/relationships/chart" Target="../charts/chart8.xml"/><Relationship Id="rId26" Type="http://schemas.openxmlformats.org/officeDocument/2006/relationships/image" Target="../media/image16.png"/><Relationship Id="rId3" Type="http://schemas.openxmlformats.org/officeDocument/2006/relationships/image" Target="../media/image3.jpeg"/><Relationship Id="rId21" Type="http://schemas.openxmlformats.org/officeDocument/2006/relationships/image" Target="../media/image12.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image" Target="../media/image10.png"/><Relationship Id="rId25"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chart" Target="../charts/chart7.xml"/><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chart" Target="../charts/chart4.xml"/><Relationship Id="rId24" Type="http://schemas.openxmlformats.org/officeDocument/2006/relationships/image" Target="../media/image14.png"/><Relationship Id="rId5" Type="http://schemas.openxmlformats.org/officeDocument/2006/relationships/image" Target="../media/image5.jpeg"/><Relationship Id="rId15" Type="http://schemas.openxmlformats.org/officeDocument/2006/relationships/image" Target="../media/image9.png"/><Relationship Id="rId23" Type="http://schemas.openxmlformats.org/officeDocument/2006/relationships/chart" Target="../charts/chart10.xml"/><Relationship Id="rId10" Type="http://schemas.openxmlformats.org/officeDocument/2006/relationships/chart" Target="../charts/chart3.xml"/><Relationship Id="rId19" Type="http://schemas.openxmlformats.org/officeDocument/2006/relationships/image" Target="../media/image11.jpeg"/><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6.xml"/><Relationship Id="rId22" Type="http://schemas.openxmlformats.org/officeDocument/2006/relationships/image" Target="../media/image1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277091</xdr:colOff>
      <xdr:row>175</xdr:row>
      <xdr:rowOff>128163</xdr:rowOff>
    </xdr:from>
    <xdr:to>
      <xdr:col>26</xdr:col>
      <xdr:colOff>138545</xdr:colOff>
      <xdr:row>217</xdr:row>
      <xdr:rowOff>96981</xdr:rowOff>
    </xdr:to>
    <xdr:grpSp>
      <xdr:nvGrpSpPr>
        <xdr:cNvPr id="300" name="Group 299">
          <a:extLst>
            <a:ext uri="{FF2B5EF4-FFF2-40B4-BE49-F238E27FC236}">
              <a16:creationId xmlns:a16="http://schemas.microsoft.com/office/drawing/2014/main" id="{895917C0-3393-4341-ABE7-C2A3F9B61721}"/>
            </a:ext>
          </a:extLst>
        </xdr:cNvPr>
        <xdr:cNvGrpSpPr/>
      </xdr:nvGrpSpPr>
      <xdr:grpSpPr>
        <a:xfrm>
          <a:off x="277091" y="37847163"/>
          <a:ext cx="16001999" cy="7969818"/>
          <a:chOff x="17374733" y="10330277"/>
          <a:chExt cx="16991383" cy="7557015"/>
        </a:xfrm>
      </xdr:grpSpPr>
      <xdr:sp macro="" textlink="">
        <xdr:nvSpPr>
          <xdr:cNvPr id="301" name="Rectangle: Rounded Corners 300">
            <a:extLst>
              <a:ext uri="{FF2B5EF4-FFF2-40B4-BE49-F238E27FC236}">
                <a16:creationId xmlns:a16="http://schemas.microsoft.com/office/drawing/2014/main" id="{9FE8BD11-E390-84CB-C237-023B916CDCCC}"/>
              </a:ext>
            </a:extLst>
          </xdr:cNvPr>
          <xdr:cNvSpPr/>
        </xdr:nvSpPr>
        <xdr:spPr>
          <a:xfrm>
            <a:off x="17374733" y="11077283"/>
            <a:ext cx="16991383" cy="6810009"/>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02" name="Rectangle: Rounded Corners 301">
            <a:extLst>
              <a:ext uri="{FF2B5EF4-FFF2-40B4-BE49-F238E27FC236}">
                <a16:creationId xmlns:a16="http://schemas.microsoft.com/office/drawing/2014/main" id="{5BF869AB-B5A5-68D9-7696-FE9B4962155B}"/>
              </a:ext>
            </a:extLst>
          </xdr:cNvPr>
          <xdr:cNvSpPr/>
        </xdr:nvSpPr>
        <xdr:spPr>
          <a:xfrm>
            <a:off x="17517225" y="10330277"/>
            <a:ext cx="16813270" cy="624593"/>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kern="1200">
                <a:solidFill>
                  <a:schemeClr val="tx1"/>
                </a:solidFill>
                <a:latin typeface="Times New Roman" panose="02020603050405020304" pitchFamily="18" charset="0"/>
                <a:ea typeface="+mn-ea"/>
                <a:cs typeface="Times New Roman" panose="02020603050405020304" pitchFamily="18" charset="0"/>
              </a:rPr>
              <a:t>O4:</a:t>
            </a:r>
            <a:r>
              <a:rPr lang="vi-VN" sz="2400" b="1" kern="1200">
                <a:solidFill>
                  <a:schemeClr val="tx1"/>
                </a:solidFill>
                <a:latin typeface="Times New Roman" panose="02020603050405020304" pitchFamily="18" charset="0"/>
                <a:ea typeface="+mn-ea"/>
                <a:cs typeface="Times New Roman" panose="02020603050405020304" pitchFamily="18" charset="0"/>
              </a:rPr>
              <a:t> </a:t>
            </a:r>
            <a:r>
              <a:rPr lang="en-US" sz="2400" b="1" kern="1200">
                <a:solidFill>
                  <a:schemeClr val="tx1"/>
                </a:solidFill>
                <a:latin typeface="Times New Roman" panose="02020603050405020304" pitchFamily="18" charset="0"/>
                <a:ea typeface="+mn-ea"/>
                <a:cs typeface="Times New Roman" panose="02020603050405020304" pitchFamily="18" charset="0"/>
              </a:rPr>
              <a:t>Triển khai các hạng mục cải hoán thuộc chuyên môn phụ trách</a:t>
            </a:r>
            <a:endParaRPr lang="vi-VN" sz="2400" b="1" kern="1200">
              <a:solidFill>
                <a:schemeClr val="tx1"/>
              </a:solidFill>
              <a:latin typeface="Times New Roman" panose="02020603050405020304" pitchFamily="18" charset="0"/>
              <a:ea typeface="+mn-ea"/>
              <a:cs typeface="Times New Roman" panose="02020603050405020304" pitchFamily="18" charset="0"/>
            </a:endParaRPr>
          </a:p>
        </xdr:txBody>
      </xdr:sp>
      <xdr:sp macro="" textlink="">
        <xdr:nvSpPr>
          <xdr:cNvPr id="305" name="Rectangle: Rounded Corners 304">
            <a:extLst>
              <a:ext uri="{FF2B5EF4-FFF2-40B4-BE49-F238E27FC236}">
                <a16:creationId xmlns:a16="http://schemas.microsoft.com/office/drawing/2014/main" id="{919F7FAF-C2BC-42ED-E1F3-1F60873A4F38}"/>
              </a:ext>
            </a:extLst>
          </xdr:cNvPr>
          <xdr:cNvSpPr/>
        </xdr:nvSpPr>
        <xdr:spPr>
          <a:xfrm>
            <a:off x="18282743" y="11182289"/>
            <a:ext cx="7958922" cy="501820"/>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02 </a:t>
            </a:r>
            <a:r>
              <a:rPr lang="vi-VN" sz="2000" b="0" kern="1200">
                <a:solidFill>
                  <a:sysClr val="windowText" lastClr="000000"/>
                </a:solidFill>
                <a:latin typeface="Times New Roman" panose="02020603050405020304" pitchFamily="18" charset="0"/>
                <a:cs typeface="Times New Roman" panose="02020603050405020304" pitchFamily="18" charset="0"/>
              </a:rPr>
              <a:t>Cải tiến lại hệ thống robot</a:t>
            </a:r>
            <a:r>
              <a:rPr lang="en-US" sz="2000" b="0" kern="1200">
                <a:solidFill>
                  <a:sysClr val="windowText" lastClr="000000"/>
                </a:solidFill>
                <a:latin typeface="Times New Roman" panose="02020603050405020304" pitchFamily="18" charset="0"/>
                <a:cs typeface="Times New Roman" panose="02020603050405020304" pitchFamily="18" charset="0"/>
              </a:rPr>
              <a:t> NPK</a:t>
            </a:r>
            <a:r>
              <a:rPr lang="vi-VN" sz="2000" b="0" kern="1200">
                <a:solidFill>
                  <a:sysClr val="windowText" lastClr="000000"/>
                </a:solidFill>
                <a:latin typeface="Times New Roman" panose="02020603050405020304" pitchFamily="18" charset="0"/>
                <a:cs typeface="Times New Roman" panose="02020603050405020304" pitchFamily="18" charset="0"/>
              </a:rPr>
              <a:t> line A,B,C để gắp được bao 25kg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306" name="Rectangle: Rounded Corners 305">
            <a:extLst>
              <a:ext uri="{FF2B5EF4-FFF2-40B4-BE49-F238E27FC236}">
                <a16:creationId xmlns:a16="http://schemas.microsoft.com/office/drawing/2014/main" id="{E5DD7618-D06E-90B5-BB95-D9A2B103CE44}"/>
              </a:ext>
            </a:extLst>
          </xdr:cNvPr>
          <xdr:cNvSpPr/>
        </xdr:nvSpPr>
        <xdr:spPr>
          <a:xfrm>
            <a:off x="26260524" y="11211820"/>
            <a:ext cx="1171231" cy="469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FF0000"/>
                </a:solidFill>
                <a:effectLst/>
                <a:latin typeface="Times New Roman" panose="02020603050405020304" pitchFamily="18" charset="0"/>
                <a:ea typeface="+mn-ea"/>
                <a:cs typeface="Times New Roman" panose="02020603050405020304" pitchFamily="18" charset="0"/>
              </a:rPr>
              <a:t>57%</a:t>
            </a:r>
            <a:endParaRPr lang="en-US" sz="3200" b="1" kern="1200">
              <a:solidFill>
                <a:srgbClr val="FF0000"/>
              </a:solidFill>
              <a:latin typeface="Times New Roman" panose="02020603050405020304" pitchFamily="18" charset="0"/>
              <a:cs typeface="Times New Roman" panose="02020603050405020304" pitchFamily="18" charset="0"/>
            </a:endParaRPr>
          </a:p>
        </xdr:txBody>
      </xdr:sp>
      <xdr:grpSp>
        <xdr:nvGrpSpPr>
          <xdr:cNvPr id="307" name="Group 306">
            <a:extLst>
              <a:ext uri="{FF2B5EF4-FFF2-40B4-BE49-F238E27FC236}">
                <a16:creationId xmlns:a16="http://schemas.microsoft.com/office/drawing/2014/main" id="{76E28F8D-04FC-E8C4-2BF1-BB6CC9AD9342}"/>
              </a:ext>
            </a:extLst>
          </xdr:cNvPr>
          <xdr:cNvGrpSpPr/>
        </xdr:nvGrpSpPr>
        <xdr:grpSpPr>
          <a:xfrm>
            <a:off x="18261333" y="12534163"/>
            <a:ext cx="11364330" cy="4473629"/>
            <a:chOff x="17243257" y="9860201"/>
            <a:chExt cx="11839112" cy="4596015"/>
          </a:xfrm>
        </xdr:grpSpPr>
        <xdr:sp macro="" textlink="">
          <xdr:nvSpPr>
            <xdr:cNvPr id="311" name="Rectangle: Rounded Corners 310">
              <a:extLst>
                <a:ext uri="{FF2B5EF4-FFF2-40B4-BE49-F238E27FC236}">
                  <a16:creationId xmlns:a16="http://schemas.microsoft.com/office/drawing/2014/main" id="{A2BCA9EB-CA84-5475-C2E8-1392E550FF9E}"/>
                </a:ext>
              </a:extLst>
            </xdr:cNvPr>
            <xdr:cNvSpPr/>
          </xdr:nvSpPr>
          <xdr:spPr>
            <a:xfrm>
              <a:off x="17261814" y="10965867"/>
              <a:ext cx="8473679" cy="516665"/>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04 Mở rộng  hệ thống Fire and Gas theo kết quả Gas mapping report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312" name="Rectangle: Rounded Corners 311">
              <a:extLst>
                <a:ext uri="{FF2B5EF4-FFF2-40B4-BE49-F238E27FC236}">
                  <a16:creationId xmlns:a16="http://schemas.microsoft.com/office/drawing/2014/main" id="{B939BAB6-F6E2-345E-D461-204841214608}"/>
                </a:ext>
              </a:extLst>
            </xdr:cNvPr>
            <xdr:cNvSpPr/>
          </xdr:nvSpPr>
          <xdr:spPr>
            <a:xfrm>
              <a:off x="17336661" y="9860201"/>
              <a:ext cx="11745708" cy="101623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a:solidFill>
                    <a:sysClr val="windowText" lastClr="000000"/>
                  </a:solidFill>
                  <a:effectLst/>
                  <a:latin typeface="Times New Roman" panose="02020603050405020304" pitchFamily="18" charset="0"/>
                  <a:ea typeface="+mn-ea"/>
                  <a:cs typeface="Times New Roman" panose="02020603050405020304" pitchFamily="18" charset="0"/>
                </a:rPr>
                <a:t>Phase</a:t>
              </a:r>
              <a:r>
                <a:rPr lang="en-US" sz="2000" b="0" baseline="0">
                  <a:solidFill>
                    <a:sysClr val="windowText" lastClr="000000"/>
                  </a:solidFill>
                  <a:effectLst/>
                  <a:latin typeface="Times New Roman" panose="02020603050405020304" pitchFamily="18" charset="0"/>
                  <a:ea typeface="+mn-ea"/>
                  <a:cs typeface="Times New Roman" panose="02020603050405020304" pitchFamily="18" charset="0"/>
                </a:rPr>
                <a:t> I: Xin chủ trương: Tiến độ ước đạt 80% (đã  làm việc với 2  NCC TPT và Weldtec, dự kiến  28/01 làm việc với NCC Yaskawa</a:t>
              </a:r>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351" name="Rectangle: Rounded Corners 350">
              <a:extLst>
                <a:ext uri="{FF2B5EF4-FFF2-40B4-BE49-F238E27FC236}">
                  <a16:creationId xmlns:a16="http://schemas.microsoft.com/office/drawing/2014/main" id="{2BAC4B7F-99EC-9CD1-86EF-210F247C428B}"/>
                </a:ext>
              </a:extLst>
            </xdr:cNvPr>
            <xdr:cNvSpPr/>
          </xdr:nvSpPr>
          <xdr:spPr>
            <a:xfrm>
              <a:off x="17246936" y="12480032"/>
              <a:ext cx="10749556" cy="516665"/>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05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tiếp địa cho thiết bị đo lường, van điều khiển và hệ thống điều khiển</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352" name="Rectangle: Rounded Corners 351">
              <a:extLst>
                <a:ext uri="{FF2B5EF4-FFF2-40B4-BE49-F238E27FC236}">
                  <a16:creationId xmlns:a16="http://schemas.microsoft.com/office/drawing/2014/main" id="{4D34049F-18F9-6DBC-63D5-D5C0B941837F}"/>
                </a:ext>
              </a:extLst>
            </xdr:cNvPr>
            <xdr:cNvSpPr/>
          </xdr:nvSpPr>
          <xdr:spPr>
            <a:xfrm>
              <a:off x="17243257" y="13939551"/>
              <a:ext cx="4089236" cy="516665"/>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06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máng cáp</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77" name="Rectangle: Rounded Corners 76">
              <a:extLst>
                <a:ext uri="{FF2B5EF4-FFF2-40B4-BE49-F238E27FC236}">
                  <a16:creationId xmlns:a16="http://schemas.microsoft.com/office/drawing/2014/main" id="{4C0A5E9A-694C-9E0B-080A-B55E5BA6DF9B}"/>
                </a:ext>
              </a:extLst>
            </xdr:cNvPr>
            <xdr:cNvSpPr/>
          </xdr:nvSpPr>
          <xdr:spPr>
            <a:xfrm>
              <a:off x="17262285" y="11502192"/>
              <a:ext cx="11745708" cy="91628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a:solidFill>
                    <a:sysClr val="windowText" lastClr="000000"/>
                  </a:solidFill>
                  <a:effectLst/>
                  <a:latin typeface="Times New Roman" panose="02020603050405020304" pitchFamily="18" charset="0"/>
                  <a:ea typeface="+mn-ea"/>
                  <a:cs typeface="Times New Roman" panose="02020603050405020304" pitchFamily="18" charset="0"/>
                </a:rPr>
                <a:t>Phase</a:t>
              </a:r>
              <a:r>
                <a:rPr lang="en-US" sz="2000" b="0" baseline="0">
                  <a:solidFill>
                    <a:sysClr val="windowText" lastClr="000000"/>
                  </a:solidFill>
                  <a:effectLst/>
                  <a:latin typeface="Times New Roman" panose="02020603050405020304" pitchFamily="18" charset="0"/>
                  <a:ea typeface="+mn-ea"/>
                  <a:cs typeface="Times New Roman" panose="02020603050405020304" pitchFamily="18" charset="0"/>
                </a:rPr>
                <a:t> I: Công tác chuẩn bị: Đang trình chủ trương ngân sách đến TGĐ (Bước 5/10  - Giám đốc NM)</a:t>
              </a:r>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grpSp>
      <xdr:pic>
        <xdr:nvPicPr>
          <xdr:cNvPr id="309" name="Picture 308" descr="Auto, industry, machine, manufacturing, packaging icon - Download on  Iconfinder">
            <a:extLst>
              <a:ext uri="{FF2B5EF4-FFF2-40B4-BE49-F238E27FC236}">
                <a16:creationId xmlns:a16="http://schemas.microsoft.com/office/drawing/2014/main" id="{868D704C-5411-1FA1-0B1E-D915F36C4F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391140" y="10752921"/>
            <a:ext cx="1206086" cy="111883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9" name="Rectangle: Rounded Corners 18">
            <a:extLst>
              <a:ext uri="{FF2B5EF4-FFF2-40B4-BE49-F238E27FC236}">
                <a16:creationId xmlns:a16="http://schemas.microsoft.com/office/drawing/2014/main" id="{A7037CDB-04AB-C554-59B3-738ABAAC8068}"/>
              </a:ext>
            </a:extLst>
          </xdr:cNvPr>
          <xdr:cNvSpPr/>
        </xdr:nvSpPr>
        <xdr:spPr>
          <a:xfrm>
            <a:off x="18264897" y="15618620"/>
            <a:ext cx="10803908" cy="64261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Đã hoàn thành họp thống nhất đối tượng thực hiện, làm rõ phạm vi công việ</a:t>
            </a:r>
            <a:r>
              <a:rPr lang="en-US" sz="2000" b="0">
                <a:solidFill>
                  <a:sysClr val="windowText" lastClr="000000"/>
                </a:solidFill>
                <a:effectLst/>
                <a:latin typeface="Times New Roman" panose="02020603050405020304" pitchFamily="18" charset="0"/>
                <a:ea typeface="+mn-ea"/>
                <a:cs typeface="Times New Roman" panose="02020603050405020304" pitchFamily="18" charset="0"/>
              </a:rPr>
              <a:t>c</a:t>
            </a:r>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350" name="Rectangle: Rounded Corners 349">
            <a:extLst>
              <a:ext uri="{FF2B5EF4-FFF2-40B4-BE49-F238E27FC236}">
                <a16:creationId xmlns:a16="http://schemas.microsoft.com/office/drawing/2014/main" id="{1D1011E7-E531-93A6-0553-CA468A7BE193}"/>
              </a:ext>
            </a:extLst>
          </xdr:cNvPr>
          <xdr:cNvSpPr/>
        </xdr:nvSpPr>
        <xdr:spPr>
          <a:xfrm>
            <a:off x="18282744" y="12055968"/>
            <a:ext cx="6366138" cy="501820"/>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03 </a:t>
            </a:r>
            <a:r>
              <a:rPr lang="vi-VN" sz="2000" b="0" kern="1200">
                <a:solidFill>
                  <a:sysClr val="windowText" lastClr="000000"/>
                </a:solidFill>
                <a:latin typeface="Times New Roman" panose="02020603050405020304" pitchFamily="18" charset="0"/>
                <a:cs typeface="Times New Roman" panose="02020603050405020304" pitchFamily="18" charset="0"/>
              </a:rPr>
              <a:t>Triển khai dự án lắp đặt 2 Robot Depalletizing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76" name="Rectangle: Rounded Corners 75">
            <a:extLst>
              <a:ext uri="{FF2B5EF4-FFF2-40B4-BE49-F238E27FC236}">
                <a16:creationId xmlns:a16="http://schemas.microsoft.com/office/drawing/2014/main" id="{DBAF98B3-97C6-7344-4609-EE6BAB7D76C7}"/>
              </a:ext>
            </a:extLst>
          </xdr:cNvPr>
          <xdr:cNvSpPr/>
        </xdr:nvSpPr>
        <xdr:spPr>
          <a:xfrm>
            <a:off x="18264896" y="16911128"/>
            <a:ext cx="15715700" cy="8788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Đã tham gia họp thống nhất kế hoạch thực hiện công việc và đưa ra deadline ra YCKT dịch vụ cải tạo hệ thống máng cáp</a:t>
            </a:r>
            <a:r>
              <a:rPr lang="en-US" sz="2000" b="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xdr:from>
      <xdr:col>27</xdr:col>
      <xdr:colOff>69273</xdr:colOff>
      <xdr:row>123</xdr:row>
      <xdr:rowOff>138545</xdr:rowOff>
    </xdr:from>
    <xdr:to>
      <xdr:col>47</xdr:col>
      <xdr:colOff>398318</xdr:colOff>
      <xdr:row>144</xdr:row>
      <xdr:rowOff>13855</xdr:rowOff>
    </xdr:to>
    <xdr:sp macro="" textlink="">
      <xdr:nvSpPr>
        <xdr:cNvPr id="345" name="Rectangle: Rounded Corners 344">
          <a:extLst>
            <a:ext uri="{FF2B5EF4-FFF2-40B4-BE49-F238E27FC236}">
              <a16:creationId xmlns:a16="http://schemas.microsoft.com/office/drawing/2014/main" id="{6B845073-1784-61BC-BEEA-47811E1FE90D}"/>
            </a:ext>
          </a:extLst>
        </xdr:cNvPr>
        <xdr:cNvSpPr/>
      </xdr:nvSpPr>
      <xdr:spPr>
        <a:xfrm>
          <a:off x="16815955" y="27951545"/>
          <a:ext cx="12694227" cy="387581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155864</xdr:colOff>
      <xdr:row>37</xdr:row>
      <xdr:rowOff>138545</xdr:rowOff>
    </xdr:from>
    <xdr:to>
      <xdr:col>26</xdr:col>
      <xdr:colOff>415636</xdr:colOff>
      <xdr:row>62</xdr:row>
      <xdr:rowOff>86591</xdr:rowOff>
    </xdr:to>
    <xdr:sp macro="" textlink="">
      <xdr:nvSpPr>
        <xdr:cNvPr id="296" name="Rectangle: Rounded Corners 295">
          <a:extLst>
            <a:ext uri="{FF2B5EF4-FFF2-40B4-BE49-F238E27FC236}">
              <a16:creationId xmlns:a16="http://schemas.microsoft.com/office/drawing/2014/main" id="{FFF2BBE0-FEDE-4B0C-B2C8-8623178D19F0}"/>
            </a:ext>
          </a:extLst>
        </xdr:cNvPr>
        <xdr:cNvSpPr/>
      </xdr:nvSpPr>
      <xdr:spPr>
        <a:xfrm>
          <a:off x="155864" y="10183090"/>
          <a:ext cx="16919863" cy="4710546"/>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502227</xdr:colOff>
      <xdr:row>66</xdr:row>
      <xdr:rowOff>130394</xdr:rowOff>
    </xdr:from>
    <xdr:to>
      <xdr:col>26</xdr:col>
      <xdr:colOff>536864</xdr:colOff>
      <xdr:row>145</xdr:row>
      <xdr:rowOff>27709</xdr:rowOff>
    </xdr:to>
    <xdr:sp macro="" textlink="">
      <xdr:nvSpPr>
        <xdr:cNvPr id="8" name="Rectangle: Rounded Corners 7">
          <a:extLst>
            <a:ext uri="{FF2B5EF4-FFF2-40B4-BE49-F238E27FC236}">
              <a16:creationId xmlns:a16="http://schemas.microsoft.com/office/drawing/2014/main" id="{A15524B5-330F-39D3-1671-0F023AD05D8C}"/>
            </a:ext>
          </a:extLst>
        </xdr:cNvPr>
        <xdr:cNvSpPr/>
      </xdr:nvSpPr>
      <xdr:spPr>
        <a:xfrm>
          <a:off x="8399318" y="16922103"/>
          <a:ext cx="8763001" cy="14125933"/>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293370</xdr:colOff>
      <xdr:row>66</xdr:row>
      <xdr:rowOff>130223</xdr:rowOff>
    </xdr:from>
    <xdr:to>
      <xdr:col>12</xdr:col>
      <xdr:colOff>415636</xdr:colOff>
      <xdr:row>145</xdr:row>
      <xdr:rowOff>69273</xdr:rowOff>
    </xdr:to>
    <xdr:sp macro="" textlink="">
      <xdr:nvSpPr>
        <xdr:cNvPr id="2" name="Rectangle: Rounded Corners 1">
          <a:extLst>
            <a:ext uri="{FF2B5EF4-FFF2-40B4-BE49-F238E27FC236}">
              <a16:creationId xmlns:a16="http://schemas.microsoft.com/office/drawing/2014/main" id="{E65C2B59-867B-F29E-9DAA-1AE8E4F152CB}"/>
            </a:ext>
          </a:extLst>
        </xdr:cNvPr>
        <xdr:cNvSpPr/>
      </xdr:nvSpPr>
      <xdr:spPr>
        <a:xfrm>
          <a:off x="293370" y="16921932"/>
          <a:ext cx="8019357" cy="14167668"/>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103910</xdr:colOff>
      <xdr:row>134</xdr:row>
      <xdr:rowOff>69262</xdr:rowOff>
    </xdr:from>
    <xdr:to>
      <xdr:col>26</xdr:col>
      <xdr:colOff>155864</xdr:colOff>
      <xdr:row>144</xdr:row>
      <xdr:rowOff>69273</xdr:rowOff>
    </xdr:to>
    <xdr:grpSp>
      <xdr:nvGrpSpPr>
        <xdr:cNvPr id="228" name="Group 227">
          <a:extLst>
            <a:ext uri="{FF2B5EF4-FFF2-40B4-BE49-F238E27FC236}">
              <a16:creationId xmlns:a16="http://schemas.microsoft.com/office/drawing/2014/main" id="{ECC3F46A-0A77-635A-DD4F-F0DB1D5B337B}"/>
            </a:ext>
          </a:extLst>
        </xdr:cNvPr>
        <xdr:cNvGrpSpPr/>
      </xdr:nvGrpSpPr>
      <xdr:grpSpPr>
        <a:xfrm>
          <a:off x="8364683" y="29977762"/>
          <a:ext cx="7931726" cy="1905011"/>
          <a:chOff x="8884228" y="20366177"/>
          <a:chExt cx="7931727" cy="1905011"/>
        </a:xfrm>
      </xdr:grpSpPr>
      <xdr:sp macro="" textlink="">
        <xdr:nvSpPr>
          <xdr:cNvPr id="36" name="Rectangle: Rounded Corners 35">
            <a:extLst>
              <a:ext uri="{FF2B5EF4-FFF2-40B4-BE49-F238E27FC236}">
                <a16:creationId xmlns:a16="http://schemas.microsoft.com/office/drawing/2014/main" id="{6F753823-6C6B-F83F-4798-4AFF6CC2A80D}"/>
              </a:ext>
            </a:extLst>
          </xdr:cNvPr>
          <xdr:cNvSpPr/>
        </xdr:nvSpPr>
        <xdr:spPr>
          <a:xfrm>
            <a:off x="9715501" y="20366177"/>
            <a:ext cx="6650181" cy="51278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KR06 TRIỂN</a:t>
            </a:r>
            <a:r>
              <a:rPr lang="en-US" sz="1600" b="1" kern="1200" baseline="0">
                <a:solidFill>
                  <a:schemeClr val="lt1"/>
                </a:solidFill>
                <a:latin typeface="Times New Roman" panose="02020603050405020304" pitchFamily="18" charset="0"/>
                <a:ea typeface="+mn-ea"/>
                <a:cs typeface="Times New Roman" panose="02020603050405020304" pitchFamily="18" charset="0"/>
              </a:rPr>
              <a:t> KHAI HÀNH ĐỘNG KHẮC PHỤC PHÒNG NGỪA</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44" name="Rectangle: Rounded Corners 43">
            <a:extLst>
              <a:ext uri="{FF2B5EF4-FFF2-40B4-BE49-F238E27FC236}">
                <a16:creationId xmlns:a16="http://schemas.microsoft.com/office/drawing/2014/main" id="{95DA2F99-6369-DB61-A732-F010DD302267}"/>
              </a:ext>
            </a:extLst>
          </xdr:cNvPr>
          <xdr:cNvSpPr/>
        </xdr:nvSpPr>
        <xdr:spPr>
          <a:xfrm>
            <a:off x="8884228" y="21100788"/>
            <a:ext cx="7931727" cy="11704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Không</a:t>
            </a:r>
            <a:r>
              <a:rPr lang="en-US" sz="2000" b="1" kern="1200" baseline="0">
                <a:solidFill>
                  <a:sysClr val="windowText" lastClr="000000"/>
                </a:solidFill>
                <a:latin typeface="Times New Roman" panose="02020603050405020304" pitchFamily="18" charset="0"/>
                <a:cs typeface="Times New Roman" panose="02020603050405020304" pitchFamily="18" charset="0"/>
              </a:rPr>
              <a:t> có kế hoạch trong tháng</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457436</xdr:colOff>
      <xdr:row>120</xdr:row>
      <xdr:rowOff>31166</xdr:rowOff>
    </xdr:from>
    <xdr:to>
      <xdr:col>12</xdr:col>
      <xdr:colOff>187562</xdr:colOff>
      <xdr:row>135</xdr:row>
      <xdr:rowOff>35170</xdr:rowOff>
    </xdr:to>
    <xdr:grpSp>
      <xdr:nvGrpSpPr>
        <xdr:cNvPr id="68" name="Group 67">
          <a:extLst>
            <a:ext uri="{FF2B5EF4-FFF2-40B4-BE49-F238E27FC236}">
              <a16:creationId xmlns:a16="http://schemas.microsoft.com/office/drawing/2014/main" id="{E6CFCF40-A95A-44F6-F880-ED63DBC382AF}"/>
            </a:ext>
          </a:extLst>
        </xdr:cNvPr>
        <xdr:cNvGrpSpPr/>
      </xdr:nvGrpSpPr>
      <xdr:grpSpPr>
        <a:xfrm>
          <a:off x="457436" y="27272666"/>
          <a:ext cx="7384762" cy="2861504"/>
          <a:chOff x="8961680" y="7317124"/>
          <a:chExt cx="7256405" cy="2693034"/>
        </a:xfrm>
      </xdr:grpSpPr>
      <xdr:sp macro="" textlink="">
        <xdr:nvSpPr>
          <xdr:cNvPr id="21" name="Rectangle: Rounded Corners 20">
            <a:extLst>
              <a:ext uri="{FF2B5EF4-FFF2-40B4-BE49-F238E27FC236}">
                <a16:creationId xmlns:a16="http://schemas.microsoft.com/office/drawing/2014/main" id="{70860932-88EC-10E6-2B24-6B8AEBF0A908}"/>
              </a:ext>
            </a:extLst>
          </xdr:cNvPr>
          <xdr:cNvSpPr/>
        </xdr:nvSpPr>
        <xdr:spPr>
          <a:xfrm>
            <a:off x="9644386" y="7317124"/>
            <a:ext cx="5923104" cy="42749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KR04</a:t>
            </a:r>
            <a:r>
              <a:rPr lang="en-US" sz="1600" b="1" kern="1200" baseline="0">
                <a:solidFill>
                  <a:schemeClr val="lt1"/>
                </a:solidFill>
                <a:latin typeface="Times New Roman" panose="02020603050405020304" pitchFamily="18" charset="0"/>
                <a:ea typeface="+mn-ea"/>
                <a:cs typeface="Times New Roman" panose="02020603050405020304" pitchFamily="18" charset="0"/>
              </a:rPr>
              <a:t> </a:t>
            </a:r>
            <a:r>
              <a:rPr lang="en-US" sz="1600" b="1" kern="1200">
                <a:solidFill>
                  <a:schemeClr val="lt1"/>
                </a:solidFill>
                <a:latin typeface="Times New Roman" panose="02020603050405020304" pitchFamily="18" charset="0"/>
                <a:ea typeface="+mn-ea"/>
                <a:cs typeface="Times New Roman" panose="02020603050405020304" pitchFamily="18" charset="0"/>
              </a:rPr>
              <a:t>BÁO</a:t>
            </a:r>
            <a:r>
              <a:rPr lang="en-US" sz="1600" b="1" kern="1200" baseline="0">
                <a:solidFill>
                  <a:schemeClr val="lt1"/>
                </a:solidFill>
                <a:latin typeface="Times New Roman" panose="02020603050405020304" pitchFamily="18" charset="0"/>
                <a:ea typeface="+mn-ea"/>
                <a:cs typeface="Times New Roman" panose="02020603050405020304" pitchFamily="18" charset="0"/>
              </a:rPr>
              <a:t> CÁO CÔNG TÁC BẢO DƯỠNG TỔNG THỂ TỔ TB ĐL &amp; 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pic>
        <xdr:nvPicPr>
          <xdr:cNvPr id="23" name="Picture 22" descr="Target - Free seo and web icons">
            <a:extLst>
              <a:ext uri="{FF2B5EF4-FFF2-40B4-BE49-F238E27FC236}">
                <a16:creationId xmlns:a16="http://schemas.microsoft.com/office/drawing/2014/main" id="{E5DB8126-2EC4-0099-AC77-F2FD9754A7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1680" y="8110034"/>
            <a:ext cx="867458" cy="75348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Picture 23" descr="Results Save Icon Format PNG Transparent Background, Free Download #17968 -  FreeIconsPNG">
            <a:extLst>
              <a:ext uri="{FF2B5EF4-FFF2-40B4-BE49-F238E27FC236}">
                <a16:creationId xmlns:a16="http://schemas.microsoft.com/office/drawing/2014/main" id="{E730A469-8CFC-F246-C8E4-6200EC7A27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176687" y="7821035"/>
            <a:ext cx="1041398" cy="93938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 name="Straight Connector 25">
            <a:extLst>
              <a:ext uri="{FF2B5EF4-FFF2-40B4-BE49-F238E27FC236}">
                <a16:creationId xmlns:a16="http://schemas.microsoft.com/office/drawing/2014/main" id="{37B51A70-7411-E9C3-B37B-3888B7024B01}"/>
              </a:ext>
            </a:extLst>
          </xdr:cNvPr>
          <xdr:cNvCxnSpPr/>
        </xdr:nvCxnSpPr>
        <xdr:spPr>
          <a:xfrm>
            <a:off x="11934825" y="7862047"/>
            <a:ext cx="0" cy="2033805"/>
          </a:xfrm>
          <a:prstGeom prst="line">
            <a:avLst/>
          </a:prstGeom>
          <a:ln w="28575"/>
        </xdr:spPr>
        <xdr:style>
          <a:lnRef idx="1">
            <a:schemeClr val="accent1"/>
          </a:lnRef>
          <a:fillRef idx="0">
            <a:schemeClr val="accent1"/>
          </a:fillRef>
          <a:effectRef idx="0">
            <a:schemeClr val="accent1"/>
          </a:effectRef>
          <a:fontRef idx="minor">
            <a:schemeClr val="tx1"/>
          </a:fontRef>
        </xdr:style>
      </xdr:cxnSp>
      <xdr:pic>
        <xdr:nvPicPr>
          <xdr:cNvPr id="121" name="Picture 120" descr="Clock - Free time and date icons">
            <a:extLst>
              <a:ext uri="{FF2B5EF4-FFF2-40B4-BE49-F238E27FC236}">
                <a16:creationId xmlns:a16="http://schemas.microsoft.com/office/drawing/2014/main" id="{49537731-AF8D-506E-2340-8117BC6D40E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755322" y="9228323"/>
            <a:ext cx="851962" cy="77640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2" name="Rectangle: Rounded Corners 121">
            <a:extLst>
              <a:ext uri="{FF2B5EF4-FFF2-40B4-BE49-F238E27FC236}">
                <a16:creationId xmlns:a16="http://schemas.microsoft.com/office/drawing/2014/main" id="{651E3D28-FEB4-FD95-0E64-50F951142716}"/>
              </a:ext>
            </a:extLst>
          </xdr:cNvPr>
          <xdr:cNvSpPr/>
        </xdr:nvSpPr>
        <xdr:spPr>
          <a:xfrm>
            <a:off x="10558419" y="9175331"/>
            <a:ext cx="1357928" cy="8348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Vượt</a:t>
            </a:r>
            <a:r>
              <a:rPr lang="en-US" sz="1600" kern="1200" baseline="0">
                <a:solidFill>
                  <a:sysClr val="windowText" lastClr="000000"/>
                </a:solidFill>
                <a:latin typeface="Times New Roman" panose="02020603050405020304" pitchFamily="18" charset="0"/>
                <a:cs typeface="Times New Roman" panose="02020603050405020304" pitchFamily="18" charset="0"/>
              </a:rPr>
              <a:t> tiến độ </a:t>
            </a:r>
            <a:r>
              <a:rPr lang="en-US" sz="2400" b="1" kern="1200" baseline="0">
                <a:solidFill>
                  <a:srgbClr val="FF0000"/>
                </a:solidFill>
                <a:latin typeface="Times New Roman" panose="02020603050405020304" pitchFamily="18" charset="0"/>
                <a:cs typeface="Times New Roman" panose="02020603050405020304" pitchFamily="18" charset="0"/>
              </a:rPr>
              <a:t>4h</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3" name="Rectangle: Rounded Corners 122">
            <a:extLst>
              <a:ext uri="{FF2B5EF4-FFF2-40B4-BE49-F238E27FC236}">
                <a16:creationId xmlns:a16="http://schemas.microsoft.com/office/drawing/2014/main" id="{F2C92E32-B8CE-ECBE-12FE-1F7ADDA2A110}"/>
              </a:ext>
            </a:extLst>
          </xdr:cNvPr>
          <xdr:cNvSpPr/>
        </xdr:nvSpPr>
        <xdr:spPr>
          <a:xfrm>
            <a:off x="9820611" y="8065769"/>
            <a:ext cx="2065468" cy="11957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Hoàn</a:t>
            </a:r>
            <a:r>
              <a:rPr lang="en-US" sz="1600" kern="1200" baseline="0">
                <a:solidFill>
                  <a:sysClr val="windowText" lastClr="000000"/>
                </a:solidFill>
                <a:latin typeface="Times New Roman" panose="02020603050405020304" pitchFamily="18" charset="0"/>
                <a:cs typeface="Times New Roman" panose="02020603050405020304" pitchFamily="18" charset="0"/>
              </a:rPr>
              <a:t> thành đạt </a:t>
            </a:r>
            <a:r>
              <a:rPr lang="en-US" sz="2000" b="1" kern="1200" baseline="0">
                <a:solidFill>
                  <a:srgbClr val="FF0000"/>
                </a:solidFill>
                <a:latin typeface="Times New Roman" panose="02020603050405020304" pitchFamily="18" charset="0"/>
                <a:cs typeface="Times New Roman" panose="02020603050405020304" pitchFamily="18" charset="0"/>
              </a:rPr>
              <a:t>99%</a:t>
            </a:r>
            <a:r>
              <a:rPr lang="en-US" sz="1600" kern="1200" baseline="0">
                <a:solidFill>
                  <a:sysClr val="windowText" lastClr="000000"/>
                </a:solidFill>
                <a:latin typeface="Times New Roman" panose="02020603050405020304" pitchFamily="18" charset="0"/>
                <a:cs typeface="Times New Roman" panose="02020603050405020304" pitchFamily="18" charset="0"/>
              </a:rPr>
              <a:t> khối lượng &amp; </a:t>
            </a:r>
            <a:r>
              <a:rPr lang="en-US" sz="2000" b="1" kern="1200" baseline="0">
                <a:solidFill>
                  <a:srgbClr val="FF0000"/>
                </a:solidFill>
                <a:latin typeface="Times New Roman" panose="02020603050405020304" pitchFamily="18" charset="0"/>
                <a:cs typeface="Times New Roman" panose="02020603050405020304" pitchFamily="18" charset="0"/>
              </a:rPr>
              <a:t>chất lượng</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7" name="Rectangle: Rounded Corners 126">
            <a:extLst>
              <a:ext uri="{FF2B5EF4-FFF2-40B4-BE49-F238E27FC236}">
                <a16:creationId xmlns:a16="http://schemas.microsoft.com/office/drawing/2014/main" id="{2C49DA42-1700-2DE7-FCFE-702A97762E2C}"/>
              </a:ext>
            </a:extLst>
          </xdr:cNvPr>
          <xdr:cNvSpPr/>
        </xdr:nvSpPr>
        <xdr:spPr>
          <a:xfrm>
            <a:off x="11944307" y="8126942"/>
            <a:ext cx="3264153" cy="11207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a:solidFill>
                  <a:schemeClr val="tx1"/>
                </a:solidFill>
                <a:effectLst/>
                <a:latin typeface="+mj-lt"/>
                <a:ea typeface="+mn-ea"/>
                <a:cs typeface="+mn-cs"/>
              </a:rPr>
              <a:t>TBD</a:t>
            </a:r>
            <a:endParaRPr lang="vi-VN" sz="6600" b="1" kern="1200">
              <a:solidFill>
                <a:schemeClr val="tx1"/>
              </a:solidFill>
              <a:latin typeface="+mj-lt"/>
              <a:cs typeface="Times New Roman" panose="02020603050405020304" pitchFamily="18" charset="0"/>
            </a:endParaRPr>
          </a:p>
        </xdr:txBody>
      </xdr:sp>
      <xdr:sp macro="" textlink="">
        <xdr:nvSpPr>
          <xdr:cNvPr id="144" name="Rectangle: Rounded Corners 143">
            <a:extLst>
              <a:ext uri="{FF2B5EF4-FFF2-40B4-BE49-F238E27FC236}">
                <a16:creationId xmlns:a16="http://schemas.microsoft.com/office/drawing/2014/main" id="{C168062E-5CBD-D32E-3755-01EE82BF5B50}"/>
              </a:ext>
            </a:extLst>
          </xdr:cNvPr>
          <xdr:cNvSpPr/>
        </xdr:nvSpPr>
        <xdr:spPr>
          <a:xfrm>
            <a:off x="10180993" y="7782261"/>
            <a:ext cx="1350308" cy="3452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145" name="Rectangle: Rounded Corners 144">
            <a:extLst>
              <a:ext uri="{FF2B5EF4-FFF2-40B4-BE49-F238E27FC236}">
                <a16:creationId xmlns:a16="http://schemas.microsoft.com/office/drawing/2014/main" id="{EBDD665E-D677-E4E9-5128-68691307FA14}"/>
              </a:ext>
            </a:extLst>
          </xdr:cNvPr>
          <xdr:cNvSpPr/>
        </xdr:nvSpPr>
        <xdr:spPr>
          <a:xfrm>
            <a:off x="12522686" y="7773296"/>
            <a:ext cx="1364428" cy="3490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588818</xdr:colOff>
      <xdr:row>134</xdr:row>
      <xdr:rowOff>138540</xdr:rowOff>
    </xdr:from>
    <xdr:to>
      <xdr:col>12</xdr:col>
      <xdr:colOff>346364</xdr:colOff>
      <xdr:row>144</xdr:row>
      <xdr:rowOff>69268</xdr:rowOff>
    </xdr:to>
    <xdr:grpSp>
      <xdr:nvGrpSpPr>
        <xdr:cNvPr id="227" name="Group 226">
          <a:extLst>
            <a:ext uri="{FF2B5EF4-FFF2-40B4-BE49-F238E27FC236}">
              <a16:creationId xmlns:a16="http://schemas.microsoft.com/office/drawing/2014/main" id="{6A245AC3-8894-5471-F0F1-31A27C971B42}"/>
            </a:ext>
          </a:extLst>
        </xdr:cNvPr>
        <xdr:cNvGrpSpPr/>
      </xdr:nvGrpSpPr>
      <xdr:grpSpPr>
        <a:xfrm>
          <a:off x="588818" y="30047040"/>
          <a:ext cx="7412182" cy="1835728"/>
          <a:chOff x="588818" y="20435455"/>
          <a:chExt cx="7931728" cy="1835728"/>
        </a:xfrm>
      </xdr:grpSpPr>
      <xdr:sp macro="" textlink="">
        <xdr:nvSpPr>
          <xdr:cNvPr id="4" name="Rectangle: Rounded Corners 3">
            <a:extLst>
              <a:ext uri="{FF2B5EF4-FFF2-40B4-BE49-F238E27FC236}">
                <a16:creationId xmlns:a16="http://schemas.microsoft.com/office/drawing/2014/main" id="{34D6FD02-793B-2164-F0B7-B501C8E0C3BC}"/>
              </a:ext>
            </a:extLst>
          </xdr:cNvPr>
          <xdr:cNvSpPr/>
        </xdr:nvSpPr>
        <xdr:spPr>
          <a:xfrm>
            <a:off x="1281545" y="20435455"/>
            <a:ext cx="6338454" cy="51884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KR05  TRIỂN</a:t>
            </a:r>
            <a:r>
              <a:rPr lang="en-US" sz="1600" b="1" kern="1200" baseline="0">
                <a:solidFill>
                  <a:schemeClr val="lt1"/>
                </a:solidFill>
                <a:latin typeface="Times New Roman" panose="02020603050405020304" pitchFamily="18" charset="0"/>
                <a:ea typeface="+mn-ea"/>
                <a:cs typeface="Times New Roman" panose="02020603050405020304" pitchFamily="18" charset="0"/>
              </a:rPr>
              <a:t> KHAI HẠNG MỤC NÂNG CAO ĐỘ TIN CẬY</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8" name="Rectangle: Rounded Corners 17">
            <a:extLst>
              <a:ext uri="{FF2B5EF4-FFF2-40B4-BE49-F238E27FC236}">
                <a16:creationId xmlns:a16="http://schemas.microsoft.com/office/drawing/2014/main" id="{536428E0-1394-CB25-E7C1-AC8905D1CC8F}"/>
              </a:ext>
            </a:extLst>
          </xdr:cNvPr>
          <xdr:cNvSpPr/>
        </xdr:nvSpPr>
        <xdr:spPr>
          <a:xfrm>
            <a:off x="588818" y="21054843"/>
            <a:ext cx="7931728" cy="121634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baseline="0">
                <a:solidFill>
                  <a:schemeClr val="tx1"/>
                </a:solidFill>
                <a:latin typeface="Times New Roman" panose="02020603050405020304" pitchFamily="18" charset="0"/>
                <a:cs typeface="Times New Roman" panose="02020603050405020304" pitchFamily="18" charset="0"/>
              </a:rPr>
              <a:t>TBD</a:t>
            </a:r>
          </a:p>
        </xdr:txBody>
      </xdr:sp>
    </xdr:grpSp>
    <xdr:clientData/>
  </xdr:twoCellAnchor>
  <xdr:twoCellAnchor>
    <xdr:from>
      <xdr:col>0</xdr:col>
      <xdr:colOff>375407</xdr:colOff>
      <xdr:row>218</xdr:row>
      <xdr:rowOff>71058</xdr:rowOff>
    </xdr:from>
    <xdr:to>
      <xdr:col>47</xdr:col>
      <xdr:colOff>318654</xdr:colOff>
      <xdr:row>244</xdr:row>
      <xdr:rowOff>157185</xdr:rowOff>
    </xdr:to>
    <xdr:grpSp>
      <xdr:nvGrpSpPr>
        <xdr:cNvPr id="41" name="Group 40">
          <a:extLst>
            <a:ext uri="{FF2B5EF4-FFF2-40B4-BE49-F238E27FC236}">
              <a16:creationId xmlns:a16="http://schemas.microsoft.com/office/drawing/2014/main" id="{D0C8B61A-2AEB-3498-3BBD-E9BB94E50EFD}"/>
            </a:ext>
          </a:extLst>
        </xdr:cNvPr>
        <xdr:cNvGrpSpPr/>
      </xdr:nvGrpSpPr>
      <xdr:grpSpPr>
        <a:xfrm>
          <a:off x="375407" y="45981558"/>
          <a:ext cx="29055111" cy="5039127"/>
          <a:chOff x="247253" y="18091071"/>
          <a:chExt cx="28154573" cy="4676007"/>
        </a:xfrm>
      </xdr:grpSpPr>
      <xdr:grpSp>
        <xdr:nvGrpSpPr>
          <xdr:cNvPr id="3" name="Group 2">
            <a:extLst>
              <a:ext uri="{FF2B5EF4-FFF2-40B4-BE49-F238E27FC236}">
                <a16:creationId xmlns:a16="http://schemas.microsoft.com/office/drawing/2014/main" id="{BAED3889-0FCF-445C-F51B-5FB827F3B3C6}"/>
              </a:ext>
            </a:extLst>
          </xdr:cNvPr>
          <xdr:cNvGrpSpPr/>
        </xdr:nvGrpSpPr>
        <xdr:grpSpPr>
          <a:xfrm>
            <a:off x="247253" y="18117098"/>
            <a:ext cx="9220941" cy="4556941"/>
            <a:chOff x="247253" y="16219020"/>
            <a:chExt cx="9220941" cy="4556941"/>
          </a:xfrm>
        </xdr:grpSpPr>
        <xdr:grpSp>
          <xdr:nvGrpSpPr>
            <xdr:cNvPr id="143" name="Group 142">
              <a:extLst>
                <a:ext uri="{FF2B5EF4-FFF2-40B4-BE49-F238E27FC236}">
                  <a16:creationId xmlns:a16="http://schemas.microsoft.com/office/drawing/2014/main" id="{90C61797-C12F-4D5E-CE76-F4AA469A3A1D}"/>
                </a:ext>
              </a:extLst>
            </xdr:cNvPr>
            <xdr:cNvGrpSpPr/>
          </xdr:nvGrpSpPr>
          <xdr:grpSpPr>
            <a:xfrm>
              <a:off x="247253" y="16219020"/>
              <a:ext cx="9220941" cy="4556941"/>
              <a:chOff x="330381" y="13846627"/>
              <a:chExt cx="9237323" cy="4614114"/>
            </a:xfrm>
          </xdr:grpSpPr>
          <xdr:sp macro="" textlink="">
            <xdr:nvSpPr>
              <xdr:cNvPr id="128" name="Rectangle: Rounded Corners 127">
                <a:extLst>
                  <a:ext uri="{FF2B5EF4-FFF2-40B4-BE49-F238E27FC236}">
                    <a16:creationId xmlns:a16="http://schemas.microsoft.com/office/drawing/2014/main" id="{683DCA0B-3B07-1030-487C-F48A569B3F3A}"/>
                  </a:ext>
                </a:extLst>
              </xdr:cNvPr>
              <xdr:cNvSpPr/>
            </xdr:nvSpPr>
            <xdr:spPr>
              <a:xfrm>
                <a:off x="330381" y="13846627"/>
                <a:ext cx="9237323" cy="4614114"/>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29" name="Rectangle: Rounded Corners 128">
                <a:extLst>
                  <a:ext uri="{FF2B5EF4-FFF2-40B4-BE49-F238E27FC236}">
                    <a16:creationId xmlns:a16="http://schemas.microsoft.com/office/drawing/2014/main" id="{E5BF9CD3-8465-2D3B-CB0B-8EED14869238}"/>
                  </a:ext>
                </a:extLst>
              </xdr:cNvPr>
              <xdr:cNvSpPr/>
            </xdr:nvSpPr>
            <xdr:spPr>
              <a:xfrm>
                <a:off x="2423344" y="14103383"/>
                <a:ext cx="5167990" cy="4062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HẠNG</a:t>
                </a:r>
                <a:r>
                  <a:rPr lang="en-US" sz="1600" b="1" kern="1200" baseline="0">
                    <a:solidFill>
                      <a:schemeClr val="lt1"/>
                    </a:solidFill>
                    <a:latin typeface="Times New Roman" panose="02020603050405020304" pitchFamily="18" charset="0"/>
                    <a:ea typeface="+mn-ea"/>
                    <a:cs typeface="Times New Roman" panose="02020603050405020304" pitchFamily="18" charset="0"/>
                  </a:rPr>
                  <a:t> MỤC PHÁT SINH ĐỘI TBHTĐK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38" name="Rectangle: Rounded Corners 137">
                <a:extLst>
                  <a:ext uri="{FF2B5EF4-FFF2-40B4-BE49-F238E27FC236}">
                    <a16:creationId xmlns:a16="http://schemas.microsoft.com/office/drawing/2014/main" id="{F3145D15-00E4-15F1-EE26-8E4730CE908B}"/>
                  </a:ext>
                </a:extLst>
              </xdr:cNvPr>
              <xdr:cNvSpPr/>
            </xdr:nvSpPr>
            <xdr:spPr>
              <a:xfrm>
                <a:off x="678132" y="14704459"/>
                <a:ext cx="8679930" cy="3596593"/>
              </a:xfrm>
              <a:prstGeom prst="roundRect">
                <a:avLst>
                  <a:gd name="adj" fmla="val 350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r>
                  <a:rPr lang="en-US" sz="1600">
                    <a:solidFill>
                      <a:schemeClr val="tx1"/>
                    </a:solidFill>
                    <a:effectLst/>
                    <a:latin typeface="Times New Roman" panose="02020603050405020304" pitchFamily="18" charset="0"/>
                    <a:ea typeface="+mn-ea"/>
                    <a:cs typeface="Times New Roman" panose="02020603050405020304" pitchFamily="18" charset="0"/>
                  </a:rPr>
                  <a:t>1. </a:t>
                </a:r>
                <a:r>
                  <a:rPr lang="vi-VN" sz="1600">
                    <a:solidFill>
                      <a:schemeClr val="tx1"/>
                    </a:solidFill>
                    <a:effectLst/>
                    <a:latin typeface="Times New Roman" panose="02020603050405020304" pitchFamily="18" charset="0"/>
                    <a:ea typeface="+mn-ea"/>
                    <a:cs typeface="Times New Roman" panose="02020603050405020304" pitchFamily="18" charset="0"/>
                  </a:rPr>
                  <a:t>Hoàn thành khai báo tín hiệu modbus và link lên gaphic dự án CO2 thực phẩm trên DCS</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2. </a:t>
                </a:r>
                <a:r>
                  <a:rPr lang="vi-VN" sz="1600">
                    <a:solidFill>
                      <a:schemeClr val="tx1"/>
                    </a:solidFill>
                    <a:effectLst/>
                    <a:latin typeface="Times New Roman" panose="02020603050405020304" pitchFamily="18" charset="0"/>
                    <a:ea typeface="+mn-ea"/>
                    <a:cs typeface="Times New Roman" panose="02020603050405020304" pitchFamily="18" charset="0"/>
                  </a:rPr>
                  <a:t>Cập nhật các tài liệu loop diagram, Interlock Logic diagram, Alarm trip setpoint</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3. </a:t>
                </a:r>
                <a:r>
                  <a:rPr lang="vi-VN" sz="1600">
                    <a:solidFill>
                      <a:schemeClr val="tx1"/>
                    </a:solidFill>
                    <a:effectLst/>
                    <a:latin typeface="Times New Roman" panose="02020603050405020304" pitchFamily="18" charset="0"/>
                    <a:ea typeface="+mn-ea"/>
                    <a:cs typeface="Times New Roman" panose="02020603050405020304" pitchFamily="18" charset="0"/>
                  </a:rPr>
                  <a:t>Cập nhật địa chỉ cách ly 366 tín hiệu van điều khiển phục vụ ĐGRR các hạng mục bảo dưỡng chức năng van điều khiển trong điều kiện vận hành online</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4. </a:t>
                </a:r>
                <a:r>
                  <a:rPr lang="vi-VN" sz="1600">
                    <a:solidFill>
                      <a:schemeClr val="tx1"/>
                    </a:solidFill>
                    <a:effectLst/>
                    <a:latin typeface="Times New Roman" panose="02020603050405020304" pitchFamily="18" charset="0"/>
                    <a:ea typeface="+mn-ea"/>
                    <a:cs typeface="Times New Roman" panose="02020603050405020304" pitchFamily="18" charset="0"/>
                  </a:rPr>
                  <a:t>Hỗ trợ ĐiệnDownload chương trình cho PLC và HMI cho AHU</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5. </a:t>
                </a:r>
                <a:r>
                  <a:rPr lang="vi-VN" sz="1600">
                    <a:solidFill>
                      <a:schemeClr val="tx1"/>
                    </a:solidFill>
                    <a:effectLst/>
                    <a:latin typeface="Times New Roman" panose="02020603050405020304" pitchFamily="18" charset="0"/>
                    <a:ea typeface="+mn-ea"/>
                    <a:cs typeface="Times New Roman" panose="02020603050405020304" pitchFamily="18" charset="0"/>
                  </a:rPr>
                  <a:t>Kiểm tra thông tin và mã hóa mã vật tư mới theo yêu cầu từ ĐMMS</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6. </a:t>
                </a:r>
                <a:r>
                  <a:rPr lang="vi-VN" sz="1600">
                    <a:solidFill>
                      <a:schemeClr val="tx1"/>
                    </a:solidFill>
                    <a:effectLst/>
                    <a:latin typeface="Times New Roman" panose="02020603050405020304" pitchFamily="18" charset="0"/>
                    <a:ea typeface="+mn-ea"/>
                    <a:cs typeface="Times New Roman" panose="02020603050405020304" pitchFamily="18" charset="0"/>
                  </a:rPr>
                  <a:t>N. H. Tiến tham gia BDTT nhà máy ĐPM từ 22/12-16/01/2026</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7. </a:t>
                </a:r>
                <a:r>
                  <a:rPr lang="vi-VN" sz="1600">
                    <a:solidFill>
                      <a:schemeClr val="tx1"/>
                    </a:solidFill>
                    <a:effectLst/>
                    <a:latin typeface="Times New Roman" panose="02020603050405020304" pitchFamily="18" charset="0"/>
                    <a:ea typeface="+mn-ea"/>
                    <a:cs typeface="Times New Roman" panose="02020603050405020304" pitchFamily="18" charset="0"/>
                  </a:rPr>
                  <a:t>Thực hiện cùng nhà thầu on nguồn cho các thiết bị đo lường và điều khiển, các thiêt bị phân tích của hệ thống F&amp;G của dự án khử lưu huỳnh</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8. </a:t>
                </a:r>
                <a:r>
                  <a:rPr lang="vi-VN" sz="1600">
                    <a:solidFill>
                      <a:schemeClr val="tx1"/>
                    </a:solidFill>
                    <a:effectLst/>
                    <a:latin typeface="Times New Roman" panose="02020603050405020304" pitchFamily="18" charset="0"/>
                    <a:ea typeface="+mn-ea"/>
                    <a:cs typeface="Times New Roman" panose="02020603050405020304" pitchFamily="18" charset="0"/>
                  </a:rPr>
                  <a:t>Thực hiện cùng nhà thầu on nguồn cho các thiết bị đo lường, các thiêt bị phân tích của hệ thống F&amp;G dự án Air chiller</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9. </a:t>
                </a:r>
                <a:r>
                  <a:rPr lang="vi-VN" sz="1600">
                    <a:solidFill>
                      <a:schemeClr val="tx1"/>
                    </a:solidFill>
                    <a:effectLst/>
                    <a:latin typeface="Times New Roman" panose="02020603050405020304" pitchFamily="18" charset="0"/>
                    <a:ea typeface="+mn-ea"/>
                    <a:cs typeface="Times New Roman" panose="02020603050405020304" pitchFamily="18" charset="0"/>
                  </a:rPr>
                  <a:t>Xử lý tình trạng Tripper Car hiển thị vị trí không đồng bộ giữa DCS và thiết bị hiện trường.</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10. </a:t>
                </a:r>
                <a:r>
                  <a:rPr lang="vi-VN" sz="1600">
                    <a:solidFill>
                      <a:schemeClr val="tx1"/>
                    </a:solidFill>
                    <a:effectLst/>
                    <a:latin typeface="Times New Roman" panose="02020603050405020304" pitchFamily="18" charset="0"/>
                    <a:ea typeface="+mn-ea"/>
                    <a:cs typeface="Times New Roman" panose="02020603050405020304" pitchFamily="18" charset="0"/>
                  </a:rPr>
                  <a:t>Họp thực hiện đánh giá giải pháp cách ly các tín hiệu đo lường điều khiển theo lịch của P. KTBD</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11. </a:t>
                </a:r>
                <a:r>
                  <a:rPr lang="vi-VN" sz="1600">
                    <a:solidFill>
                      <a:schemeClr val="tx1"/>
                    </a:solidFill>
                    <a:effectLst/>
                    <a:latin typeface="Times New Roman" panose="02020603050405020304" pitchFamily="18" charset="0"/>
                    <a:ea typeface="+mn-ea"/>
                    <a:cs typeface="Times New Roman" panose="02020603050405020304" pitchFamily="18" charset="0"/>
                  </a:rPr>
                  <a:t>Thực hiện hành động khắc phục phòng ngừa 2025-018 mất Alarm trên các HIS vận hành.</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12. </a:t>
                </a:r>
                <a:r>
                  <a:rPr lang="vi-VN" sz="1600">
                    <a:solidFill>
                      <a:schemeClr val="tx1"/>
                    </a:solidFill>
                    <a:effectLst/>
                    <a:latin typeface="Times New Roman" panose="02020603050405020304" pitchFamily="18" charset="0"/>
                    <a:ea typeface="+mn-ea"/>
                    <a:cs typeface="Times New Roman" panose="02020603050405020304" pitchFamily="18" charset="0"/>
                  </a:rPr>
                  <a:t>Xử lý lỗi hệ thống báo cháy NPK NSX và trạm điện NPK bị mất tín hiệu tại LOOP 1.</a:t>
                </a:r>
              </a:p>
            </xdr:txBody>
          </xdr:sp>
        </xdr:grpSp>
        <xdr:pic>
          <xdr:nvPicPr>
            <xdr:cNvPr id="150" name="Picture 149" descr="S7-400/S7-400H/S7-400F/FH - SiePortal - Siemens Poland">
              <a:extLst>
                <a:ext uri="{FF2B5EF4-FFF2-40B4-BE49-F238E27FC236}">
                  <a16:creationId xmlns:a16="http://schemas.microsoft.com/office/drawing/2014/main" id="{B441988E-CC6D-4747-A407-308F22B3343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87236" y="16306800"/>
              <a:ext cx="762000" cy="812122"/>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39" name="Group 38">
            <a:extLst>
              <a:ext uri="{FF2B5EF4-FFF2-40B4-BE49-F238E27FC236}">
                <a16:creationId xmlns:a16="http://schemas.microsoft.com/office/drawing/2014/main" id="{3448993E-C04B-C48C-ADC5-03E5A91929F2}"/>
              </a:ext>
            </a:extLst>
          </xdr:cNvPr>
          <xdr:cNvGrpSpPr/>
        </xdr:nvGrpSpPr>
        <xdr:grpSpPr>
          <a:xfrm>
            <a:off x="9698188" y="18091071"/>
            <a:ext cx="8965870" cy="4676007"/>
            <a:chOff x="9698188" y="16192993"/>
            <a:chExt cx="8965870" cy="4676007"/>
          </a:xfrm>
        </xdr:grpSpPr>
        <xdr:grpSp>
          <xdr:nvGrpSpPr>
            <xdr:cNvPr id="142" name="Group 141">
              <a:extLst>
                <a:ext uri="{FF2B5EF4-FFF2-40B4-BE49-F238E27FC236}">
                  <a16:creationId xmlns:a16="http://schemas.microsoft.com/office/drawing/2014/main" id="{5EC566DF-EDE6-0327-AE85-493BFA6A7FD6}"/>
                </a:ext>
              </a:extLst>
            </xdr:cNvPr>
            <xdr:cNvGrpSpPr/>
          </xdr:nvGrpSpPr>
          <xdr:grpSpPr>
            <a:xfrm>
              <a:off x="9698188" y="16192993"/>
              <a:ext cx="8965870" cy="4676007"/>
              <a:chOff x="12892624" y="13824855"/>
              <a:chExt cx="8922348" cy="4566486"/>
            </a:xfrm>
          </xdr:grpSpPr>
          <xdr:sp macro="" textlink="">
            <xdr:nvSpPr>
              <xdr:cNvPr id="139" name="Rectangle: Rounded Corners 138">
                <a:extLst>
                  <a:ext uri="{FF2B5EF4-FFF2-40B4-BE49-F238E27FC236}">
                    <a16:creationId xmlns:a16="http://schemas.microsoft.com/office/drawing/2014/main" id="{5352B824-C941-FF5F-6A14-4424BE7BD382}"/>
                  </a:ext>
                </a:extLst>
              </xdr:cNvPr>
              <xdr:cNvSpPr/>
            </xdr:nvSpPr>
            <xdr:spPr>
              <a:xfrm>
                <a:off x="12892624" y="13824855"/>
                <a:ext cx="8922348" cy="4566486"/>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40" name="Rectangle: Rounded Corners 139">
                <a:extLst>
                  <a:ext uri="{FF2B5EF4-FFF2-40B4-BE49-F238E27FC236}">
                    <a16:creationId xmlns:a16="http://schemas.microsoft.com/office/drawing/2014/main" id="{7E2FC8EB-3C23-C8EA-8B84-EC98A315FC8E}"/>
                  </a:ext>
                </a:extLst>
              </xdr:cNvPr>
              <xdr:cNvSpPr/>
            </xdr:nvSpPr>
            <xdr:spPr>
              <a:xfrm>
                <a:off x="14956410" y="14092497"/>
                <a:ext cx="5167990" cy="4062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HẠNG</a:t>
                </a:r>
                <a:r>
                  <a:rPr lang="en-US" sz="1600" b="1" kern="1200" baseline="0">
                    <a:solidFill>
                      <a:schemeClr val="lt1"/>
                    </a:solidFill>
                    <a:latin typeface="Times New Roman" panose="02020603050405020304" pitchFamily="18" charset="0"/>
                    <a:ea typeface="+mn-ea"/>
                    <a:cs typeface="Times New Roman" panose="02020603050405020304" pitchFamily="18" charset="0"/>
                  </a:rPr>
                  <a:t> MỤC PHÁT SINH ĐỘI TBĐL</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41" name="Rectangle: Rounded Corners 140">
                <a:extLst>
                  <a:ext uri="{FF2B5EF4-FFF2-40B4-BE49-F238E27FC236}">
                    <a16:creationId xmlns:a16="http://schemas.microsoft.com/office/drawing/2014/main" id="{44EB3706-65B2-E6B2-5F4F-F1E06CE91732}"/>
                  </a:ext>
                </a:extLst>
              </xdr:cNvPr>
              <xdr:cNvSpPr/>
            </xdr:nvSpPr>
            <xdr:spPr>
              <a:xfrm>
                <a:off x="13028636" y="14607929"/>
                <a:ext cx="8633879" cy="3634691"/>
              </a:xfrm>
              <a:prstGeom prst="roundRect">
                <a:avLst>
                  <a:gd name="adj" fmla="val 350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600">
                    <a:solidFill>
                      <a:schemeClr val="tx1"/>
                    </a:solidFill>
                    <a:effectLst/>
                    <a:latin typeface="Times New Roman" panose="02020603050405020304" pitchFamily="18" charset="0"/>
                    <a:ea typeface="+mn-ea"/>
                    <a:cs typeface="Times New Roman" panose="02020603050405020304" pitchFamily="18" charset="0"/>
                  </a:rPr>
                  <a:t>1.</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tháo/ lắp lại đầu dò PT29201A/P29201A;</a:t>
                </a:r>
              </a:p>
              <a:p>
                <a:r>
                  <a:rPr lang="en-US" sz="1600">
                    <a:solidFill>
                      <a:schemeClr val="tx1"/>
                    </a:solidFill>
                    <a:effectLst/>
                    <a:latin typeface="Times New Roman" panose="02020603050405020304" pitchFamily="18" charset="0"/>
                    <a:ea typeface="+mn-ea"/>
                    <a:cs typeface="Times New Roman" panose="02020603050405020304" pitchFamily="18" charset="0"/>
                  </a:rPr>
                  <a:t>2.</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tháo/ lắp lại đầu dò K04301:</a:t>
                </a:r>
              </a:p>
              <a:p>
                <a:r>
                  <a:rPr lang="en-US" sz="1600">
                    <a:solidFill>
                      <a:schemeClr val="tx1"/>
                    </a:solidFill>
                    <a:effectLst/>
                    <a:latin typeface="Times New Roman" panose="02020603050405020304" pitchFamily="18" charset="0"/>
                    <a:ea typeface="+mn-ea"/>
                    <a:cs typeface="Times New Roman" panose="02020603050405020304" pitchFamily="18" charset="0"/>
                  </a:rPr>
                  <a:t>3.</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tháo/ lắp lại đầu dò P04301A;</a:t>
                </a:r>
              </a:p>
              <a:p>
                <a:r>
                  <a:rPr lang="en-US" sz="1600">
                    <a:solidFill>
                      <a:schemeClr val="tx1"/>
                    </a:solidFill>
                    <a:effectLst/>
                    <a:latin typeface="Times New Roman" panose="02020603050405020304" pitchFamily="18" charset="0"/>
                    <a:ea typeface="+mn-ea"/>
                    <a:cs typeface="Times New Roman" panose="02020603050405020304" pitchFamily="18" charset="0"/>
                  </a:rPr>
                  <a:t>4.</a:t>
                </a:r>
                <a:r>
                  <a:rPr lang="vi-VN" sz="1600">
                    <a:solidFill>
                      <a:schemeClr val="tx1"/>
                    </a:solidFill>
                    <a:effectLst/>
                    <a:latin typeface="Times New Roman" panose="02020603050405020304" pitchFamily="18" charset="0"/>
                    <a:ea typeface="+mn-ea"/>
                    <a:cs typeface="Times New Roman" panose="02020603050405020304" pitchFamily="18" charset="0"/>
                  </a:rPr>
                  <a:t> Hoàn thành kiểm tra các PI/TI từ tổ TCĐK, sửa chữa các thiết bị từ các đơn vị trong nhà máy;</a:t>
                </a:r>
              </a:p>
              <a:p>
                <a:r>
                  <a:rPr lang="en-US" sz="1600">
                    <a:solidFill>
                      <a:schemeClr val="tx1"/>
                    </a:solidFill>
                    <a:effectLst/>
                    <a:latin typeface="Times New Roman" panose="02020603050405020304" pitchFamily="18" charset="0"/>
                    <a:ea typeface="+mn-ea"/>
                    <a:cs typeface="Times New Roman" panose="02020603050405020304" pitchFamily="18" charset="0"/>
                  </a:rPr>
                  <a:t>5.</a:t>
                </a:r>
                <a:r>
                  <a:rPr lang="vi-VN" sz="1600">
                    <a:solidFill>
                      <a:schemeClr val="tx1"/>
                    </a:solidFill>
                    <a:effectLst/>
                    <a:latin typeface="Times New Roman" panose="02020603050405020304" pitchFamily="18" charset="0"/>
                    <a:ea typeface="+mn-ea"/>
                    <a:cs typeface="Times New Roman" panose="02020603050405020304" pitchFamily="18" charset="0"/>
                  </a:rPr>
                  <a:t> Hoàn thành lắp đặt camera P.Giao nhận (Cải tạo lại hệ thống các camera cũ và lắp thêm camera mới theo yêu cầu của P.GN);</a:t>
                </a:r>
              </a:p>
              <a:p>
                <a:r>
                  <a:rPr lang="en-US" sz="1600">
                    <a:solidFill>
                      <a:schemeClr val="tx1"/>
                    </a:solidFill>
                    <a:effectLst/>
                    <a:latin typeface="Times New Roman" panose="02020603050405020304" pitchFamily="18" charset="0"/>
                    <a:ea typeface="+mn-ea"/>
                    <a:cs typeface="Times New Roman" panose="02020603050405020304" pitchFamily="18" charset="0"/>
                  </a:rPr>
                  <a:t>6.</a:t>
                </a:r>
                <a:r>
                  <a:rPr lang="vi-VN" sz="1600">
                    <a:solidFill>
                      <a:schemeClr val="tx1"/>
                    </a:solidFill>
                    <a:effectLst/>
                    <a:latin typeface="Times New Roman" panose="02020603050405020304" pitchFamily="18" charset="0"/>
                    <a:ea typeface="+mn-ea"/>
                    <a:cs typeface="Times New Roman" panose="02020603050405020304" pitchFamily="18" charset="0"/>
                  </a:rPr>
                  <a:t> Hoàn thành lắp 4 CAM quan sát xuất hàng xá theo yêu cầu của TCNM;</a:t>
                </a:r>
              </a:p>
              <a:p>
                <a:r>
                  <a:rPr lang="en-US" sz="1600">
                    <a:solidFill>
                      <a:schemeClr val="tx1"/>
                    </a:solidFill>
                    <a:effectLst/>
                    <a:latin typeface="Times New Roman" panose="02020603050405020304" pitchFamily="18" charset="0"/>
                    <a:ea typeface="+mn-ea"/>
                    <a:cs typeface="Times New Roman" panose="02020603050405020304" pitchFamily="18" charset="0"/>
                  </a:rPr>
                  <a:t>7.</a:t>
                </a:r>
                <a:r>
                  <a:rPr lang="vi-VN" sz="1600">
                    <a:solidFill>
                      <a:schemeClr val="tx1"/>
                    </a:solidFill>
                    <a:effectLst/>
                    <a:latin typeface="Times New Roman" panose="02020603050405020304" pitchFamily="18" charset="0"/>
                    <a:ea typeface="+mn-ea"/>
                    <a:cs typeface="Times New Roman" panose="02020603050405020304" pitchFamily="18" charset="0"/>
                  </a:rPr>
                  <a:t> Hoàn thành di dời 10 camera hàng rào quan sát kho 10.000 tấn theo yêu cầu của P.ATMT;</a:t>
                </a:r>
              </a:p>
              <a:p>
                <a:r>
                  <a:rPr lang="en-US" sz="1600">
                    <a:solidFill>
                      <a:schemeClr val="tx1"/>
                    </a:solidFill>
                    <a:effectLst/>
                    <a:latin typeface="Times New Roman" panose="02020603050405020304" pitchFamily="18" charset="0"/>
                    <a:ea typeface="+mn-ea"/>
                    <a:cs typeface="Times New Roman" panose="02020603050405020304" pitchFamily="18" charset="0"/>
                  </a:rPr>
                  <a:t>8.</a:t>
                </a:r>
                <a:r>
                  <a:rPr lang="vi-VN" sz="1600">
                    <a:solidFill>
                      <a:schemeClr val="tx1"/>
                    </a:solidFill>
                    <a:effectLst/>
                    <a:latin typeface="Times New Roman" panose="02020603050405020304" pitchFamily="18" charset="0"/>
                    <a:ea typeface="+mn-ea"/>
                    <a:cs typeface="Times New Roman" panose="02020603050405020304" pitchFamily="18" charset="0"/>
                  </a:rPr>
                  <a:t> Hoàn thành di dời camera để ép cột chỗ trạm cân theo yêu cầu X.SP;</a:t>
                </a:r>
              </a:p>
              <a:p>
                <a:r>
                  <a:rPr lang="en-US" sz="1600">
                    <a:solidFill>
                      <a:schemeClr val="tx1"/>
                    </a:solidFill>
                    <a:effectLst/>
                    <a:latin typeface="Times New Roman" panose="02020603050405020304" pitchFamily="18" charset="0"/>
                    <a:ea typeface="+mn-ea"/>
                    <a:cs typeface="Times New Roman" panose="02020603050405020304" pitchFamily="18" charset="0"/>
                  </a:rPr>
                  <a:t>9.</a:t>
                </a:r>
                <a:r>
                  <a:rPr lang="vi-VN" sz="1600">
                    <a:solidFill>
                      <a:schemeClr val="tx1"/>
                    </a:solidFill>
                    <a:effectLst/>
                    <a:latin typeface="Times New Roman" panose="02020603050405020304" pitchFamily="18" charset="0"/>
                    <a:ea typeface="+mn-ea"/>
                    <a:cs typeface="Times New Roman" panose="02020603050405020304" pitchFamily="18" charset="0"/>
                  </a:rPr>
                  <a:t> Hoàn thành phối hợp Cơ khí thay thế nozzle thiết bị 40PT-1031A/B bị ăn mòn, đi lại ống mới cho thiết bị;</a:t>
                </a:r>
              </a:p>
              <a:p>
                <a:r>
                  <a:rPr lang="en-US" sz="1600">
                    <a:solidFill>
                      <a:schemeClr val="tx1"/>
                    </a:solidFill>
                    <a:effectLst/>
                    <a:latin typeface="Times New Roman" panose="02020603050405020304" pitchFamily="18" charset="0"/>
                    <a:ea typeface="+mn-ea"/>
                    <a:cs typeface="Times New Roman" panose="02020603050405020304" pitchFamily="18" charset="0"/>
                  </a:rPr>
                  <a:t>10.</a:t>
                </a:r>
                <a:r>
                  <a:rPr lang="vi-VN" sz="1600">
                    <a:solidFill>
                      <a:schemeClr val="tx1"/>
                    </a:solidFill>
                    <a:effectLst/>
                    <a:latin typeface="Times New Roman" panose="02020603050405020304" pitchFamily="18" charset="0"/>
                    <a:ea typeface="+mn-ea"/>
                    <a:cs typeface="Times New Roman" panose="02020603050405020304" pitchFamily="18" charset="0"/>
                  </a:rPr>
                  <a:t> Hoàn thành đi lại đường ống impluse line thiết bị 04FT-2035, 04FT-3031 theo kết luận cuộc họp;</a:t>
                </a:r>
              </a:p>
              <a:p>
                <a:r>
                  <a:rPr lang="en-US" sz="1600">
                    <a:solidFill>
                      <a:schemeClr val="tx1"/>
                    </a:solidFill>
                    <a:effectLst/>
                    <a:latin typeface="Times New Roman" panose="02020603050405020304" pitchFamily="18" charset="0"/>
                    <a:ea typeface="+mn-ea"/>
                    <a:cs typeface="Times New Roman" panose="02020603050405020304" pitchFamily="18" charset="0"/>
                  </a:rPr>
                  <a:t>11.</a:t>
                </a:r>
                <a:r>
                  <a:rPr lang="vi-VN" sz="1600">
                    <a:solidFill>
                      <a:schemeClr val="tx1"/>
                    </a:solidFill>
                    <a:effectLst/>
                    <a:latin typeface="Times New Roman" panose="02020603050405020304" pitchFamily="18" charset="0"/>
                    <a:ea typeface="+mn-ea"/>
                    <a:cs typeface="Times New Roman" panose="02020603050405020304" pitchFamily="18" charset="0"/>
                  </a:rPr>
                  <a:t> Hoàn thành cùng IT khảo sát tuyến cáp quang dự định đi mới trong nhà máy;</a:t>
                </a:r>
              </a:p>
              <a:p>
                <a:r>
                  <a:rPr lang="en-US" sz="1600">
                    <a:solidFill>
                      <a:schemeClr val="tx1"/>
                    </a:solidFill>
                    <a:effectLst/>
                    <a:latin typeface="Times New Roman" panose="02020603050405020304" pitchFamily="18" charset="0"/>
                    <a:ea typeface="+mn-ea"/>
                    <a:cs typeface="Times New Roman" panose="02020603050405020304" pitchFamily="18" charset="0"/>
                  </a:rPr>
                  <a:t>12.</a:t>
                </a:r>
                <a:r>
                  <a:rPr lang="vi-VN" sz="1600">
                    <a:solidFill>
                      <a:schemeClr val="tx1"/>
                    </a:solidFill>
                    <a:effectLst/>
                    <a:latin typeface="Times New Roman" panose="02020603050405020304" pitchFamily="18" charset="0"/>
                    <a:ea typeface="+mn-ea"/>
                    <a:cs typeface="Times New Roman" panose="02020603050405020304" pitchFamily="18" charset="0"/>
                  </a:rPr>
                  <a:t> Thực hiện đặt các pát sắt 304 cải tạo tuyến cáp dưới mương cùng nhà thầu các tuyến đường có cáp trong nhà máy;</a:t>
                </a:r>
              </a:p>
            </xdr:txBody>
          </xdr:sp>
        </xdr:grpSp>
        <xdr:pic>
          <xdr:nvPicPr>
            <xdr:cNvPr id="151" name="Picture 150" descr="3051TG4A2B21BK8M5 | Rosemount 3051 Series Pressure Sensor, -1bar Min,  276bar Max, 4 → 20 mA, Hart Output, Absolute, Differential, | RS">
              <a:extLst>
                <a:ext uri="{FF2B5EF4-FFF2-40B4-BE49-F238E27FC236}">
                  <a16:creationId xmlns:a16="http://schemas.microsoft.com/office/drawing/2014/main" id="{6E0F5897-BB12-4728-B77A-158CA2A8769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986658" y="16334509"/>
              <a:ext cx="842522" cy="678873"/>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40" name="Group 39">
            <a:extLst>
              <a:ext uri="{FF2B5EF4-FFF2-40B4-BE49-F238E27FC236}">
                <a16:creationId xmlns:a16="http://schemas.microsoft.com/office/drawing/2014/main" id="{9C1D0C02-D52C-7F26-03A5-B8A26E2C11D4}"/>
              </a:ext>
            </a:extLst>
          </xdr:cNvPr>
          <xdr:cNvGrpSpPr/>
        </xdr:nvGrpSpPr>
        <xdr:grpSpPr>
          <a:xfrm>
            <a:off x="18856044" y="18116786"/>
            <a:ext cx="9545782" cy="4645600"/>
            <a:chOff x="18856044" y="16218708"/>
            <a:chExt cx="9545782" cy="4645600"/>
          </a:xfrm>
        </xdr:grpSpPr>
        <xdr:grpSp>
          <xdr:nvGrpSpPr>
            <xdr:cNvPr id="146" name="Group 145">
              <a:extLst>
                <a:ext uri="{FF2B5EF4-FFF2-40B4-BE49-F238E27FC236}">
                  <a16:creationId xmlns:a16="http://schemas.microsoft.com/office/drawing/2014/main" id="{21F8DF19-1BCA-9977-4497-7028A56ED7E3}"/>
                </a:ext>
              </a:extLst>
            </xdr:cNvPr>
            <xdr:cNvGrpSpPr/>
          </xdr:nvGrpSpPr>
          <xdr:grpSpPr>
            <a:xfrm>
              <a:off x="18856044" y="16218708"/>
              <a:ext cx="9545782" cy="4645600"/>
              <a:chOff x="13027142" y="13764443"/>
              <a:chExt cx="11453175" cy="4725639"/>
            </a:xfrm>
          </xdr:grpSpPr>
          <xdr:sp macro="" textlink="">
            <xdr:nvSpPr>
              <xdr:cNvPr id="147" name="Rectangle: Rounded Corners 146">
                <a:extLst>
                  <a:ext uri="{FF2B5EF4-FFF2-40B4-BE49-F238E27FC236}">
                    <a16:creationId xmlns:a16="http://schemas.microsoft.com/office/drawing/2014/main" id="{E9AAD015-1202-2410-0861-9C23122E0245}"/>
                  </a:ext>
                </a:extLst>
              </xdr:cNvPr>
              <xdr:cNvSpPr/>
            </xdr:nvSpPr>
            <xdr:spPr>
              <a:xfrm>
                <a:off x="13027142" y="13764443"/>
                <a:ext cx="11453175" cy="4725639"/>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48" name="Rectangle: Rounded Corners 147">
                <a:extLst>
                  <a:ext uri="{FF2B5EF4-FFF2-40B4-BE49-F238E27FC236}">
                    <a16:creationId xmlns:a16="http://schemas.microsoft.com/office/drawing/2014/main" id="{B14EA20C-10C2-5A3A-4ED3-F9AAA6263165}"/>
                  </a:ext>
                </a:extLst>
              </xdr:cNvPr>
              <xdr:cNvSpPr/>
            </xdr:nvSpPr>
            <xdr:spPr>
              <a:xfrm>
                <a:off x="16417099" y="14120683"/>
                <a:ext cx="5167990" cy="4062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HẠNG</a:t>
                </a:r>
                <a:r>
                  <a:rPr lang="en-US" sz="1600" b="1" kern="1200" baseline="0">
                    <a:solidFill>
                      <a:schemeClr val="lt1"/>
                    </a:solidFill>
                    <a:latin typeface="Times New Roman" panose="02020603050405020304" pitchFamily="18" charset="0"/>
                    <a:ea typeface="+mn-ea"/>
                    <a:cs typeface="Times New Roman" panose="02020603050405020304" pitchFamily="18" charset="0"/>
                  </a:rPr>
                  <a:t> MỤC PHÁT SINH ĐỘI TBCH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49" name="Rectangle: Rounded Corners 148">
                <a:extLst>
                  <a:ext uri="{FF2B5EF4-FFF2-40B4-BE49-F238E27FC236}">
                    <a16:creationId xmlns:a16="http://schemas.microsoft.com/office/drawing/2014/main" id="{46A352AF-643E-F9DD-D38E-2A9B80E8D752}"/>
                  </a:ext>
                </a:extLst>
              </xdr:cNvPr>
              <xdr:cNvSpPr/>
            </xdr:nvSpPr>
            <xdr:spPr>
              <a:xfrm>
                <a:off x="13295524" y="14643927"/>
                <a:ext cx="10878114" cy="3058501"/>
              </a:xfrm>
              <a:prstGeom prst="roundRect">
                <a:avLst>
                  <a:gd name="adj" fmla="val 350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600">
                    <a:solidFill>
                      <a:schemeClr val="tx1"/>
                    </a:solidFill>
                    <a:effectLst/>
                    <a:latin typeface="Times New Roman" panose="02020603050405020304" pitchFamily="18" charset="0"/>
                    <a:ea typeface="+mn-ea"/>
                    <a:cs typeface="Times New Roman" panose="02020603050405020304" pitchFamily="18" charset="0"/>
                  </a:rPr>
                  <a:t>1.</a:t>
                </a:r>
                <a:r>
                  <a:rPr lang="vi-VN" sz="1600">
                    <a:solidFill>
                      <a:schemeClr val="tx1"/>
                    </a:solidFill>
                    <a:effectLst/>
                    <a:latin typeface="Times New Roman" panose="02020603050405020304" pitchFamily="18" charset="0"/>
                    <a:ea typeface="+mn-ea"/>
                    <a:cs typeface="Times New Roman" panose="02020603050405020304" pitchFamily="18" charset="0"/>
                  </a:rPr>
                  <a:t> Hoàn thành nhận vật tư thay thế và khắc phục tồn đồng 25 đầu dò khí NH3 sau khi vật tư về kho.</a:t>
                </a:r>
              </a:p>
              <a:p>
                <a:r>
                  <a:rPr lang="en-US" sz="1600">
                    <a:solidFill>
                      <a:schemeClr val="tx1"/>
                    </a:solidFill>
                    <a:effectLst/>
                    <a:latin typeface="Times New Roman" panose="02020603050405020304" pitchFamily="18" charset="0"/>
                    <a:ea typeface="+mn-ea"/>
                    <a:cs typeface="Times New Roman" panose="02020603050405020304" pitchFamily="18" charset="0"/>
                  </a:rPr>
                  <a:t>2.</a:t>
                </a:r>
                <a:r>
                  <a:rPr lang="vi-VN" sz="1600">
                    <a:solidFill>
                      <a:schemeClr val="tx1"/>
                    </a:solidFill>
                    <a:effectLst/>
                    <a:latin typeface="Times New Roman" panose="02020603050405020304" pitchFamily="18" charset="0"/>
                    <a:ea typeface="+mn-ea"/>
                    <a:cs typeface="Times New Roman" panose="02020603050405020304" pitchFamily="18" charset="0"/>
                  </a:rPr>
                  <a:t> Hoàn thành phối hợp với P. KTTB và NCC thực hiện kiểm định 79 đầu dò khí NH3 đợt 2.</a:t>
                </a:r>
              </a:p>
              <a:p>
                <a:r>
                  <a:rPr lang="en-US" sz="1600">
                    <a:solidFill>
                      <a:schemeClr val="tx1"/>
                    </a:solidFill>
                    <a:effectLst/>
                    <a:latin typeface="Times New Roman" panose="02020603050405020304" pitchFamily="18" charset="0"/>
                    <a:ea typeface="+mn-ea"/>
                    <a:cs typeface="Times New Roman" panose="02020603050405020304" pitchFamily="18" charset="0"/>
                  </a:rPr>
                  <a:t>3.</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thực hiện gia công lắp các mái che và gắng bố sung tagname các swich tín hiệu Alarm H &amp; HH cho các gàu nâng V07611 A/B cụm tạo hạt.</a:t>
                </a:r>
              </a:p>
              <a:p>
                <a:r>
                  <a:rPr lang="en-US" sz="1600">
                    <a:solidFill>
                      <a:schemeClr val="tx1"/>
                    </a:solidFill>
                    <a:effectLst/>
                    <a:latin typeface="Times New Roman" panose="02020603050405020304" pitchFamily="18" charset="0"/>
                    <a:ea typeface="+mn-ea"/>
                    <a:cs typeface="Times New Roman" panose="02020603050405020304" pitchFamily="18" charset="0"/>
                  </a:rPr>
                  <a:t>4.</a:t>
                </a:r>
                <a:r>
                  <a:rPr lang="vi-VN" sz="1600">
                    <a:solidFill>
                      <a:schemeClr val="tx1"/>
                    </a:solidFill>
                    <a:effectLst/>
                    <a:latin typeface="Times New Roman" panose="02020603050405020304" pitchFamily="18" charset="0"/>
                    <a:ea typeface="+mn-ea"/>
                    <a:cs typeface="Times New Roman" panose="02020603050405020304" pitchFamily="18" charset="0"/>
                  </a:rPr>
                  <a:t> Hoàn thành phối hợp VH khắc phục xử lý lỗi Alarm trên mành hình của van motor 29HV-2003</a:t>
                </a:r>
              </a:p>
              <a:p>
                <a:r>
                  <a:rPr lang="en-US" sz="1600">
                    <a:solidFill>
                      <a:schemeClr val="tx1"/>
                    </a:solidFill>
                    <a:effectLst/>
                    <a:latin typeface="Times New Roman" panose="02020603050405020304" pitchFamily="18" charset="0"/>
                    <a:ea typeface="+mn-ea"/>
                    <a:cs typeface="Times New Roman" panose="02020603050405020304" pitchFamily="18" charset="0"/>
                  </a:rPr>
                  <a:t>5.</a:t>
                </a:r>
                <a:r>
                  <a:rPr lang="vi-VN" sz="1600">
                    <a:solidFill>
                      <a:schemeClr val="tx1"/>
                    </a:solidFill>
                    <a:effectLst/>
                    <a:latin typeface="Times New Roman" panose="02020603050405020304" pitchFamily="18" charset="0"/>
                    <a:ea typeface="+mn-ea"/>
                    <a:cs typeface="Times New Roman" panose="02020603050405020304" pitchFamily="18" charset="0"/>
                  </a:rPr>
                  <a:t> Hoàn thành Xử lý lỗi máy in Linx8830 không in được do báo lỗi module chính.</a:t>
                </a:r>
              </a:p>
              <a:p>
                <a:r>
                  <a:rPr lang="en-US" sz="1600">
                    <a:solidFill>
                      <a:schemeClr val="tx1"/>
                    </a:solidFill>
                    <a:effectLst/>
                    <a:latin typeface="Times New Roman" panose="02020603050405020304" pitchFamily="18" charset="0"/>
                    <a:ea typeface="+mn-ea"/>
                    <a:cs typeface="Times New Roman" panose="02020603050405020304" pitchFamily="18" charset="0"/>
                  </a:rPr>
                  <a:t>6.</a:t>
                </a:r>
                <a:r>
                  <a:rPr lang="vi-VN" sz="1600">
                    <a:solidFill>
                      <a:schemeClr val="tx1"/>
                    </a:solidFill>
                    <a:effectLst/>
                    <a:latin typeface="Times New Roman" panose="02020603050405020304" pitchFamily="18" charset="0"/>
                    <a:ea typeface="+mn-ea"/>
                    <a:cs typeface="Times New Roman" panose="02020603050405020304" pitchFamily="18" charset="0"/>
                  </a:rPr>
                  <a:t> Hoàn thành cử 5 nhân sự hỗ trợ BDTT tại ĐPM.</a:t>
                </a:r>
              </a:p>
              <a:p>
                <a:r>
                  <a:rPr lang="en-US" sz="1600">
                    <a:solidFill>
                      <a:schemeClr val="tx1"/>
                    </a:solidFill>
                    <a:effectLst/>
                    <a:latin typeface="Times New Roman" panose="02020603050405020304" pitchFamily="18" charset="0"/>
                    <a:ea typeface="+mn-ea"/>
                    <a:cs typeface="Times New Roman" panose="02020603050405020304" pitchFamily="18" charset="0"/>
                  </a:rPr>
                  <a:t>7.</a:t>
                </a:r>
                <a:r>
                  <a:rPr lang="vi-VN" sz="1600">
                    <a:solidFill>
                      <a:schemeClr val="tx1"/>
                    </a:solidFill>
                    <a:effectLst/>
                    <a:latin typeface="Times New Roman" panose="02020603050405020304" pitchFamily="18" charset="0"/>
                    <a:ea typeface="+mn-ea"/>
                    <a:cs typeface="Times New Roman" panose="02020603050405020304" pitchFamily="18" charset="0"/>
                  </a:rPr>
                  <a:t> Đang triển khai thực hiện các hạng mục BDCH xưởng NPK. </a:t>
                </a:r>
              </a:p>
            </xdr:txBody>
          </xdr:sp>
        </xdr:grpSp>
        <xdr:pic>
          <xdr:nvPicPr>
            <xdr:cNvPr id="152" name="Picture 151" descr="Fisher Easy-E ES Control Valve at best price in Pune by Emerson | ID:  15901586355">
              <a:extLst>
                <a:ext uri="{FF2B5EF4-FFF2-40B4-BE49-F238E27FC236}">
                  <a16:creationId xmlns:a16="http://schemas.microsoft.com/office/drawing/2014/main" id="{78FE315D-8A4A-4653-805D-506D1A760C3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0852277" y="16376073"/>
              <a:ext cx="873962" cy="742853"/>
            </a:xfrm>
            <a:prstGeom prst="rect">
              <a:avLst/>
            </a:prstGeom>
            <a:noFill/>
            <a:extLst>
              <a:ext uri="{909E8E84-426E-40DD-AFC4-6F175D3DCCD1}">
                <a14:hiddenFill xmlns:a14="http://schemas.microsoft.com/office/drawing/2010/main">
                  <a:solidFill>
                    <a:srgbClr val="FFFFFF"/>
                  </a:solidFill>
                </a14:hiddenFill>
              </a:ext>
            </a:extLst>
          </xdr:spPr>
        </xdr:pic>
      </xdr:grpSp>
    </xdr:grpSp>
    <xdr:clientData/>
  </xdr:twoCellAnchor>
  <xdr:twoCellAnchor>
    <xdr:from>
      <xdr:col>16</xdr:col>
      <xdr:colOff>92703</xdr:colOff>
      <xdr:row>16</xdr:row>
      <xdr:rowOff>138545</xdr:rowOff>
    </xdr:from>
    <xdr:to>
      <xdr:col>18</xdr:col>
      <xdr:colOff>519546</xdr:colOff>
      <xdr:row>19</xdr:row>
      <xdr:rowOff>144658</xdr:rowOff>
    </xdr:to>
    <xdr:grpSp>
      <xdr:nvGrpSpPr>
        <xdr:cNvPr id="72" name="Group 71">
          <a:extLst>
            <a:ext uri="{FF2B5EF4-FFF2-40B4-BE49-F238E27FC236}">
              <a16:creationId xmlns:a16="http://schemas.microsoft.com/office/drawing/2014/main" id="{3CDEF981-236C-39C3-0E77-8877EB55C88F}"/>
            </a:ext>
          </a:extLst>
        </xdr:cNvPr>
        <xdr:cNvGrpSpPr/>
      </xdr:nvGrpSpPr>
      <xdr:grpSpPr>
        <a:xfrm>
          <a:off x="10171885" y="5507181"/>
          <a:ext cx="1639116" cy="941295"/>
          <a:chOff x="10016007" y="3429000"/>
          <a:chExt cx="1639130" cy="941420"/>
        </a:xfrm>
      </xdr:grpSpPr>
      <xdr:cxnSp macro="">
        <xdr:nvCxnSpPr>
          <xdr:cNvPr id="37" name="Straight Connector 36">
            <a:extLst>
              <a:ext uri="{FF2B5EF4-FFF2-40B4-BE49-F238E27FC236}">
                <a16:creationId xmlns:a16="http://schemas.microsoft.com/office/drawing/2014/main" id="{4D07A34C-B730-EDEF-7570-AC997EFB35DB}"/>
              </a:ext>
            </a:extLst>
          </xdr:cNvPr>
          <xdr:cNvCxnSpPr/>
        </xdr:nvCxnSpPr>
        <xdr:spPr>
          <a:xfrm>
            <a:off x="10027227" y="342900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D5508204-4B19-AE0E-7760-BC4995964B22}"/>
              </a:ext>
            </a:extLst>
          </xdr:cNvPr>
          <xdr:cNvCxnSpPr/>
        </xdr:nvCxnSpPr>
        <xdr:spPr>
          <a:xfrm>
            <a:off x="10027227" y="375804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925806A2-EF94-88FE-7081-911666D51EDD}"/>
              </a:ext>
            </a:extLst>
          </xdr:cNvPr>
          <xdr:cNvCxnSpPr/>
        </xdr:nvCxnSpPr>
        <xdr:spPr>
          <a:xfrm>
            <a:off x="10027227" y="4069773"/>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A500FB92-B6CE-99C8-2C72-F691DD95F486}"/>
              </a:ext>
            </a:extLst>
          </xdr:cNvPr>
          <xdr:cNvCxnSpPr/>
        </xdr:nvCxnSpPr>
        <xdr:spPr>
          <a:xfrm>
            <a:off x="11152909" y="3913938"/>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BF0FA1B3-20D0-1CE2-588D-7606D0974651}"/>
              </a:ext>
            </a:extLst>
          </xdr:cNvPr>
          <xdr:cNvCxnSpPr/>
        </xdr:nvCxnSpPr>
        <xdr:spPr>
          <a:xfrm>
            <a:off x="10016007" y="437042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86590</xdr:colOff>
      <xdr:row>17</xdr:row>
      <xdr:rowOff>164522</xdr:rowOff>
    </xdr:from>
    <xdr:to>
      <xdr:col>26</xdr:col>
      <xdr:colOff>588818</xdr:colOff>
      <xdr:row>17</xdr:row>
      <xdr:rowOff>164522</xdr:rowOff>
    </xdr:to>
    <xdr:cxnSp macro="">
      <xdr:nvCxnSpPr>
        <xdr:cNvPr id="105" name="Straight Connector 104">
          <a:extLst>
            <a:ext uri="{FF2B5EF4-FFF2-40B4-BE49-F238E27FC236}">
              <a16:creationId xmlns:a16="http://schemas.microsoft.com/office/drawing/2014/main" id="{46EE6D4E-F178-09FD-BF17-53650B1A38C1}"/>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86590</xdr:colOff>
      <xdr:row>16</xdr:row>
      <xdr:rowOff>181840</xdr:rowOff>
    </xdr:from>
    <xdr:to>
      <xdr:col>26</xdr:col>
      <xdr:colOff>588818</xdr:colOff>
      <xdr:row>16</xdr:row>
      <xdr:rowOff>181840</xdr:rowOff>
    </xdr:to>
    <xdr:cxnSp macro="">
      <xdr:nvCxnSpPr>
        <xdr:cNvPr id="112" name="Straight Connector 111">
          <a:extLst>
            <a:ext uri="{FF2B5EF4-FFF2-40B4-BE49-F238E27FC236}">
              <a16:creationId xmlns:a16="http://schemas.microsoft.com/office/drawing/2014/main" id="{D1DB4742-25A7-0283-6A15-CCBA058E2364}"/>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17</xdr:row>
      <xdr:rowOff>164522</xdr:rowOff>
    </xdr:from>
    <xdr:to>
      <xdr:col>36</xdr:col>
      <xdr:colOff>588818</xdr:colOff>
      <xdr:row>17</xdr:row>
      <xdr:rowOff>164522</xdr:rowOff>
    </xdr:to>
    <xdr:cxnSp macro="">
      <xdr:nvCxnSpPr>
        <xdr:cNvPr id="130" name="Straight Connector 129">
          <a:extLst>
            <a:ext uri="{FF2B5EF4-FFF2-40B4-BE49-F238E27FC236}">
              <a16:creationId xmlns:a16="http://schemas.microsoft.com/office/drawing/2014/main" id="{EEC0CB8A-0A07-4F31-86AB-60AA10A5CAD7}"/>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16</xdr:row>
      <xdr:rowOff>181840</xdr:rowOff>
    </xdr:from>
    <xdr:to>
      <xdr:col>36</xdr:col>
      <xdr:colOff>588818</xdr:colOff>
      <xdr:row>16</xdr:row>
      <xdr:rowOff>181840</xdr:rowOff>
    </xdr:to>
    <xdr:cxnSp macro="">
      <xdr:nvCxnSpPr>
        <xdr:cNvPr id="137" name="Straight Connector 136">
          <a:extLst>
            <a:ext uri="{FF2B5EF4-FFF2-40B4-BE49-F238E27FC236}">
              <a16:creationId xmlns:a16="http://schemas.microsoft.com/office/drawing/2014/main" id="{172DE947-47F4-49DD-9070-1824021784D8}"/>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720436</xdr:colOff>
      <xdr:row>15</xdr:row>
      <xdr:rowOff>55418</xdr:rowOff>
    </xdr:from>
    <xdr:to>
      <xdr:col>42</xdr:col>
      <xdr:colOff>0</xdr:colOff>
      <xdr:row>20</xdr:row>
      <xdr:rowOff>41563</xdr:rowOff>
    </xdr:to>
    <xdr:sp macro="" textlink="">
      <xdr:nvSpPr>
        <xdr:cNvPr id="73" name="Rectangle: Rounded Corners 72">
          <a:extLst>
            <a:ext uri="{FF2B5EF4-FFF2-40B4-BE49-F238E27FC236}">
              <a16:creationId xmlns:a16="http://schemas.microsoft.com/office/drawing/2014/main" id="{21B3DB52-E202-31D8-A0C7-6B54217A249C}"/>
            </a:ext>
          </a:extLst>
        </xdr:cNvPr>
        <xdr:cNvSpPr/>
      </xdr:nvSpPr>
      <xdr:spPr>
        <a:xfrm>
          <a:off x="5223163" y="5153891"/>
          <a:ext cx="21377564" cy="157941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125679</xdr:colOff>
      <xdr:row>14</xdr:row>
      <xdr:rowOff>180110</xdr:rowOff>
    </xdr:from>
    <xdr:to>
      <xdr:col>27</xdr:col>
      <xdr:colOff>393074</xdr:colOff>
      <xdr:row>15</xdr:row>
      <xdr:rowOff>198222</xdr:rowOff>
    </xdr:to>
    <xdr:sp macro="" textlink="">
      <xdr:nvSpPr>
        <xdr:cNvPr id="108" name="Rectangle: Rounded Corners 107">
          <a:extLst>
            <a:ext uri="{FF2B5EF4-FFF2-40B4-BE49-F238E27FC236}">
              <a16:creationId xmlns:a16="http://schemas.microsoft.com/office/drawing/2014/main" id="{2B51C875-733D-4ED8-9514-0308256F36B4}"/>
            </a:ext>
          </a:extLst>
        </xdr:cNvPr>
        <xdr:cNvSpPr/>
      </xdr:nvSpPr>
      <xdr:spPr>
        <a:xfrm>
          <a:off x="14257315" y="4959928"/>
          <a:ext cx="3384668" cy="3367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TIÊU</a:t>
          </a:r>
          <a:r>
            <a:rPr lang="en-US" sz="1600" b="1" kern="1200" baseline="0">
              <a:solidFill>
                <a:schemeClr val="lt1"/>
              </a:solidFill>
              <a:latin typeface="Times New Roman" panose="02020603050405020304" pitchFamily="18" charset="0"/>
              <a:ea typeface="+mn-ea"/>
              <a:cs typeface="Times New Roman" panose="02020603050405020304" pitchFamily="18" charset="0"/>
            </a:rPr>
            <a:t> CHÍ ĐÁNH GIÁ</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588818</xdr:colOff>
      <xdr:row>67</xdr:row>
      <xdr:rowOff>99828</xdr:rowOff>
    </xdr:from>
    <xdr:to>
      <xdr:col>26</xdr:col>
      <xdr:colOff>484908</xdr:colOff>
      <xdr:row>98</xdr:row>
      <xdr:rowOff>159488</xdr:rowOff>
    </xdr:to>
    <xdr:grpSp>
      <xdr:nvGrpSpPr>
        <xdr:cNvPr id="230" name="Group 229">
          <a:extLst>
            <a:ext uri="{FF2B5EF4-FFF2-40B4-BE49-F238E27FC236}">
              <a16:creationId xmlns:a16="http://schemas.microsoft.com/office/drawing/2014/main" id="{384D89EE-BA06-623D-DE10-EFF7F9A4918B}"/>
            </a:ext>
          </a:extLst>
        </xdr:cNvPr>
        <xdr:cNvGrpSpPr/>
      </xdr:nvGrpSpPr>
      <xdr:grpSpPr>
        <a:xfrm>
          <a:off x="8243454" y="17244828"/>
          <a:ext cx="8381999" cy="5965160"/>
          <a:chOff x="8763000" y="7633243"/>
          <a:chExt cx="8381999" cy="5965160"/>
        </a:xfrm>
      </xdr:grpSpPr>
      <xdr:graphicFrame macro="">
        <xdr:nvGraphicFramePr>
          <xdr:cNvPr id="6" name="Chart 5">
            <a:extLst>
              <a:ext uri="{FF2B5EF4-FFF2-40B4-BE49-F238E27FC236}">
                <a16:creationId xmlns:a16="http://schemas.microsoft.com/office/drawing/2014/main" id="{286D2E17-46BE-4928-B37B-FE3341AE659E}"/>
              </a:ext>
            </a:extLst>
          </xdr:cNvPr>
          <xdr:cNvGraphicFramePr>
            <a:graphicFrameLocks/>
          </xdr:cNvGraphicFramePr>
        </xdr:nvGraphicFramePr>
        <xdr:xfrm>
          <a:off x="8763000" y="8295410"/>
          <a:ext cx="8381999" cy="4468091"/>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0" name="Rectangle: Rounded Corners 9">
            <a:extLst>
              <a:ext uri="{FF2B5EF4-FFF2-40B4-BE49-F238E27FC236}">
                <a16:creationId xmlns:a16="http://schemas.microsoft.com/office/drawing/2014/main" id="{EE189F0D-AB0E-276C-9AAC-D26FF8A07A82}"/>
              </a:ext>
            </a:extLst>
          </xdr:cNvPr>
          <xdr:cNvSpPr/>
        </xdr:nvSpPr>
        <xdr:spPr>
          <a:xfrm>
            <a:off x="9897341" y="7633243"/>
            <a:ext cx="6286500" cy="50630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KR02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BDĐK </a:t>
            </a:r>
          </a:p>
        </xdr:txBody>
      </xdr:sp>
      <xdr:grpSp>
        <xdr:nvGrpSpPr>
          <xdr:cNvPr id="59" name="Group 58">
            <a:extLst>
              <a:ext uri="{FF2B5EF4-FFF2-40B4-BE49-F238E27FC236}">
                <a16:creationId xmlns:a16="http://schemas.microsoft.com/office/drawing/2014/main" id="{66758F71-5D6B-3BA2-5229-ED9430547544}"/>
              </a:ext>
            </a:extLst>
          </xdr:cNvPr>
          <xdr:cNvGrpSpPr/>
        </xdr:nvGrpSpPr>
        <xdr:grpSpPr>
          <a:xfrm>
            <a:off x="10055491" y="12680482"/>
            <a:ext cx="5894554" cy="917921"/>
            <a:chOff x="9573026" y="10192630"/>
            <a:chExt cx="6108485" cy="867336"/>
          </a:xfrm>
        </xdr:grpSpPr>
        <xdr:sp macro="" textlink="data!B15">
          <xdr:nvSpPr>
            <xdr:cNvPr id="56" name="Rectangle: Rounded Corners 55">
              <a:extLst>
                <a:ext uri="{FF2B5EF4-FFF2-40B4-BE49-F238E27FC236}">
                  <a16:creationId xmlns:a16="http://schemas.microsoft.com/office/drawing/2014/main" id="{E101CBEC-1183-6099-B3F1-CF432CF45944}"/>
                </a:ext>
              </a:extLst>
            </xdr:cNvPr>
            <xdr:cNvSpPr/>
          </xdr:nvSpPr>
          <xdr:spPr>
            <a:xfrm>
              <a:off x="10444443" y="10361758"/>
              <a:ext cx="1294999" cy="52907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95A0A1-85D8-4D6A-B89F-A9BC907E1CB3}" type="TxLink">
                <a:rPr lang="en-US" sz="2400" b="1" i="0" u="none" strike="noStrike">
                  <a:solidFill>
                    <a:sysClr val="windowText" lastClr="000000"/>
                  </a:solidFill>
                  <a:latin typeface="Abadi" panose="020B0604020104020204" pitchFamily="34" charset="0"/>
                  <a:cs typeface="Times New Roman" panose="02020603050405020304" pitchFamily="18" charset="0"/>
                </a:rPr>
                <a:pPr algn="ctr"/>
                <a:t>1302</a:t>
              </a:fld>
              <a:endParaRPr lang="en-US" sz="2400" b="1">
                <a:solidFill>
                  <a:sysClr val="windowText" lastClr="000000"/>
                </a:solidFill>
                <a:latin typeface="Abadi" panose="020B0604020104020204" pitchFamily="34" charset="0"/>
                <a:cs typeface="Times New Roman" panose="02020603050405020304" pitchFamily="18" charset="0"/>
              </a:endParaRPr>
            </a:p>
          </xdr:txBody>
        </xdr:sp>
        <xdr:sp macro="" textlink="data!C15">
          <xdr:nvSpPr>
            <xdr:cNvPr id="57" name="Rectangle: Rounded Corners 56">
              <a:extLst>
                <a:ext uri="{FF2B5EF4-FFF2-40B4-BE49-F238E27FC236}">
                  <a16:creationId xmlns:a16="http://schemas.microsoft.com/office/drawing/2014/main" id="{9B0FD51E-DCA9-AA49-74A8-EA09AA0D769B}"/>
                </a:ext>
              </a:extLst>
            </xdr:cNvPr>
            <xdr:cNvSpPr/>
          </xdr:nvSpPr>
          <xdr:spPr>
            <a:xfrm>
              <a:off x="12863952" y="10348152"/>
              <a:ext cx="1275151" cy="556293"/>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00690-4CB8-431D-9B73-A1BE6BF4C3F5}"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1495</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15">
          <xdr:nvSpPr>
            <xdr:cNvPr id="58" name="Rectangle: Rounded Corners 57">
              <a:extLst>
                <a:ext uri="{FF2B5EF4-FFF2-40B4-BE49-F238E27FC236}">
                  <a16:creationId xmlns:a16="http://schemas.microsoft.com/office/drawing/2014/main" id="{DC3A0CFC-DF5C-52C4-4344-C559CCA8930C}"/>
                </a:ext>
              </a:extLst>
            </xdr:cNvPr>
            <xdr:cNvSpPr/>
          </xdr:nvSpPr>
          <xdr:spPr>
            <a:xfrm>
              <a:off x="14448865" y="10335745"/>
              <a:ext cx="1232646" cy="58110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789F6F-BDE4-4BAA-A7AA-60A46855A67E}" type="TxLink">
                <a:rPr lang="en-US" sz="2400" b="1" i="0" u="none" strike="noStrike">
                  <a:solidFill>
                    <a:schemeClr val="bg1"/>
                  </a:solidFill>
                  <a:latin typeface="Calibri"/>
                  <a:ea typeface="+mn-ea"/>
                  <a:cs typeface="Calibri"/>
                </a:rPr>
                <a:pPr marL="0" indent="0" algn="ctr"/>
                <a:t>87,1%</a:t>
              </a:fld>
              <a:endParaRPr lang="en-US" sz="60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74" name="Rectangle: Rounded Corners 73">
              <a:extLst>
                <a:ext uri="{FF2B5EF4-FFF2-40B4-BE49-F238E27FC236}">
                  <a16:creationId xmlns:a16="http://schemas.microsoft.com/office/drawing/2014/main" id="{88936630-F0AA-497A-88C2-45B6B966105A}"/>
                </a:ext>
              </a:extLst>
            </xdr:cNvPr>
            <xdr:cNvSpPr/>
          </xdr:nvSpPr>
          <xdr:spPr>
            <a:xfrm>
              <a:off x="9573026" y="10192630"/>
              <a:ext cx="104879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75" name="Rectangle: Rounded Corners 74">
              <a:extLst>
                <a:ext uri="{FF2B5EF4-FFF2-40B4-BE49-F238E27FC236}">
                  <a16:creationId xmlns:a16="http://schemas.microsoft.com/office/drawing/2014/main" id="{3436B4BF-4AF6-7BA1-8A3D-5D8663C043BF}"/>
                </a:ext>
              </a:extLst>
            </xdr:cNvPr>
            <xdr:cNvSpPr/>
          </xdr:nvSpPr>
          <xdr:spPr>
            <a:xfrm>
              <a:off x="11930904" y="10192630"/>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13</xdr:col>
      <xdr:colOff>17319</xdr:colOff>
      <xdr:row>98</xdr:row>
      <xdr:rowOff>173178</xdr:rowOff>
    </xdr:from>
    <xdr:to>
      <xdr:col>26</xdr:col>
      <xdr:colOff>502228</xdr:colOff>
      <xdr:row>129</xdr:row>
      <xdr:rowOff>38000</xdr:rowOff>
    </xdr:to>
    <xdr:grpSp>
      <xdr:nvGrpSpPr>
        <xdr:cNvPr id="229" name="Group 228">
          <a:extLst>
            <a:ext uri="{FF2B5EF4-FFF2-40B4-BE49-F238E27FC236}">
              <a16:creationId xmlns:a16="http://schemas.microsoft.com/office/drawing/2014/main" id="{6A79B3B7-2BB4-9F24-2A64-3F84E075149E}"/>
            </a:ext>
          </a:extLst>
        </xdr:cNvPr>
        <xdr:cNvGrpSpPr/>
      </xdr:nvGrpSpPr>
      <xdr:grpSpPr>
        <a:xfrm>
          <a:off x="8278092" y="23223678"/>
          <a:ext cx="8364681" cy="5770322"/>
          <a:chOff x="8797637" y="13612093"/>
          <a:chExt cx="8364682" cy="5770322"/>
        </a:xfrm>
      </xdr:grpSpPr>
      <xdr:sp macro="" textlink="">
        <xdr:nvSpPr>
          <xdr:cNvPr id="13" name="Rectangle: Rounded Corners 12">
            <a:extLst>
              <a:ext uri="{FF2B5EF4-FFF2-40B4-BE49-F238E27FC236}">
                <a16:creationId xmlns:a16="http://schemas.microsoft.com/office/drawing/2014/main" id="{BA6F2E1D-0FBB-7BC5-CE24-0DB86DC0B3DC}"/>
              </a:ext>
            </a:extLst>
          </xdr:cNvPr>
          <xdr:cNvSpPr/>
        </xdr:nvSpPr>
        <xdr:spPr>
          <a:xfrm>
            <a:off x="9819409" y="13612093"/>
            <a:ext cx="6442364" cy="484908"/>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SỬA CHỮA ĐỘT XUÁT</a:t>
            </a:r>
          </a:p>
        </xdr:txBody>
      </xdr:sp>
      <xdr:graphicFrame macro="">
        <xdr:nvGraphicFramePr>
          <xdr:cNvPr id="15" name="Chart 14">
            <a:extLst>
              <a:ext uri="{FF2B5EF4-FFF2-40B4-BE49-F238E27FC236}">
                <a16:creationId xmlns:a16="http://schemas.microsoft.com/office/drawing/2014/main" id="{2B3A84D4-6BE5-4DC1-BFD9-152A6E8A86E6}"/>
              </a:ext>
            </a:extLst>
          </xdr:cNvPr>
          <xdr:cNvGraphicFramePr>
            <a:graphicFrameLocks/>
          </xdr:cNvGraphicFramePr>
        </xdr:nvGraphicFramePr>
        <xdr:xfrm>
          <a:off x="8797637" y="14443363"/>
          <a:ext cx="8364682" cy="3929737"/>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70" name="Group 69">
            <a:extLst>
              <a:ext uri="{FF2B5EF4-FFF2-40B4-BE49-F238E27FC236}">
                <a16:creationId xmlns:a16="http://schemas.microsoft.com/office/drawing/2014/main" id="{B0D149EE-7EDE-E114-44F5-F12BF027A61D}"/>
              </a:ext>
            </a:extLst>
          </xdr:cNvPr>
          <xdr:cNvGrpSpPr/>
        </xdr:nvGrpSpPr>
        <xdr:grpSpPr>
          <a:xfrm>
            <a:off x="10132764" y="18436639"/>
            <a:ext cx="5900161" cy="945776"/>
            <a:chOff x="9581027" y="13473952"/>
            <a:chExt cx="6114092" cy="889747"/>
          </a:xfrm>
        </xdr:grpSpPr>
        <xdr:sp macro="" textlink="data!B35">
          <xdr:nvSpPr>
            <xdr:cNvPr id="79" name="Rectangle: Rounded Corners 78">
              <a:extLst>
                <a:ext uri="{FF2B5EF4-FFF2-40B4-BE49-F238E27FC236}">
                  <a16:creationId xmlns:a16="http://schemas.microsoft.com/office/drawing/2014/main" id="{6B108CD8-7FE0-4FC8-E764-953C6FA3794D}"/>
                </a:ext>
              </a:extLst>
            </xdr:cNvPr>
            <xdr:cNvSpPr/>
          </xdr:nvSpPr>
          <xdr:spPr>
            <a:xfrm>
              <a:off x="10370910" y="13633316"/>
              <a:ext cx="1477390" cy="62032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1C0735-1FF7-4F67-BEE9-AB4F8994E84C}" type="TxLink">
                <a:rPr lang="en-US" sz="32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224</a:t>
              </a:fld>
              <a:endParaRPr lang="en-US" sz="32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C35">
          <xdr:nvSpPr>
            <xdr:cNvPr id="80" name="Rectangle: Rounded Corners 79">
              <a:extLst>
                <a:ext uri="{FF2B5EF4-FFF2-40B4-BE49-F238E27FC236}">
                  <a16:creationId xmlns:a16="http://schemas.microsoft.com/office/drawing/2014/main" id="{ED636CFE-1C1F-7F28-AF65-34497ADC5E71}"/>
                </a:ext>
              </a:extLst>
            </xdr:cNvPr>
            <xdr:cNvSpPr/>
          </xdr:nvSpPr>
          <xdr:spPr>
            <a:xfrm>
              <a:off x="12939990" y="13612905"/>
              <a:ext cx="1322294" cy="66114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6DD50B-9B2B-4742-A3F8-EF7A31732ABC}" type="TxLink">
                <a:rPr lang="en-US" sz="3200" b="1" i="0" u="none" strike="noStrike">
                  <a:solidFill>
                    <a:schemeClr val="bg1"/>
                  </a:solidFill>
                  <a:latin typeface="Abadi" panose="020B0604020104020204" pitchFamily="34" charset="0"/>
                  <a:ea typeface="+mn-ea"/>
                  <a:cs typeface="Times New Roman" panose="02020603050405020304" pitchFamily="18" charset="0"/>
                </a:rPr>
                <a:pPr marL="0" indent="0" algn="ctr"/>
                <a:t>230</a:t>
              </a:fld>
              <a:endParaRPr lang="en-US" sz="32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35">
          <xdr:nvSpPr>
            <xdr:cNvPr id="84" name="Rectangle: Rounded Corners 83">
              <a:extLst>
                <a:ext uri="{FF2B5EF4-FFF2-40B4-BE49-F238E27FC236}">
                  <a16:creationId xmlns:a16="http://schemas.microsoft.com/office/drawing/2014/main" id="{43A81D8E-0D6A-3AD2-1762-EE5A4A7EBC78}"/>
                </a:ext>
              </a:extLst>
            </xdr:cNvPr>
            <xdr:cNvSpPr/>
          </xdr:nvSpPr>
          <xdr:spPr>
            <a:xfrm>
              <a:off x="14470475" y="13653726"/>
              <a:ext cx="1224644" cy="579505"/>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6A0622-ED2F-4C77-AD32-E04EB63F18BE}" type="TxLink">
                <a:rPr lang="en-US" sz="2400" b="1" i="0" u="none" strike="noStrike">
                  <a:solidFill>
                    <a:schemeClr val="bg1"/>
                  </a:solidFill>
                  <a:latin typeface="Calibri"/>
                  <a:ea typeface="+mn-ea"/>
                  <a:cs typeface="Calibri"/>
                </a:rPr>
                <a:pPr marL="0" indent="0" algn="ctr"/>
                <a:t>97,39%</a:t>
              </a:fld>
              <a:endParaRPr lang="en-US" sz="2400" b="1" i="0" u="none" strike="noStrike">
                <a:solidFill>
                  <a:schemeClr val="bg1"/>
                </a:solidFill>
                <a:latin typeface="Calibri"/>
                <a:ea typeface="+mn-ea"/>
                <a:cs typeface="Calibri"/>
              </a:endParaRPr>
            </a:p>
          </xdr:txBody>
        </xdr:sp>
        <xdr:sp macro="" textlink="">
          <xdr:nvSpPr>
            <xdr:cNvPr id="92" name="Rectangle: Rounded Corners 91">
              <a:extLst>
                <a:ext uri="{FF2B5EF4-FFF2-40B4-BE49-F238E27FC236}">
                  <a16:creationId xmlns:a16="http://schemas.microsoft.com/office/drawing/2014/main" id="{04C39DED-FBFE-0E2D-06EA-8347F723EE66}"/>
                </a:ext>
              </a:extLst>
            </xdr:cNvPr>
            <xdr:cNvSpPr/>
          </xdr:nvSpPr>
          <xdr:spPr>
            <a:xfrm>
              <a:off x="9581027" y="13496363"/>
              <a:ext cx="85612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93" name="Rectangle: Rounded Corners 92">
              <a:extLst>
                <a:ext uri="{FF2B5EF4-FFF2-40B4-BE49-F238E27FC236}">
                  <a16:creationId xmlns:a16="http://schemas.microsoft.com/office/drawing/2014/main" id="{55164FD3-02AD-C135-BEEF-BB1A5D4CD79E}"/>
                </a:ext>
              </a:extLst>
            </xdr:cNvPr>
            <xdr:cNvSpPr/>
          </xdr:nvSpPr>
          <xdr:spPr>
            <a:xfrm>
              <a:off x="12020548" y="13473952"/>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0</xdr:col>
      <xdr:colOff>321863</xdr:colOff>
      <xdr:row>150</xdr:row>
      <xdr:rowOff>2760</xdr:rowOff>
    </xdr:from>
    <xdr:to>
      <xdr:col>13</xdr:col>
      <xdr:colOff>306110</xdr:colOff>
      <xdr:row>174</xdr:row>
      <xdr:rowOff>174289</xdr:rowOff>
    </xdr:to>
    <xdr:sp macro="" textlink="">
      <xdr:nvSpPr>
        <xdr:cNvPr id="54" name="Rectangle: Rounded Corners 53">
          <a:extLst>
            <a:ext uri="{FF2B5EF4-FFF2-40B4-BE49-F238E27FC236}">
              <a16:creationId xmlns:a16="http://schemas.microsoft.com/office/drawing/2014/main" id="{442E13B7-8FBE-D1DB-74C6-8813F72FEBFA}"/>
            </a:ext>
          </a:extLst>
        </xdr:cNvPr>
        <xdr:cNvSpPr/>
      </xdr:nvSpPr>
      <xdr:spPr>
        <a:xfrm>
          <a:off x="321863" y="31923633"/>
          <a:ext cx="8477083" cy="4494147"/>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462324</xdr:colOff>
      <xdr:row>150</xdr:row>
      <xdr:rowOff>166471</xdr:rowOff>
    </xdr:from>
    <xdr:to>
      <xdr:col>11</xdr:col>
      <xdr:colOff>1415</xdr:colOff>
      <xdr:row>153</xdr:row>
      <xdr:rowOff>150018</xdr:rowOff>
    </xdr:to>
    <xdr:sp macro="" textlink="">
      <xdr:nvSpPr>
        <xdr:cNvPr id="55" name="Rectangle: Rounded Corners 54">
          <a:extLst>
            <a:ext uri="{FF2B5EF4-FFF2-40B4-BE49-F238E27FC236}">
              <a16:creationId xmlns:a16="http://schemas.microsoft.com/office/drawing/2014/main" id="{40C3962C-22B9-B58C-B21F-E01E9C1AD9B8}"/>
            </a:ext>
          </a:extLst>
        </xdr:cNvPr>
        <xdr:cNvSpPr/>
      </xdr:nvSpPr>
      <xdr:spPr>
        <a:xfrm>
          <a:off x="1709233" y="32087344"/>
          <a:ext cx="5538109" cy="523874"/>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CHƯƠNG</a:t>
          </a:r>
          <a:r>
            <a:rPr lang="en-US" sz="1600" b="1" kern="1200" baseline="0">
              <a:solidFill>
                <a:schemeClr val="lt1"/>
              </a:solidFill>
              <a:latin typeface="Times New Roman" panose="02020603050405020304" pitchFamily="18" charset="0"/>
              <a:ea typeface="+mn-ea"/>
              <a:cs typeface="Times New Roman" panose="02020603050405020304" pitchFamily="18" charset="0"/>
            </a:rPr>
            <a:t> TRÌNH STOP TRONG THÁNG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190746</xdr:colOff>
      <xdr:row>154</xdr:row>
      <xdr:rowOff>45530</xdr:rowOff>
    </xdr:from>
    <xdr:to>
      <xdr:col>12</xdr:col>
      <xdr:colOff>98194</xdr:colOff>
      <xdr:row>173</xdr:row>
      <xdr:rowOff>138949</xdr:rowOff>
    </xdr:to>
    <xdr:graphicFrame macro="">
      <xdr:nvGraphicFramePr>
        <xdr:cNvPr id="62" name="Chart 61">
          <a:extLst>
            <a:ext uri="{FF2B5EF4-FFF2-40B4-BE49-F238E27FC236}">
              <a16:creationId xmlns:a16="http://schemas.microsoft.com/office/drawing/2014/main" id="{33699EEE-2485-459E-8679-1A2D05730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403317</xdr:colOff>
      <xdr:row>150</xdr:row>
      <xdr:rowOff>19131</xdr:rowOff>
    </xdr:from>
    <xdr:to>
      <xdr:col>26</xdr:col>
      <xdr:colOff>144780</xdr:colOff>
      <xdr:row>174</xdr:row>
      <xdr:rowOff>165464</xdr:rowOff>
    </xdr:to>
    <xdr:sp macro="" textlink="">
      <xdr:nvSpPr>
        <xdr:cNvPr id="63" name="Rectangle: Rounded Corners 62">
          <a:extLst>
            <a:ext uri="{FF2B5EF4-FFF2-40B4-BE49-F238E27FC236}">
              <a16:creationId xmlns:a16="http://schemas.microsoft.com/office/drawing/2014/main" id="{FE5173A3-9CF9-0942-3120-AB2041836F1B}"/>
            </a:ext>
          </a:extLst>
        </xdr:cNvPr>
        <xdr:cNvSpPr/>
      </xdr:nvSpPr>
      <xdr:spPr>
        <a:xfrm>
          <a:off x="8896153" y="31940004"/>
          <a:ext cx="7846372" cy="4468951"/>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371542</xdr:colOff>
      <xdr:row>150</xdr:row>
      <xdr:rowOff>166472</xdr:rowOff>
    </xdr:from>
    <xdr:to>
      <xdr:col>24</xdr:col>
      <xdr:colOff>367570</xdr:colOff>
      <xdr:row>153</xdr:row>
      <xdr:rowOff>136983</xdr:rowOff>
    </xdr:to>
    <xdr:sp macro="" textlink="">
      <xdr:nvSpPr>
        <xdr:cNvPr id="64" name="Rectangle: Rounded Corners 63">
          <a:extLst>
            <a:ext uri="{FF2B5EF4-FFF2-40B4-BE49-F238E27FC236}">
              <a16:creationId xmlns:a16="http://schemas.microsoft.com/office/drawing/2014/main" id="{D877676B-4A97-84BD-1C92-A6FA3443BC92}"/>
            </a:ext>
          </a:extLst>
        </xdr:cNvPr>
        <xdr:cNvSpPr/>
      </xdr:nvSpPr>
      <xdr:spPr>
        <a:xfrm>
          <a:off x="10111287" y="32087345"/>
          <a:ext cx="5607119" cy="510838"/>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BÁO CÁO LŨY KẾ CHƯƠNG TRÌNH STOP</a:t>
          </a:r>
        </a:p>
      </xdr:txBody>
    </xdr:sp>
    <xdr:clientData/>
  </xdr:twoCellAnchor>
  <xdr:twoCellAnchor>
    <xdr:from>
      <xdr:col>14</xdr:col>
      <xdr:colOff>302556</xdr:colOff>
      <xdr:row>155</xdr:row>
      <xdr:rowOff>3180</xdr:rowOff>
    </xdr:from>
    <xdr:to>
      <xdr:col>25</xdr:col>
      <xdr:colOff>481027</xdr:colOff>
      <xdr:row>167</xdr:row>
      <xdr:rowOff>169231</xdr:rowOff>
    </xdr:to>
    <xdr:graphicFrame macro="">
      <xdr:nvGraphicFramePr>
        <xdr:cNvPr id="65" name="Chart 64">
          <a:extLst>
            <a:ext uri="{FF2B5EF4-FFF2-40B4-BE49-F238E27FC236}">
              <a16:creationId xmlns:a16="http://schemas.microsoft.com/office/drawing/2014/main" id="{533D721A-F974-45E9-AC98-8F00511E2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473822</xdr:colOff>
      <xdr:row>159</xdr:row>
      <xdr:rowOff>152972</xdr:rowOff>
    </xdr:from>
    <xdr:to>
      <xdr:col>14</xdr:col>
      <xdr:colOff>131783</xdr:colOff>
      <xdr:row>166</xdr:row>
      <xdr:rowOff>165455</xdr:rowOff>
    </xdr:to>
    <xdr:pic>
      <xdr:nvPicPr>
        <xdr:cNvPr id="66" name="Picture 65" descr="Stop program – Udruga sudaca za mladež, obiteljskih sudaca i stručnjaka za  djecu i mladež">
          <a:extLst>
            <a:ext uri="{FF2B5EF4-FFF2-40B4-BE49-F238E27FC236}">
              <a16:creationId xmlns:a16="http://schemas.microsoft.com/office/drawing/2014/main" id="{6EA6AE63-39A1-75DF-431E-4BC8751166C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343204" y="33694827"/>
          <a:ext cx="904870" cy="1273246"/>
        </a:xfrm>
        <a:prstGeom prst="rect">
          <a:avLst/>
        </a:prstGeom>
        <a:solidFill>
          <a:srgbClr val="0070C0"/>
        </a:solidFill>
        <a:ln>
          <a:noFill/>
        </a:ln>
      </xdr:spPr>
    </xdr:pic>
    <xdr:clientData/>
  </xdr:twoCellAnchor>
  <xdr:twoCellAnchor>
    <xdr:from>
      <xdr:col>16</xdr:col>
      <xdr:colOff>139075</xdr:colOff>
      <xdr:row>168</xdr:row>
      <xdr:rowOff>73499</xdr:rowOff>
    </xdr:from>
    <xdr:to>
      <xdr:col>18</xdr:col>
      <xdr:colOff>134881</xdr:colOff>
      <xdr:row>172</xdr:row>
      <xdr:rowOff>20728</xdr:rowOff>
    </xdr:to>
    <xdr:sp macro="" textlink="data!B84">
      <xdr:nvSpPr>
        <xdr:cNvPr id="60" name="Rectangle: Rounded Corners 59">
          <a:extLst>
            <a:ext uri="{FF2B5EF4-FFF2-40B4-BE49-F238E27FC236}">
              <a16:creationId xmlns:a16="http://schemas.microsoft.com/office/drawing/2014/main" id="{D575DB4A-905B-43E7-8A9A-9D357C8C50F8}"/>
            </a:ext>
          </a:extLst>
        </xdr:cNvPr>
        <xdr:cNvSpPr/>
      </xdr:nvSpPr>
      <xdr:spPr>
        <a:xfrm>
          <a:off x="10502275" y="35236335"/>
          <a:ext cx="1242715" cy="66766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96CA8E-B816-424A-8F8C-F76F4886515E}" type="TxLink">
            <a:rPr lang="en-US" sz="3200" b="1" i="0" u="none" strike="noStrike">
              <a:solidFill>
                <a:sysClr val="windowText" lastClr="000000"/>
              </a:solidFill>
              <a:latin typeface="Calibri"/>
              <a:cs typeface="Calibri"/>
            </a:rPr>
            <a:pPr algn="ctr"/>
            <a:t>51</a:t>
          </a:fld>
          <a:endParaRPr lang="en-US" sz="7200" b="1">
            <a:solidFill>
              <a:sysClr val="windowText" lastClr="000000"/>
            </a:solidFill>
            <a:latin typeface="Abadi" panose="020B0604020104020204" pitchFamily="34" charset="0"/>
            <a:cs typeface="Times New Roman" panose="02020603050405020304" pitchFamily="18" charset="0"/>
          </a:endParaRPr>
        </a:p>
      </xdr:txBody>
    </xdr:sp>
    <xdr:clientData/>
  </xdr:twoCellAnchor>
  <xdr:twoCellAnchor>
    <xdr:from>
      <xdr:col>22</xdr:col>
      <xdr:colOff>200454</xdr:colOff>
      <xdr:row>168</xdr:row>
      <xdr:rowOff>73499</xdr:rowOff>
    </xdr:from>
    <xdr:to>
      <xdr:col>24</xdr:col>
      <xdr:colOff>496947</xdr:colOff>
      <xdr:row>172</xdr:row>
      <xdr:rowOff>26198</xdr:rowOff>
    </xdr:to>
    <xdr:sp macro="" textlink="data!D84">
      <xdr:nvSpPr>
        <xdr:cNvPr id="158" name="Rectangle: Rounded Corners 157">
          <a:extLst>
            <a:ext uri="{FF2B5EF4-FFF2-40B4-BE49-F238E27FC236}">
              <a16:creationId xmlns:a16="http://schemas.microsoft.com/office/drawing/2014/main" id="{0F7B71FA-BF42-98B6-79AE-3343F5227FA0}"/>
            </a:ext>
          </a:extLst>
        </xdr:cNvPr>
        <xdr:cNvSpPr/>
      </xdr:nvSpPr>
      <xdr:spPr>
        <a:xfrm>
          <a:off x="14304381" y="35236335"/>
          <a:ext cx="1543402" cy="67313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C7E21F-9873-4C3C-8385-5E080D054039}" type="TxLink">
            <a:rPr lang="en-US" sz="2400" b="1" i="0" u="none" strike="noStrike">
              <a:solidFill>
                <a:schemeClr val="bg1"/>
              </a:solidFill>
              <a:latin typeface="Calibri"/>
              <a:ea typeface="+mn-ea"/>
              <a:cs typeface="Calibri"/>
            </a:rPr>
            <a:pPr marL="0" indent="0" algn="ctr"/>
            <a:t>25,5%</a:t>
          </a:fld>
          <a:endParaRPr lang="en-US" sz="2400" b="1" i="0" u="none" strike="noStrike">
            <a:solidFill>
              <a:schemeClr val="bg1"/>
            </a:solidFill>
            <a:latin typeface="Calibri"/>
            <a:ea typeface="+mn-ea"/>
            <a:cs typeface="Calibri"/>
          </a:endParaRPr>
        </a:p>
      </xdr:txBody>
    </xdr:sp>
    <xdr:clientData/>
  </xdr:twoCellAnchor>
  <xdr:twoCellAnchor>
    <xdr:from>
      <xdr:col>19</xdr:col>
      <xdr:colOff>491754</xdr:colOff>
      <xdr:row>168</xdr:row>
      <xdr:rowOff>73499</xdr:rowOff>
    </xdr:from>
    <xdr:to>
      <xdr:col>21</xdr:col>
      <xdr:colOff>487560</xdr:colOff>
      <xdr:row>172</xdr:row>
      <xdr:rowOff>20728</xdr:rowOff>
    </xdr:to>
    <xdr:sp macro="" textlink="">
      <xdr:nvSpPr>
        <xdr:cNvPr id="82" name="Rectangle: Rounded Corners 81">
          <a:extLst>
            <a:ext uri="{FF2B5EF4-FFF2-40B4-BE49-F238E27FC236}">
              <a16:creationId xmlns:a16="http://schemas.microsoft.com/office/drawing/2014/main" id="{9D1F808B-E5A6-36ED-2F28-718300D206FF}"/>
            </a:ext>
          </a:extLst>
        </xdr:cNvPr>
        <xdr:cNvSpPr/>
      </xdr:nvSpPr>
      <xdr:spPr>
        <a:xfrm>
          <a:off x="12725318" y="35236335"/>
          <a:ext cx="1242715" cy="66766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200</a:t>
          </a:r>
        </a:p>
      </xdr:txBody>
    </xdr:sp>
    <xdr:clientData/>
  </xdr:twoCellAnchor>
  <xdr:twoCellAnchor>
    <xdr:from>
      <xdr:col>27</xdr:col>
      <xdr:colOff>86591</xdr:colOff>
      <xdr:row>37</xdr:row>
      <xdr:rowOff>155864</xdr:rowOff>
    </xdr:from>
    <xdr:to>
      <xdr:col>47</xdr:col>
      <xdr:colOff>415636</xdr:colOff>
      <xdr:row>95</xdr:row>
      <xdr:rowOff>121227</xdr:rowOff>
    </xdr:to>
    <xdr:sp macro="" textlink="">
      <xdr:nvSpPr>
        <xdr:cNvPr id="115" name="Rectangle: Rounded Corners 114">
          <a:extLst>
            <a:ext uri="{FF2B5EF4-FFF2-40B4-BE49-F238E27FC236}">
              <a16:creationId xmlns:a16="http://schemas.microsoft.com/office/drawing/2014/main" id="{14560FE2-8457-4C27-B7E3-F584C847852F}"/>
            </a:ext>
          </a:extLst>
        </xdr:cNvPr>
        <xdr:cNvSpPr/>
      </xdr:nvSpPr>
      <xdr:spPr>
        <a:xfrm>
          <a:off x="17307791" y="11724409"/>
          <a:ext cx="13047518" cy="10411691"/>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436416</xdr:colOff>
      <xdr:row>39</xdr:row>
      <xdr:rowOff>110866</xdr:rowOff>
    </xdr:from>
    <xdr:to>
      <xdr:col>34</xdr:col>
      <xdr:colOff>7838</xdr:colOff>
      <xdr:row>41</xdr:row>
      <xdr:rowOff>97519</xdr:rowOff>
    </xdr:to>
    <xdr:sp macro="" textlink="">
      <xdr:nvSpPr>
        <xdr:cNvPr id="120" name="Rectangle: Rounded Corners 119">
          <a:extLst>
            <a:ext uri="{FF2B5EF4-FFF2-40B4-BE49-F238E27FC236}">
              <a16:creationId xmlns:a16="http://schemas.microsoft.com/office/drawing/2014/main" id="{DC93FAF7-2238-4898-909F-EBC1311F1904}"/>
            </a:ext>
          </a:extLst>
        </xdr:cNvPr>
        <xdr:cNvSpPr/>
      </xdr:nvSpPr>
      <xdr:spPr>
        <a:xfrm>
          <a:off x="20151434" y="12039630"/>
          <a:ext cx="1441786" cy="3468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rgbClr val="00B050"/>
              </a:solidFill>
              <a:latin typeface="Times New Roman" panose="02020603050405020304" pitchFamily="18" charset="0"/>
              <a:cs typeface="Times New Roman" panose="02020603050405020304" pitchFamily="18" charset="0"/>
            </a:rPr>
            <a:t>MỤC</a:t>
          </a:r>
          <a:r>
            <a:rPr lang="en-US" sz="1600" b="1" kern="1200" baseline="0">
              <a:solidFill>
                <a:srgbClr val="00B050"/>
              </a:solidFill>
              <a:latin typeface="Times New Roman" panose="02020603050405020304" pitchFamily="18" charset="0"/>
              <a:cs typeface="Times New Roman" panose="02020603050405020304" pitchFamily="18" charset="0"/>
            </a:rPr>
            <a:t> TIÊU</a:t>
          </a:r>
          <a:endParaRPr lang="en-US" sz="16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41</xdr:col>
      <xdr:colOff>108097</xdr:colOff>
      <xdr:row>39</xdr:row>
      <xdr:rowOff>110866</xdr:rowOff>
    </xdr:from>
    <xdr:to>
      <xdr:col>43</xdr:col>
      <xdr:colOff>179323</xdr:colOff>
      <xdr:row>41</xdr:row>
      <xdr:rowOff>101347</xdr:rowOff>
    </xdr:to>
    <xdr:sp macro="" textlink="">
      <xdr:nvSpPr>
        <xdr:cNvPr id="124" name="Rectangle: Rounded Corners 123">
          <a:extLst>
            <a:ext uri="{FF2B5EF4-FFF2-40B4-BE49-F238E27FC236}">
              <a16:creationId xmlns:a16="http://schemas.microsoft.com/office/drawing/2014/main" id="{260AB8AA-631D-4877-AD3B-9E4662DB0787}"/>
            </a:ext>
          </a:extLst>
        </xdr:cNvPr>
        <xdr:cNvSpPr/>
      </xdr:nvSpPr>
      <xdr:spPr>
        <a:xfrm>
          <a:off x="26057661" y="12039630"/>
          <a:ext cx="1442826" cy="35069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rgbClr val="00B050"/>
              </a:solidFill>
              <a:latin typeface="Times New Roman" panose="02020603050405020304" pitchFamily="18" charset="0"/>
              <a:cs typeface="Times New Roman" panose="02020603050405020304" pitchFamily="18" charset="0"/>
            </a:rPr>
            <a:t>KẾT</a:t>
          </a:r>
          <a:r>
            <a:rPr lang="en-US" sz="1600" b="1" kern="1200" baseline="0">
              <a:solidFill>
                <a:srgbClr val="00B050"/>
              </a:solidFill>
              <a:latin typeface="Times New Roman" panose="02020603050405020304" pitchFamily="18" charset="0"/>
              <a:cs typeface="Times New Roman" panose="02020603050405020304" pitchFamily="18" charset="0"/>
            </a:rPr>
            <a:t> QUẢ</a:t>
          </a:r>
          <a:endParaRPr lang="en-US" sz="16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79663</xdr:colOff>
      <xdr:row>38</xdr:row>
      <xdr:rowOff>27710</xdr:rowOff>
    </xdr:from>
    <xdr:to>
      <xdr:col>31</xdr:col>
      <xdr:colOff>353988</xdr:colOff>
      <xdr:row>42</xdr:row>
      <xdr:rowOff>64285</xdr:rowOff>
    </xdr:to>
    <xdr:pic>
      <xdr:nvPicPr>
        <xdr:cNvPr id="126" name="Picture 125" descr="Target - Free seo and web icons">
          <a:extLst>
            <a:ext uri="{FF2B5EF4-FFF2-40B4-BE49-F238E27FC236}">
              <a16:creationId xmlns:a16="http://schemas.microsoft.com/office/drawing/2014/main" id="{EC9B8F00-B2A7-4C9A-BC5D-F731C5BB4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164299" y="10262755"/>
          <a:ext cx="880462" cy="79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426028</xdr:colOff>
      <xdr:row>40</xdr:row>
      <xdr:rowOff>34628</xdr:rowOff>
    </xdr:from>
    <xdr:to>
      <xdr:col>37</xdr:col>
      <xdr:colOff>426028</xdr:colOff>
      <xdr:row>55</xdr:row>
      <xdr:rowOff>51947</xdr:rowOff>
    </xdr:to>
    <xdr:cxnSp macro="">
      <xdr:nvCxnSpPr>
        <xdr:cNvPr id="131" name="Straight Connector 130">
          <a:extLst>
            <a:ext uri="{FF2B5EF4-FFF2-40B4-BE49-F238E27FC236}">
              <a16:creationId xmlns:a16="http://schemas.microsoft.com/office/drawing/2014/main" id="{226172B4-25A1-4416-A182-F92B3C56E8AF}"/>
            </a:ext>
          </a:extLst>
        </xdr:cNvPr>
        <xdr:cNvCxnSpPr/>
      </xdr:nvCxnSpPr>
      <xdr:spPr>
        <a:xfrm>
          <a:off x="23881773" y="12143501"/>
          <a:ext cx="0" cy="2718955"/>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45027</xdr:colOff>
      <xdr:row>42</xdr:row>
      <xdr:rowOff>56636</xdr:rowOff>
    </xdr:from>
    <xdr:to>
      <xdr:col>36</xdr:col>
      <xdr:colOff>46656</xdr:colOff>
      <xdr:row>44</xdr:row>
      <xdr:rowOff>131610</xdr:rowOff>
    </xdr:to>
    <xdr:sp macro="" textlink="">
      <xdr:nvSpPr>
        <xdr:cNvPr id="159" name="Rectangle: Rounded Corners 158">
          <a:extLst>
            <a:ext uri="{FF2B5EF4-FFF2-40B4-BE49-F238E27FC236}">
              <a16:creationId xmlns:a16="http://schemas.microsoft.com/office/drawing/2014/main" id="{8511AE63-9791-4F29-A688-6670B61A3B6C}"/>
            </a:ext>
          </a:extLst>
        </xdr:cNvPr>
        <xdr:cNvSpPr/>
      </xdr:nvSpPr>
      <xdr:spPr>
        <a:xfrm>
          <a:off x="17889682" y="12525727"/>
          <a:ext cx="4989265" cy="4351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Xây dựng khung năng lực</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28</xdr:col>
      <xdr:colOff>45027</xdr:colOff>
      <xdr:row>49</xdr:row>
      <xdr:rowOff>5286</xdr:rowOff>
    </xdr:from>
    <xdr:to>
      <xdr:col>36</xdr:col>
      <xdr:colOff>557643</xdr:colOff>
      <xdr:row>51</xdr:row>
      <xdr:rowOff>121219</xdr:rowOff>
    </xdr:to>
    <xdr:sp macro="" textlink="">
      <xdr:nvSpPr>
        <xdr:cNvPr id="160" name="Rectangle: Rounded Corners 159">
          <a:extLst>
            <a:ext uri="{FF2B5EF4-FFF2-40B4-BE49-F238E27FC236}">
              <a16:creationId xmlns:a16="http://schemas.microsoft.com/office/drawing/2014/main" id="{5B9EEED1-1BF5-00DD-DC50-696F276A59C6}"/>
            </a:ext>
          </a:extLst>
        </xdr:cNvPr>
        <xdr:cNvSpPr/>
      </xdr:nvSpPr>
      <xdr:spPr>
        <a:xfrm>
          <a:off x="17889682" y="13735141"/>
          <a:ext cx="5500252" cy="4761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2</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Đánh giá năng lực cho CBCNV</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554182</xdr:colOff>
      <xdr:row>173</xdr:row>
      <xdr:rowOff>143415</xdr:rowOff>
    </xdr:from>
    <xdr:to>
      <xdr:col>47</xdr:col>
      <xdr:colOff>277091</xdr:colOff>
      <xdr:row>217</xdr:row>
      <xdr:rowOff>13865</xdr:rowOff>
    </xdr:to>
    <xdr:grpSp>
      <xdr:nvGrpSpPr>
        <xdr:cNvPr id="169" name="Group 168">
          <a:extLst>
            <a:ext uri="{FF2B5EF4-FFF2-40B4-BE49-F238E27FC236}">
              <a16:creationId xmlns:a16="http://schemas.microsoft.com/office/drawing/2014/main" id="{D1CF0546-3F61-CB4D-CC55-2F8BBBC3836A}"/>
            </a:ext>
          </a:extLst>
        </xdr:cNvPr>
        <xdr:cNvGrpSpPr/>
      </xdr:nvGrpSpPr>
      <xdr:grpSpPr>
        <a:xfrm>
          <a:off x="16694727" y="37481415"/>
          <a:ext cx="12694228" cy="8252450"/>
          <a:chOff x="17064581" y="21869464"/>
          <a:chExt cx="12033443" cy="7787952"/>
        </a:xfrm>
      </xdr:grpSpPr>
      <xdr:grpSp>
        <xdr:nvGrpSpPr>
          <xdr:cNvPr id="168" name="Group 167">
            <a:extLst>
              <a:ext uri="{FF2B5EF4-FFF2-40B4-BE49-F238E27FC236}">
                <a16:creationId xmlns:a16="http://schemas.microsoft.com/office/drawing/2014/main" id="{B5917970-CD08-3E4D-537F-CB5574E71BBF}"/>
              </a:ext>
            </a:extLst>
          </xdr:cNvPr>
          <xdr:cNvGrpSpPr/>
        </xdr:nvGrpSpPr>
        <xdr:grpSpPr>
          <a:xfrm>
            <a:off x="17064581" y="21869464"/>
            <a:ext cx="12033443" cy="7787952"/>
            <a:chOff x="17064581" y="21869464"/>
            <a:chExt cx="12033443" cy="7787952"/>
          </a:xfrm>
        </xdr:grpSpPr>
        <xdr:sp macro="" textlink="">
          <xdr:nvSpPr>
            <xdr:cNvPr id="32" name="Rectangle: Rounded Corners 31">
              <a:extLst>
                <a:ext uri="{FF2B5EF4-FFF2-40B4-BE49-F238E27FC236}">
                  <a16:creationId xmlns:a16="http://schemas.microsoft.com/office/drawing/2014/main" id="{5F6D3393-8180-734B-05A6-F5817905E3BF}"/>
                </a:ext>
              </a:extLst>
            </xdr:cNvPr>
            <xdr:cNvSpPr/>
          </xdr:nvSpPr>
          <xdr:spPr>
            <a:xfrm>
              <a:off x="17064581" y="21869464"/>
              <a:ext cx="12033443" cy="7787952"/>
            </a:xfrm>
            <a:prstGeom prst="roundRect">
              <a:avLst>
                <a:gd name="adj" fmla="val 404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nvGrpSpPr>
            <xdr:cNvPr id="162" name="Group 161">
              <a:extLst>
                <a:ext uri="{FF2B5EF4-FFF2-40B4-BE49-F238E27FC236}">
                  <a16:creationId xmlns:a16="http://schemas.microsoft.com/office/drawing/2014/main" id="{F1199129-9BF8-AB98-BEA8-582C9FA29E7E}"/>
                </a:ext>
              </a:extLst>
            </xdr:cNvPr>
            <xdr:cNvGrpSpPr/>
          </xdr:nvGrpSpPr>
          <xdr:grpSpPr>
            <a:xfrm>
              <a:off x="17365890" y="22858470"/>
              <a:ext cx="11533664" cy="3075457"/>
              <a:chOff x="17365890" y="22858470"/>
              <a:chExt cx="11533664" cy="3075457"/>
            </a:xfrm>
          </xdr:grpSpPr>
          <xdr:graphicFrame macro="">
            <xdr:nvGraphicFramePr>
              <xdr:cNvPr id="42" name="Chart 41">
                <a:extLst>
                  <a:ext uri="{FF2B5EF4-FFF2-40B4-BE49-F238E27FC236}">
                    <a16:creationId xmlns:a16="http://schemas.microsoft.com/office/drawing/2014/main" id="{CAAD9861-5437-4439-B171-17DCE23134EC}"/>
                  </a:ext>
                </a:extLst>
              </xdr:cNvPr>
              <xdr:cNvGraphicFramePr>
                <a:graphicFrameLocks/>
              </xdr:cNvGraphicFramePr>
            </xdr:nvGraphicFramePr>
            <xdr:xfrm>
              <a:off x="17365890" y="22858470"/>
              <a:ext cx="5836475" cy="306185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56" name="Chart 155">
                <a:extLst>
                  <a:ext uri="{FF2B5EF4-FFF2-40B4-BE49-F238E27FC236}">
                    <a16:creationId xmlns:a16="http://schemas.microsoft.com/office/drawing/2014/main" id="{F98E7F34-06B0-2FC8-F8CF-13BD58D28831}"/>
                  </a:ext>
                </a:extLst>
              </xdr:cNvPr>
              <xdr:cNvGraphicFramePr>
                <a:graphicFrameLocks/>
              </xdr:cNvGraphicFramePr>
            </xdr:nvGraphicFramePr>
            <xdr:xfrm>
              <a:off x="23303554" y="22872077"/>
              <a:ext cx="5596000" cy="3061850"/>
            </xdr:xfrm>
            <a:graphic>
              <a:graphicData uri="http://schemas.openxmlformats.org/drawingml/2006/chart">
                <c:chart xmlns:c="http://schemas.openxmlformats.org/drawingml/2006/chart" xmlns:r="http://schemas.openxmlformats.org/officeDocument/2006/relationships" r:id="rId14"/>
              </a:graphicData>
            </a:graphic>
          </xdr:graphicFrame>
        </xdr:grpSp>
        <xdr:sp macro="" textlink="">
          <xdr:nvSpPr>
            <xdr:cNvPr id="34" name="Rectangle: Rounded Corners 33">
              <a:extLst>
                <a:ext uri="{FF2B5EF4-FFF2-40B4-BE49-F238E27FC236}">
                  <a16:creationId xmlns:a16="http://schemas.microsoft.com/office/drawing/2014/main" id="{E4A6924B-5091-4321-BCFB-A9E83FA9E716}"/>
                </a:ext>
              </a:extLst>
            </xdr:cNvPr>
            <xdr:cNvSpPr/>
          </xdr:nvSpPr>
          <xdr:spPr>
            <a:xfrm>
              <a:off x="18544835" y="22072222"/>
              <a:ext cx="3325320" cy="362642"/>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KR1 RÈN</a:t>
              </a:r>
              <a:r>
                <a:rPr lang="en-US" sz="1600" b="1" kern="1200" baseline="0">
                  <a:solidFill>
                    <a:schemeClr val="lt1"/>
                  </a:solidFill>
                  <a:latin typeface="Times New Roman" panose="02020603050405020304" pitchFamily="18" charset="0"/>
                  <a:ea typeface="+mn-ea"/>
                  <a:cs typeface="Times New Roman" panose="02020603050405020304" pitchFamily="18" charset="0"/>
                </a:rPr>
                <a:t> LUYỆN CHẠY BỘ</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55" name="Rectangle: Rounded Corners 154">
              <a:extLst>
                <a:ext uri="{FF2B5EF4-FFF2-40B4-BE49-F238E27FC236}">
                  <a16:creationId xmlns:a16="http://schemas.microsoft.com/office/drawing/2014/main" id="{33813529-FC40-869D-1013-561C92521402}"/>
                </a:ext>
              </a:extLst>
            </xdr:cNvPr>
            <xdr:cNvSpPr/>
          </xdr:nvSpPr>
          <xdr:spPr>
            <a:xfrm>
              <a:off x="24586842" y="22099906"/>
              <a:ext cx="3107493" cy="376952"/>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2 HỘI</a:t>
              </a:r>
              <a:r>
                <a:rPr lang="en-US" sz="1600" b="1" kern="1200" baseline="0">
                  <a:solidFill>
                    <a:schemeClr val="lt1"/>
                  </a:solidFill>
                  <a:latin typeface="Times New Roman" panose="02020603050405020304" pitchFamily="18" charset="0"/>
                  <a:ea typeface="+mn-ea"/>
                  <a:cs typeface="Times New Roman" panose="02020603050405020304" pitchFamily="18" charset="0"/>
                </a:rPr>
                <a:t> THAO QUÝ</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grpSp>
      <xdr:pic>
        <xdr:nvPicPr>
          <xdr:cNvPr id="157" name="Picture 156" descr="Sport - Free sports icons">
            <a:extLst>
              <a:ext uri="{FF2B5EF4-FFF2-40B4-BE49-F238E27FC236}">
                <a16:creationId xmlns:a16="http://schemas.microsoft.com/office/drawing/2014/main" id="{28213297-264C-FF1D-DE5F-CB66C64920FE}"/>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2726052" y="25289013"/>
            <a:ext cx="879517" cy="81187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27</xdr:col>
      <xdr:colOff>38101</xdr:colOff>
      <xdr:row>154</xdr:row>
      <xdr:rowOff>75049</xdr:rowOff>
    </xdr:from>
    <xdr:to>
      <xdr:col>47</xdr:col>
      <xdr:colOff>263237</xdr:colOff>
      <xdr:row>168</xdr:row>
      <xdr:rowOff>145485</xdr:rowOff>
    </xdr:to>
    <xdr:grpSp>
      <xdr:nvGrpSpPr>
        <xdr:cNvPr id="166" name="Group 165">
          <a:extLst>
            <a:ext uri="{FF2B5EF4-FFF2-40B4-BE49-F238E27FC236}">
              <a16:creationId xmlns:a16="http://schemas.microsoft.com/office/drawing/2014/main" id="{E97B795C-E1BE-E57B-ED71-D7A5AE58E020}"/>
            </a:ext>
          </a:extLst>
        </xdr:cNvPr>
        <xdr:cNvGrpSpPr/>
      </xdr:nvGrpSpPr>
      <xdr:grpSpPr>
        <a:xfrm>
          <a:off x="16784783" y="33793549"/>
          <a:ext cx="12590318" cy="2737436"/>
          <a:chOff x="17089359" y="15201670"/>
          <a:chExt cx="12032896" cy="2580623"/>
        </a:xfrm>
      </xdr:grpSpPr>
      <xdr:sp macro="" textlink="">
        <xdr:nvSpPr>
          <xdr:cNvPr id="89" name="Rectangle: Rounded Corners 88">
            <a:extLst>
              <a:ext uri="{FF2B5EF4-FFF2-40B4-BE49-F238E27FC236}">
                <a16:creationId xmlns:a16="http://schemas.microsoft.com/office/drawing/2014/main" id="{72DC5C64-2F81-9ECA-A6BC-2CFDF43CC93F}"/>
              </a:ext>
            </a:extLst>
          </xdr:cNvPr>
          <xdr:cNvSpPr/>
        </xdr:nvSpPr>
        <xdr:spPr>
          <a:xfrm>
            <a:off x="23182490" y="15227407"/>
            <a:ext cx="5939765" cy="2533693"/>
          </a:xfrm>
          <a:prstGeom prst="roundRect">
            <a:avLst>
              <a:gd name="adj" fmla="val 7574"/>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91" name="Rectangle: Rounded Corners 90">
            <a:extLst>
              <a:ext uri="{FF2B5EF4-FFF2-40B4-BE49-F238E27FC236}">
                <a16:creationId xmlns:a16="http://schemas.microsoft.com/office/drawing/2014/main" id="{949148BC-869F-6180-0B48-7FE13A2FAC51}"/>
              </a:ext>
            </a:extLst>
          </xdr:cNvPr>
          <xdr:cNvSpPr/>
        </xdr:nvSpPr>
        <xdr:spPr>
          <a:xfrm>
            <a:off x="17089359" y="15201670"/>
            <a:ext cx="5937674" cy="2580623"/>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4" name="Rectangle: Rounded Corners 113">
            <a:extLst>
              <a:ext uri="{FF2B5EF4-FFF2-40B4-BE49-F238E27FC236}">
                <a16:creationId xmlns:a16="http://schemas.microsoft.com/office/drawing/2014/main" id="{1E62D970-5ED3-38E8-CEAC-4F481836746E}"/>
              </a:ext>
            </a:extLst>
          </xdr:cNvPr>
          <xdr:cNvSpPr/>
        </xdr:nvSpPr>
        <xdr:spPr>
          <a:xfrm>
            <a:off x="17235063" y="15323417"/>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CÓ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17" name="Rectangle: Rounded Corners 116">
            <a:extLst>
              <a:ext uri="{FF2B5EF4-FFF2-40B4-BE49-F238E27FC236}">
                <a16:creationId xmlns:a16="http://schemas.microsoft.com/office/drawing/2014/main" id="{244B7249-235B-D454-FF9C-242238FEAD67}"/>
              </a:ext>
            </a:extLst>
          </xdr:cNvPr>
          <xdr:cNvSpPr/>
        </xdr:nvSpPr>
        <xdr:spPr>
          <a:xfrm>
            <a:off x="23357490" y="15321160"/>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LŨY KẾ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25" name="Rectangle: Rounded Corners 124">
            <a:extLst>
              <a:ext uri="{FF2B5EF4-FFF2-40B4-BE49-F238E27FC236}">
                <a16:creationId xmlns:a16="http://schemas.microsoft.com/office/drawing/2014/main" id="{9ED25ACB-7A43-4A93-B1F6-BA7203BA3B7E}"/>
              </a:ext>
            </a:extLst>
          </xdr:cNvPr>
          <xdr:cNvSpPr/>
        </xdr:nvSpPr>
        <xdr:spPr>
          <a:xfrm>
            <a:off x="17608632" y="15999484"/>
            <a:ext cx="4916114" cy="1444765"/>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1800" b="0" kern="1200">
                <a:solidFill>
                  <a:sysClr val="windowText" lastClr="000000"/>
                </a:solidFill>
                <a:latin typeface="Times New Roman" panose="02020603050405020304" pitchFamily="18" charset="0"/>
                <a:cs typeface="Times New Roman" panose="02020603050405020304" pitchFamily="18" charset="0"/>
              </a:rPr>
              <a:t>Đội</a:t>
            </a:r>
            <a:r>
              <a:rPr lang="en-US" sz="1800" b="0" kern="1200" baseline="0">
                <a:solidFill>
                  <a:sysClr val="windowText" lastClr="000000"/>
                </a:solidFill>
                <a:latin typeface="Times New Roman" panose="02020603050405020304" pitchFamily="18" charset="0"/>
                <a:cs typeface="Times New Roman" panose="02020603050405020304" pitchFamily="18" charset="0"/>
              </a:rPr>
              <a:t> thiết bị chấp hành: </a:t>
            </a:r>
            <a:r>
              <a:rPr lang="en-US" sz="2000" b="1" kern="1200" baseline="0">
                <a:solidFill>
                  <a:srgbClr val="FF0000"/>
                </a:solidFill>
                <a:latin typeface="Times New Roman" panose="02020603050405020304" pitchFamily="18" charset="0"/>
                <a:cs typeface="Times New Roman" panose="02020603050405020304" pitchFamily="18" charset="0"/>
              </a:rPr>
              <a:t>1</a:t>
            </a:r>
            <a:endParaRPr lang="en-US" sz="1800" b="1" kern="1200" baseline="0">
              <a:solidFill>
                <a:srgbClr val="FF0000"/>
              </a:solidFill>
              <a:latin typeface="Times New Roman" panose="02020603050405020304" pitchFamily="18" charset="0"/>
              <a:cs typeface="Times New Roman" panose="02020603050405020304" pitchFamily="18" charset="0"/>
            </a:endParaRP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Đội thiết bị hệ thống điều khiển: </a:t>
            </a:r>
            <a:r>
              <a:rPr lang="en-US" sz="2000" b="1" kern="1200" baseline="0">
                <a:solidFill>
                  <a:srgbClr val="FF0000"/>
                </a:solidFill>
                <a:latin typeface="Times New Roman" panose="02020603050405020304" pitchFamily="18" charset="0"/>
                <a:cs typeface="Times New Roman" panose="02020603050405020304" pitchFamily="18" charset="0"/>
              </a:rPr>
              <a:t>1 </a:t>
            </a:r>
            <a:r>
              <a:rPr lang="en-US" sz="1800" b="0" kern="1200" baseline="0">
                <a:solidFill>
                  <a:sysClr val="windowText" lastClr="000000"/>
                </a:solidFill>
                <a:latin typeface="Times New Roman" panose="02020603050405020304" pitchFamily="18" charset="0"/>
                <a:cs typeface="Times New Roman" panose="02020603050405020304" pitchFamily="18" charset="0"/>
              </a:rPr>
              <a:t>  </a:t>
            </a: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Đội thiết bị đo lường: </a:t>
            </a:r>
            <a:r>
              <a:rPr lang="en-US" sz="2000" b="1" kern="1200" baseline="0">
                <a:solidFill>
                  <a:srgbClr val="FF0000"/>
                </a:solidFill>
                <a:latin typeface="Times New Roman" panose="02020603050405020304" pitchFamily="18" charset="0"/>
                <a:cs typeface="Times New Roman" panose="02020603050405020304" pitchFamily="18" charset="0"/>
              </a:rPr>
              <a:t>3 </a:t>
            </a:r>
            <a:endParaRPr lang="en-US" sz="1800" b="1" kern="1200" baseline="0">
              <a:solidFill>
                <a:srgbClr val="FF0000"/>
              </a:solidFill>
              <a:latin typeface="Times New Roman" panose="02020603050405020304" pitchFamily="18" charset="0"/>
              <a:cs typeface="Times New Roman" panose="02020603050405020304" pitchFamily="18" charset="0"/>
            </a:endParaRP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Tổ trực ca điều khiển:  </a:t>
            </a:r>
            <a:r>
              <a:rPr lang="en-US" sz="2000" b="1" kern="1200" baseline="0">
                <a:solidFill>
                  <a:srgbClr val="FF0000"/>
                </a:solidFill>
                <a:latin typeface="Times New Roman" panose="02020603050405020304" pitchFamily="18" charset="0"/>
                <a:cs typeface="Times New Roman" panose="02020603050405020304" pitchFamily="18" charset="0"/>
              </a:rPr>
              <a:t>3</a:t>
            </a:r>
            <a:endParaRPr lang="en-US" sz="1800" b="1" kern="1200">
              <a:solidFill>
                <a:srgbClr val="FF0000"/>
              </a:solidFill>
              <a:latin typeface="Times New Roman" panose="02020603050405020304" pitchFamily="18" charset="0"/>
              <a:cs typeface="Times New Roman" panose="02020603050405020304" pitchFamily="18" charset="0"/>
            </a:endParaRPr>
          </a:p>
        </xdr:txBody>
      </xdr:sp>
      <xdr:graphicFrame macro="">
        <xdr:nvGraphicFramePr>
          <xdr:cNvPr id="31" name="Chart 30">
            <a:extLst>
              <a:ext uri="{FF2B5EF4-FFF2-40B4-BE49-F238E27FC236}">
                <a16:creationId xmlns:a16="http://schemas.microsoft.com/office/drawing/2014/main" id="{42673A37-9E3D-4563-86AA-D2E0AC7C2342}"/>
              </a:ext>
            </a:extLst>
          </xdr:cNvPr>
          <xdr:cNvGraphicFramePr>
            <a:graphicFrameLocks/>
          </xdr:cNvGraphicFramePr>
        </xdr:nvGraphicFramePr>
        <xdr:xfrm>
          <a:off x="23869303" y="15719787"/>
          <a:ext cx="4925260" cy="2004060"/>
        </xdr:xfrm>
        <a:graphic>
          <a:graphicData uri="http://schemas.openxmlformats.org/drawingml/2006/chart">
            <c:chart xmlns:c="http://schemas.openxmlformats.org/drawingml/2006/chart" xmlns:r="http://schemas.openxmlformats.org/officeDocument/2006/relationships" r:id="rId16"/>
          </a:graphicData>
        </a:graphic>
      </xdr:graphicFrame>
      <xdr:pic>
        <xdr:nvPicPr>
          <xdr:cNvPr id="134" name="Picture 133">
            <a:extLst>
              <a:ext uri="{FF2B5EF4-FFF2-40B4-BE49-F238E27FC236}">
                <a16:creationId xmlns:a16="http://schemas.microsoft.com/office/drawing/2014/main" id="{FD31DFB6-BC48-B6C4-D2DC-3CC7A206DD76}"/>
              </a:ext>
            </a:extLst>
          </xdr:cNvPr>
          <xdr:cNvPicPr>
            <a:picLocks noChangeAspect="1"/>
          </xdr:cNvPicPr>
        </xdr:nvPicPr>
        <xdr:blipFill>
          <a:blip xmlns:r="http://schemas.openxmlformats.org/officeDocument/2006/relationships" r:embed="rId17"/>
          <a:stretch>
            <a:fillRect/>
          </a:stretch>
        </xdr:blipFill>
        <xdr:spPr>
          <a:xfrm>
            <a:off x="22537936" y="15832964"/>
            <a:ext cx="1195686" cy="1371165"/>
          </a:xfrm>
          <a:prstGeom prst="rect">
            <a:avLst/>
          </a:prstGeom>
          <a:ln>
            <a:noFill/>
          </a:ln>
          <a:effectLst>
            <a:softEdge rad="112500"/>
          </a:effectLst>
        </xdr:spPr>
      </xdr:pic>
    </xdr:grpSp>
    <xdr:clientData/>
  </xdr:twoCellAnchor>
  <xdr:twoCellAnchor>
    <xdr:from>
      <xdr:col>28</xdr:col>
      <xdr:colOff>564573</xdr:colOff>
      <xdr:row>124</xdr:row>
      <xdr:rowOff>130463</xdr:rowOff>
    </xdr:from>
    <xdr:to>
      <xdr:col>37</xdr:col>
      <xdr:colOff>387927</xdr:colOff>
      <xdr:row>134</xdr:row>
      <xdr:rowOff>107374</xdr:rowOff>
    </xdr:to>
    <xdr:sp macro="" textlink="">
      <xdr:nvSpPr>
        <xdr:cNvPr id="177" name="Rectangle: Rounded Corners 176">
          <a:extLst>
            <a:ext uri="{FF2B5EF4-FFF2-40B4-BE49-F238E27FC236}">
              <a16:creationId xmlns:a16="http://schemas.microsoft.com/office/drawing/2014/main" id="{54F9DCAF-24BC-851E-5510-BD03DA5A3D05}"/>
            </a:ext>
          </a:extLst>
        </xdr:cNvPr>
        <xdr:cNvSpPr/>
      </xdr:nvSpPr>
      <xdr:spPr>
        <a:xfrm>
          <a:off x="17917391" y="28133963"/>
          <a:ext cx="5278581" cy="18819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11. </a:t>
          </a:r>
          <a:r>
            <a:rPr lang="vi-VN" sz="2000" kern="1200">
              <a:solidFill>
                <a:sysClr val="windowText" lastClr="000000"/>
              </a:solidFill>
              <a:latin typeface="Times New Roman" panose="02020603050405020304" pitchFamily="18" charset="0"/>
              <a:cs typeface="Times New Roman" panose="02020603050405020304" pitchFamily="18" charset="0"/>
            </a:rPr>
            <a:t>Rà soát cập nhật lại kế hoạch bảo dưỡng theo phương thức bảo dưỡng để tăng hiệu quả trong công tác bảo dưỡng (áp dụng đối với Phân xưởng/hệ thống do X. ĐK phụ trách công tác lập kế hoạch)</a:t>
          </a:r>
        </a:p>
        <a:p>
          <a:pPr algn="l"/>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36</xdr:col>
      <xdr:colOff>528203</xdr:colOff>
      <xdr:row>43</xdr:row>
      <xdr:rowOff>86584</xdr:rowOff>
    </xdr:from>
    <xdr:to>
      <xdr:col>38</xdr:col>
      <xdr:colOff>292677</xdr:colOff>
      <xdr:row>43</xdr:row>
      <xdr:rowOff>86584</xdr:rowOff>
    </xdr:to>
    <xdr:cxnSp macro="">
      <xdr:nvCxnSpPr>
        <xdr:cNvPr id="180" name="Straight Arrow Connector 179">
          <a:extLst>
            <a:ext uri="{FF2B5EF4-FFF2-40B4-BE49-F238E27FC236}">
              <a16:creationId xmlns:a16="http://schemas.microsoft.com/office/drawing/2014/main" id="{0205F160-69F6-4A5B-7003-26947EB0C489}"/>
            </a:ext>
          </a:extLst>
        </xdr:cNvPr>
        <xdr:cNvCxnSpPr/>
      </xdr:nvCxnSpPr>
      <xdr:spPr>
        <a:xfrm>
          <a:off x="23360494" y="12735784"/>
          <a:ext cx="1011383"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528203</xdr:colOff>
      <xdr:row>49</xdr:row>
      <xdr:rowOff>180101</xdr:rowOff>
    </xdr:from>
    <xdr:to>
      <xdr:col>38</xdr:col>
      <xdr:colOff>292677</xdr:colOff>
      <xdr:row>49</xdr:row>
      <xdr:rowOff>180101</xdr:rowOff>
    </xdr:to>
    <xdr:cxnSp macro="">
      <xdr:nvCxnSpPr>
        <xdr:cNvPr id="182" name="Straight Arrow Connector 181">
          <a:extLst>
            <a:ext uri="{FF2B5EF4-FFF2-40B4-BE49-F238E27FC236}">
              <a16:creationId xmlns:a16="http://schemas.microsoft.com/office/drawing/2014/main" id="{76274D03-177F-FC11-9EA5-0935DE876DCD}"/>
            </a:ext>
          </a:extLst>
        </xdr:cNvPr>
        <xdr:cNvCxnSpPr/>
      </xdr:nvCxnSpPr>
      <xdr:spPr>
        <a:xfrm>
          <a:off x="23360494" y="13909956"/>
          <a:ext cx="1011383"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374072</xdr:colOff>
      <xdr:row>135</xdr:row>
      <xdr:rowOff>85438</xdr:rowOff>
    </xdr:from>
    <xdr:to>
      <xdr:col>39</xdr:col>
      <xdr:colOff>121227</xdr:colOff>
      <xdr:row>135</xdr:row>
      <xdr:rowOff>85438</xdr:rowOff>
    </xdr:to>
    <xdr:cxnSp macro="">
      <xdr:nvCxnSpPr>
        <xdr:cNvPr id="186" name="Straight Arrow Connector 185">
          <a:extLst>
            <a:ext uri="{FF2B5EF4-FFF2-40B4-BE49-F238E27FC236}">
              <a16:creationId xmlns:a16="http://schemas.microsoft.com/office/drawing/2014/main" id="{E7E1295F-4A71-8814-FDD5-C5F8B39B8C53}"/>
            </a:ext>
          </a:extLst>
        </xdr:cNvPr>
        <xdr:cNvCxnSpPr/>
      </xdr:nvCxnSpPr>
      <xdr:spPr>
        <a:xfrm>
          <a:off x="23182117" y="30184438"/>
          <a:ext cx="959428"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581890</xdr:colOff>
      <xdr:row>44</xdr:row>
      <xdr:rowOff>131644</xdr:rowOff>
    </xdr:from>
    <xdr:to>
      <xdr:col>33</xdr:col>
      <xdr:colOff>401782</xdr:colOff>
      <xdr:row>46</xdr:row>
      <xdr:rowOff>169708</xdr:rowOff>
    </xdr:to>
    <xdr:sp macro="" textlink="">
      <xdr:nvSpPr>
        <xdr:cNvPr id="187" name="Rectangle: Rounded Corners 186">
          <a:extLst>
            <a:ext uri="{FF2B5EF4-FFF2-40B4-BE49-F238E27FC236}">
              <a16:creationId xmlns:a16="http://schemas.microsoft.com/office/drawing/2014/main" id="{B804133B-AE75-1691-59BF-E8171E660D6F}"/>
            </a:ext>
          </a:extLst>
        </xdr:cNvPr>
        <xdr:cNvSpPr/>
      </xdr:nvSpPr>
      <xdr:spPr>
        <a:xfrm>
          <a:off x="19049999" y="12960953"/>
          <a:ext cx="2313710" cy="3982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vị</a:t>
          </a:r>
          <a:r>
            <a:rPr lang="en-US" sz="1800" b="1" kern="1200" baseline="0">
              <a:solidFill>
                <a:srgbClr val="00B050"/>
              </a:solidFill>
              <a:latin typeface="Times New Roman" panose="02020603050405020304" pitchFamily="18" charset="0"/>
              <a:cs typeface="Times New Roman" panose="02020603050405020304" pitchFamily="18" charset="0"/>
            </a:rPr>
            <a:t> trí chức danh</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29</xdr:col>
      <xdr:colOff>460662</xdr:colOff>
      <xdr:row>51</xdr:row>
      <xdr:rowOff>159353</xdr:rowOff>
    </xdr:from>
    <xdr:to>
      <xdr:col>33</xdr:col>
      <xdr:colOff>280554</xdr:colOff>
      <xdr:row>53</xdr:row>
      <xdr:rowOff>179406</xdr:rowOff>
    </xdr:to>
    <xdr:sp macro="" textlink="">
      <xdr:nvSpPr>
        <xdr:cNvPr id="188" name="Rectangle: Rounded Corners 187">
          <a:extLst>
            <a:ext uri="{FF2B5EF4-FFF2-40B4-BE49-F238E27FC236}">
              <a16:creationId xmlns:a16="http://schemas.microsoft.com/office/drawing/2014/main" id="{ED3269D5-ABF2-DFE2-FFD0-31E6EADCE9B7}"/>
            </a:ext>
          </a:extLst>
        </xdr:cNvPr>
        <xdr:cNvSpPr/>
      </xdr:nvSpPr>
      <xdr:spPr>
        <a:xfrm>
          <a:off x="18928771" y="14249426"/>
          <a:ext cx="2313710" cy="3802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33</a:t>
          </a:r>
          <a:r>
            <a:rPr lang="en-US" sz="1800" b="1" kern="1200">
              <a:solidFill>
                <a:srgbClr val="00B050"/>
              </a:solidFill>
              <a:latin typeface="Times New Roman" panose="02020603050405020304" pitchFamily="18" charset="0"/>
              <a:cs typeface="Times New Roman" panose="02020603050405020304" pitchFamily="18" charset="0"/>
            </a:rPr>
            <a:t> CBCNV</a:t>
          </a:r>
        </a:p>
      </xdr:txBody>
    </xdr:sp>
    <xdr:clientData/>
  </xdr:twoCellAnchor>
  <xdr:twoCellAnchor>
    <xdr:from>
      <xdr:col>28</xdr:col>
      <xdr:colOff>401782</xdr:colOff>
      <xdr:row>133</xdr:row>
      <xdr:rowOff>124691</xdr:rowOff>
    </xdr:from>
    <xdr:to>
      <xdr:col>37</xdr:col>
      <xdr:colOff>235528</xdr:colOff>
      <xdr:row>144</xdr:row>
      <xdr:rowOff>16162</xdr:rowOff>
    </xdr:to>
    <xdr:sp macro="" textlink="">
      <xdr:nvSpPr>
        <xdr:cNvPr id="194" name="Rectangle: Rounded Corners 193">
          <a:extLst>
            <a:ext uri="{FF2B5EF4-FFF2-40B4-BE49-F238E27FC236}">
              <a16:creationId xmlns:a16="http://schemas.microsoft.com/office/drawing/2014/main" id="{D4A16C6F-4756-BD8F-9220-38D37AC14998}"/>
            </a:ext>
          </a:extLst>
        </xdr:cNvPr>
        <xdr:cNvSpPr/>
      </xdr:nvSpPr>
      <xdr:spPr>
        <a:xfrm>
          <a:off x="18246437" y="28983709"/>
          <a:ext cx="5444836" cy="1872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kern="1200">
              <a:solidFill>
                <a:srgbClr val="FF0000"/>
              </a:solidFill>
              <a:latin typeface="Times New Roman" panose="02020603050405020304" pitchFamily="18" charset="0"/>
              <a:cs typeface="Times New Roman" panose="02020603050405020304" pitchFamily="18" charset="0"/>
            </a:rPr>
            <a:t>- Đội TBCH: </a:t>
          </a:r>
          <a:r>
            <a:rPr lang="en-US" sz="1800" b="1" kern="1200">
              <a:solidFill>
                <a:srgbClr val="00B050"/>
              </a:solidFill>
              <a:latin typeface="Times New Roman" panose="02020603050405020304" pitchFamily="18" charset="0"/>
              <a:cs typeface="Times New Roman" panose="02020603050405020304" pitchFamily="18" charset="0"/>
            </a:rPr>
            <a:t>SP/NPK/GN/Quan trắc/Phân tích/TB đo khí cầm tay;</a:t>
          </a:r>
        </a:p>
        <a:p>
          <a:pPr algn="l"/>
          <a:endParaRPr lang="en-US" sz="1800" b="1" kern="1200">
            <a:solidFill>
              <a:srgbClr val="FF000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 Đo: </a:t>
          </a:r>
          <a:r>
            <a:rPr lang="en-US" sz="1800" b="1" kern="1200">
              <a:solidFill>
                <a:srgbClr val="00B050"/>
              </a:solidFill>
              <a:latin typeface="Times New Roman" panose="02020603050405020304" pitchFamily="18" charset="0"/>
              <a:cs typeface="Times New Roman" panose="02020603050405020304" pitchFamily="18" charset="0"/>
            </a:rPr>
            <a:t>PI,TI/ ACC/ PA/Camera/Bộ đàm;</a:t>
          </a:r>
        </a:p>
        <a:p>
          <a:pPr algn="l"/>
          <a:endParaRPr lang="en-US" sz="1800" b="1" kern="1200">
            <a:solidFill>
              <a:srgbClr val="00B05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TBHTĐK: </a:t>
          </a:r>
          <a:r>
            <a:rPr lang="en-US" sz="1800" b="1" kern="1200">
              <a:solidFill>
                <a:srgbClr val="00B050"/>
              </a:solidFill>
              <a:latin typeface="Times New Roman" panose="02020603050405020304" pitchFamily="18" charset="0"/>
              <a:cs typeface="Times New Roman" panose="02020603050405020304" pitchFamily="18" charset="0"/>
            </a:rPr>
            <a:t>Hệ thống phòng cháy</a:t>
          </a:r>
          <a:endParaRPr lang="en-US" sz="11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39</xdr:col>
      <xdr:colOff>290947</xdr:colOff>
      <xdr:row>132</xdr:row>
      <xdr:rowOff>102788</xdr:rowOff>
    </xdr:from>
    <xdr:to>
      <xdr:col>47</xdr:col>
      <xdr:colOff>190499</xdr:colOff>
      <xdr:row>138</xdr:row>
      <xdr:rowOff>2310</xdr:rowOff>
    </xdr:to>
    <xdr:sp macro="" textlink="">
      <xdr:nvSpPr>
        <xdr:cNvPr id="195" name="Rectangle: Rounded Corners 194">
          <a:extLst>
            <a:ext uri="{FF2B5EF4-FFF2-40B4-BE49-F238E27FC236}">
              <a16:creationId xmlns:a16="http://schemas.microsoft.com/office/drawing/2014/main" id="{3224CEC4-E1D0-E1DA-1FD2-1F19D11DFBEF}"/>
            </a:ext>
          </a:extLst>
        </xdr:cNvPr>
        <xdr:cNvSpPr/>
      </xdr:nvSpPr>
      <xdr:spPr>
        <a:xfrm>
          <a:off x="24311265" y="29630288"/>
          <a:ext cx="4991098" cy="10425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a:t>
          </a:r>
          <a:r>
            <a:rPr lang="en-US" sz="20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39</xdr:col>
      <xdr:colOff>332510</xdr:colOff>
      <xdr:row>41</xdr:row>
      <xdr:rowOff>65835</xdr:rowOff>
    </xdr:from>
    <xdr:to>
      <xdr:col>47</xdr:col>
      <xdr:colOff>249381</xdr:colOff>
      <xdr:row>46</xdr:row>
      <xdr:rowOff>145466</xdr:rowOff>
    </xdr:to>
    <xdr:sp macro="" textlink="">
      <xdr:nvSpPr>
        <xdr:cNvPr id="196" name="Rectangle: Rounded Corners 195">
          <a:extLst>
            <a:ext uri="{FF2B5EF4-FFF2-40B4-BE49-F238E27FC236}">
              <a16:creationId xmlns:a16="http://schemas.microsoft.com/office/drawing/2014/main" id="{EBE315F6-450D-E1DB-5A63-BD38821F2AC4}"/>
            </a:ext>
          </a:extLst>
        </xdr:cNvPr>
        <xdr:cNvSpPr/>
      </xdr:nvSpPr>
      <xdr:spPr>
        <a:xfrm>
          <a:off x="25035165" y="12354817"/>
          <a:ext cx="5153889" cy="98017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kern="1200">
              <a:solidFill>
                <a:schemeClr val="tx1"/>
              </a:solidFill>
              <a:latin typeface="Times New Roman" panose="02020603050405020304" pitchFamily="18" charset="0"/>
              <a:cs typeface="Times New Roman" panose="02020603050405020304" pitchFamily="18" charset="0"/>
            </a:rPr>
            <a:t>Hoàn</a:t>
          </a:r>
          <a:r>
            <a:rPr lang="en-US" sz="2000" b="0" kern="1200" baseline="0">
              <a:solidFill>
                <a:schemeClr val="tx1"/>
              </a:solidFill>
              <a:latin typeface="Times New Roman" panose="02020603050405020304" pitchFamily="18" charset="0"/>
              <a:cs typeface="Times New Roman" panose="02020603050405020304" pitchFamily="18" charset="0"/>
            </a:rPr>
            <a:t> thành </a:t>
          </a:r>
          <a:r>
            <a:rPr lang="en-US" sz="2000" b="1" kern="1200" baseline="0">
              <a:solidFill>
                <a:schemeClr val="tx1"/>
              </a:solidFill>
              <a:latin typeface="Times New Roman" panose="02020603050405020304" pitchFamily="18" charset="0"/>
              <a:cs typeface="Times New Roman" panose="02020603050405020304" pitchFamily="18" charset="0"/>
            </a:rPr>
            <a:t>1 KNL </a:t>
          </a:r>
          <a:r>
            <a:rPr lang="en-US" sz="2000" b="0" kern="1200" baseline="0">
              <a:solidFill>
                <a:schemeClr val="tx1"/>
              </a:solidFill>
              <a:latin typeface="Times New Roman" panose="02020603050405020304" pitchFamily="18" charset="0"/>
              <a:cs typeface="Times New Roman" panose="02020603050405020304" pitchFamily="18" charset="0"/>
            </a:rPr>
            <a:t>cho vị trí KTV BDSC TBHTĐK</a:t>
          </a:r>
        </a:p>
      </xdr:txBody>
    </xdr:sp>
    <xdr:clientData/>
  </xdr:twoCellAnchor>
  <xdr:twoCellAnchor>
    <xdr:from>
      <xdr:col>39</xdr:col>
      <xdr:colOff>308264</xdr:colOff>
      <xdr:row>48</xdr:row>
      <xdr:rowOff>83128</xdr:rowOff>
    </xdr:from>
    <xdr:to>
      <xdr:col>47</xdr:col>
      <xdr:colOff>225135</xdr:colOff>
      <xdr:row>51</xdr:row>
      <xdr:rowOff>124682</xdr:rowOff>
    </xdr:to>
    <xdr:sp macro="" textlink="">
      <xdr:nvSpPr>
        <xdr:cNvPr id="197" name="Rectangle: Rounded Corners 196">
          <a:extLst>
            <a:ext uri="{FF2B5EF4-FFF2-40B4-BE49-F238E27FC236}">
              <a16:creationId xmlns:a16="http://schemas.microsoft.com/office/drawing/2014/main" id="{A7B3E727-592B-B313-71F7-81A54DA10A48}"/>
            </a:ext>
          </a:extLst>
        </xdr:cNvPr>
        <xdr:cNvSpPr/>
      </xdr:nvSpPr>
      <xdr:spPr>
        <a:xfrm>
          <a:off x="25010919" y="13632873"/>
          <a:ext cx="5153889" cy="5818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chemeClr val="tx1"/>
              </a:solidFill>
              <a:latin typeface="Times New Roman" panose="02020603050405020304" pitchFamily="18" charset="0"/>
              <a:cs typeface="Times New Roman" panose="02020603050405020304" pitchFamily="18" charset="0"/>
            </a:rPr>
            <a:t>Đang</a:t>
          </a:r>
          <a:r>
            <a:rPr lang="en-US" sz="2000" b="1" kern="1200" baseline="0">
              <a:solidFill>
                <a:schemeClr val="tx1"/>
              </a:solidFill>
              <a:latin typeface="Times New Roman" panose="02020603050405020304" pitchFamily="18" charset="0"/>
              <a:cs typeface="Times New Roman" panose="02020603050405020304" pitchFamily="18" charset="0"/>
            </a:rPr>
            <a:t> triển khai thực hiện</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31173</xdr:colOff>
      <xdr:row>145</xdr:row>
      <xdr:rowOff>67750</xdr:rowOff>
    </xdr:from>
    <xdr:to>
      <xdr:col>47</xdr:col>
      <xdr:colOff>308263</xdr:colOff>
      <xdr:row>153</xdr:row>
      <xdr:rowOff>115464</xdr:rowOff>
    </xdr:to>
    <xdr:grpSp>
      <xdr:nvGrpSpPr>
        <xdr:cNvPr id="332" name="Group 331">
          <a:extLst>
            <a:ext uri="{FF2B5EF4-FFF2-40B4-BE49-F238E27FC236}">
              <a16:creationId xmlns:a16="http://schemas.microsoft.com/office/drawing/2014/main" id="{F31520E1-B3C4-6D8C-44FE-399EFA3C16F2}"/>
            </a:ext>
          </a:extLst>
        </xdr:cNvPr>
        <xdr:cNvGrpSpPr/>
      </xdr:nvGrpSpPr>
      <xdr:grpSpPr>
        <a:xfrm>
          <a:off x="16777855" y="32071750"/>
          <a:ext cx="12642272" cy="1571714"/>
          <a:chOff x="17404773" y="26897449"/>
          <a:chExt cx="12642272" cy="1574798"/>
        </a:xfrm>
      </xdr:grpSpPr>
      <xdr:sp macro="" textlink="">
        <xdr:nvSpPr>
          <xdr:cNvPr id="204" name="Rectangle: Rounded Corners 203">
            <a:extLst>
              <a:ext uri="{FF2B5EF4-FFF2-40B4-BE49-F238E27FC236}">
                <a16:creationId xmlns:a16="http://schemas.microsoft.com/office/drawing/2014/main" id="{93A4DE86-F23B-44B0-BAD9-11420BCD4E6B}"/>
              </a:ext>
            </a:extLst>
          </xdr:cNvPr>
          <xdr:cNvSpPr/>
        </xdr:nvSpPr>
        <xdr:spPr>
          <a:xfrm>
            <a:off x="17404773" y="26897449"/>
            <a:ext cx="12642272" cy="1574798"/>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5" name="Rectangle: Rounded Corners 204">
            <a:extLst>
              <a:ext uri="{FF2B5EF4-FFF2-40B4-BE49-F238E27FC236}">
                <a16:creationId xmlns:a16="http://schemas.microsoft.com/office/drawing/2014/main" id="{E830662A-76F3-4140-9D56-A21780CB7049}"/>
              </a:ext>
            </a:extLst>
          </xdr:cNvPr>
          <xdr:cNvSpPr/>
        </xdr:nvSpPr>
        <xdr:spPr>
          <a:xfrm>
            <a:off x="20207785" y="26999048"/>
            <a:ext cx="7120305" cy="417902"/>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KR12 SÁNG KIẾN ĐƯỢC CÔNG NHẬN CẤP TIỂU BAN ĐIỀU KHIỂN</a:t>
            </a:r>
          </a:p>
        </xdr:txBody>
      </xdr:sp>
      <xdr:sp macro="" textlink="">
        <xdr:nvSpPr>
          <xdr:cNvPr id="206" name="Rectangle: Rounded Corners 205">
            <a:extLst>
              <a:ext uri="{FF2B5EF4-FFF2-40B4-BE49-F238E27FC236}">
                <a16:creationId xmlns:a16="http://schemas.microsoft.com/office/drawing/2014/main" id="{3D35B8A8-FDB0-EF3B-9DCA-BE46980BBF61}"/>
              </a:ext>
            </a:extLst>
          </xdr:cNvPr>
          <xdr:cNvSpPr/>
        </xdr:nvSpPr>
        <xdr:spPr>
          <a:xfrm>
            <a:off x="18802926" y="27600021"/>
            <a:ext cx="1389831" cy="3676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cxnSp macro="">
        <xdr:nvCxnSpPr>
          <xdr:cNvPr id="208" name="Straight Connector 207">
            <a:extLst>
              <a:ext uri="{FF2B5EF4-FFF2-40B4-BE49-F238E27FC236}">
                <a16:creationId xmlns:a16="http://schemas.microsoft.com/office/drawing/2014/main" id="{6B6DFB26-19BC-41D3-9265-5851CEDEE2EA}"/>
              </a:ext>
            </a:extLst>
          </xdr:cNvPr>
          <xdr:cNvCxnSpPr/>
        </xdr:nvCxnSpPr>
        <xdr:spPr>
          <a:xfrm>
            <a:off x="23706147" y="27562464"/>
            <a:ext cx="0" cy="762000"/>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11" name="Rectangle: Rounded Corners 210">
            <a:extLst>
              <a:ext uri="{FF2B5EF4-FFF2-40B4-BE49-F238E27FC236}">
                <a16:creationId xmlns:a16="http://schemas.microsoft.com/office/drawing/2014/main" id="{747E5CF9-9D22-425D-75E3-FF0750FDB32E}"/>
              </a:ext>
            </a:extLst>
          </xdr:cNvPr>
          <xdr:cNvSpPr/>
        </xdr:nvSpPr>
        <xdr:spPr>
          <a:xfrm>
            <a:off x="20086780" y="27600021"/>
            <a:ext cx="2244437"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2" name="Rectangle: Rounded Corners 211">
            <a:extLst>
              <a:ext uri="{FF2B5EF4-FFF2-40B4-BE49-F238E27FC236}">
                <a16:creationId xmlns:a16="http://schemas.microsoft.com/office/drawing/2014/main" id="{F208D183-3F8E-D225-50A6-45C107381776}"/>
              </a:ext>
            </a:extLst>
          </xdr:cNvPr>
          <xdr:cNvSpPr/>
        </xdr:nvSpPr>
        <xdr:spPr>
          <a:xfrm>
            <a:off x="25182515" y="27548067"/>
            <a:ext cx="1404726" cy="37148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3" name="Rectangle: Rounded Corners 212">
            <a:extLst>
              <a:ext uri="{FF2B5EF4-FFF2-40B4-BE49-F238E27FC236}">
                <a16:creationId xmlns:a16="http://schemas.microsoft.com/office/drawing/2014/main" id="{77880BF8-56D0-0512-4624-9D027315693E}"/>
              </a:ext>
            </a:extLst>
          </xdr:cNvPr>
          <xdr:cNvSpPr/>
        </xdr:nvSpPr>
        <xdr:spPr>
          <a:xfrm>
            <a:off x="26591489" y="27548067"/>
            <a:ext cx="2251076"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0</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pic>
        <xdr:nvPicPr>
          <xdr:cNvPr id="207" name="Picture 206" descr="Target - Free seo and web icons">
            <a:extLst>
              <a:ext uri="{FF2B5EF4-FFF2-40B4-BE49-F238E27FC236}">
                <a16:creationId xmlns:a16="http://schemas.microsoft.com/office/drawing/2014/main" id="{0D7C95D7-8E1F-75EB-3443-44953DEA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87371" y="27550918"/>
            <a:ext cx="880463" cy="7985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64689</xdr:colOff>
      <xdr:row>98</xdr:row>
      <xdr:rowOff>86585</xdr:rowOff>
    </xdr:from>
    <xdr:to>
      <xdr:col>12</xdr:col>
      <xdr:colOff>328842</xdr:colOff>
      <xdr:row>119</xdr:row>
      <xdr:rowOff>43538</xdr:rowOff>
    </xdr:to>
    <xdr:grpSp>
      <xdr:nvGrpSpPr>
        <xdr:cNvPr id="201" name="Group 200">
          <a:extLst>
            <a:ext uri="{FF2B5EF4-FFF2-40B4-BE49-F238E27FC236}">
              <a16:creationId xmlns:a16="http://schemas.microsoft.com/office/drawing/2014/main" id="{23A609BD-AF6D-0D1F-7EA2-351AFB32B92E}"/>
            </a:ext>
          </a:extLst>
        </xdr:cNvPr>
        <xdr:cNvGrpSpPr/>
      </xdr:nvGrpSpPr>
      <xdr:grpSpPr>
        <a:xfrm>
          <a:off x="64689" y="23137085"/>
          <a:ext cx="7918789" cy="3957453"/>
          <a:chOff x="64689" y="13525500"/>
          <a:chExt cx="8438335" cy="3957453"/>
        </a:xfrm>
      </xdr:grpSpPr>
      <xdr:sp macro="" textlink="">
        <xdr:nvSpPr>
          <xdr:cNvPr id="12" name="Rectangle: Rounded Corners 11">
            <a:extLst>
              <a:ext uri="{FF2B5EF4-FFF2-40B4-BE49-F238E27FC236}">
                <a16:creationId xmlns:a16="http://schemas.microsoft.com/office/drawing/2014/main" id="{730793B9-883C-BE21-7E85-695B49BF3F42}"/>
              </a:ext>
            </a:extLst>
          </xdr:cNvPr>
          <xdr:cNvSpPr/>
        </xdr:nvSpPr>
        <xdr:spPr>
          <a:xfrm>
            <a:off x="1655108" y="13525500"/>
            <a:ext cx="5833783" cy="463081"/>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CÔNG TÁC SỬA CHỮA ĐỘT XUÁT</a:t>
            </a:r>
          </a:p>
        </xdr:txBody>
      </xdr:sp>
      <xdr:graphicFrame macro="">
        <xdr:nvGraphicFramePr>
          <xdr:cNvPr id="20" name="Chart 19">
            <a:extLst>
              <a:ext uri="{FF2B5EF4-FFF2-40B4-BE49-F238E27FC236}">
                <a16:creationId xmlns:a16="http://schemas.microsoft.com/office/drawing/2014/main" id="{685E8E35-4820-486B-9900-5F265327F6C7}"/>
              </a:ext>
            </a:extLst>
          </xdr:cNvPr>
          <xdr:cNvGraphicFramePr>
            <a:graphicFrameLocks/>
          </xdr:cNvGraphicFramePr>
        </xdr:nvGraphicFramePr>
        <xdr:xfrm>
          <a:off x="528854" y="14303668"/>
          <a:ext cx="3263827" cy="3179285"/>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119" name="Rectangle: Rounded Corners 118">
            <a:extLst>
              <a:ext uri="{FF2B5EF4-FFF2-40B4-BE49-F238E27FC236}">
                <a16:creationId xmlns:a16="http://schemas.microsoft.com/office/drawing/2014/main" id="{A74B7E0D-711B-E49A-22B5-A9398B6354A5}"/>
              </a:ext>
            </a:extLst>
          </xdr:cNvPr>
          <xdr:cNvSpPr/>
        </xdr:nvSpPr>
        <xdr:spPr>
          <a:xfrm>
            <a:off x="3851566" y="14422583"/>
            <a:ext cx="4651458" cy="2978728"/>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i="0">
                <a:solidFill>
                  <a:srgbClr val="FF0000"/>
                </a:solidFill>
                <a:effectLst/>
                <a:latin typeface="Times New Roman" panose="02020603050405020304" pitchFamily="18" charset="0"/>
                <a:ea typeface="+mn-ea"/>
                <a:cs typeface="Times New Roman" panose="02020603050405020304" pitchFamily="18" charset="0"/>
              </a:rPr>
              <a:t>T</a:t>
            </a:r>
            <a:r>
              <a:rPr lang="vi-VN" sz="1600" b="1" i="0">
                <a:solidFill>
                  <a:srgbClr val="FF0000"/>
                </a:solidFill>
                <a:effectLst/>
                <a:latin typeface="Times New Roman" panose="02020603050405020304" pitchFamily="18" charset="0"/>
                <a:ea typeface="+mn-ea"/>
                <a:cs typeface="Times New Roman" panose="02020603050405020304" pitchFamily="18" charset="0"/>
              </a:rPr>
              <a:t>ồn đọng </a:t>
            </a:r>
            <a:r>
              <a:rPr lang="en-US" sz="1600" b="1" i="0">
                <a:solidFill>
                  <a:srgbClr val="FF0000"/>
                </a:solidFill>
                <a:effectLst/>
                <a:latin typeface="Times New Roman" panose="02020603050405020304" pitchFamily="18" charset="0"/>
                <a:ea typeface="+mn-ea"/>
                <a:cs typeface="Times New Roman" panose="02020603050405020304" pitchFamily="18" charset="0"/>
              </a:rPr>
              <a:t>6</a:t>
            </a:r>
            <a:r>
              <a:rPr lang="vi-VN" sz="1600" b="1" i="0">
                <a:solidFill>
                  <a:srgbClr val="FF0000"/>
                </a:solidFill>
                <a:effectLst/>
                <a:latin typeface="Times New Roman" panose="02020603050405020304" pitchFamily="18" charset="0"/>
                <a:ea typeface="+mn-ea"/>
                <a:cs typeface="Times New Roman" panose="02020603050405020304" pitchFamily="18" charset="0"/>
              </a:rPr>
              <a:t> hạng mục chưa đạt</a:t>
            </a:r>
            <a:r>
              <a:rPr lang="en-US" sz="1600" b="1" i="0">
                <a:solidFill>
                  <a:srgbClr val="FF0000"/>
                </a:solidFill>
                <a:effectLst/>
                <a:latin typeface="Times New Roman" panose="02020603050405020304" pitchFamily="18" charset="0"/>
                <a:ea typeface="+mn-ea"/>
                <a:cs typeface="Times New Roman" panose="02020603050405020304" pitchFamily="18" charset="0"/>
              </a:rPr>
              <a:t> vì</a:t>
            </a:r>
            <a:r>
              <a:rPr lang="en-US" sz="1600" b="1" i="0" baseline="0">
                <a:solidFill>
                  <a:srgbClr val="FF0000"/>
                </a:solidFill>
                <a:effectLst/>
                <a:latin typeface="Times New Roman" panose="02020603050405020304" pitchFamily="18" charset="0"/>
                <a:ea typeface="+mn-ea"/>
                <a:cs typeface="Times New Roman" panose="02020603050405020304" pitchFamily="18" charset="0"/>
              </a:rPr>
              <a:t> lý do</a:t>
            </a:r>
            <a:r>
              <a:rPr lang="vi-VN" sz="1600" b="1" i="0">
                <a:solidFill>
                  <a:srgbClr val="FF0000"/>
                </a:solidFill>
                <a:effectLst/>
                <a:latin typeface="Times New Roman" panose="02020603050405020304" pitchFamily="18" charset="0"/>
                <a:ea typeface="+mn-ea"/>
                <a:cs typeface="Times New Roman" panose="02020603050405020304" pitchFamily="18" charset="0"/>
              </a:rPr>
              <a:t> khách quan: </a:t>
            </a:r>
          </a:p>
          <a:p>
            <a:pPr algn="l"/>
            <a:r>
              <a:rPr lang="vi-VN" sz="1600" b="0" i="0">
                <a:solidFill>
                  <a:schemeClr val="tx1"/>
                </a:solidFill>
                <a:effectLst/>
                <a:latin typeface="Times New Roman" panose="02020603050405020304" pitchFamily="18" charset="0"/>
                <a:ea typeface="+mn-ea"/>
                <a:cs typeface="Times New Roman" panose="02020603050405020304" pitchFamily="18" charset="0"/>
              </a:rPr>
              <a:t>+ 5 hết tồn kho(06TT-1081, 04TT-2114, 06TT-1068,04TT-2027B, 20AT-2008)  </a:t>
            </a:r>
          </a:p>
          <a:p>
            <a:pPr algn="l"/>
            <a:r>
              <a:rPr lang="vi-VN" sz="1600" b="0" i="0">
                <a:solidFill>
                  <a:schemeClr val="tx1"/>
                </a:solidFill>
                <a:effectLst/>
                <a:latin typeface="Times New Roman" panose="02020603050405020304" pitchFamily="18" charset="0"/>
                <a:ea typeface="+mn-ea"/>
                <a:cs typeface="Times New Roman" panose="02020603050405020304" pitchFamily="18" charset="0"/>
              </a:rPr>
              <a:t>+ 1  chuyển Đội HC xử lý do cần đầu mối liên hệ NCC xử lý tìm nguyên nhân (04PIC-2410) </a:t>
            </a:r>
            <a:endParaRPr lang="vi-VN" sz="1400" b="0" i="0">
              <a:solidFill>
                <a:schemeClr val="tx1"/>
              </a:solidFill>
              <a:effectLst/>
              <a:latin typeface="Times New Roman" panose="02020603050405020304" pitchFamily="18" charset="0"/>
              <a:ea typeface="+mn-ea"/>
              <a:cs typeface="Times New Roman" panose="02020603050405020304" pitchFamily="18" charset="0"/>
            </a:endParaRPr>
          </a:p>
        </xdr:txBody>
      </xdr:sp>
      <xdr:pic>
        <xdr:nvPicPr>
          <xdr:cNvPr id="14" name="Picture 13" descr="Maintenance and Care Archives | Autometrix">
            <a:extLst>
              <a:ext uri="{FF2B5EF4-FFF2-40B4-BE49-F238E27FC236}">
                <a16:creationId xmlns:a16="http://schemas.microsoft.com/office/drawing/2014/main" id="{3D9553CF-CBC5-C7FA-CEB5-407CD176FAB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4689" y="15127881"/>
            <a:ext cx="1137832" cy="1144283"/>
          </a:xfrm>
          <a:prstGeom prst="ellipse">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30</xdr:col>
      <xdr:colOff>34638</xdr:colOff>
      <xdr:row>197</xdr:row>
      <xdr:rowOff>27720</xdr:rowOff>
    </xdr:from>
    <xdr:to>
      <xdr:col>35</xdr:col>
      <xdr:colOff>311729</xdr:colOff>
      <xdr:row>202</xdr:row>
      <xdr:rowOff>173193</xdr:rowOff>
    </xdr:to>
    <xdr:grpSp>
      <xdr:nvGrpSpPr>
        <xdr:cNvPr id="193" name="Group 192">
          <a:extLst>
            <a:ext uri="{FF2B5EF4-FFF2-40B4-BE49-F238E27FC236}">
              <a16:creationId xmlns:a16="http://schemas.microsoft.com/office/drawing/2014/main" id="{A45F3791-A07B-0660-3664-5B14125FF155}"/>
            </a:ext>
          </a:extLst>
        </xdr:cNvPr>
        <xdr:cNvGrpSpPr/>
      </xdr:nvGrpSpPr>
      <xdr:grpSpPr>
        <a:xfrm>
          <a:off x="18599729" y="41937720"/>
          <a:ext cx="3307773" cy="1097973"/>
          <a:chOff x="17958954" y="32055954"/>
          <a:chExt cx="3618550" cy="1122509"/>
        </a:xfrm>
      </xdr:grpSpPr>
      <xdr:sp macro="" textlink="data!H87">
        <xdr:nvSpPr>
          <xdr:cNvPr id="176" name="Rectangle: Rounded Corners 175">
            <a:extLst>
              <a:ext uri="{FF2B5EF4-FFF2-40B4-BE49-F238E27FC236}">
                <a16:creationId xmlns:a16="http://schemas.microsoft.com/office/drawing/2014/main" id="{15BDF3AE-3AF5-498D-9683-4C697DC806DC}"/>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C3ED12-A1DE-4B11-BF32-B613C1087CB5}" type="TxLink">
              <a:rPr lang="en-US" sz="3200" b="1" i="0" u="none" strike="noStrike">
                <a:solidFill>
                  <a:sysClr val="windowText" lastClr="000000"/>
                </a:solidFill>
                <a:latin typeface="Calibri"/>
                <a:cs typeface="Calibri"/>
              </a:rPr>
              <a:pPr algn="ctr"/>
              <a:t>1</a:t>
            </a:fld>
            <a:endParaRPr lang="en-US" sz="199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178" name="Rectangle: Rounded Corners 177">
            <a:extLst>
              <a:ext uri="{FF2B5EF4-FFF2-40B4-BE49-F238E27FC236}">
                <a16:creationId xmlns:a16="http://schemas.microsoft.com/office/drawing/2014/main" id="{FBBB7163-2A22-47F4-BD3C-F0AD24EDCDA0}"/>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179" name="Rectangle: Rounded Corners 178">
            <a:extLst>
              <a:ext uri="{FF2B5EF4-FFF2-40B4-BE49-F238E27FC236}">
                <a16:creationId xmlns:a16="http://schemas.microsoft.com/office/drawing/2014/main" id="{361F146A-3588-4610-893C-56570A6F1D03}"/>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87">
        <xdr:nvSpPr>
          <xdr:cNvPr id="181" name="Rectangle: Rounded Corners 180">
            <a:extLst>
              <a:ext uri="{FF2B5EF4-FFF2-40B4-BE49-F238E27FC236}">
                <a16:creationId xmlns:a16="http://schemas.microsoft.com/office/drawing/2014/main" id="{0289D305-FDD6-4961-9D2B-7ADBF8DC7D9A}"/>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2F1AEF-86B1-4A84-A002-DB18DCFA6904}" type="TxLink">
              <a:rPr lang="en-US" sz="3200" b="1" i="0" u="none" strike="noStrike">
                <a:solidFill>
                  <a:schemeClr val="bg1"/>
                </a:solidFill>
                <a:latin typeface="Calibri"/>
                <a:cs typeface="Calibri"/>
              </a:rPr>
              <a:pPr algn="ctr"/>
              <a:t>20</a:t>
            </a:fld>
            <a:endParaRPr lang="en-US" sz="6600" b="1" i="0" u="none" strike="noStrike">
              <a:solidFill>
                <a:schemeClr val="bg1"/>
              </a:solidFill>
              <a:latin typeface="Calibri"/>
              <a:cs typeface="Calibri"/>
            </a:endParaRPr>
          </a:p>
        </xdr:txBody>
      </xdr:sp>
    </xdr:grpSp>
    <xdr:clientData/>
  </xdr:twoCellAnchor>
  <xdr:twoCellAnchor>
    <xdr:from>
      <xdr:col>39</xdr:col>
      <xdr:colOff>398319</xdr:colOff>
      <xdr:row>197</xdr:row>
      <xdr:rowOff>10402</xdr:rowOff>
    </xdr:from>
    <xdr:to>
      <xdr:col>44</xdr:col>
      <xdr:colOff>432956</xdr:colOff>
      <xdr:row>202</xdr:row>
      <xdr:rowOff>155875</xdr:rowOff>
    </xdr:to>
    <xdr:grpSp>
      <xdr:nvGrpSpPr>
        <xdr:cNvPr id="199" name="Group 198">
          <a:extLst>
            <a:ext uri="{FF2B5EF4-FFF2-40B4-BE49-F238E27FC236}">
              <a16:creationId xmlns:a16="http://schemas.microsoft.com/office/drawing/2014/main" id="{DFE8D977-3B7D-D470-7418-8D7E9D367A41}"/>
            </a:ext>
          </a:extLst>
        </xdr:cNvPr>
        <xdr:cNvGrpSpPr/>
      </xdr:nvGrpSpPr>
      <xdr:grpSpPr>
        <a:xfrm>
          <a:off x="24418637" y="41920402"/>
          <a:ext cx="3307774" cy="1097973"/>
          <a:chOff x="17958954" y="32055954"/>
          <a:chExt cx="3618550" cy="1122509"/>
        </a:xfrm>
      </xdr:grpSpPr>
      <xdr:sp macro="" textlink="data!H91">
        <xdr:nvSpPr>
          <xdr:cNvPr id="202" name="Rectangle: Rounded Corners 201">
            <a:extLst>
              <a:ext uri="{FF2B5EF4-FFF2-40B4-BE49-F238E27FC236}">
                <a16:creationId xmlns:a16="http://schemas.microsoft.com/office/drawing/2014/main" id="{8BB153B6-45E7-2DBC-5299-34DF4B68CFBE}"/>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E5AF44-3959-46F7-8E3B-C82206AA1C39}" type="TxLink">
              <a:rPr lang="en-US" sz="3600" b="1" i="0" u="none" strike="noStrike">
                <a:solidFill>
                  <a:sysClr val="windowText" lastClr="000000"/>
                </a:solidFill>
                <a:latin typeface="Calibri"/>
                <a:cs typeface="Calibri"/>
              </a:rPr>
              <a:pPr algn="ctr"/>
              <a:t>0</a:t>
            </a:fld>
            <a:endParaRPr lang="en-US" sz="1028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203" name="Rectangle: Rounded Corners 202">
            <a:extLst>
              <a:ext uri="{FF2B5EF4-FFF2-40B4-BE49-F238E27FC236}">
                <a16:creationId xmlns:a16="http://schemas.microsoft.com/office/drawing/2014/main" id="{AF611FD2-0EE6-716F-DDFD-9F427C98850E}"/>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09" name="Rectangle: Rounded Corners 208">
            <a:extLst>
              <a:ext uri="{FF2B5EF4-FFF2-40B4-BE49-F238E27FC236}">
                <a16:creationId xmlns:a16="http://schemas.microsoft.com/office/drawing/2014/main" id="{9DA1C160-C9FE-75C8-66D2-6920F900AE46}"/>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91">
        <xdr:nvSpPr>
          <xdr:cNvPr id="210" name="Rectangle: Rounded Corners 209">
            <a:extLst>
              <a:ext uri="{FF2B5EF4-FFF2-40B4-BE49-F238E27FC236}">
                <a16:creationId xmlns:a16="http://schemas.microsoft.com/office/drawing/2014/main" id="{EDD6F332-EC92-8D34-0132-533BC33E8C40}"/>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F9DD92-88F0-4F18-92CF-61B9FF46180B}" type="TxLink">
              <a:rPr lang="en-US" sz="3600" b="1" i="0" u="none" strike="noStrike">
                <a:solidFill>
                  <a:schemeClr val="bg1"/>
                </a:solidFill>
                <a:latin typeface="Calibri"/>
                <a:cs typeface="Calibri"/>
              </a:rPr>
              <a:pPr algn="ctr"/>
              <a:t>4</a:t>
            </a:fld>
            <a:endParaRPr lang="en-US" sz="23900" b="1" i="0" u="none" strike="noStrike">
              <a:solidFill>
                <a:schemeClr val="bg1"/>
              </a:solidFill>
              <a:latin typeface="Calibri"/>
              <a:cs typeface="Calibri"/>
            </a:endParaRPr>
          </a:p>
        </xdr:txBody>
      </xdr:sp>
    </xdr:grpSp>
    <xdr:clientData/>
  </xdr:twoCellAnchor>
  <xdr:twoCellAnchor>
    <xdr:from>
      <xdr:col>28</xdr:col>
      <xdr:colOff>155866</xdr:colOff>
      <xdr:row>197</xdr:row>
      <xdr:rowOff>41578</xdr:rowOff>
    </xdr:from>
    <xdr:to>
      <xdr:col>30</xdr:col>
      <xdr:colOff>34638</xdr:colOff>
      <xdr:row>201</xdr:row>
      <xdr:rowOff>93531</xdr:rowOff>
    </xdr:to>
    <xdr:sp macro="" textlink="">
      <xdr:nvSpPr>
        <xdr:cNvPr id="214" name="Rectangle: Rounded Corners 213">
          <a:extLst>
            <a:ext uri="{FF2B5EF4-FFF2-40B4-BE49-F238E27FC236}">
              <a16:creationId xmlns:a16="http://schemas.microsoft.com/office/drawing/2014/main" id="{786DBEC8-444E-48DC-B73A-B2C6D92E1ECB}"/>
            </a:ext>
          </a:extLst>
        </xdr:cNvPr>
        <xdr:cNvSpPr/>
      </xdr:nvSpPr>
      <xdr:spPr>
        <a:xfrm>
          <a:off x="18028230" y="40427578"/>
          <a:ext cx="1125681"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571502</xdr:colOff>
      <xdr:row>197</xdr:row>
      <xdr:rowOff>41578</xdr:rowOff>
    </xdr:from>
    <xdr:to>
      <xdr:col>39</xdr:col>
      <xdr:colOff>450273</xdr:colOff>
      <xdr:row>201</xdr:row>
      <xdr:rowOff>93531</xdr:rowOff>
    </xdr:to>
    <xdr:sp macro="" textlink="">
      <xdr:nvSpPr>
        <xdr:cNvPr id="215" name="Rectangle: Rounded Corners 214">
          <a:extLst>
            <a:ext uri="{FF2B5EF4-FFF2-40B4-BE49-F238E27FC236}">
              <a16:creationId xmlns:a16="http://schemas.microsoft.com/office/drawing/2014/main" id="{89291D27-2D3D-37F3-F7CE-6BFEA7D64EB6}"/>
            </a:ext>
          </a:extLst>
        </xdr:cNvPr>
        <xdr:cNvSpPr/>
      </xdr:nvSpPr>
      <xdr:spPr>
        <a:xfrm>
          <a:off x="24054957" y="40427578"/>
          <a:ext cx="1125680"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275344</xdr:colOff>
      <xdr:row>202</xdr:row>
      <xdr:rowOff>175081</xdr:rowOff>
    </xdr:from>
    <xdr:to>
      <xdr:col>44</xdr:col>
      <xdr:colOff>565313</xdr:colOff>
      <xdr:row>205</xdr:row>
      <xdr:rowOff>110844</xdr:rowOff>
    </xdr:to>
    <xdr:sp macro="" textlink="">
      <xdr:nvSpPr>
        <xdr:cNvPr id="218" name="Rectangle: Rounded Corners 217">
          <a:extLst>
            <a:ext uri="{FF2B5EF4-FFF2-40B4-BE49-F238E27FC236}">
              <a16:creationId xmlns:a16="http://schemas.microsoft.com/office/drawing/2014/main" id="{F078E053-C782-4938-9AD8-52638F76DED3}"/>
            </a:ext>
          </a:extLst>
        </xdr:cNvPr>
        <xdr:cNvSpPr/>
      </xdr:nvSpPr>
      <xdr:spPr>
        <a:xfrm>
          <a:off x="19394617" y="41461626"/>
          <a:ext cx="9267714" cy="47609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3 CHIA</a:t>
          </a:r>
          <a:r>
            <a:rPr lang="en-US" sz="1600" b="1" kern="1200" baseline="0">
              <a:solidFill>
                <a:schemeClr val="lt1"/>
              </a:solidFill>
              <a:latin typeface="Times New Roman" panose="02020603050405020304" pitchFamily="18" charset="0"/>
              <a:ea typeface="+mn-ea"/>
              <a:cs typeface="Times New Roman" panose="02020603050405020304" pitchFamily="18" charset="0"/>
            </a:rPr>
            <a:t> SẼ VĂN HÓA/QUI TRÌNH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33</xdr:col>
      <xdr:colOff>592512</xdr:colOff>
      <xdr:row>212</xdr:row>
      <xdr:rowOff>51211</xdr:rowOff>
    </xdr:from>
    <xdr:to>
      <xdr:col>41</xdr:col>
      <xdr:colOff>443118</xdr:colOff>
      <xdr:row>215</xdr:row>
      <xdr:rowOff>104649</xdr:rowOff>
    </xdr:to>
    <xdr:grpSp>
      <xdr:nvGrpSpPr>
        <xdr:cNvPr id="219" name="Group 218">
          <a:extLst>
            <a:ext uri="{FF2B5EF4-FFF2-40B4-BE49-F238E27FC236}">
              <a16:creationId xmlns:a16="http://schemas.microsoft.com/office/drawing/2014/main" id="{ABE62CBD-C14D-2997-A8EA-296607DAADB0}"/>
            </a:ext>
          </a:extLst>
        </xdr:cNvPr>
        <xdr:cNvGrpSpPr/>
      </xdr:nvGrpSpPr>
      <xdr:grpSpPr>
        <a:xfrm>
          <a:off x="20976012" y="44818711"/>
          <a:ext cx="4699697" cy="624938"/>
          <a:chOff x="16528696" y="32112750"/>
          <a:chExt cx="5038259" cy="640254"/>
        </a:xfrm>
      </xdr:grpSpPr>
      <xdr:sp macro="" textlink="">
        <xdr:nvSpPr>
          <xdr:cNvPr id="220" name="Rectangle: Rounded Corners 219">
            <a:extLst>
              <a:ext uri="{FF2B5EF4-FFF2-40B4-BE49-F238E27FC236}">
                <a16:creationId xmlns:a16="http://schemas.microsoft.com/office/drawing/2014/main" id="{99415CF1-3252-76A2-06E4-D98D200FAE41}"/>
              </a:ext>
            </a:extLst>
          </xdr:cNvPr>
          <xdr:cNvSpPr/>
        </xdr:nvSpPr>
        <xdr:spPr>
          <a:xfrm>
            <a:off x="17726959" y="32112750"/>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ysClr val="windowText" lastClr="000000"/>
                </a:solidFill>
              </a:rPr>
              <a:t>0</a:t>
            </a:r>
            <a:endParaRPr lang="en-US" b="1">
              <a:solidFill>
                <a:sysClr val="windowText" lastClr="000000"/>
              </a:solidFill>
            </a:endParaRPr>
          </a:p>
        </xdr:txBody>
      </xdr:sp>
      <xdr:sp macro="" textlink="">
        <xdr:nvSpPr>
          <xdr:cNvPr id="221" name="Rectangle: Rounded Corners 220">
            <a:extLst>
              <a:ext uri="{FF2B5EF4-FFF2-40B4-BE49-F238E27FC236}">
                <a16:creationId xmlns:a16="http://schemas.microsoft.com/office/drawing/2014/main" id="{54D2AA19-B723-C088-A59D-59CF80EC3263}"/>
              </a:ext>
            </a:extLst>
          </xdr:cNvPr>
          <xdr:cNvSpPr/>
        </xdr:nvSpPr>
        <xdr:spPr>
          <a:xfrm>
            <a:off x="16528696" y="3221629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22" name="Rectangle: Rounded Corners 221">
            <a:extLst>
              <a:ext uri="{FF2B5EF4-FFF2-40B4-BE49-F238E27FC236}">
                <a16:creationId xmlns:a16="http://schemas.microsoft.com/office/drawing/2014/main" id="{683D8498-0732-F3BB-E9E0-F9C17CE9179D}"/>
              </a:ext>
            </a:extLst>
          </xdr:cNvPr>
          <xdr:cNvSpPr/>
        </xdr:nvSpPr>
        <xdr:spPr>
          <a:xfrm>
            <a:off x="19065426" y="3222765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Rectangle: Rounded Corners 222">
            <a:extLst>
              <a:ext uri="{FF2B5EF4-FFF2-40B4-BE49-F238E27FC236}">
                <a16:creationId xmlns:a16="http://schemas.microsoft.com/office/drawing/2014/main" id="{69A2F50F-8692-E176-A50E-36D8D86256A0}"/>
              </a:ext>
            </a:extLst>
          </xdr:cNvPr>
          <xdr:cNvSpPr/>
        </xdr:nvSpPr>
        <xdr:spPr>
          <a:xfrm>
            <a:off x="20354909" y="32112750"/>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11</a:t>
            </a:r>
          </a:p>
        </xdr:txBody>
      </xdr:sp>
    </xdr:grpSp>
    <xdr:clientData/>
  </xdr:twoCellAnchor>
  <xdr:twoCellAnchor>
    <xdr:from>
      <xdr:col>30</xdr:col>
      <xdr:colOff>285504</xdr:colOff>
      <xdr:row>212</xdr:row>
      <xdr:rowOff>146719</xdr:rowOff>
    </xdr:from>
    <xdr:to>
      <xdr:col>34</xdr:col>
      <xdr:colOff>41561</xdr:colOff>
      <xdr:row>215</xdr:row>
      <xdr:rowOff>65321</xdr:rowOff>
    </xdr:to>
    <xdr:sp macro="" textlink="">
      <xdr:nvSpPr>
        <xdr:cNvPr id="224" name="Rectangle: Rounded Corners 223">
          <a:extLst>
            <a:ext uri="{FF2B5EF4-FFF2-40B4-BE49-F238E27FC236}">
              <a16:creationId xmlns:a16="http://schemas.microsoft.com/office/drawing/2014/main" id="{10771EB7-2D82-04B4-A605-E13A2607EA74}"/>
            </a:ext>
          </a:extLst>
        </xdr:cNvPr>
        <xdr:cNvSpPr/>
      </xdr:nvSpPr>
      <xdr:spPr>
        <a:xfrm>
          <a:off x="19404777" y="43234355"/>
          <a:ext cx="2249875" cy="4589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55918</xdr:colOff>
      <xdr:row>67</xdr:row>
      <xdr:rowOff>103905</xdr:rowOff>
    </xdr:from>
    <xdr:to>
      <xdr:col>12</xdr:col>
      <xdr:colOff>166255</xdr:colOff>
      <xdr:row>97</xdr:row>
      <xdr:rowOff>124686</xdr:rowOff>
    </xdr:to>
    <xdr:grpSp>
      <xdr:nvGrpSpPr>
        <xdr:cNvPr id="175" name="Group 174">
          <a:extLst>
            <a:ext uri="{FF2B5EF4-FFF2-40B4-BE49-F238E27FC236}">
              <a16:creationId xmlns:a16="http://schemas.microsoft.com/office/drawing/2014/main" id="{1FD22138-4517-C97F-A2DC-7C0FAA8F4886}"/>
            </a:ext>
          </a:extLst>
        </xdr:cNvPr>
        <xdr:cNvGrpSpPr/>
      </xdr:nvGrpSpPr>
      <xdr:grpSpPr>
        <a:xfrm>
          <a:off x="55918" y="17248905"/>
          <a:ext cx="7764973" cy="5735781"/>
          <a:chOff x="55918" y="7637320"/>
          <a:chExt cx="8284519" cy="5735781"/>
        </a:xfrm>
      </xdr:grpSpPr>
      <xdr:graphicFrame macro="">
        <xdr:nvGraphicFramePr>
          <xdr:cNvPr id="7" name="Chart 6">
            <a:extLst>
              <a:ext uri="{FF2B5EF4-FFF2-40B4-BE49-F238E27FC236}">
                <a16:creationId xmlns:a16="http://schemas.microsoft.com/office/drawing/2014/main" id="{16C67947-1661-4757-A42A-74925BC115DF}"/>
              </a:ext>
            </a:extLst>
          </xdr:cNvPr>
          <xdr:cNvGraphicFramePr>
            <a:graphicFrameLocks/>
          </xdr:cNvGraphicFramePr>
        </xdr:nvGraphicFramePr>
        <xdr:xfrm>
          <a:off x="941295" y="8178663"/>
          <a:ext cx="7399142" cy="3261728"/>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9" name="Rectangle: Rounded Corners 8">
            <a:extLst>
              <a:ext uri="{FF2B5EF4-FFF2-40B4-BE49-F238E27FC236}">
                <a16:creationId xmlns:a16="http://schemas.microsoft.com/office/drawing/2014/main" id="{C0666125-EC39-9B73-007A-4ED0B68C529F}"/>
              </a:ext>
            </a:extLst>
          </xdr:cNvPr>
          <xdr:cNvSpPr/>
        </xdr:nvSpPr>
        <xdr:spPr>
          <a:xfrm>
            <a:off x="1950029" y="7637320"/>
            <a:ext cx="5243941" cy="47105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baseline="0">
                <a:latin typeface="Times New Roman" panose="02020603050405020304" pitchFamily="18" charset="0"/>
                <a:cs typeface="Times New Roman" panose="02020603050405020304" pitchFamily="18" charset="0"/>
              </a:rPr>
              <a:t>KR02 BÁO CÁO CÔNG TÁC BDĐK </a:t>
            </a:r>
            <a:endParaRPr lang="en-US" sz="1600" b="1" kern="1200">
              <a:latin typeface="Times New Roman" panose="02020603050405020304" pitchFamily="18" charset="0"/>
              <a:cs typeface="Times New Roman" panose="02020603050405020304" pitchFamily="18" charset="0"/>
            </a:endParaRPr>
          </a:p>
        </xdr:txBody>
      </xdr:sp>
      <xdr:pic>
        <xdr:nvPicPr>
          <xdr:cNvPr id="11" name="Picture 10" descr="Schedule Generic color lineal-color icon">
            <a:extLst>
              <a:ext uri="{FF2B5EF4-FFF2-40B4-BE49-F238E27FC236}">
                <a16:creationId xmlns:a16="http://schemas.microsoft.com/office/drawing/2014/main" id="{AA5C59BC-4413-2F86-1D27-FF4D277342B2}"/>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5918" y="9199632"/>
            <a:ext cx="970986" cy="99048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0" name="Rectangle: Rounded Corners 99">
            <a:extLst>
              <a:ext uri="{FF2B5EF4-FFF2-40B4-BE49-F238E27FC236}">
                <a16:creationId xmlns:a16="http://schemas.microsoft.com/office/drawing/2014/main" id="{76ABC15E-1662-CAEB-4E77-1BAA720FD6B2}"/>
              </a:ext>
            </a:extLst>
          </xdr:cNvPr>
          <xdr:cNvSpPr/>
        </xdr:nvSpPr>
        <xdr:spPr>
          <a:xfrm>
            <a:off x="710047" y="11565082"/>
            <a:ext cx="7232071" cy="1808019"/>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i="0">
                <a:solidFill>
                  <a:srgbClr val="FF0000"/>
                </a:solidFill>
                <a:effectLst/>
                <a:latin typeface="Times New Roman" panose="02020603050405020304" pitchFamily="18" charset="0"/>
                <a:ea typeface="+mn-ea"/>
                <a:cs typeface="Times New Roman" panose="02020603050405020304" pitchFamily="18" charset="0"/>
              </a:rPr>
              <a:t>* Đội</a:t>
            </a:r>
            <a:r>
              <a:rPr lang="en-US" sz="1600" b="1" i="0" baseline="0">
                <a:solidFill>
                  <a:srgbClr val="FF0000"/>
                </a:solidFill>
                <a:effectLst/>
                <a:latin typeface="Times New Roman" panose="02020603050405020304" pitchFamily="18" charset="0"/>
                <a:ea typeface="+mn-ea"/>
                <a:cs typeface="Times New Roman" panose="02020603050405020304" pitchFamily="18" charset="0"/>
              </a:rPr>
              <a:t> TBCH</a:t>
            </a:r>
            <a:r>
              <a:rPr lang="vi-VN" sz="1600" b="1" i="0">
                <a:solidFill>
                  <a:srgbClr val="FF0000"/>
                </a:solidFill>
                <a:effectLst/>
                <a:latin typeface="Times New Roman" panose="02020603050405020304" pitchFamily="18" charset="0"/>
                <a:ea typeface="+mn-ea"/>
                <a:cs typeface="Times New Roman" panose="02020603050405020304" pitchFamily="18" charset="0"/>
              </a:rPr>
              <a:t> </a:t>
            </a:r>
          </a:p>
          <a:p>
            <a:pPr algn="l"/>
            <a:r>
              <a:rPr lang="en-US" sz="1600" b="0" i="0">
                <a:solidFill>
                  <a:schemeClr val="tx1"/>
                </a:solidFill>
                <a:effectLst/>
                <a:latin typeface="Times New Roman" panose="02020603050405020304" pitchFamily="18" charset="0"/>
                <a:ea typeface="+mn-ea"/>
                <a:cs typeface="Times New Roman" panose="02020603050405020304" pitchFamily="18" charset="0"/>
              </a:rPr>
              <a:t>Các</a:t>
            </a:r>
            <a:r>
              <a:rPr lang="en-US" sz="1600" b="0" i="0" baseline="0">
                <a:solidFill>
                  <a:schemeClr val="tx1"/>
                </a:solidFill>
                <a:effectLst/>
                <a:latin typeface="Times New Roman" panose="02020603050405020304" pitchFamily="18" charset="0"/>
                <a:ea typeface="+mn-ea"/>
                <a:cs typeface="Times New Roman" panose="02020603050405020304" pitchFamily="18" charset="0"/>
              </a:rPr>
              <a:t> hạng mục còn lại sẽ hoàn thành đến cuối tháng</a:t>
            </a:r>
            <a:endParaRPr lang="en-US" sz="1600" b="0" i="0">
              <a:solidFill>
                <a:schemeClr val="tx1"/>
              </a:solidFill>
              <a:effectLst/>
              <a:latin typeface="Times New Roman" panose="02020603050405020304" pitchFamily="18" charset="0"/>
              <a:ea typeface="+mn-ea"/>
              <a:cs typeface="Times New Roman" panose="02020603050405020304" pitchFamily="18" charset="0"/>
            </a:endParaRPr>
          </a:p>
          <a:p>
            <a:pPr algn="l"/>
            <a:r>
              <a:rPr lang="en-US" sz="1600" b="1" i="0">
                <a:solidFill>
                  <a:srgbClr val="FF0000"/>
                </a:solidFill>
                <a:effectLst/>
                <a:latin typeface="Times New Roman" panose="02020603050405020304" pitchFamily="18" charset="0"/>
                <a:ea typeface="+mn-ea"/>
                <a:cs typeface="Times New Roman" panose="02020603050405020304" pitchFamily="18" charset="0"/>
              </a:rPr>
              <a:t>* Đội</a:t>
            </a:r>
            <a:r>
              <a:rPr lang="en-US" sz="1600" b="1" i="0" baseline="0">
                <a:solidFill>
                  <a:srgbClr val="FF0000"/>
                </a:solidFill>
                <a:effectLst/>
                <a:latin typeface="Times New Roman" panose="02020603050405020304" pitchFamily="18" charset="0"/>
                <a:ea typeface="+mn-ea"/>
                <a:cs typeface="Times New Roman" panose="02020603050405020304" pitchFamily="18" charset="0"/>
              </a:rPr>
              <a:t> TBĐ</a:t>
            </a:r>
          </a:p>
          <a:p>
            <a:pPr algn="l"/>
            <a:r>
              <a:rPr lang="vi-VN" sz="1600" b="0" i="0">
                <a:solidFill>
                  <a:schemeClr val="tx1"/>
                </a:solidFill>
                <a:effectLst/>
                <a:latin typeface="Times New Roman" panose="02020603050405020304" pitchFamily="18" charset="0"/>
                <a:ea typeface="+mn-ea"/>
                <a:cs typeface="Times New Roman" panose="02020603050405020304" pitchFamily="18" charset="0"/>
              </a:rPr>
              <a:t>Các hạng mục còn lại sẽ hoàn thành đến cuối tháng</a:t>
            </a:r>
          </a:p>
        </xdr:txBody>
      </xdr:sp>
    </xdr:grpSp>
    <xdr:clientData/>
  </xdr:twoCellAnchor>
  <xdr:twoCellAnchor editAs="oneCell">
    <xdr:from>
      <xdr:col>11</xdr:col>
      <xdr:colOff>231200</xdr:colOff>
      <xdr:row>89</xdr:row>
      <xdr:rowOff>50884</xdr:rowOff>
    </xdr:from>
    <xdr:to>
      <xdr:col>13</xdr:col>
      <xdr:colOff>451488</xdr:colOff>
      <xdr:row>100</xdr:row>
      <xdr:rowOff>125752</xdr:rowOff>
    </xdr:to>
    <xdr:pic>
      <xdr:nvPicPr>
        <xdr:cNvPr id="133" name="Picture 132" descr="Sản phẩm - Phân bón Cà Mau">
          <a:extLst>
            <a:ext uri="{FF2B5EF4-FFF2-40B4-BE49-F238E27FC236}">
              <a16:creationId xmlns:a16="http://schemas.microsoft.com/office/drawing/2014/main" id="{D967398D-BADF-091A-3496-F1B140B37F8C}"/>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799245" y="20936611"/>
          <a:ext cx="1432561" cy="2170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277090</xdr:colOff>
      <xdr:row>62</xdr:row>
      <xdr:rowOff>173177</xdr:rowOff>
    </xdr:from>
    <xdr:to>
      <xdr:col>26</xdr:col>
      <xdr:colOff>415636</xdr:colOff>
      <xdr:row>66</xdr:row>
      <xdr:rowOff>51950</xdr:rowOff>
    </xdr:to>
    <xdr:sp macro="" textlink="">
      <xdr:nvSpPr>
        <xdr:cNvPr id="231" name="Rectangle: Rounded Corners 230">
          <a:extLst>
            <a:ext uri="{FF2B5EF4-FFF2-40B4-BE49-F238E27FC236}">
              <a16:creationId xmlns:a16="http://schemas.microsoft.com/office/drawing/2014/main" id="{B806A2B1-D3C4-3731-21FE-97A53319D70F}"/>
            </a:ext>
          </a:extLst>
        </xdr:cNvPr>
        <xdr:cNvSpPr/>
      </xdr:nvSpPr>
      <xdr:spPr>
        <a:xfrm>
          <a:off x="277090" y="13109859"/>
          <a:ext cx="16798637" cy="64077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O2: Đảm bảo tính ổn định của thiết bị - Mục</a:t>
          </a:r>
          <a:r>
            <a:rPr lang="en-US" sz="2400" b="1" baseline="0">
              <a:solidFill>
                <a:schemeClr val="tx1"/>
              </a:solidFill>
              <a:latin typeface="Times New Roman" panose="02020603050405020304" pitchFamily="18" charset="0"/>
              <a:cs typeface="Times New Roman" panose="02020603050405020304" pitchFamily="18" charset="0"/>
            </a:rPr>
            <a:t> tiêu: </a:t>
          </a:r>
          <a:r>
            <a:rPr lang="en-US" sz="2400" b="1">
              <a:solidFill>
                <a:schemeClr val="tx1"/>
              </a:solidFill>
              <a:latin typeface="Times New Roman" panose="02020603050405020304" pitchFamily="18" charset="0"/>
              <a:cs typeface="Times New Roman" panose="02020603050405020304" pitchFamily="18" charset="0"/>
            </a:rPr>
            <a:t>≤ 4,19 ngày hoặc 100,5 giờ - Kết</a:t>
          </a:r>
          <a:r>
            <a:rPr lang="en-US" sz="2400" b="1" baseline="0">
              <a:solidFill>
                <a:schemeClr val="tx1"/>
              </a:solidFill>
              <a:latin typeface="Times New Roman" panose="02020603050405020304" pitchFamily="18" charset="0"/>
              <a:cs typeface="Times New Roman" panose="02020603050405020304" pitchFamily="18" charset="0"/>
            </a:rPr>
            <a:t> quả: 0,0 giờ (Theo b/c ĐTSC) </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33</xdr:row>
      <xdr:rowOff>129886</xdr:rowOff>
    </xdr:from>
    <xdr:to>
      <xdr:col>26</xdr:col>
      <xdr:colOff>467591</xdr:colOff>
      <xdr:row>37</xdr:row>
      <xdr:rowOff>8659</xdr:rowOff>
    </xdr:to>
    <xdr:sp macro="" textlink="">
      <xdr:nvSpPr>
        <xdr:cNvPr id="232" name="Rectangle: Rounded Corners 231">
          <a:extLst>
            <a:ext uri="{FF2B5EF4-FFF2-40B4-BE49-F238E27FC236}">
              <a16:creationId xmlns:a16="http://schemas.microsoft.com/office/drawing/2014/main" id="{7E1D51F0-562F-E59A-EF29-8A9AB28DBD99}"/>
            </a:ext>
          </a:extLst>
        </xdr:cNvPr>
        <xdr:cNvSpPr/>
      </xdr:nvSpPr>
      <xdr:spPr>
        <a:xfrm>
          <a:off x="329045" y="10964141"/>
          <a:ext cx="16736291"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O1: K</a:t>
          </a:r>
          <a:r>
            <a:rPr lang="vi-VN" sz="2400" b="1">
              <a:solidFill>
                <a:schemeClr val="tx1"/>
              </a:solidFill>
              <a:latin typeface="Times New Roman" panose="02020603050405020304" pitchFamily="18" charset="0"/>
              <a:cs typeface="Times New Roman" panose="02020603050405020304" pitchFamily="18" charset="0"/>
            </a:rPr>
            <a:t>hông có Sự cố gây dừng máy hay mất sản lượng do lỗi chủ quan của con người</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0 vụ - Kết quả: 0 vụ</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266699</xdr:colOff>
      <xdr:row>145</xdr:row>
      <xdr:rowOff>162786</xdr:rowOff>
    </xdr:from>
    <xdr:to>
      <xdr:col>26</xdr:col>
      <xdr:colOff>405245</xdr:colOff>
      <xdr:row>149</xdr:row>
      <xdr:rowOff>51949</xdr:rowOff>
    </xdr:to>
    <xdr:sp macro="" textlink="">
      <xdr:nvSpPr>
        <xdr:cNvPr id="233" name="Rectangle: Rounded Corners 232">
          <a:extLst>
            <a:ext uri="{FF2B5EF4-FFF2-40B4-BE49-F238E27FC236}">
              <a16:creationId xmlns:a16="http://schemas.microsoft.com/office/drawing/2014/main" id="{8FE99E55-CB88-424C-8CEE-2992F83ABFD5}"/>
            </a:ext>
          </a:extLst>
        </xdr:cNvPr>
        <xdr:cNvSpPr/>
      </xdr:nvSpPr>
      <xdr:spPr>
        <a:xfrm>
          <a:off x="266699" y="31183113"/>
          <a:ext cx="16764001" cy="6096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O3: </a:t>
          </a:r>
          <a:r>
            <a:rPr lang="vi-VN" sz="2400" b="1">
              <a:solidFill>
                <a:schemeClr val="tx1"/>
              </a:solidFill>
              <a:latin typeface="Times New Roman" panose="02020603050405020304" pitchFamily="18" charset="0"/>
              <a:cs typeface="Times New Roman" panose="02020603050405020304" pitchFamily="18" charset="0"/>
            </a:rPr>
            <a:t>Không có tai nạn và sự cố liên quan đến an toàn sức khỏe môi trường bị xử lý bởi cơ quan chức năng</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44</xdr:row>
      <xdr:rowOff>138541</xdr:rowOff>
    </xdr:from>
    <xdr:to>
      <xdr:col>13</xdr:col>
      <xdr:colOff>17319</xdr:colOff>
      <xdr:row>48</xdr:row>
      <xdr:rowOff>72731</xdr:rowOff>
    </xdr:to>
    <xdr:sp macro="" textlink="">
      <xdr:nvSpPr>
        <xdr:cNvPr id="272" name="Rectangle: Rounded Corners 271">
          <a:extLst>
            <a:ext uri="{FF2B5EF4-FFF2-40B4-BE49-F238E27FC236}">
              <a16:creationId xmlns:a16="http://schemas.microsoft.com/office/drawing/2014/main" id="{41865857-62AE-470C-84FA-3C90DBDD87B2}"/>
            </a:ext>
          </a:extLst>
        </xdr:cNvPr>
        <xdr:cNvSpPr/>
      </xdr:nvSpPr>
      <xdr:spPr>
        <a:xfrm>
          <a:off x="277091" y="9646223"/>
          <a:ext cx="8520546" cy="69619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KR01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BD có kế hoạch có đầy đủ hướng dẫn</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49</xdr:row>
      <xdr:rowOff>121223</xdr:rowOff>
    </xdr:from>
    <xdr:to>
      <xdr:col>12</xdr:col>
      <xdr:colOff>588819</xdr:colOff>
      <xdr:row>55</xdr:row>
      <xdr:rowOff>51951</xdr:rowOff>
    </xdr:to>
    <xdr:sp macro="" textlink="">
      <xdr:nvSpPr>
        <xdr:cNvPr id="273" name="Rectangle: Rounded Corners 272">
          <a:extLst>
            <a:ext uri="{FF2B5EF4-FFF2-40B4-BE49-F238E27FC236}">
              <a16:creationId xmlns:a16="http://schemas.microsoft.com/office/drawing/2014/main" id="{2BAFBAC4-70D4-407D-4F88-6EADBE387DB9}"/>
            </a:ext>
          </a:extLst>
        </xdr:cNvPr>
        <xdr:cNvSpPr/>
      </xdr:nvSpPr>
      <xdr:spPr>
        <a:xfrm>
          <a:off x="277091" y="10581405"/>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KR02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sửa chữa đột xuất có nhận diện mối nguy và ĐGRR đối với hạng mục có mối nguy ảnh hưởng đến giảm tải, gián đoạn sản xuất</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56</xdr:row>
      <xdr:rowOff>51951</xdr:rowOff>
    </xdr:from>
    <xdr:to>
      <xdr:col>12</xdr:col>
      <xdr:colOff>588819</xdr:colOff>
      <xdr:row>61</xdr:row>
      <xdr:rowOff>173179</xdr:rowOff>
    </xdr:to>
    <xdr:sp macro="" textlink="">
      <xdr:nvSpPr>
        <xdr:cNvPr id="274" name="Rectangle: Rounded Corners 273">
          <a:extLst>
            <a:ext uri="{FF2B5EF4-FFF2-40B4-BE49-F238E27FC236}">
              <a16:creationId xmlns:a16="http://schemas.microsoft.com/office/drawing/2014/main" id="{8DADAF17-FD57-18AA-8010-481DCF10D57F}"/>
            </a:ext>
          </a:extLst>
        </xdr:cNvPr>
        <xdr:cNvSpPr/>
      </xdr:nvSpPr>
      <xdr:spPr>
        <a:xfrm>
          <a:off x="277091" y="11845633"/>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KR03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lắp đặt cải tiến cải tạo có nhận diện mối nguy và ĐGRR đối với hạng mục có mối nguy</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138546</xdr:colOff>
      <xdr:row>39</xdr:row>
      <xdr:rowOff>0</xdr:rowOff>
    </xdr:from>
    <xdr:to>
      <xdr:col>15</xdr:col>
      <xdr:colOff>290754</xdr:colOff>
      <xdr:row>43</xdr:row>
      <xdr:rowOff>161565</xdr:rowOff>
    </xdr:to>
    <xdr:pic>
      <xdr:nvPicPr>
        <xdr:cNvPr id="275" name="Picture 274" descr="S7-400/S7-400H/S7-400F/FH - SiePortal - Siemens Poland">
          <a:extLst>
            <a:ext uri="{FF2B5EF4-FFF2-40B4-BE49-F238E27FC236}">
              <a16:creationId xmlns:a16="http://schemas.microsoft.com/office/drawing/2014/main" id="{03D026C4-6154-48AA-85A3-BCDC5545393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5001" y="8555182"/>
          <a:ext cx="758344" cy="923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357652</xdr:colOff>
      <xdr:row>39</xdr:row>
      <xdr:rowOff>66146</xdr:rowOff>
    </xdr:from>
    <xdr:to>
      <xdr:col>17</xdr:col>
      <xdr:colOff>589995</xdr:colOff>
      <xdr:row>43</xdr:row>
      <xdr:rowOff>76177</xdr:rowOff>
    </xdr:to>
    <xdr:pic>
      <xdr:nvPicPr>
        <xdr:cNvPr id="276" name="Picture 275" descr="3051TG4A2B21BK8M5 | Rosemount 3051 Series Pressure Sensor, -1bar Min,  276bar Max, 4 → 20 mA, Hart Output, Absolute, Differential, | RS">
          <a:extLst>
            <a:ext uri="{FF2B5EF4-FFF2-40B4-BE49-F238E27FC236}">
              <a16:creationId xmlns:a16="http://schemas.microsoft.com/office/drawing/2014/main" id="{7748C21C-4ADA-4CFA-840F-CF65F332707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956379" y="8621328"/>
          <a:ext cx="838480" cy="77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564343</xdr:colOff>
      <xdr:row>39</xdr:row>
      <xdr:rowOff>26824</xdr:rowOff>
    </xdr:from>
    <xdr:to>
      <xdr:col>20</xdr:col>
      <xdr:colOff>221839</xdr:colOff>
      <xdr:row>43</xdr:row>
      <xdr:rowOff>109614</xdr:rowOff>
    </xdr:to>
    <xdr:pic>
      <xdr:nvPicPr>
        <xdr:cNvPr id="277" name="Picture 276" descr="Fisher Easy-E ES Control Valve at best price in Pune by Emerson | ID:  15901586355">
          <a:extLst>
            <a:ext uri="{FF2B5EF4-FFF2-40B4-BE49-F238E27FC236}">
              <a16:creationId xmlns:a16="http://schemas.microsoft.com/office/drawing/2014/main" id="{755DA72A-B3A7-4FBB-9BFC-90CDAC507F1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375343" y="8582006"/>
          <a:ext cx="869769" cy="84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51955</xdr:colOff>
      <xdr:row>39</xdr:row>
      <xdr:rowOff>103908</xdr:rowOff>
    </xdr:from>
    <xdr:to>
      <xdr:col>23</xdr:col>
      <xdr:colOff>415637</xdr:colOff>
      <xdr:row>43</xdr:row>
      <xdr:rowOff>173181</xdr:rowOff>
    </xdr:to>
    <xdr:sp macro="" textlink="">
      <xdr:nvSpPr>
        <xdr:cNvPr id="279" name="Oval 278">
          <a:extLst>
            <a:ext uri="{FF2B5EF4-FFF2-40B4-BE49-F238E27FC236}">
              <a16:creationId xmlns:a16="http://schemas.microsoft.com/office/drawing/2014/main" id="{A056E21E-9BB8-D330-6276-217AA46C8742}"/>
            </a:ext>
          </a:extLst>
        </xdr:cNvPr>
        <xdr:cNvSpPr/>
      </xdr:nvSpPr>
      <xdr:spPr>
        <a:xfrm>
          <a:off x="13681364" y="8659090"/>
          <a:ext cx="1575955" cy="831273"/>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bg1"/>
              </a:solidFill>
              <a:latin typeface="Times New Roman" panose="02020603050405020304" pitchFamily="18" charset="0"/>
              <a:cs typeface="Times New Roman" panose="02020603050405020304" pitchFamily="18" charset="0"/>
            </a:rPr>
            <a:t>TCĐK</a:t>
          </a:r>
        </a:p>
      </xdr:txBody>
    </xdr:sp>
    <xdr:clientData/>
  </xdr:twoCellAnchor>
  <xdr:twoCellAnchor>
    <xdr:from>
      <xdr:col>14</xdr:col>
      <xdr:colOff>138545</xdr:colOff>
      <xdr:row>44</xdr:row>
      <xdr:rowOff>155864</xdr:rowOff>
    </xdr:from>
    <xdr:to>
      <xdr:col>15</xdr:col>
      <xdr:colOff>204395</xdr:colOff>
      <xdr:row>48</xdr:row>
      <xdr:rowOff>8660</xdr:rowOff>
    </xdr:to>
    <xdr:sp macro="" textlink="">
      <xdr:nvSpPr>
        <xdr:cNvPr id="280" name="Oval 279">
          <a:extLst>
            <a:ext uri="{FF2B5EF4-FFF2-40B4-BE49-F238E27FC236}">
              <a16:creationId xmlns:a16="http://schemas.microsoft.com/office/drawing/2014/main" id="{5A25E639-588F-7F09-DFCF-5AD3B216BED9}"/>
            </a:ext>
          </a:extLst>
        </xdr:cNvPr>
        <xdr:cNvSpPr/>
      </xdr:nvSpPr>
      <xdr:spPr>
        <a:xfrm>
          <a:off x="9525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329046</xdr:colOff>
      <xdr:row>38</xdr:row>
      <xdr:rowOff>43295</xdr:rowOff>
    </xdr:from>
    <xdr:to>
      <xdr:col>1</xdr:col>
      <xdr:colOff>190500</xdr:colOff>
      <xdr:row>40</xdr:row>
      <xdr:rowOff>103909</xdr:rowOff>
    </xdr:to>
    <xdr:sp macro="" textlink="">
      <xdr:nvSpPr>
        <xdr:cNvPr id="292" name="Oval 291">
          <a:extLst>
            <a:ext uri="{FF2B5EF4-FFF2-40B4-BE49-F238E27FC236}">
              <a16:creationId xmlns:a16="http://schemas.microsoft.com/office/drawing/2014/main" id="{D6ECA440-FD08-B420-829E-872B733EA5E4}"/>
            </a:ext>
          </a:extLst>
        </xdr:cNvPr>
        <xdr:cNvSpPr/>
      </xdr:nvSpPr>
      <xdr:spPr>
        <a:xfrm>
          <a:off x="329046" y="8407977"/>
          <a:ext cx="467590" cy="441614"/>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311727</xdr:colOff>
      <xdr:row>41</xdr:row>
      <xdr:rowOff>43295</xdr:rowOff>
    </xdr:from>
    <xdr:to>
      <xdr:col>1</xdr:col>
      <xdr:colOff>173181</xdr:colOff>
      <xdr:row>43</xdr:row>
      <xdr:rowOff>103909</xdr:rowOff>
    </xdr:to>
    <xdr:sp macro="" textlink="">
      <xdr:nvSpPr>
        <xdr:cNvPr id="293" name="Oval 292">
          <a:extLst>
            <a:ext uri="{FF2B5EF4-FFF2-40B4-BE49-F238E27FC236}">
              <a16:creationId xmlns:a16="http://schemas.microsoft.com/office/drawing/2014/main" id="{636EB28F-D779-1C3B-33A2-4FC9E69D1CC2}"/>
            </a:ext>
          </a:extLst>
        </xdr:cNvPr>
        <xdr:cNvSpPr/>
      </xdr:nvSpPr>
      <xdr:spPr>
        <a:xfrm>
          <a:off x="311727" y="8979477"/>
          <a:ext cx="467590" cy="441614"/>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242454</xdr:colOff>
      <xdr:row>38</xdr:row>
      <xdr:rowOff>51955</xdr:rowOff>
    </xdr:from>
    <xdr:to>
      <xdr:col>5</xdr:col>
      <xdr:colOff>363681</xdr:colOff>
      <xdr:row>40</xdr:row>
      <xdr:rowOff>138546</xdr:rowOff>
    </xdr:to>
    <xdr:sp macro="" textlink="">
      <xdr:nvSpPr>
        <xdr:cNvPr id="294" name="Rectangle: Rounded Corners 293">
          <a:extLst>
            <a:ext uri="{FF2B5EF4-FFF2-40B4-BE49-F238E27FC236}">
              <a16:creationId xmlns:a16="http://schemas.microsoft.com/office/drawing/2014/main" id="{A4049171-5D5E-1EFF-83B6-BC607D63F738}"/>
            </a:ext>
          </a:extLst>
        </xdr:cNvPr>
        <xdr:cNvSpPr/>
      </xdr:nvSpPr>
      <xdr:spPr>
        <a:xfrm>
          <a:off x="848590" y="8416637"/>
          <a:ext cx="2545773"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solidFill>
                <a:sysClr val="windowText" lastClr="000000"/>
              </a:solidFill>
              <a:latin typeface="Times New Roman" panose="02020603050405020304" pitchFamily="18" charset="0"/>
              <a:cs typeface="Times New Roman" panose="02020603050405020304" pitchFamily="18" charset="0"/>
            </a:rPr>
            <a:t>Hoàn</a:t>
          </a:r>
          <a:r>
            <a:rPr lang="en-US" sz="2000" baseline="0">
              <a:solidFill>
                <a:sysClr val="windowText" lastClr="000000"/>
              </a:solidFill>
              <a:latin typeface="Times New Roman" panose="02020603050405020304" pitchFamily="18" charset="0"/>
              <a:cs typeface="Times New Roman" panose="02020603050405020304" pitchFamily="18" charset="0"/>
            </a:rPr>
            <a:t>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242454</xdr:colOff>
      <xdr:row>41</xdr:row>
      <xdr:rowOff>34637</xdr:rowOff>
    </xdr:from>
    <xdr:to>
      <xdr:col>6</xdr:col>
      <xdr:colOff>450273</xdr:colOff>
      <xdr:row>43</xdr:row>
      <xdr:rowOff>121228</xdr:rowOff>
    </xdr:to>
    <xdr:sp macro="" textlink="">
      <xdr:nvSpPr>
        <xdr:cNvPr id="295" name="Rectangle: Rounded Corners 294">
          <a:extLst>
            <a:ext uri="{FF2B5EF4-FFF2-40B4-BE49-F238E27FC236}">
              <a16:creationId xmlns:a16="http://schemas.microsoft.com/office/drawing/2014/main" id="{49496BB7-8750-1B0E-16AA-D0EF4EAD914D}"/>
            </a:ext>
          </a:extLst>
        </xdr:cNvPr>
        <xdr:cNvSpPr/>
      </xdr:nvSpPr>
      <xdr:spPr>
        <a:xfrm>
          <a:off x="848590" y="8970819"/>
          <a:ext cx="3238501"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aseline="0">
              <a:solidFill>
                <a:sysClr val="windowText" lastClr="000000"/>
              </a:solidFill>
              <a:latin typeface="Times New Roman" panose="02020603050405020304" pitchFamily="18" charset="0"/>
              <a:cs typeface="Times New Roman" panose="02020603050405020304" pitchFamily="18" charset="0"/>
            </a:rPr>
            <a:t>Không hoàn thành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29</xdr:row>
      <xdr:rowOff>242456</xdr:rowOff>
    </xdr:from>
    <xdr:to>
      <xdr:col>26</xdr:col>
      <xdr:colOff>519546</xdr:colOff>
      <xdr:row>32</xdr:row>
      <xdr:rowOff>294410</xdr:rowOff>
    </xdr:to>
    <xdr:sp macro="" textlink="">
      <xdr:nvSpPr>
        <xdr:cNvPr id="297" name="Rectangle: Rounded Corners 296">
          <a:extLst>
            <a:ext uri="{FF2B5EF4-FFF2-40B4-BE49-F238E27FC236}">
              <a16:creationId xmlns:a16="http://schemas.microsoft.com/office/drawing/2014/main" id="{D57E7F6E-5081-4D53-7D38-A26FB02F3D01}"/>
            </a:ext>
          </a:extLst>
        </xdr:cNvPr>
        <xdr:cNvSpPr/>
      </xdr:nvSpPr>
      <xdr:spPr>
        <a:xfrm>
          <a:off x="277091" y="8278092"/>
          <a:ext cx="16902546" cy="987136"/>
        </a:xfrm>
        <a:prstGeom prst="roundRect">
          <a:avLst>
            <a:gd name="adj" fmla="val 6667"/>
          </a:avLst>
        </a:prstGeom>
        <a:solidFill>
          <a:srgbClr val="FFFFFF"/>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kern="1200">
              <a:solidFill>
                <a:srgbClr val="FF0000"/>
              </a:solidFill>
              <a:latin typeface="Times New Roman" panose="02020603050405020304" pitchFamily="18" charset="0"/>
              <a:cs typeface="Times New Roman" panose="02020603050405020304" pitchFamily="18" charset="0"/>
            </a:rPr>
            <a:t>Đội Thiết</a:t>
          </a:r>
          <a:r>
            <a:rPr lang="en-US" sz="2000" kern="1200" baseline="0">
              <a:solidFill>
                <a:srgbClr val="FF0000"/>
              </a:solidFill>
              <a:latin typeface="Times New Roman" panose="02020603050405020304" pitchFamily="18" charset="0"/>
              <a:cs typeface="Times New Roman" panose="02020603050405020304" pitchFamily="18" charset="0"/>
            </a:rPr>
            <a:t> bị Hệ thống điều khiển: Có 2 nhân sự </a:t>
          </a:r>
          <a:r>
            <a:rPr lang="en-US" sz="2000" b="1" kern="1200" baseline="0">
              <a:solidFill>
                <a:srgbClr val="FF0000"/>
              </a:solidFill>
              <a:latin typeface="Times New Roman" panose="02020603050405020304" pitchFamily="18" charset="0"/>
              <a:cs typeface="Times New Roman" panose="02020603050405020304" pitchFamily="18" charset="0"/>
            </a:rPr>
            <a:t>quên chấm công </a:t>
          </a:r>
          <a:r>
            <a:rPr lang="en-US" sz="2000" kern="1200" baseline="0">
              <a:solidFill>
                <a:srgbClr val="FF0000"/>
              </a:solidFill>
              <a:latin typeface="Times New Roman" panose="02020603050405020304" pitchFamily="18" charset="0"/>
              <a:cs typeface="Times New Roman" panose="02020603050405020304" pitchFamily="18" charset="0"/>
            </a:rPr>
            <a:t>out</a:t>
          </a:r>
          <a:endParaRPr lang="en-US" sz="200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27</xdr:row>
      <xdr:rowOff>86589</xdr:rowOff>
    </xdr:from>
    <xdr:to>
      <xdr:col>26</xdr:col>
      <xdr:colOff>467591</xdr:colOff>
      <xdr:row>29</xdr:row>
      <xdr:rowOff>103908</xdr:rowOff>
    </xdr:to>
    <xdr:sp macro="" textlink="">
      <xdr:nvSpPr>
        <xdr:cNvPr id="298" name="Rectangle: Rounded Corners 297">
          <a:extLst>
            <a:ext uri="{FF2B5EF4-FFF2-40B4-BE49-F238E27FC236}">
              <a16:creationId xmlns:a16="http://schemas.microsoft.com/office/drawing/2014/main" id="{550181F1-7B1E-1628-FDE1-7D1485AA47F4}"/>
            </a:ext>
          </a:extLst>
        </xdr:cNvPr>
        <xdr:cNvSpPr/>
      </xdr:nvSpPr>
      <xdr:spPr>
        <a:xfrm>
          <a:off x="329045" y="7498771"/>
          <a:ext cx="16798637" cy="64077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VI PHẠM</a:t>
          </a:r>
          <a:r>
            <a:rPr lang="en-US" sz="2400" b="1" baseline="0">
              <a:solidFill>
                <a:schemeClr val="tx1"/>
              </a:solidFill>
              <a:latin typeface="Times New Roman" panose="02020603050405020304" pitchFamily="18" charset="0"/>
              <a:cs typeface="Times New Roman" panose="02020603050405020304" pitchFamily="18" charset="0"/>
            </a:rPr>
            <a:t> QUY ĐỊNH CỦA NHÀ MÁY/ CÔNG TY</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588817</xdr:colOff>
      <xdr:row>169</xdr:row>
      <xdr:rowOff>58878</xdr:rowOff>
    </xdr:from>
    <xdr:to>
      <xdr:col>47</xdr:col>
      <xdr:colOff>155863</xdr:colOff>
      <xdr:row>172</xdr:row>
      <xdr:rowOff>117759</xdr:rowOff>
    </xdr:to>
    <xdr:sp macro="" textlink="">
      <xdr:nvSpPr>
        <xdr:cNvPr id="299" name="Rectangle: Rounded Corners 298">
          <a:extLst>
            <a:ext uri="{FF2B5EF4-FFF2-40B4-BE49-F238E27FC236}">
              <a16:creationId xmlns:a16="http://schemas.microsoft.com/office/drawing/2014/main" id="{0F986599-7381-E846-0EA3-D9602FB00F3B}"/>
            </a:ext>
          </a:extLst>
        </xdr:cNvPr>
        <xdr:cNvSpPr/>
      </xdr:nvSpPr>
      <xdr:spPr>
        <a:xfrm>
          <a:off x="17214272" y="35401823"/>
          <a:ext cx="12908973" cy="599209"/>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O6: </a:t>
          </a:r>
          <a:r>
            <a:rPr lang="vi-VN" sz="2400" b="1">
              <a:solidFill>
                <a:schemeClr val="tx1"/>
              </a:solidFill>
              <a:latin typeface="Times New Roman" panose="02020603050405020304" pitchFamily="18" charset="0"/>
              <a:cs typeface="Times New Roman" panose="02020603050405020304" pitchFamily="18" charset="0"/>
            </a:rPr>
            <a:t>Văn hóa doanh nghiệp</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121228</xdr:colOff>
      <xdr:row>33</xdr:row>
      <xdr:rowOff>129886</xdr:rowOff>
    </xdr:from>
    <xdr:to>
      <xdr:col>47</xdr:col>
      <xdr:colOff>363682</xdr:colOff>
      <xdr:row>37</xdr:row>
      <xdr:rowOff>8659</xdr:rowOff>
    </xdr:to>
    <xdr:sp macro="" textlink="">
      <xdr:nvSpPr>
        <xdr:cNvPr id="313" name="Rectangle: Rounded Corners 312">
          <a:extLst>
            <a:ext uri="{FF2B5EF4-FFF2-40B4-BE49-F238E27FC236}">
              <a16:creationId xmlns:a16="http://schemas.microsoft.com/office/drawing/2014/main" id="{758AC7FC-2037-C0F8-17DD-75C48D91200B}"/>
            </a:ext>
          </a:extLst>
        </xdr:cNvPr>
        <xdr:cNvSpPr/>
      </xdr:nvSpPr>
      <xdr:spPr>
        <a:xfrm>
          <a:off x="17342428" y="10964141"/>
          <a:ext cx="12960927"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O5: Triển khai các trụ cột TPM thuộc chuyên môn phụ trách </a:t>
          </a:r>
        </a:p>
      </xdr:txBody>
    </xdr:sp>
    <xdr:clientData/>
  </xdr:twoCellAnchor>
  <xdr:twoCellAnchor>
    <xdr:from>
      <xdr:col>16</xdr:col>
      <xdr:colOff>450273</xdr:colOff>
      <xdr:row>44</xdr:row>
      <xdr:rowOff>155864</xdr:rowOff>
    </xdr:from>
    <xdr:to>
      <xdr:col>17</xdr:col>
      <xdr:colOff>516122</xdr:colOff>
      <xdr:row>48</xdr:row>
      <xdr:rowOff>8660</xdr:rowOff>
    </xdr:to>
    <xdr:sp macro="" textlink="">
      <xdr:nvSpPr>
        <xdr:cNvPr id="314" name="Oval 313">
          <a:extLst>
            <a:ext uri="{FF2B5EF4-FFF2-40B4-BE49-F238E27FC236}">
              <a16:creationId xmlns:a16="http://schemas.microsoft.com/office/drawing/2014/main" id="{D1936B02-6372-5F09-5A44-44451323638C}"/>
            </a:ext>
          </a:extLst>
        </xdr:cNvPr>
        <xdr:cNvSpPr/>
      </xdr:nvSpPr>
      <xdr:spPr>
        <a:xfrm>
          <a:off x="11049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44</xdr:row>
      <xdr:rowOff>155864</xdr:rowOff>
    </xdr:from>
    <xdr:to>
      <xdr:col>20</xdr:col>
      <xdr:colOff>117804</xdr:colOff>
      <xdr:row>48</xdr:row>
      <xdr:rowOff>8660</xdr:rowOff>
    </xdr:to>
    <xdr:sp macro="" textlink="">
      <xdr:nvSpPr>
        <xdr:cNvPr id="315" name="Oval 314">
          <a:extLst>
            <a:ext uri="{FF2B5EF4-FFF2-40B4-BE49-F238E27FC236}">
              <a16:creationId xmlns:a16="http://schemas.microsoft.com/office/drawing/2014/main" id="{7B4A1946-5176-825A-3E72-8898F4AB7616}"/>
            </a:ext>
          </a:extLst>
        </xdr:cNvPr>
        <xdr:cNvSpPr/>
      </xdr:nvSpPr>
      <xdr:spPr>
        <a:xfrm>
          <a:off x="12469091"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50</xdr:row>
      <xdr:rowOff>155864</xdr:rowOff>
    </xdr:from>
    <xdr:to>
      <xdr:col>15</xdr:col>
      <xdr:colOff>204395</xdr:colOff>
      <xdr:row>54</xdr:row>
      <xdr:rowOff>8660</xdr:rowOff>
    </xdr:to>
    <xdr:sp macro="" textlink="">
      <xdr:nvSpPr>
        <xdr:cNvPr id="316" name="Oval 315">
          <a:extLst>
            <a:ext uri="{FF2B5EF4-FFF2-40B4-BE49-F238E27FC236}">
              <a16:creationId xmlns:a16="http://schemas.microsoft.com/office/drawing/2014/main" id="{A9D20B09-0354-C00C-5D4B-F82747937272}"/>
            </a:ext>
          </a:extLst>
        </xdr:cNvPr>
        <xdr:cNvSpPr/>
      </xdr:nvSpPr>
      <xdr:spPr>
        <a:xfrm>
          <a:off x="9525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50</xdr:row>
      <xdr:rowOff>155864</xdr:rowOff>
    </xdr:from>
    <xdr:to>
      <xdr:col>17</xdr:col>
      <xdr:colOff>516122</xdr:colOff>
      <xdr:row>54</xdr:row>
      <xdr:rowOff>8660</xdr:rowOff>
    </xdr:to>
    <xdr:sp macro="" textlink="">
      <xdr:nvSpPr>
        <xdr:cNvPr id="317" name="Oval 316">
          <a:extLst>
            <a:ext uri="{FF2B5EF4-FFF2-40B4-BE49-F238E27FC236}">
              <a16:creationId xmlns:a16="http://schemas.microsoft.com/office/drawing/2014/main" id="{9A4DB4D0-F68C-45DC-178E-45E7FE8B89B8}"/>
            </a:ext>
          </a:extLst>
        </xdr:cNvPr>
        <xdr:cNvSpPr/>
      </xdr:nvSpPr>
      <xdr:spPr>
        <a:xfrm>
          <a:off x="11049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50</xdr:row>
      <xdr:rowOff>155864</xdr:rowOff>
    </xdr:from>
    <xdr:to>
      <xdr:col>20</xdr:col>
      <xdr:colOff>117804</xdr:colOff>
      <xdr:row>54</xdr:row>
      <xdr:rowOff>8660</xdr:rowOff>
    </xdr:to>
    <xdr:sp macro="" textlink="">
      <xdr:nvSpPr>
        <xdr:cNvPr id="318" name="Oval 317">
          <a:extLst>
            <a:ext uri="{FF2B5EF4-FFF2-40B4-BE49-F238E27FC236}">
              <a16:creationId xmlns:a16="http://schemas.microsoft.com/office/drawing/2014/main" id="{A674C0CD-32EE-CB9D-DF6B-EED95F4AE5C7}"/>
            </a:ext>
          </a:extLst>
        </xdr:cNvPr>
        <xdr:cNvSpPr/>
      </xdr:nvSpPr>
      <xdr:spPr>
        <a:xfrm>
          <a:off x="12469091"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57</xdr:row>
      <xdr:rowOff>69273</xdr:rowOff>
    </xdr:from>
    <xdr:to>
      <xdr:col>15</xdr:col>
      <xdr:colOff>204395</xdr:colOff>
      <xdr:row>60</xdr:row>
      <xdr:rowOff>112569</xdr:rowOff>
    </xdr:to>
    <xdr:sp macro="" textlink="">
      <xdr:nvSpPr>
        <xdr:cNvPr id="319" name="Oval 318">
          <a:extLst>
            <a:ext uri="{FF2B5EF4-FFF2-40B4-BE49-F238E27FC236}">
              <a16:creationId xmlns:a16="http://schemas.microsoft.com/office/drawing/2014/main" id="{674D598E-366E-92B4-D299-018F2A262399}"/>
            </a:ext>
          </a:extLst>
        </xdr:cNvPr>
        <xdr:cNvSpPr/>
      </xdr:nvSpPr>
      <xdr:spPr>
        <a:xfrm>
          <a:off x="9525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57</xdr:row>
      <xdr:rowOff>69273</xdr:rowOff>
    </xdr:from>
    <xdr:to>
      <xdr:col>17</xdr:col>
      <xdr:colOff>516122</xdr:colOff>
      <xdr:row>60</xdr:row>
      <xdr:rowOff>112569</xdr:rowOff>
    </xdr:to>
    <xdr:sp macro="" textlink="">
      <xdr:nvSpPr>
        <xdr:cNvPr id="320" name="Oval 319">
          <a:extLst>
            <a:ext uri="{FF2B5EF4-FFF2-40B4-BE49-F238E27FC236}">
              <a16:creationId xmlns:a16="http://schemas.microsoft.com/office/drawing/2014/main" id="{E738B75D-D7B5-06DC-5066-CB30A48D0FF7}"/>
            </a:ext>
          </a:extLst>
        </xdr:cNvPr>
        <xdr:cNvSpPr/>
      </xdr:nvSpPr>
      <xdr:spPr>
        <a:xfrm>
          <a:off x="11049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57</xdr:row>
      <xdr:rowOff>69273</xdr:rowOff>
    </xdr:from>
    <xdr:to>
      <xdr:col>20</xdr:col>
      <xdr:colOff>117804</xdr:colOff>
      <xdr:row>60</xdr:row>
      <xdr:rowOff>112569</xdr:rowOff>
    </xdr:to>
    <xdr:sp macro="" textlink="">
      <xdr:nvSpPr>
        <xdr:cNvPr id="321" name="Oval 320">
          <a:extLst>
            <a:ext uri="{FF2B5EF4-FFF2-40B4-BE49-F238E27FC236}">
              <a16:creationId xmlns:a16="http://schemas.microsoft.com/office/drawing/2014/main" id="{FBA69C8F-350E-0EE9-D6D9-4D806167FE21}"/>
            </a:ext>
          </a:extLst>
        </xdr:cNvPr>
        <xdr:cNvSpPr/>
      </xdr:nvSpPr>
      <xdr:spPr>
        <a:xfrm>
          <a:off x="12469091"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50</xdr:row>
      <xdr:rowOff>155864</xdr:rowOff>
    </xdr:from>
    <xdr:to>
      <xdr:col>22</xdr:col>
      <xdr:colOff>490144</xdr:colOff>
      <xdr:row>54</xdr:row>
      <xdr:rowOff>8660</xdr:rowOff>
    </xdr:to>
    <xdr:sp macro="" textlink="">
      <xdr:nvSpPr>
        <xdr:cNvPr id="322" name="Oval 321">
          <a:extLst>
            <a:ext uri="{FF2B5EF4-FFF2-40B4-BE49-F238E27FC236}">
              <a16:creationId xmlns:a16="http://schemas.microsoft.com/office/drawing/2014/main" id="{A5314E65-A064-DA07-29EA-827DD82C69DB}"/>
            </a:ext>
          </a:extLst>
        </xdr:cNvPr>
        <xdr:cNvSpPr/>
      </xdr:nvSpPr>
      <xdr:spPr>
        <a:xfrm>
          <a:off x="13534158" y="14062364"/>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57</xdr:row>
      <xdr:rowOff>103910</xdr:rowOff>
    </xdr:from>
    <xdr:to>
      <xdr:col>22</xdr:col>
      <xdr:colOff>490144</xdr:colOff>
      <xdr:row>60</xdr:row>
      <xdr:rowOff>147206</xdr:rowOff>
    </xdr:to>
    <xdr:sp macro="" textlink="">
      <xdr:nvSpPr>
        <xdr:cNvPr id="323" name="Oval 322">
          <a:extLst>
            <a:ext uri="{FF2B5EF4-FFF2-40B4-BE49-F238E27FC236}">
              <a16:creationId xmlns:a16="http://schemas.microsoft.com/office/drawing/2014/main" id="{603B8B12-CD76-5AC3-897C-B209DD58C705}"/>
            </a:ext>
          </a:extLst>
        </xdr:cNvPr>
        <xdr:cNvSpPr/>
      </xdr:nvSpPr>
      <xdr:spPr>
        <a:xfrm>
          <a:off x="13534158" y="15343910"/>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45027</xdr:colOff>
      <xdr:row>55</xdr:row>
      <xdr:rowOff>71101</xdr:rowOff>
    </xdr:from>
    <xdr:to>
      <xdr:col>36</xdr:col>
      <xdr:colOff>557643</xdr:colOff>
      <xdr:row>58</xdr:row>
      <xdr:rowOff>6925</xdr:rowOff>
    </xdr:to>
    <xdr:sp macro="" textlink="">
      <xdr:nvSpPr>
        <xdr:cNvPr id="328" name="Rectangle: Rounded Corners 327">
          <a:extLst>
            <a:ext uri="{FF2B5EF4-FFF2-40B4-BE49-F238E27FC236}">
              <a16:creationId xmlns:a16="http://schemas.microsoft.com/office/drawing/2014/main" id="{4CF4EB9E-CAF9-E358-D1E0-28870007F08B}"/>
            </a:ext>
          </a:extLst>
        </xdr:cNvPr>
        <xdr:cNvSpPr/>
      </xdr:nvSpPr>
      <xdr:spPr>
        <a:xfrm>
          <a:off x="17889682" y="14881610"/>
          <a:ext cx="5500252" cy="4761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3</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đào tạo nội bộ theo kế hoạch được phê duyệt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277093</xdr:colOff>
      <xdr:row>59</xdr:row>
      <xdr:rowOff>86591</xdr:rowOff>
    </xdr:from>
    <xdr:to>
      <xdr:col>43</xdr:col>
      <xdr:colOff>235527</xdr:colOff>
      <xdr:row>83</xdr:row>
      <xdr:rowOff>121226</xdr:rowOff>
    </xdr:to>
    <xdr:graphicFrame macro="">
      <xdr:nvGraphicFramePr>
        <xdr:cNvPr id="85" name="Chart 84">
          <a:extLst>
            <a:ext uri="{FF2B5EF4-FFF2-40B4-BE49-F238E27FC236}">
              <a16:creationId xmlns:a16="http://schemas.microsoft.com/office/drawing/2014/main" id="{76E515FB-3537-46FD-8C9A-FF5A7148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43</xdr:col>
      <xdr:colOff>423593</xdr:colOff>
      <xdr:row>63</xdr:row>
      <xdr:rowOff>111439</xdr:rowOff>
    </xdr:from>
    <xdr:to>
      <xdr:col>47</xdr:col>
      <xdr:colOff>124688</xdr:colOff>
      <xdr:row>65</xdr:row>
      <xdr:rowOff>152401</xdr:rowOff>
    </xdr:to>
    <xdr:sp macro="" textlink="">
      <xdr:nvSpPr>
        <xdr:cNvPr id="103" name="Rectangle: Rounded Corners 102">
          <a:extLst>
            <a:ext uri="{FF2B5EF4-FFF2-40B4-BE49-F238E27FC236}">
              <a16:creationId xmlns:a16="http://schemas.microsoft.com/office/drawing/2014/main" id="{A8B7D990-9987-4AC5-92B0-5A32BD844B65}"/>
            </a:ext>
          </a:extLst>
        </xdr:cNvPr>
        <xdr:cNvSpPr/>
      </xdr:nvSpPr>
      <xdr:spPr>
        <a:xfrm>
          <a:off x="27744757" y="16362821"/>
          <a:ext cx="2319604" cy="401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T</a:t>
          </a:r>
          <a:r>
            <a:rPr lang="vi-VN"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hanh toán lần </a:t>
          </a:r>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I: </a:t>
          </a:r>
          <a:r>
            <a:rPr lang="en-US" sz="2800" b="1"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0h</a:t>
          </a:r>
          <a:endParaRPr lang="en-US" sz="1800" b="1" kern="1200">
            <a:solidFill>
              <a:srgbClr val="00B050"/>
            </a:solidFill>
            <a:latin typeface="Times New Roman" panose="02020603050405020304" pitchFamily="18" charset="0"/>
            <a:ea typeface="ADLaM Display" panose="020F0502020204030204" pitchFamily="2" charset="0"/>
            <a:cs typeface="Times New Roman" panose="02020603050405020304" pitchFamily="18" charset="0"/>
          </a:endParaRPr>
        </a:p>
      </xdr:txBody>
    </xdr:sp>
    <xdr:clientData/>
  </xdr:twoCellAnchor>
  <xdr:twoCellAnchor>
    <xdr:from>
      <xdr:col>40</xdr:col>
      <xdr:colOff>514056</xdr:colOff>
      <xdr:row>58</xdr:row>
      <xdr:rowOff>114629</xdr:rowOff>
    </xdr:from>
    <xdr:to>
      <xdr:col>42</xdr:col>
      <xdr:colOff>637306</xdr:colOff>
      <xdr:row>62</xdr:row>
      <xdr:rowOff>16344</xdr:rowOff>
    </xdr:to>
    <xdr:sp macro="" textlink="data!D107">
      <xdr:nvSpPr>
        <xdr:cNvPr id="331" name="Rectangle: Rounded Corners 330">
          <a:extLst>
            <a:ext uri="{FF2B5EF4-FFF2-40B4-BE49-F238E27FC236}">
              <a16:creationId xmlns:a16="http://schemas.microsoft.com/office/drawing/2014/main" id="{9610B3B2-5750-4135-85D8-59B06BEBFDA9}"/>
            </a:ext>
          </a:extLst>
        </xdr:cNvPr>
        <xdr:cNvSpPr/>
      </xdr:nvSpPr>
      <xdr:spPr>
        <a:xfrm>
          <a:off x="25840165" y="15465465"/>
          <a:ext cx="1370159" cy="622152"/>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B4B56C-0495-4D09-9647-3810D00341EE}" type="TxLink">
            <a:rPr lang="en-US" sz="2400" b="1" i="0" u="none" strike="noStrike">
              <a:solidFill>
                <a:schemeClr val="bg1"/>
              </a:solidFill>
              <a:latin typeface="Calibri"/>
              <a:ea typeface="+mn-ea"/>
              <a:cs typeface="Calibri"/>
            </a:rPr>
            <a:pPr marL="0" indent="0" algn="ctr"/>
            <a:t>0,00%</a:t>
          </a:fld>
          <a:endParaRPr lang="en-US" sz="2400" b="1" i="0" u="none" strike="noStrike">
            <a:solidFill>
              <a:schemeClr val="bg1"/>
            </a:solidFill>
            <a:latin typeface="Calibri"/>
            <a:ea typeface="+mn-ea"/>
            <a:cs typeface="Calibri"/>
          </a:endParaRPr>
        </a:p>
      </xdr:txBody>
    </xdr:sp>
    <xdr:clientData/>
  </xdr:twoCellAnchor>
  <xdr:twoCellAnchor>
    <xdr:from>
      <xdr:col>27</xdr:col>
      <xdr:colOff>51955</xdr:colOff>
      <xdr:row>37</xdr:row>
      <xdr:rowOff>155864</xdr:rowOff>
    </xdr:from>
    <xdr:to>
      <xdr:col>28</xdr:col>
      <xdr:colOff>398318</xdr:colOff>
      <xdr:row>41</xdr:row>
      <xdr:rowOff>138545</xdr:rowOff>
    </xdr:to>
    <xdr:sp macro="" textlink="">
      <xdr:nvSpPr>
        <xdr:cNvPr id="333" name="Rectangle: Rounded Corners 332">
          <a:extLst>
            <a:ext uri="{FF2B5EF4-FFF2-40B4-BE49-F238E27FC236}">
              <a16:creationId xmlns:a16="http://schemas.microsoft.com/office/drawing/2014/main" id="{170EFB3F-9A52-A4EE-7D5B-67F7C64CC29C}"/>
            </a:ext>
          </a:extLst>
        </xdr:cNvPr>
        <xdr:cNvSpPr/>
      </xdr:nvSpPr>
      <xdr:spPr>
        <a:xfrm>
          <a:off x="17318182" y="11585864"/>
          <a:ext cx="952500"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ET</a:t>
          </a:r>
        </a:p>
      </xdr:txBody>
    </xdr:sp>
    <xdr:clientData/>
  </xdr:twoCellAnchor>
  <xdr:twoCellAnchor>
    <xdr:from>
      <xdr:col>28</xdr:col>
      <xdr:colOff>45027</xdr:colOff>
      <xdr:row>82</xdr:row>
      <xdr:rowOff>161157</xdr:rowOff>
    </xdr:from>
    <xdr:to>
      <xdr:col>41</xdr:col>
      <xdr:colOff>121227</xdr:colOff>
      <xdr:row>85</xdr:row>
      <xdr:rowOff>86590</xdr:rowOff>
    </xdr:to>
    <xdr:sp macro="" textlink="">
      <xdr:nvSpPr>
        <xdr:cNvPr id="334" name="Rectangle: Rounded Corners 333">
          <a:extLst>
            <a:ext uri="{FF2B5EF4-FFF2-40B4-BE49-F238E27FC236}">
              <a16:creationId xmlns:a16="http://schemas.microsoft.com/office/drawing/2014/main" id="{159A1C65-EAC5-E740-FA66-1867A874FF86}"/>
            </a:ext>
          </a:extLst>
        </xdr:cNvPr>
        <xdr:cNvSpPr/>
      </xdr:nvSpPr>
      <xdr:spPr>
        <a:xfrm>
          <a:off x="17397845" y="20163657"/>
          <a:ext cx="7955973" cy="496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4</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Tổ chức hội thảo chuyên môn</a:t>
          </a:r>
          <a:r>
            <a:rPr lang="en-US" sz="2000" kern="1200">
              <a:solidFill>
                <a:sysClr val="windowText" lastClr="000000"/>
              </a:solidFill>
              <a:latin typeface="Times New Roman" panose="02020603050405020304" pitchFamily="18" charset="0"/>
              <a:cs typeface="Times New Roman" panose="02020603050405020304" pitchFamily="18" charset="0"/>
            </a:rPr>
            <a:t> - </a:t>
          </a:r>
          <a:r>
            <a:rPr lang="en-US" sz="2400" b="1" kern="1200">
              <a:solidFill>
                <a:srgbClr val="FF0000"/>
              </a:solidFill>
              <a:latin typeface="Times New Roman" panose="02020603050405020304" pitchFamily="18" charset="0"/>
              <a:cs typeface="Times New Roman" panose="02020603050405020304" pitchFamily="18" charset="0"/>
            </a:rPr>
            <a:t>Không</a:t>
          </a:r>
          <a:r>
            <a:rPr lang="en-US" sz="24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28</xdr:col>
      <xdr:colOff>45027</xdr:colOff>
      <xdr:row>87</xdr:row>
      <xdr:rowOff>39931</xdr:rowOff>
    </xdr:from>
    <xdr:to>
      <xdr:col>45</xdr:col>
      <xdr:colOff>432954</xdr:colOff>
      <xdr:row>89</xdr:row>
      <xdr:rowOff>155864</xdr:rowOff>
    </xdr:to>
    <xdr:sp macro="" textlink="">
      <xdr:nvSpPr>
        <xdr:cNvPr id="337" name="Rectangle: Rounded Corners 336">
          <a:extLst>
            <a:ext uri="{FF2B5EF4-FFF2-40B4-BE49-F238E27FC236}">
              <a16:creationId xmlns:a16="http://schemas.microsoft.com/office/drawing/2014/main" id="{B4CC3305-0C90-8EF0-C5A0-BEC325A795E4}"/>
            </a:ext>
          </a:extLst>
        </xdr:cNvPr>
        <xdr:cNvSpPr/>
      </xdr:nvSpPr>
      <xdr:spPr>
        <a:xfrm>
          <a:off x="17397845" y="20994931"/>
          <a:ext cx="10934700" cy="496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5</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đào tạo bên ngoài theo kế hoạch được phê duyệt</a:t>
          </a:r>
          <a:r>
            <a:rPr lang="en-US" sz="2000" kern="1200">
              <a:solidFill>
                <a:sysClr val="windowText" lastClr="000000"/>
              </a:solidFill>
              <a:latin typeface="Times New Roman" panose="02020603050405020304" pitchFamily="18" charset="0"/>
              <a:cs typeface="Times New Roman" panose="02020603050405020304" pitchFamily="18" charset="0"/>
            </a:rPr>
            <a:t> -</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400" b="1" kern="1200" baseline="0">
              <a:solidFill>
                <a:srgbClr val="FF0000"/>
              </a:solidFill>
              <a:latin typeface="Times New Roman" panose="02020603050405020304" pitchFamily="18" charset="0"/>
              <a:cs typeface="Times New Roman" panose="02020603050405020304" pitchFamily="18" charset="0"/>
            </a:rPr>
            <a:t>Không có KH trong tháng</a:t>
          </a:r>
          <a:r>
            <a:rPr lang="en-US" sz="2400" b="1" kern="1200">
              <a:solidFill>
                <a:srgbClr val="FF0000"/>
              </a:solidFill>
              <a:latin typeface="Times New Roman" panose="02020603050405020304" pitchFamily="18" charset="0"/>
              <a:cs typeface="Times New Roman" panose="02020603050405020304" pitchFamily="18" charset="0"/>
            </a:rPr>
            <a:t>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28</xdr:col>
      <xdr:colOff>45027</xdr:colOff>
      <xdr:row>91</xdr:row>
      <xdr:rowOff>5294</xdr:rowOff>
    </xdr:from>
    <xdr:to>
      <xdr:col>47</xdr:col>
      <xdr:colOff>138545</xdr:colOff>
      <xdr:row>93</xdr:row>
      <xdr:rowOff>121227</xdr:rowOff>
    </xdr:to>
    <xdr:sp macro="" textlink="">
      <xdr:nvSpPr>
        <xdr:cNvPr id="338" name="Rectangle: Rounded Corners 337">
          <a:extLst>
            <a:ext uri="{FF2B5EF4-FFF2-40B4-BE49-F238E27FC236}">
              <a16:creationId xmlns:a16="http://schemas.microsoft.com/office/drawing/2014/main" id="{F13D6A89-D433-C778-787E-CBF423660436}"/>
            </a:ext>
          </a:extLst>
        </xdr:cNvPr>
        <xdr:cNvSpPr/>
      </xdr:nvSpPr>
      <xdr:spPr>
        <a:xfrm>
          <a:off x="17397845" y="21722294"/>
          <a:ext cx="11852564" cy="496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6</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chuẩn hóa giáo trình đào tạo theo kế hoạch được phê duyệt</a:t>
          </a:r>
          <a:r>
            <a:rPr lang="en-US" sz="2000" kern="1200">
              <a:solidFill>
                <a:sysClr val="windowText" lastClr="000000"/>
              </a:solidFill>
              <a:latin typeface="Times New Roman" panose="02020603050405020304" pitchFamily="18" charset="0"/>
              <a:cs typeface="Times New Roman" panose="02020603050405020304" pitchFamily="18" charset="0"/>
            </a:rPr>
            <a:t>-</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400" b="1" kern="1200" baseline="0">
              <a:solidFill>
                <a:srgbClr val="FF0000"/>
              </a:solidFill>
              <a:latin typeface="Times New Roman" panose="02020603050405020304" pitchFamily="18" charset="0"/>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86591</xdr:colOff>
      <xdr:row>96</xdr:row>
      <xdr:rowOff>34633</xdr:rowOff>
    </xdr:from>
    <xdr:to>
      <xdr:col>47</xdr:col>
      <xdr:colOff>415636</xdr:colOff>
      <xdr:row>123</xdr:row>
      <xdr:rowOff>34633</xdr:rowOff>
    </xdr:to>
    <xdr:sp macro="" textlink="">
      <xdr:nvSpPr>
        <xdr:cNvPr id="339" name="Rectangle: Rounded Corners 338">
          <a:extLst>
            <a:ext uri="{FF2B5EF4-FFF2-40B4-BE49-F238E27FC236}">
              <a16:creationId xmlns:a16="http://schemas.microsoft.com/office/drawing/2014/main" id="{B0C5DD01-9FD1-AA51-6167-2D05D3EF4B63}"/>
            </a:ext>
          </a:extLst>
        </xdr:cNvPr>
        <xdr:cNvSpPr/>
      </xdr:nvSpPr>
      <xdr:spPr>
        <a:xfrm>
          <a:off x="16833273" y="22704133"/>
          <a:ext cx="12694227" cy="514350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27</xdr:col>
      <xdr:colOff>69273</xdr:colOff>
      <xdr:row>96</xdr:row>
      <xdr:rowOff>34632</xdr:rowOff>
    </xdr:from>
    <xdr:to>
      <xdr:col>28</xdr:col>
      <xdr:colOff>415636</xdr:colOff>
      <xdr:row>100</xdr:row>
      <xdr:rowOff>17313</xdr:rowOff>
    </xdr:to>
    <xdr:sp macro="" textlink="">
      <xdr:nvSpPr>
        <xdr:cNvPr id="340" name="Rectangle: Rounded Corners 339">
          <a:extLst>
            <a:ext uri="{FF2B5EF4-FFF2-40B4-BE49-F238E27FC236}">
              <a16:creationId xmlns:a16="http://schemas.microsoft.com/office/drawing/2014/main" id="{5BE17EE6-1837-4C35-B11A-43592307C239}"/>
            </a:ext>
          </a:extLst>
        </xdr:cNvPr>
        <xdr:cNvSpPr/>
      </xdr:nvSpPr>
      <xdr:spPr>
        <a:xfrm>
          <a:off x="16815955" y="22704132"/>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AM</a:t>
          </a:r>
        </a:p>
      </xdr:txBody>
    </xdr:sp>
    <xdr:clientData/>
  </xdr:twoCellAnchor>
  <xdr:twoCellAnchor>
    <xdr:from>
      <xdr:col>28</xdr:col>
      <xdr:colOff>432956</xdr:colOff>
      <xdr:row>96</xdr:row>
      <xdr:rowOff>140372</xdr:rowOff>
    </xdr:from>
    <xdr:to>
      <xdr:col>47</xdr:col>
      <xdr:colOff>443346</xdr:colOff>
      <xdr:row>103</xdr:row>
      <xdr:rowOff>166255</xdr:rowOff>
    </xdr:to>
    <xdr:sp macro="" textlink="">
      <xdr:nvSpPr>
        <xdr:cNvPr id="341" name="Rectangle: Rounded Corners 340">
          <a:extLst>
            <a:ext uri="{FF2B5EF4-FFF2-40B4-BE49-F238E27FC236}">
              <a16:creationId xmlns:a16="http://schemas.microsoft.com/office/drawing/2014/main" id="{3144C71C-7FAF-991E-404B-D8F10A570512}"/>
            </a:ext>
          </a:extLst>
        </xdr:cNvPr>
        <xdr:cNvSpPr/>
      </xdr:nvSpPr>
      <xdr:spPr>
        <a:xfrm>
          <a:off x="18277611" y="22335354"/>
          <a:ext cx="12105408" cy="12866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7</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Thiết kế tagname dán lên thiết bị, Junction box thể hiện chức năng, thông số thiết bị range đo, môi chất đo,… thông tin chức năng được mã hóa bằng màu sắc ví dụ: màu đỏ thể interlock, cam điều khiển, xanh hiển thị,…</a:t>
          </a:r>
          <a:r>
            <a:rPr lang="en-US" sz="2000" kern="1200">
              <a:solidFill>
                <a:sysClr val="windowText" lastClr="000000"/>
              </a:solidFill>
              <a:latin typeface="Times New Roman" panose="02020603050405020304" pitchFamily="18" charset="0"/>
              <a:cs typeface="Times New Roman" panose="02020603050405020304" pitchFamily="18" charset="0"/>
            </a:rPr>
            <a:t> - </a:t>
          </a:r>
          <a:r>
            <a:rPr lang="en-US" sz="2400" b="1" kern="1200">
              <a:solidFill>
                <a:srgbClr val="FF0000"/>
              </a:solidFill>
              <a:latin typeface="Times New Roman" panose="02020603050405020304" pitchFamily="18" charset="0"/>
              <a:cs typeface="Times New Roman" panose="02020603050405020304" pitchFamily="18" charset="0"/>
            </a:rPr>
            <a:t>Không</a:t>
          </a:r>
          <a:r>
            <a:rPr lang="en-US" sz="24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235529</xdr:colOff>
      <xdr:row>104</xdr:row>
      <xdr:rowOff>178472</xdr:rowOff>
    </xdr:from>
    <xdr:to>
      <xdr:col>45</xdr:col>
      <xdr:colOff>519546</xdr:colOff>
      <xdr:row>108</xdr:row>
      <xdr:rowOff>190496</xdr:rowOff>
    </xdr:to>
    <xdr:sp macro="" textlink="">
      <xdr:nvSpPr>
        <xdr:cNvPr id="342" name="Rectangle: Rounded Corners 341">
          <a:extLst>
            <a:ext uri="{FF2B5EF4-FFF2-40B4-BE49-F238E27FC236}">
              <a16:creationId xmlns:a16="http://schemas.microsoft.com/office/drawing/2014/main" id="{3719196C-BEB7-9C13-573E-9DB5838FF420}"/>
            </a:ext>
          </a:extLst>
        </xdr:cNvPr>
        <xdr:cNvSpPr/>
      </xdr:nvSpPr>
      <xdr:spPr>
        <a:xfrm>
          <a:off x="16982211" y="24371972"/>
          <a:ext cx="11436926" cy="7740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8</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Rà soát ống turbing van điều khiển và thiết bị đo</a:t>
          </a:r>
          <a:r>
            <a:rPr lang="en-US" sz="2000" kern="1200" baseline="0">
              <a:solidFill>
                <a:sysClr val="windowText" lastClr="000000"/>
              </a:solidFill>
              <a:latin typeface="Times New Roman" panose="02020603050405020304" pitchFamily="18" charset="0"/>
              <a:cs typeface="Times New Roman" panose="02020603050405020304" pitchFamily="18" charset="0"/>
            </a:rPr>
            <a:t> - </a:t>
          </a:r>
          <a:r>
            <a:rPr lang="en-US" sz="2400" b="1" baseline="0">
              <a:solidFill>
                <a:srgbClr val="FF0000"/>
              </a:solidFill>
              <a:effectLst/>
              <a:latin typeface="Times New Roman" panose="02020603050405020304" pitchFamily="18" charset="0"/>
              <a:ea typeface="+mn-ea"/>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270166</xdr:colOff>
      <xdr:row>110</xdr:row>
      <xdr:rowOff>91881</xdr:rowOff>
    </xdr:from>
    <xdr:to>
      <xdr:col>45</xdr:col>
      <xdr:colOff>554183</xdr:colOff>
      <xdr:row>114</xdr:row>
      <xdr:rowOff>103905</xdr:rowOff>
    </xdr:to>
    <xdr:sp macro="" textlink="">
      <xdr:nvSpPr>
        <xdr:cNvPr id="343" name="Rectangle: Rounded Corners 342">
          <a:extLst>
            <a:ext uri="{FF2B5EF4-FFF2-40B4-BE49-F238E27FC236}">
              <a16:creationId xmlns:a16="http://schemas.microsoft.com/office/drawing/2014/main" id="{EE111DFC-D435-177E-F6D8-A83FCA19DE48}"/>
            </a:ext>
          </a:extLst>
        </xdr:cNvPr>
        <xdr:cNvSpPr/>
      </xdr:nvSpPr>
      <xdr:spPr>
        <a:xfrm>
          <a:off x="17016848" y="25428381"/>
          <a:ext cx="11436926" cy="7740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9</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Tiêu chuẩn hóa lắp đặt thiết bị đo lường và van điều khiển</a:t>
          </a:r>
          <a:r>
            <a:rPr lang="en-US" sz="2000" kern="1200" baseline="0">
              <a:solidFill>
                <a:sysClr val="windowText" lastClr="000000"/>
              </a:solidFill>
              <a:latin typeface="Times New Roman" panose="02020603050405020304" pitchFamily="18" charset="0"/>
              <a:cs typeface="Times New Roman" panose="02020603050405020304" pitchFamily="18" charset="0"/>
            </a:rPr>
            <a:t> - </a:t>
          </a:r>
          <a:r>
            <a:rPr lang="en-US" sz="2400" b="1" kern="1200" baseline="0">
              <a:solidFill>
                <a:srgbClr val="FF0000"/>
              </a:solidFill>
              <a:latin typeface="Times New Roman" panose="02020603050405020304" pitchFamily="18" charset="0"/>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252848</xdr:colOff>
      <xdr:row>116</xdr:row>
      <xdr:rowOff>109199</xdr:rowOff>
    </xdr:from>
    <xdr:to>
      <xdr:col>45</xdr:col>
      <xdr:colOff>536865</xdr:colOff>
      <xdr:row>120</xdr:row>
      <xdr:rowOff>121223</xdr:rowOff>
    </xdr:to>
    <xdr:sp macro="" textlink="">
      <xdr:nvSpPr>
        <xdr:cNvPr id="344" name="Rectangle: Rounded Corners 343">
          <a:extLst>
            <a:ext uri="{FF2B5EF4-FFF2-40B4-BE49-F238E27FC236}">
              <a16:creationId xmlns:a16="http://schemas.microsoft.com/office/drawing/2014/main" id="{126EACAD-60DC-F684-C746-1DD878D281B6}"/>
            </a:ext>
          </a:extLst>
        </xdr:cNvPr>
        <xdr:cNvSpPr/>
      </xdr:nvSpPr>
      <xdr:spPr>
        <a:xfrm>
          <a:off x="16999530" y="26588699"/>
          <a:ext cx="11436926" cy="7740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10</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Xử lý các thẻ TPM tag</a:t>
          </a:r>
          <a:r>
            <a:rPr lang="en-US" sz="2000" kern="1200">
              <a:solidFill>
                <a:sysClr val="windowText" lastClr="000000"/>
              </a:solidFill>
              <a:latin typeface="Times New Roman" panose="02020603050405020304" pitchFamily="18" charset="0"/>
              <a:cs typeface="Times New Roman" panose="02020603050405020304" pitchFamily="18" charset="0"/>
            </a:rPr>
            <a:t> - </a:t>
          </a:r>
          <a:r>
            <a:rPr lang="en-US" sz="2400" b="1" kern="1200">
              <a:solidFill>
                <a:srgbClr val="FF0000"/>
              </a:solidFill>
              <a:latin typeface="Times New Roman" panose="02020603050405020304" pitchFamily="18" charset="0"/>
              <a:cs typeface="Times New Roman" panose="02020603050405020304" pitchFamily="18" charset="0"/>
            </a:rPr>
            <a:t>Hoàn</a:t>
          </a:r>
          <a:r>
            <a:rPr lang="en-US" sz="2400" b="1" kern="1200" baseline="0">
              <a:solidFill>
                <a:srgbClr val="FF0000"/>
              </a:solidFill>
              <a:latin typeface="Times New Roman" panose="02020603050405020304" pitchFamily="18" charset="0"/>
              <a:cs typeface="Times New Roman" panose="02020603050405020304" pitchFamily="18" charset="0"/>
            </a:rPr>
            <a:t> thành 170/188 HM ~ 90.4 %</a:t>
          </a:r>
          <a:r>
            <a:rPr lang="en-US" sz="2800" b="1" kern="1200" baseline="0">
              <a:solidFill>
                <a:srgbClr val="FF0000"/>
              </a:solidFill>
              <a:latin typeface="Times New Roman" panose="02020603050405020304" pitchFamily="18" charset="0"/>
              <a:cs typeface="Times New Roman" panose="02020603050405020304" pitchFamily="18" charset="0"/>
            </a:rPr>
            <a:t> </a:t>
          </a:r>
          <a:r>
            <a:rPr lang="en-US" sz="2800" b="1" kern="1200">
              <a:solidFill>
                <a:srgbClr val="FF0000"/>
              </a:solidFill>
              <a:latin typeface="Times New Roman" panose="02020603050405020304" pitchFamily="18" charset="0"/>
              <a:cs typeface="Times New Roman" panose="02020603050405020304" pitchFamily="18" charset="0"/>
            </a:rPr>
            <a:t>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51955</xdr:colOff>
      <xdr:row>123</xdr:row>
      <xdr:rowOff>121228</xdr:rowOff>
    </xdr:from>
    <xdr:to>
      <xdr:col>28</xdr:col>
      <xdr:colOff>398318</xdr:colOff>
      <xdr:row>127</xdr:row>
      <xdr:rowOff>103909</xdr:rowOff>
    </xdr:to>
    <xdr:sp macro="" textlink="">
      <xdr:nvSpPr>
        <xdr:cNvPr id="346" name="Rectangle: Rounded Corners 345">
          <a:extLst>
            <a:ext uri="{FF2B5EF4-FFF2-40B4-BE49-F238E27FC236}">
              <a16:creationId xmlns:a16="http://schemas.microsoft.com/office/drawing/2014/main" id="{D2F6030A-9BCA-811B-FC64-ED9AA7A9F00D}"/>
            </a:ext>
          </a:extLst>
        </xdr:cNvPr>
        <xdr:cNvSpPr/>
      </xdr:nvSpPr>
      <xdr:spPr>
        <a:xfrm>
          <a:off x="16798637" y="27934228"/>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PM</a:t>
          </a:r>
        </a:p>
      </xdr:txBody>
    </xdr:sp>
    <xdr:clientData/>
  </xdr:twoCellAnchor>
  <xdr:twoCellAnchor>
    <xdr:from>
      <xdr:col>27</xdr:col>
      <xdr:colOff>48492</xdr:colOff>
      <xdr:row>145</xdr:row>
      <xdr:rowOff>65809</xdr:rowOff>
    </xdr:from>
    <xdr:to>
      <xdr:col>28</xdr:col>
      <xdr:colOff>394855</xdr:colOff>
      <xdr:row>149</xdr:row>
      <xdr:rowOff>48489</xdr:rowOff>
    </xdr:to>
    <xdr:sp macro="" textlink="">
      <xdr:nvSpPr>
        <xdr:cNvPr id="347" name="Rectangle: Rounded Corners 346">
          <a:extLst>
            <a:ext uri="{FF2B5EF4-FFF2-40B4-BE49-F238E27FC236}">
              <a16:creationId xmlns:a16="http://schemas.microsoft.com/office/drawing/2014/main" id="{29C21DDA-9601-D96F-95A3-1A6FB83E5163}"/>
            </a:ext>
          </a:extLst>
        </xdr:cNvPr>
        <xdr:cNvSpPr/>
      </xdr:nvSpPr>
      <xdr:spPr>
        <a:xfrm>
          <a:off x="17297401" y="31086136"/>
          <a:ext cx="969818" cy="70311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FI</a:t>
          </a:r>
        </a:p>
      </xdr:txBody>
    </xdr:sp>
    <xdr:clientData/>
  </xdr:twoCellAnchor>
  <xdr:twoCellAnchor>
    <xdr:from>
      <xdr:col>40</xdr:col>
      <xdr:colOff>304800</xdr:colOff>
      <xdr:row>181</xdr:row>
      <xdr:rowOff>152399</xdr:rowOff>
    </xdr:from>
    <xdr:to>
      <xdr:col>44</xdr:col>
      <xdr:colOff>585596</xdr:colOff>
      <xdr:row>188</xdr:row>
      <xdr:rowOff>108178</xdr:rowOff>
    </xdr:to>
    <xdr:sp macro="" textlink="">
      <xdr:nvSpPr>
        <xdr:cNvPr id="5" name="Cloud 4">
          <a:extLst>
            <a:ext uri="{FF2B5EF4-FFF2-40B4-BE49-F238E27FC236}">
              <a16:creationId xmlns:a16="http://schemas.microsoft.com/office/drawing/2014/main" id="{55D1E753-D3FB-4BED-BA27-A59A1800C468}"/>
            </a:ext>
          </a:extLst>
        </xdr:cNvPr>
        <xdr:cNvSpPr/>
      </xdr:nvSpPr>
      <xdr:spPr>
        <a:xfrm>
          <a:off x="25658618" y="37656654"/>
          <a:ext cx="3023996" cy="1216542"/>
        </a:xfrm>
        <a:prstGeom prst="cloud">
          <a:avLst/>
        </a:prstGeom>
        <a:solidFill>
          <a:schemeClr val="bg1">
            <a:lumMod val="9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b="1">
              <a:solidFill>
                <a:srgbClr val="FF0000"/>
              </a:solidFill>
              <a:latin typeface="Times New Roman" panose="02020603050405020304" pitchFamily="18" charset="0"/>
              <a:cs typeface="Times New Roman" panose="02020603050405020304" pitchFamily="18" charset="0"/>
            </a:rPr>
            <a:t>Không</a:t>
          </a:r>
          <a:r>
            <a:rPr lang="en-US" sz="2000" b="1" baseline="0">
              <a:solidFill>
                <a:srgbClr val="FF0000"/>
              </a:solidFill>
              <a:latin typeface="Times New Roman" panose="02020603050405020304" pitchFamily="18" charset="0"/>
              <a:cs typeface="Times New Roman" panose="02020603050405020304" pitchFamily="18" charset="0"/>
            </a:rPr>
            <a:t> có KH trong  tháng</a:t>
          </a:r>
          <a:endParaRPr lang="en-US" sz="20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263238</xdr:colOff>
      <xdr:row>184</xdr:row>
      <xdr:rowOff>69273</xdr:rowOff>
    </xdr:from>
    <xdr:to>
      <xdr:col>2</xdr:col>
      <xdr:colOff>73245</xdr:colOff>
      <xdr:row>190</xdr:row>
      <xdr:rowOff>31173</xdr:rowOff>
    </xdr:to>
    <xdr:pic>
      <xdr:nvPicPr>
        <xdr:cNvPr id="16" name="Picture 15" descr="Packing and Palletizing Application – RAIS Tech">
          <a:extLst>
            <a:ext uri="{FF2B5EF4-FFF2-40B4-BE49-F238E27FC236}">
              <a16:creationId xmlns:a16="http://schemas.microsoft.com/office/drawing/2014/main" id="{9AE880ED-5EAD-53C7-AA03-3A20D5D934DB}"/>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263238" y="38113855"/>
          <a:ext cx="1056916" cy="1042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374073</xdr:colOff>
      <xdr:row>193</xdr:row>
      <xdr:rowOff>55418</xdr:rowOff>
    </xdr:from>
    <xdr:to>
      <xdr:col>1</xdr:col>
      <xdr:colOff>572366</xdr:colOff>
      <xdr:row>198</xdr:row>
      <xdr:rowOff>154397</xdr:rowOff>
    </xdr:to>
    <xdr:pic>
      <xdr:nvPicPr>
        <xdr:cNvPr id="17" name="Picture 16" descr="Fixed Gas Detection - Precision Safety Solutions - Permanent Detectors">
          <a:extLst>
            <a:ext uri="{FF2B5EF4-FFF2-40B4-BE49-F238E27FC236}">
              <a16:creationId xmlns:a16="http://schemas.microsoft.com/office/drawing/2014/main" id="{6AE85593-8A03-1C1F-EE7C-B303F900B311}"/>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374073" y="39720982"/>
          <a:ext cx="821748" cy="999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484908</xdr:colOff>
      <xdr:row>188</xdr:row>
      <xdr:rowOff>1</xdr:rowOff>
    </xdr:from>
    <xdr:to>
      <xdr:col>18</xdr:col>
      <xdr:colOff>526472</xdr:colOff>
      <xdr:row>193</xdr:row>
      <xdr:rowOff>83127</xdr:rowOff>
    </xdr:to>
    <xdr:sp macro="" textlink="">
      <xdr:nvSpPr>
        <xdr:cNvPr id="22" name="Rectangle: Rounded Corners 21">
          <a:extLst>
            <a:ext uri="{FF2B5EF4-FFF2-40B4-BE49-F238E27FC236}">
              <a16:creationId xmlns:a16="http://schemas.microsoft.com/office/drawing/2014/main" id="{71E26619-7FCF-F744-2D0F-768B2FEB4E3A}"/>
            </a:ext>
          </a:extLst>
        </xdr:cNvPr>
        <xdr:cNvSpPr/>
      </xdr:nvSpPr>
      <xdr:spPr>
        <a:xfrm>
          <a:off x="1108363" y="38765019"/>
          <a:ext cx="11055927" cy="98367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512618</xdr:colOff>
      <xdr:row>196</xdr:row>
      <xdr:rowOff>138545</xdr:rowOff>
    </xdr:from>
    <xdr:to>
      <xdr:col>18</xdr:col>
      <xdr:colOff>554182</xdr:colOff>
      <xdr:row>201</xdr:row>
      <xdr:rowOff>96981</xdr:rowOff>
    </xdr:to>
    <xdr:sp macro="" textlink="">
      <xdr:nvSpPr>
        <xdr:cNvPr id="25" name="Rectangle: Rounded Corners 24">
          <a:extLst>
            <a:ext uri="{FF2B5EF4-FFF2-40B4-BE49-F238E27FC236}">
              <a16:creationId xmlns:a16="http://schemas.microsoft.com/office/drawing/2014/main" id="{B28A94B8-5E45-4B11-E401-1D75A80B6B76}"/>
            </a:ext>
          </a:extLst>
        </xdr:cNvPr>
        <xdr:cNvSpPr/>
      </xdr:nvSpPr>
      <xdr:spPr>
        <a:xfrm>
          <a:off x="1136073" y="40344436"/>
          <a:ext cx="11055927" cy="85898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471054</xdr:colOff>
      <xdr:row>204</xdr:row>
      <xdr:rowOff>152404</xdr:rowOff>
    </xdr:from>
    <xdr:to>
      <xdr:col>18</xdr:col>
      <xdr:colOff>512618</xdr:colOff>
      <xdr:row>209</xdr:row>
      <xdr:rowOff>69277</xdr:rowOff>
    </xdr:to>
    <xdr:sp macro="" textlink="">
      <xdr:nvSpPr>
        <xdr:cNvPr id="69" name="Rectangle: Rounded Corners 68">
          <a:extLst>
            <a:ext uri="{FF2B5EF4-FFF2-40B4-BE49-F238E27FC236}">
              <a16:creationId xmlns:a16="http://schemas.microsoft.com/office/drawing/2014/main" id="{FA25C604-131F-6678-66DE-EFD358280EAB}"/>
            </a:ext>
          </a:extLst>
        </xdr:cNvPr>
        <xdr:cNvSpPr/>
      </xdr:nvSpPr>
      <xdr:spPr>
        <a:xfrm>
          <a:off x="1094509" y="41799168"/>
          <a:ext cx="11055927" cy="81741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484907</xdr:colOff>
      <xdr:row>212</xdr:row>
      <xdr:rowOff>110839</xdr:rowOff>
    </xdr:from>
    <xdr:to>
      <xdr:col>22</xdr:col>
      <xdr:colOff>294408</xdr:colOff>
      <xdr:row>217</xdr:row>
      <xdr:rowOff>55420</xdr:rowOff>
    </xdr:to>
    <xdr:sp macro="" textlink="">
      <xdr:nvSpPr>
        <xdr:cNvPr id="71" name="Rectangle: Rounded Corners 70">
          <a:extLst>
            <a:ext uri="{FF2B5EF4-FFF2-40B4-BE49-F238E27FC236}">
              <a16:creationId xmlns:a16="http://schemas.microsoft.com/office/drawing/2014/main" id="{866CE5E7-BFF2-F62B-7FD7-69AABE4F72AA}"/>
            </a:ext>
          </a:extLst>
        </xdr:cNvPr>
        <xdr:cNvSpPr/>
      </xdr:nvSpPr>
      <xdr:spPr>
        <a:xfrm>
          <a:off x="1091043" y="44878339"/>
          <a:ext cx="12919365" cy="89708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304800</xdr:colOff>
      <xdr:row>130</xdr:row>
      <xdr:rowOff>24246</xdr:rowOff>
    </xdr:from>
    <xdr:to>
      <xdr:col>28</xdr:col>
      <xdr:colOff>586413</xdr:colOff>
      <xdr:row>134</xdr:row>
      <xdr:rowOff>58667</xdr:rowOff>
    </xdr:to>
    <xdr:pic>
      <xdr:nvPicPr>
        <xdr:cNvPr id="78" name="Picture 77" descr="Target - Free seo and web icons">
          <a:extLst>
            <a:ext uri="{FF2B5EF4-FFF2-40B4-BE49-F238E27FC236}">
              <a16:creationId xmlns:a16="http://schemas.microsoft.com/office/drawing/2014/main" id="{1CF6014C-EFED-42FC-9D21-1C09FD0CA8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51482" y="29170746"/>
          <a:ext cx="887749" cy="796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256286</xdr:colOff>
      <xdr:row>58</xdr:row>
      <xdr:rowOff>117750</xdr:rowOff>
    </xdr:from>
    <xdr:to>
      <xdr:col>36</xdr:col>
      <xdr:colOff>473446</xdr:colOff>
      <xdr:row>62</xdr:row>
      <xdr:rowOff>13224</xdr:rowOff>
    </xdr:to>
    <xdr:sp macro="" textlink="data!N104">
      <xdr:nvSpPr>
        <xdr:cNvPr id="28" name="Rectangle: Rounded Corners 27">
          <a:extLst>
            <a:ext uri="{FF2B5EF4-FFF2-40B4-BE49-F238E27FC236}">
              <a16:creationId xmlns:a16="http://schemas.microsoft.com/office/drawing/2014/main" id="{19297A4C-698F-4956-89A9-4A0C53F76446}"/>
            </a:ext>
          </a:extLst>
        </xdr:cNvPr>
        <xdr:cNvSpPr/>
      </xdr:nvSpPr>
      <xdr:spPr>
        <a:xfrm>
          <a:off x="21841668" y="15468586"/>
          <a:ext cx="1464069" cy="615911"/>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22178F-72C5-41D2-BCEE-5A18ECFC69E4}" type="TxLink">
            <a:rPr lang="en-US" sz="24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0</a:t>
          </a:fld>
          <a:endParaRPr lang="en-US" sz="24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clientData/>
  </xdr:twoCellAnchor>
  <xdr:twoCellAnchor>
    <xdr:from>
      <xdr:col>38</xdr:col>
      <xdr:colOff>169838</xdr:colOff>
      <xdr:row>58</xdr:row>
      <xdr:rowOff>93931</xdr:rowOff>
    </xdr:from>
    <xdr:to>
      <xdr:col>40</xdr:col>
      <xdr:colOff>233300</xdr:colOff>
      <xdr:row>62</xdr:row>
      <xdr:rowOff>37042</xdr:rowOff>
    </xdr:to>
    <xdr:sp macro="" textlink="data!N103">
      <xdr:nvSpPr>
        <xdr:cNvPr id="29" name="Rectangle: Rounded Corners 28">
          <a:extLst>
            <a:ext uri="{FF2B5EF4-FFF2-40B4-BE49-F238E27FC236}">
              <a16:creationId xmlns:a16="http://schemas.microsoft.com/office/drawing/2014/main" id="{1DF22936-DE20-4CFB-AE09-21CB9826F51D}"/>
            </a:ext>
          </a:extLst>
        </xdr:cNvPr>
        <xdr:cNvSpPr/>
      </xdr:nvSpPr>
      <xdr:spPr>
        <a:xfrm>
          <a:off x="24249038" y="15444767"/>
          <a:ext cx="1310371" cy="663548"/>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5C083B-E68F-4E0D-9217-CBDFE82EC093}"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1126</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clientData/>
  </xdr:twoCellAnchor>
  <xdr:twoCellAnchor>
    <xdr:from>
      <xdr:col>33</xdr:col>
      <xdr:colOff>96980</xdr:colOff>
      <xdr:row>57</xdr:row>
      <xdr:rowOff>170570</xdr:rowOff>
    </xdr:from>
    <xdr:to>
      <xdr:col>34</xdr:col>
      <xdr:colOff>321935</xdr:colOff>
      <xdr:row>62</xdr:row>
      <xdr:rowOff>140512</xdr:rowOff>
    </xdr:to>
    <xdr:sp macro="" textlink="">
      <xdr:nvSpPr>
        <xdr:cNvPr id="30" name="Rectangle: Rounded Corners 29">
          <a:extLst>
            <a:ext uri="{FF2B5EF4-FFF2-40B4-BE49-F238E27FC236}">
              <a16:creationId xmlns:a16="http://schemas.microsoft.com/office/drawing/2014/main" id="{A88BE595-0259-448C-BD46-49A103B7460C}"/>
            </a:ext>
          </a:extLst>
        </xdr:cNvPr>
        <xdr:cNvSpPr/>
      </xdr:nvSpPr>
      <xdr:spPr>
        <a:xfrm>
          <a:off x="21058907" y="15341297"/>
          <a:ext cx="848410"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36</xdr:col>
      <xdr:colOff>505595</xdr:colOff>
      <xdr:row>57</xdr:row>
      <xdr:rowOff>170570</xdr:rowOff>
    </xdr:from>
    <xdr:to>
      <xdr:col>38</xdr:col>
      <xdr:colOff>184829</xdr:colOff>
      <xdr:row>62</xdr:row>
      <xdr:rowOff>140512</xdr:rowOff>
    </xdr:to>
    <xdr:sp macro="" textlink="">
      <xdr:nvSpPr>
        <xdr:cNvPr id="33" name="Rectangle: Rounded Corners 32">
          <a:extLst>
            <a:ext uri="{FF2B5EF4-FFF2-40B4-BE49-F238E27FC236}">
              <a16:creationId xmlns:a16="http://schemas.microsoft.com/office/drawing/2014/main" id="{094EB67D-8886-4B7F-BE19-2331422230A3}"/>
            </a:ext>
          </a:extLst>
        </xdr:cNvPr>
        <xdr:cNvSpPr/>
      </xdr:nvSpPr>
      <xdr:spPr>
        <a:xfrm>
          <a:off x="23337886" y="15341297"/>
          <a:ext cx="926143"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editAs="oneCell">
    <xdr:from>
      <xdr:col>44</xdr:col>
      <xdr:colOff>318655</xdr:colOff>
      <xdr:row>57</xdr:row>
      <xdr:rowOff>66170</xdr:rowOff>
    </xdr:from>
    <xdr:to>
      <xdr:col>46</xdr:col>
      <xdr:colOff>83127</xdr:colOff>
      <xdr:row>62</xdr:row>
      <xdr:rowOff>163482</xdr:rowOff>
    </xdr:to>
    <xdr:pic>
      <xdr:nvPicPr>
        <xdr:cNvPr id="43" name="Picture 42" descr="Money bag - Free business icons">
          <a:extLst>
            <a:ext uri="{FF2B5EF4-FFF2-40B4-BE49-F238E27FC236}">
              <a16:creationId xmlns:a16="http://schemas.microsoft.com/office/drawing/2014/main" id="{F88DF203-6526-C930-550F-7F6D60B55D6C}"/>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8387964" y="15236897"/>
          <a:ext cx="1011381" cy="997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599217</xdr:colOff>
      <xdr:row>167</xdr:row>
      <xdr:rowOff>84836</xdr:rowOff>
    </xdr:from>
    <xdr:to>
      <xdr:col>16</xdr:col>
      <xdr:colOff>200718</xdr:colOff>
      <xdr:row>172</xdr:row>
      <xdr:rowOff>54778</xdr:rowOff>
    </xdr:to>
    <xdr:sp macro="" textlink="">
      <xdr:nvSpPr>
        <xdr:cNvPr id="45" name="Rectangle: Rounded Corners 44">
          <a:extLst>
            <a:ext uri="{FF2B5EF4-FFF2-40B4-BE49-F238E27FC236}">
              <a16:creationId xmlns:a16="http://schemas.microsoft.com/office/drawing/2014/main" id="{05794965-358B-4AF5-8410-86F2C352BBCD}"/>
            </a:ext>
          </a:extLst>
        </xdr:cNvPr>
        <xdr:cNvSpPr/>
      </xdr:nvSpPr>
      <xdr:spPr>
        <a:xfrm>
          <a:off x="9715508" y="35067563"/>
          <a:ext cx="848410"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231979</xdr:colOff>
      <xdr:row>167</xdr:row>
      <xdr:rowOff>145471</xdr:rowOff>
    </xdr:from>
    <xdr:to>
      <xdr:col>19</xdr:col>
      <xdr:colOff>534667</xdr:colOff>
      <xdr:row>172</xdr:row>
      <xdr:rowOff>115413</xdr:rowOff>
    </xdr:to>
    <xdr:sp macro="" textlink="">
      <xdr:nvSpPr>
        <xdr:cNvPr id="46" name="Rectangle: Rounded Corners 45">
          <a:extLst>
            <a:ext uri="{FF2B5EF4-FFF2-40B4-BE49-F238E27FC236}">
              <a16:creationId xmlns:a16="http://schemas.microsoft.com/office/drawing/2014/main" id="{838013A4-4710-40EA-B452-F36F9017098D}"/>
            </a:ext>
          </a:extLst>
        </xdr:cNvPr>
        <xdr:cNvSpPr/>
      </xdr:nvSpPr>
      <xdr:spPr>
        <a:xfrm>
          <a:off x="11842088" y="35128198"/>
          <a:ext cx="926143"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41</xdr:col>
      <xdr:colOff>419101</xdr:colOff>
      <xdr:row>44</xdr:row>
      <xdr:rowOff>138546</xdr:rowOff>
    </xdr:from>
    <xdr:to>
      <xdr:col>44</xdr:col>
      <xdr:colOff>124690</xdr:colOff>
      <xdr:row>47</xdr:row>
      <xdr:rowOff>180101</xdr:rowOff>
    </xdr:to>
    <xdr:sp macro="" textlink="">
      <xdr:nvSpPr>
        <xdr:cNvPr id="47" name="Rectangle: Rounded Corners 46">
          <a:extLst>
            <a:ext uri="{FF2B5EF4-FFF2-40B4-BE49-F238E27FC236}">
              <a16:creationId xmlns:a16="http://schemas.microsoft.com/office/drawing/2014/main" id="{D0CD91E9-BABC-F029-1E06-126A92EB8499}"/>
            </a:ext>
          </a:extLst>
        </xdr:cNvPr>
        <xdr:cNvSpPr/>
      </xdr:nvSpPr>
      <xdr:spPr>
        <a:xfrm>
          <a:off x="26368665" y="12967855"/>
          <a:ext cx="1825334" cy="5818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Trễ</a:t>
          </a:r>
          <a:r>
            <a:rPr lang="en-US" sz="2000" b="1" kern="1200" baseline="0">
              <a:solidFill>
                <a:srgbClr val="FF0000"/>
              </a:solidFill>
              <a:latin typeface="Times New Roman" panose="02020603050405020304" pitchFamily="18" charset="0"/>
              <a:cs typeface="Times New Roman" panose="02020603050405020304" pitchFamily="18" charset="0"/>
            </a:rPr>
            <a:t> kế hoạch</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518160</xdr:colOff>
      <xdr:row>88</xdr:row>
      <xdr:rowOff>80010</xdr:rowOff>
    </xdr:from>
    <xdr:to>
      <xdr:col>26</xdr:col>
      <xdr:colOff>236220</xdr:colOff>
      <xdr:row>107</xdr:row>
      <xdr:rowOff>106680</xdr:rowOff>
    </xdr:to>
    <xdr:graphicFrame macro="">
      <xdr:nvGraphicFramePr>
        <xdr:cNvPr id="2" name="Chart 1">
          <a:extLst>
            <a:ext uri="{FF2B5EF4-FFF2-40B4-BE49-F238E27FC236}">
              <a16:creationId xmlns:a16="http://schemas.microsoft.com/office/drawing/2014/main" id="{57E0FE3A-F1F7-B099-A03A-DB5B71A65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5BA5D-936A-4FA7-A081-9C7407F56C35}">
  <sheetPr codeName="Sheet1"/>
  <dimension ref="A1:AU813"/>
  <sheetViews>
    <sheetView topLeftCell="B1" zoomScale="70" zoomScaleNormal="70" zoomScaleSheetLayoutView="70" workbookViewId="0">
      <pane xSplit="6" ySplit="2" topLeftCell="H3" activePane="bottomRight" state="frozen"/>
      <selection activeCell="B1" sqref="B1"/>
      <selection pane="topRight" activeCell="H1" sqref="H1"/>
      <selection pane="bottomLeft" activeCell="B3" sqref="B3"/>
      <selection pane="bottomRight" activeCell="J32" sqref="J32"/>
    </sheetView>
  </sheetViews>
  <sheetFormatPr defaultColWidth="9" defaultRowHeight="15.75"/>
  <cols>
    <col min="1" max="1" width="6.7109375" style="4" hidden="1" customWidth="1"/>
    <col min="2" max="2" width="10.5703125" style="4" customWidth="1"/>
    <col min="3" max="3" width="9.7109375" style="4" customWidth="1"/>
    <col min="4" max="4" width="48.42578125" style="8" customWidth="1"/>
    <col min="5" max="5" width="26.140625" style="66" customWidth="1"/>
    <col min="6" max="6" width="15.28515625" style="66" customWidth="1"/>
    <col min="7" max="7" width="12.85546875" style="66" customWidth="1"/>
    <col min="8" max="8" width="9.7109375" style="9" bestFit="1" customWidth="1"/>
    <col min="9" max="9" width="21.42578125" style="9" customWidth="1"/>
    <col min="10" max="11" width="17.7109375" style="4" customWidth="1"/>
    <col min="12" max="13" width="20.28515625" style="4" customWidth="1"/>
    <col min="14" max="14" width="20.140625" style="4" customWidth="1"/>
    <col min="15" max="15" width="69" customWidth="1"/>
    <col min="16" max="16" width="29.5703125" customWidth="1"/>
    <col min="17" max="17" width="12.28515625" customWidth="1"/>
    <col min="18" max="18" width="69" customWidth="1"/>
    <col min="19" max="19" width="29.5703125" customWidth="1"/>
    <col min="20" max="20" width="12.28515625" customWidth="1"/>
    <col min="21" max="21" width="69" customWidth="1"/>
    <col min="22" max="22" width="29.5703125" customWidth="1"/>
    <col min="23" max="23" width="12.28515625" customWidth="1"/>
    <col min="24" max="24" width="69" customWidth="1"/>
    <col min="25" max="25" width="29.5703125" customWidth="1"/>
    <col min="26" max="26" width="12.28515625" customWidth="1"/>
    <col min="27" max="27" width="69" customWidth="1"/>
    <col min="28" max="28" width="29.5703125" customWidth="1"/>
    <col min="29" max="29" width="12.28515625" customWidth="1"/>
    <col min="30" max="30" width="69" customWidth="1"/>
    <col min="31" max="31" width="29.5703125" customWidth="1"/>
    <col min="32" max="32" width="12.28515625" customWidth="1"/>
    <col min="33" max="33" width="69" customWidth="1"/>
    <col min="34" max="34" width="29.5703125" customWidth="1"/>
    <col min="35" max="35" width="12.28515625" customWidth="1"/>
    <col min="36" max="36" width="69" customWidth="1"/>
    <col min="37" max="37" width="29.5703125" customWidth="1"/>
    <col min="38" max="38" width="12.28515625" customWidth="1"/>
    <col min="39" max="39" width="69" customWidth="1"/>
    <col min="40" max="40" width="29.5703125" customWidth="1"/>
    <col min="41" max="41" width="12.28515625" customWidth="1"/>
    <col min="42" max="42" width="69" customWidth="1"/>
    <col min="43" max="43" width="29.5703125" customWidth="1"/>
    <col min="44" max="44" width="12.28515625" customWidth="1"/>
    <col min="45" max="45" width="69" customWidth="1"/>
    <col min="46" max="46" width="29.5703125" customWidth="1"/>
    <col min="47" max="47" width="12.28515625" customWidth="1"/>
    <col min="48" max="16384" width="9" style="4"/>
  </cols>
  <sheetData>
    <row r="1" spans="1:47" ht="30.6" customHeight="1">
      <c r="A1" s="392" t="s">
        <v>63</v>
      </c>
      <c r="B1" s="393"/>
      <c r="C1" s="393"/>
      <c r="D1" s="393"/>
      <c r="E1" s="393"/>
      <c r="F1" s="393"/>
      <c r="G1" s="393"/>
      <c r="H1" s="393"/>
      <c r="I1" s="393"/>
      <c r="J1" s="393"/>
      <c r="K1" s="393"/>
      <c r="L1" s="393"/>
      <c r="M1" s="393"/>
      <c r="N1" s="394"/>
      <c r="O1" s="389" t="s">
        <v>64</v>
      </c>
      <c r="P1" s="390"/>
      <c r="Q1" s="391"/>
      <c r="R1" s="389" t="s">
        <v>65</v>
      </c>
      <c r="S1" s="390"/>
      <c r="T1" s="391"/>
      <c r="U1" s="389" t="s">
        <v>66</v>
      </c>
      <c r="V1" s="390"/>
      <c r="W1" s="391"/>
      <c r="X1" s="389" t="s">
        <v>67</v>
      </c>
      <c r="Y1" s="390"/>
      <c r="Z1" s="391"/>
      <c r="AA1" s="389" t="s">
        <v>68</v>
      </c>
      <c r="AB1" s="390"/>
      <c r="AC1" s="391"/>
      <c r="AD1" s="389" t="s">
        <v>69</v>
      </c>
      <c r="AE1" s="390"/>
      <c r="AF1" s="391"/>
      <c r="AG1" s="389" t="s">
        <v>70</v>
      </c>
      <c r="AH1" s="390"/>
      <c r="AI1" s="391"/>
      <c r="AJ1" s="389" t="s">
        <v>71</v>
      </c>
      <c r="AK1" s="390"/>
      <c r="AL1" s="391"/>
      <c r="AM1" s="389" t="s">
        <v>72</v>
      </c>
      <c r="AN1" s="390"/>
      <c r="AO1" s="391"/>
      <c r="AP1" s="389" t="s">
        <v>73</v>
      </c>
      <c r="AQ1" s="390"/>
      <c r="AR1" s="391"/>
      <c r="AS1" s="389" t="s">
        <v>74</v>
      </c>
      <c r="AT1" s="390"/>
      <c r="AU1" s="391"/>
    </row>
    <row r="2" spans="1:47" ht="171" customHeight="1">
      <c r="A2" s="1" t="s">
        <v>0</v>
      </c>
      <c r="B2" s="1" t="s">
        <v>4</v>
      </c>
      <c r="C2" s="1" t="s">
        <v>3</v>
      </c>
      <c r="D2" s="1" t="s">
        <v>5</v>
      </c>
      <c r="E2" s="1" t="s">
        <v>75</v>
      </c>
      <c r="F2" s="1" t="s">
        <v>76</v>
      </c>
      <c r="G2" s="1" t="s">
        <v>77</v>
      </c>
      <c r="H2" s="27" t="s">
        <v>6</v>
      </c>
      <c r="I2" s="27" t="s">
        <v>78</v>
      </c>
      <c r="J2" s="1" t="s">
        <v>1</v>
      </c>
      <c r="K2" s="1" t="s">
        <v>2</v>
      </c>
      <c r="L2" s="1" t="s">
        <v>79</v>
      </c>
      <c r="M2" s="1" t="s">
        <v>80</v>
      </c>
      <c r="N2" s="1" t="s">
        <v>81</v>
      </c>
      <c r="O2" s="37" t="s">
        <v>82</v>
      </c>
      <c r="P2" s="38" t="s">
        <v>83</v>
      </c>
      <c r="Q2" s="39" t="s">
        <v>31</v>
      </c>
      <c r="R2" s="37" t="s">
        <v>82</v>
      </c>
      <c r="S2" s="38" t="s">
        <v>83</v>
      </c>
      <c r="T2" s="39" t="s">
        <v>31</v>
      </c>
      <c r="U2" s="37" t="s">
        <v>82</v>
      </c>
      <c r="V2" s="38" t="s">
        <v>83</v>
      </c>
      <c r="W2" s="39" t="s">
        <v>31</v>
      </c>
      <c r="X2" s="37" t="s">
        <v>82</v>
      </c>
      <c r="Y2" s="38" t="s">
        <v>83</v>
      </c>
      <c r="Z2" s="39" t="s">
        <v>31</v>
      </c>
      <c r="AA2" s="37" t="s">
        <v>82</v>
      </c>
      <c r="AB2" s="38" t="s">
        <v>83</v>
      </c>
      <c r="AC2" s="39" t="s">
        <v>31</v>
      </c>
      <c r="AD2" s="37" t="s">
        <v>82</v>
      </c>
      <c r="AE2" s="38" t="s">
        <v>83</v>
      </c>
      <c r="AF2" s="39" t="s">
        <v>31</v>
      </c>
      <c r="AG2" s="37" t="s">
        <v>82</v>
      </c>
      <c r="AH2" s="38" t="s">
        <v>83</v>
      </c>
      <c r="AI2" s="39" t="s">
        <v>31</v>
      </c>
      <c r="AJ2" s="37" t="s">
        <v>82</v>
      </c>
      <c r="AK2" s="38" t="s">
        <v>83</v>
      </c>
      <c r="AL2" s="39" t="s">
        <v>31</v>
      </c>
      <c r="AM2" s="37" t="s">
        <v>82</v>
      </c>
      <c r="AN2" s="38" t="s">
        <v>83</v>
      </c>
      <c r="AO2" s="39" t="s">
        <v>31</v>
      </c>
      <c r="AP2" s="37" t="s">
        <v>82</v>
      </c>
      <c r="AQ2" s="38" t="s">
        <v>83</v>
      </c>
      <c r="AR2" s="39" t="s">
        <v>31</v>
      </c>
      <c r="AS2" s="37" t="s">
        <v>82</v>
      </c>
      <c r="AT2" s="38" t="s">
        <v>83</v>
      </c>
      <c r="AU2" s="39" t="s">
        <v>31</v>
      </c>
    </row>
    <row r="3" spans="1:47" s="5" customFormat="1" ht="47.25" customHeight="1">
      <c r="A3" s="10">
        <v>1</v>
      </c>
      <c r="B3" s="10" t="s">
        <v>11</v>
      </c>
      <c r="C3" s="10" t="s">
        <v>7</v>
      </c>
      <c r="D3" s="11" t="s">
        <v>84</v>
      </c>
      <c r="E3" s="40" t="s">
        <v>85</v>
      </c>
      <c r="F3" s="40" t="s">
        <v>86</v>
      </c>
      <c r="G3" s="40" t="s">
        <v>87</v>
      </c>
      <c r="H3" s="23">
        <v>0.5</v>
      </c>
      <c r="I3" s="23"/>
      <c r="J3" s="12"/>
      <c r="K3" s="12"/>
      <c r="L3" s="10"/>
      <c r="M3" s="10"/>
      <c r="N3" s="10"/>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row>
    <row r="4" spans="1:47" s="6" customFormat="1" ht="53.25" customHeight="1">
      <c r="A4" s="2"/>
      <c r="B4" s="2"/>
      <c r="C4" s="3" t="s">
        <v>8</v>
      </c>
      <c r="D4" s="13" t="s">
        <v>88</v>
      </c>
      <c r="E4" s="42" t="s">
        <v>89</v>
      </c>
      <c r="F4" s="43" t="s">
        <v>90</v>
      </c>
      <c r="G4" s="42" t="s">
        <v>91</v>
      </c>
      <c r="H4" s="24">
        <v>0.2</v>
      </c>
      <c r="I4" s="44" t="s">
        <v>92</v>
      </c>
      <c r="J4" s="18">
        <v>45658</v>
      </c>
      <c r="K4" s="17">
        <v>46022</v>
      </c>
      <c r="L4" s="45" t="s">
        <v>93</v>
      </c>
      <c r="M4" s="45" t="s">
        <v>94</v>
      </c>
      <c r="N4" s="45" t="s">
        <v>95</v>
      </c>
      <c r="O4" s="28"/>
      <c r="P4" s="28"/>
      <c r="Q4" s="7"/>
      <c r="R4" s="28"/>
      <c r="S4" s="28"/>
      <c r="T4" s="7"/>
      <c r="U4" s="28"/>
      <c r="V4" s="28"/>
      <c r="W4" s="7"/>
      <c r="X4" s="28"/>
      <c r="Y4" s="28"/>
      <c r="Z4" s="7"/>
      <c r="AA4" s="28"/>
      <c r="AB4" s="28"/>
      <c r="AC4" s="7"/>
      <c r="AD4" s="28"/>
      <c r="AE4" s="28"/>
      <c r="AF4" s="7"/>
      <c r="AG4" s="28"/>
      <c r="AH4" s="28"/>
      <c r="AI4" s="7"/>
      <c r="AJ4" s="28"/>
      <c r="AK4" s="28"/>
      <c r="AL4" s="7"/>
      <c r="AM4" s="28"/>
      <c r="AN4" s="28"/>
      <c r="AO4" s="7"/>
      <c r="AP4" s="28"/>
      <c r="AQ4" s="28"/>
      <c r="AR4" s="7"/>
      <c r="AS4" s="28"/>
      <c r="AT4" s="28"/>
      <c r="AU4" s="7"/>
    </row>
    <row r="5" spans="1:47" ht="39.6" customHeight="1">
      <c r="A5" s="7"/>
      <c r="B5" s="7"/>
      <c r="C5" s="3" t="s">
        <v>9</v>
      </c>
      <c r="D5" s="13" t="s">
        <v>96</v>
      </c>
      <c r="E5" s="42" t="s">
        <v>97</v>
      </c>
      <c r="F5" s="43" t="s">
        <v>98</v>
      </c>
      <c r="G5" s="42" t="s">
        <v>91</v>
      </c>
      <c r="H5" s="25">
        <v>0.2</v>
      </c>
      <c r="I5" s="44" t="s">
        <v>92</v>
      </c>
      <c r="J5" s="18">
        <v>45658</v>
      </c>
      <c r="K5" s="17">
        <v>46022</v>
      </c>
      <c r="L5" s="45" t="s">
        <v>99</v>
      </c>
      <c r="M5" s="45" t="s">
        <v>94</v>
      </c>
      <c r="N5" s="45" t="s">
        <v>56</v>
      </c>
      <c r="O5" s="28"/>
      <c r="P5" s="28"/>
      <c r="Q5" s="7"/>
      <c r="R5" s="28"/>
      <c r="S5" s="28"/>
      <c r="T5" s="7"/>
      <c r="U5" s="28"/>
      <c r="V5" s="28"/>
      <c r="W5" s="7"/>
      <c r="X5" s="28"/>
      <c r="Y5" s="28"/>
      <c r="Z5" s="7"/>
      <c r="AA5" s="28"/>
      <c r="AB5" s="28"/>
      <c r="AC5" s="7"/>
      <c r="AD5" s="28"/>
      <c r="AE5" s="28"/>
      <c r="AF5" s="7"/>
      <c r="AG5" s="28"/>
      <c r="AH5" s="28"/>
      <c r="AI5" s="7"/>
      <c r="AJ5" s="28"/>
      <c r="AK5" s="28"/>
      <c r="AL5" s="7"/>
      <c r="AM5" s="28"/>
      <c r="AN5" s="28"/>
      <c r="AO5" s="7"/>
      <c r="AP5" s="28"/>
      <c r="AQ5" s="28"/>
      <c r="AR5" s="7"/>
      <c r="AS5" s="28"/>
      <c r="AT5" s="28"/>
      <c r="AU5" s="7"/>
    </row>
    <row r="6" spans="1:47" ht="30.75" customHeight="1">
      <c r="A6" s="371"/>
      <c r="B6" s="371"/>
      <c r="C6" s="373" t="s">
        <v>10</v>
      </c>
      <c r="D6" s="375" t="s">
        <v>100</v>
      </c>
      <c r="E6" s="42" t="s">
        <v>101</v>
      </c>
      <c r="F6" s="43" t="s">
        <v>98</v>
      </c>
      <c r="G6" s="377" t="s">
        <v>87</v>
      </c>
      <c r="H6" s="379">
        <v>0.3</v>
      </c>
      <c r="I6" s="381" t="s">
        <v>92</v>
      </c>
      <c r="J6" s="383">
        <v>45658</v>
      </c>
      <c r="K6" s="385">
        <v>46022</v>
      </c>
      <c r="L6" s="371" t="s">
        <v>93</v>
      </c>
      <c r="M6" s="387" t="s">
        <v>94</v>
      </c>
      <c r="N6" s="371" t="s">
        <v>102</v>
      </c>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row>
    <row r="7" spans="1:47" ht="30.75" customHeight="1">
      <c r="A7" s="372"/>
      <c r="B7" s="372"/>
      <c r="C7" s="374"/>
      <c r="D7" s="376"/>
      <c r="E7" s="42" t="s">
        <v>103</v>
      </c>
      <c r="F7" s="43" t="s">
        <v>104</v>
      </c>
      <c r="G7" s="378"/>
      <c r="H7" s="380"/>
      <c r="I7" s="382"/>
      <c r="J7" s="384"/>
      <c r="K7" s="386"/>
      <c r="L7" s="372"/>
      <c r="M7" s="388"/>
      <c r="N7" s="372"/>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row>
    <row r="8" spans="1:47" ht="54" customHeight="1">
      <c r="A8" s="7"/>
      <c r="B8" s="7"/>
      <c r="C8" s="3" t="s">
        <v>23</v>
      </c>
      <c r="D8" s="13" t="s">
        <v>105</v>
      </c>
      <c r="E8" s="42" t="s">
        <v>106</v>
      </c>
      <c r="F8" s="43">
        <v>1</v>
      </c>
      <c r="G8" s="42" t="s">
        <v>87</v>
      </c>
      <c r="H8" s="25">
        <v>0.1</v>
      </c>
      <c r="I8" s="44" t="s">
        <v>92</v>
      </c>
      <c r="J8" s="18">
        <v>45658</v>
      </c>
      <c r="K8" s="17">
        <v>46022</v>
      </c>
      <c r="L8" s="46" t="s">
        <v>93</v>
      </c>
      <c r="M8" s="45" t="s">
        <v>94</v>
      </c>
      <c r="N8" s="46" t="s">
        <v>102</v>
      </c>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47" ht="46.5" customHeight="1">
      <c r="A9" s="7"/>
      <c r="B9" s="7"/>
      <c r="C9" s="3" t="s">
        <v>24</v>
      </c>
      <c r="D9" s="13" t="s">
        <v>107</v>
      </c>
      <c r="E9" s="42" t="s">
        <v>106</v>
      </c>
      <c r="F9" s="43">
        <v>1</v>
      </c>
      <c r="G9" s="42" t="s">
        <v>87</v>
      </c>
      <c r="H9" s="25">
        <v>0.1</v>
      </c>
      <c r="I9" s="44" t="s">
        <v>92</v>
      </c>
      <c r="J9" s="18">
        <v>45658</v>
      </c>
      <c r="K9" s="17">
        <v>46022</v>
      </c>
      <c r="L9" s="46" t="s">
        <v>93</v>
      </c>
      <c r="M9" s="45" t="s">
        <v>94</v>
      </c>
      <c r="N9" s="46" t="s">
        <v>102</v>
      </c>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row>
    <row r="10" spans="1:47" ht="50.45" customHeight="1">
      <c r="A10" s="7"/>
      <c r="B10" s="7"/>
      <c r="C10" s="3" t="s">
        <v>108</v>
      </c>
      <c r="D10" s="13" t="s">
        <v>109</v>
      </c>
      <c r="E10" s="42" t="s">
        <v>106</v>
      </c>
      <c r="F10" s="43" t="s">
        <v>110</v>
      </c>
      <c r="G10" s="42" t="s">
        <v>87</v>
      </c>
      <c r="H10" s="25">
        <v>0.05</v>
      </c>
      <c r="I10" s="44" t="s">
        <v>92</v>
      </c>
      <c r="J10" s="18">
        <v>45658</v>
      </c>
      <c r="K10" s="17">
        <v>46022</v>
      </c>
      <c r="L10" s="46" t="s">
        <v>93</v>
      </c>
      <c r="M10" s="45" t="s">
        <v>94</v>
      </c>
      <c r="N10" s="45" t="s">
        <v>95</v>
      </c>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row>
    <row r="11" spans="1:47" s="6" customFormat="1" ht="56.25" customHeight="1">
      <c r="A11" s="2"/>
      <c r="B11" s="2"/>
      <c r="C11" s="3" t="s">
        <v>111</v>
      </c>
      <c r="D11" s="13" t="s">
        <v>112</v>
      </c>
      <c r="E11" s="42" t="s">
        <v>113</v>
      </c>
      <c r="F11" s="43" t="s">
        <v>114</v>
      </c>
      <c r="G11" s="42" t="s">
        <v>87</v>
      </c>
      <c r="H11" s="25">
        <v>0.05</v>
      </c>
      <c r="I11" s="44" t="s">
        <v>92</v>
      </c>
      <c r="J11" s="18">
        <v>45658</v>
      </c>
      <c r="K11" s="17">
        <v>46022</v>
      </c>
      <c r="L11" s="45" t="s">
        <v>99</v>
      </c>
      <c r="M11" s="45" t="s">
        <v>94</v>
      </c>
      <c r="N11" s="45" t="s">
        <v>115</v>
      </c>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row>
    <row r="12" spans="1:47" s="5" customFormat="1" ht="38.1" customHeight="1">
      <c r="A12" s="10">
        <v>2</v>
      </c>
      <c r="B12" s="10" t="s">
        <v>116</v>
      </c>
      <c r="C12" s="10" t="s">
        <v>12</v>
      </c>
      <c r="D12" s="11" t="s">
        <v>16</v>
      </c>
      <c r="E12" s="40" t="s">
        <v>117</v>
      </c>
      <c r="F12" s="40">
        <v>0</v>
      </c>
      <c r="G12" s="40"/>
      <c r="H12" s="23">
        <v>0.05</v>
      </c>
      <c r="I12" s="23"/>
      <c r="J12" s="19"/>
      <c r="K12" s="19"/>
      <c r="L12" s="10"/>
      <c r="M12" s="10"/>
      <c r="N12" s="10"/>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row>
    <row r="13" spans="1:47" s="6" customFormat="1" ht="36" customHeight="1">
      <c r="A13" s="2"/>
      <c r="B13" s="2"/>
      <c r="C13" s="2" t="s">
        <v>13</v>
      </c>
      <c r="D13" s="13" t="s">
        <v>118</v>
      </c>
      <c r="E13" s="42" t="s">
        <v>119</v>
      </c>
      <c r="F13" s="42">
        <v>1</v>
      </c>
      <c r="G13" s="42" t="s">
        <v>91</v>
      </c>
      <c r="H13" s="24">
        <v>0.3</v>
      </c>
      <c r="I13" s="44" t="s">
        <v>92</v>
      </c>
      <c r="J13" s="18">
        <v>45658</v>
      </c>
      <c r="K13" s="17">
        <v>46022</v>
      </c>
      <c r="L13" s="45" t="s">
        <v>99</v>
      </c>
      <c r="M13" s="45" t="s">
        <v>120</v>
      </c>
      <c r="N13" s="45" t="s">
        <v>121</v>
      </c>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row>
    <row r="14" spans="1:47" s="6" customFormat="1" ht="42" customHeight="1">
      <c r="A14" s="2"/>
      <c r="B14" s="2"/>
      <c r="C14" s="2" t="s">
        <v>14</v>
      </c>
      <c r="D14" s="13" t="s">
        <v>122</v>
      </c>
      <c r="E14" s="42" t="s">
        <v>123</v>
      </c>
      <c r="F14" s="48">
        <v>22</v>
      </c>
      <c r="G14" s="48" t="s">
        <v>91</v>
      </c>
      <c r="H14" s="24">
        <v>0.5</v>
      </c>
      <c r="I14" s="44" t="s">
        <v>92</v>
      </c>
      <c r="J14" s="18">
        <v>45658</v>
      </c>
      <c r="K14" s="17">
        <v>46022</v>
      </c>
      <c r="L14" s="45" t="s">
        <v>99</v>
      </c>
      <c r="M14" s="45" t="s">
        <v>124</v>
      </c>
      <c r="N14" s="45" t="s">
        <v>121</v>
      </c>
      <c r="O14" s="49"/>
      <c r="P14" s="7"/>
      <c r="Q14" s="7"/>
      <c r="R14" s="49"/>
      <c r="S14" s="7"/>
      <c r="T14" s="7"/>
      <c r="U14" s="49"/>
      <c r="V14" s="7"/>
      <c r="W14" s="7"/>
      <c r="X14" s="49"/>
      <c r="Y14" s="7"/>
      <c r="Z14" s="7"/>
      <c r="AA14" s="49"/>
      <c r="AB14" s="7"/>
      <c r="AC14" s="7"/>
      <c r="AD14" s="49"/>
      <c r="AE14" s="7"/>
      <c r="AF14" s="7"/>
      <c r="AG14" s="49"/>
      <c r="AH14" s="7"/>
      <c r="AI14" s="7"/>
      <c r="AJ14" s="49"/>
      <c r="AK14" s="7"/>
      <c r="AL14" s="7"/>
      <c r="AM14" s="49"/>
      <c r="AN14" s="7"/>
      <c r="AO14" s="7"/>
      <c r="AP14" s="49"/>
      <c r="AQ14" s="7"/>
      <c r="AR14" s="7"/>
      <c r="AS14" s="49"/>
      <c r="AT14" s="7"/>
      <c r="AU14" s="7"/>
    </row>
    <row r="15" spans="1:47" s="6" customFormat="1" ht="42" customHeight="1">
      <c r="A15" s="2"/>
      <c r="B15" s="2"/>
      <c r="C15" s="2" t="s">
        <v>15</v>
      </c>
      <c r="D15" s="13" t="s">
        <v>125</v>
      </c>
      <c r="E15" s="42" t="s">
        <v>126</v>
      </c>
      <c r="F15" s="43">
        <v>1</v>
      </c>
      <c r="G15" s="42" t="s">
        <v>87</v>
      </c>
      <c r="H15" s="24">
        <v>0.2</v>
      </c>
      <c r="I15" s="44" t="s">
        <v>92</v>
      </c>
      <c r="J15" s="18">
        <v>45658</v>
      </c>
      <c r="K15" s="17">
        <v>46022</v>
      </c>
      <c r="L15" s="45" t="s">
        <v>99</v>
      </c>
      <c r="M15" s="45" t="s">
        <v>120</v>
      </c>
      <c r="N15" s="45" t="s">
        <v>121</v>
      </c>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row>
    <row r="16" spans="1:47" s="5" customFormat="1" ht="49.5" customHeight="1">
      <c r="A16" s="10">
        <v>3</v>
      </c>
      <c r="B16" s="10" t="s">
        <v>28</v>
      </c>
      <c r="C16" s="10" t="s">
        <v>17</v>
      </c>
      <c r="D16" s="11" t="s">
        <v>127</v>
      </c>
      <c r="E16" s="40" t="s">
        <v>128</v>
      </c>
      <c r="F16" s="40" t="s">
        <v>129</v>
      </c>
      <c r="G16" s="40"/>
      <c r="H16" s="23">
        <v>0.15</v>
      </c>
      <c r="I16" s="23"/>
      <c r="J16" s="12"/>
      <c r="K16" s="12"/>
      <c r="L16" s="10"/>
      <c r="M16" s="10"/>
      <c r="N16" s="10"/>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row>
    <row r="17" spans="1:47" s="5" customFormat="1" ht="61.5" customHeight="1">
      <c r="A17" s="14"/>
      <c r="B17" s="14"/>
      <c r="C17" s="2" t="s">
        <v>18</v>
      </c>
      <c r="D17" s="15" t="s">
        <v>27</v>
      </c>
      <c r="E17" s="26" t="s">
        <v>130</v>
      </c>
      <c r="F17" s="25">
        <v>1</v>
      </c>
      <c r="G17" s="17" t="s">
        <v>91</v>
      </c>
      <c r="H17" s="26">
        <v>0.1</v>
      </c>
      <c r="I17" s="44" t="s">
        <v>92</v>
      </c>
      <c r="J17" s="18">
        <v>45658</v>
      </c>
      <c r="K17" s="17">
        <v>46022</v>
      </c>
      <c r="L17" s="45" t="s">
        <v>93</v>
      </c>
      <c r="M17" s="45" t="s">
        <v>94</v>
      </c>
      <c r="N17" s="45" t="s">
        <v>95</v>
      </c>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row>
    <row r="18" spans="1:47" s="6" customFormat="1" ht="64.5" customHeight="1">
      <c r="A18" s="2"/>
      <c r="B18" s="2"/>
      <c r="C18" s="2" t="s">
        <v>131</v>
      </c>
      <c r="D18" s="13" t="s">
        <v>88</v>
      </c>
      <c r="E18" s="42" t="s">
        <v>89</v>
      </c>
      <c r="F18" s="43" t="s">
        <v>90</v>
      </c>
      <c r="G18" s="42" t="s">
        <v>91</v>
      </c>
      <c r="H18" s="24">
        <v>0.4</v>
      </c>
      <c r="I18" s="44" t="s">
        <v>92</v>
      </c>
      <c r="J18" s="18">
        <v>45658</v>
      </c>
      <c r="K18" s="17">
        <v>46022</v>
      </c>
      <c r="L18" s="45" t="s">
        <v>93</v>
      </c>
      <c r="M18" s="45" t="s">
        <v>94</v>
      </c>
      <c r="N18" s="45" t="s">
        <v>95</v>
      </c>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row>
    <row r="19" spans="1:47" s="6" customFormat="1" ht="61.5" customHeight="1">
      <c r="A19" s="2"/>
      <c r="B19" s="2"/>
      <c r="C19" s="2" t="s">
        <v>132</v>
      </c>
      <c r="D19" s="13" t="s">
        <v>133</v>
      </c>
      <c r="E19" s="42" t="s">
        <v>97</v>
      </c>
      <c r="F19" s="43" t="s">
        <v>98</v>
      </c>
      <c r="G19" s="42" t="s">
        <v>91</v>
      </c>
      <c r="H19" s="25">
        <v>0.3</v>
      </c>
      <c r="I19" s="44" t="s">
        <v>92</v>
      </c>
      <c r="J19" s="18">
        <v>45658</v>
      </c>
      <c r="K19" s="17">
        <v>46022</v>
      </c>
      <c r="L19" s="45" t="s">
        <v>99</v>
      </c>
      <c r="M19" s="45" t="s">
        <v>94</v>
      </c>
      <c r="N19" s="45" t="s">
        <v>56</v>
      </c>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row>
    <row r="20" spans="1:47" s="6" customFormat="1" ht="61.5" customHeight="1">
      <c r="A20" s="2"/>
      <c r="B20" s="2"/>
      <c r="C20" s="2" t="s">
        <v>134</v>
      </c>
      <c r="D20" s="13" t="s">
        <v>109</v>
      </c>
      <c r="E20" s="42" t="s">
        <v>106</v>
      </c>
      <c r="F20" s="43" t="s">
        <v>110</v>
      </c>
      <c r="G20" s="42" t="s">
        <v>87</v>
      </c>
      <c r="H20" s="25">
        <v>0.2</v>
      </c>
      <c r="I20" s="44" t="s">
        <v>92</v>
      </c>
      <c r="J20" s="18">
        <v>45658</v>
      </c>
      <c r="K20" s="17">
        <v>46022</v>
      </c>
      <c r="L20" s="45" t="s">
        <v>93</v>
      </c>
      <c r="M20" s="45" t="s">
        <v>94</v>
      </c>
      <c r="N20" s="45" t="s">
        <v>95</v>
      </c>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row>
    <row r="21" spans="1:47" s="5" customFormat="1" ht="38.1" customHeight="1">
      <c r="A21" s="10">
        <v>4</v>
      </c>
      <c r="B21" s="10" t="s">
        <v>29</v>
      </c>
      <c r="C21" s="10" t="s">
        <v>19</v>
      </c>
      <c r="D21" s="11" t="s">
        <v>135</v>
      </c>
      <c r="E21" s="40"/>
      <c r="F21" s="40"/>
      <c r="G21" s="40"/>
      <c r="H21" s="23">
        <v>0.05</v>
      </c>
      <c r="I21" s="23"/>
      <c r="J21" s="12"/>
      <c r="K21" s="12"/>
      <c r="L21" s="10"/>
      <c r="M21" s="10"/>
      <c r="N21" s="10"/>
      <c r="P21" s="7"/>
      <c r="Q21" s="7"/>
      <c r="S21" s="7"/>
      <c r="T21" s="7"/>
      <c r="V21" s="7"/>
      <c r="W21" s="7"/>
      <c r="Y21" s="7"/>
      <c r="Z21" s="7"/>
      <c r="AB21" s="7"/>
      <c r="AC21" s="7"/>
      <c r="AE21" s="7"/>
      <c r="AF21" s="7"/>
      <c r="AH21" s="7"/>
      <c r="AI21" s="7"/>
      <c r="AK21" s="7"/>
      <c r="AL21" s="7"/>
      <c r="AN21" s="7"/>
      <c r="AO21" s="7"/>
      <c r="AQ21" s="7"/>
      <c r="AR21" s="7"/>
      <c r="AT21" s="7"/>
      <c r="AU21" s="7"/>
    </row>
    <row r="22" spans="1:47" s="5" customFormat="1" ht="59.25" customHeight="1">
      <c r="A22" s="2"/>
      <c r="B22" s="2"/>
      <c r="C22" s="2" t="s">
        <v>136</v>
      </c>
      <c r="D22" s="13" t="s">
        <v>137</v>
      </c>
      <c r="E22" s="42" t="s">
        <v>138</v>
      </c>
      <c r="F22" s="43">
        <v>1</v>
      </c>
      <c r="G22" s="42" t="s">
        <v>87</v>
      </c>
      <c r="H22" s="24">
        <v>0.4</v>
      </c>
      <c r="I22" s="44" t="s">
        <v>92</v>
      </c>
      <c r="J22" s="18">
        <v>45658</v>
      </c>
      <c r="K22" s="17">
        <v>46022</v>
      </c>
      <c r="L22" s="45" t="s">
        <v>93</v>
      </c>
      <c r="M22" s="45" t="s">
        <v>94</v>
      </c>
      <c r="N22" s="45" t="s">
        <v>95</v>
      </c>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row>
    <row r="23" spans="1:47" s="5" customFormat="1" ht="59.25" customHeight="1">
      <c r="A23" s="2"/>
      <c r="B23" s="2"/>
      <c r="C23" s="2" t="s">
        <v>139</v>
      </c>
      <c r="D23" s="13" t="s">
        <v>140</v>
      </c>
      <c r="E23" s="42" t="s">
        <v>141</v>
      </c>
      <c r="F23" s="43">
        <v>1</v>
      </c>
      <c r="G23" s="42" t="s">
        <v>87</v>
      </c>
      <c r="H23" s="24">
        <v>0.2</v>
      </c>
      <c r="I23" s="44" t="s">
        <v>92</v>
      </c>
      <c r="J23" s="18">
        <v>45658</v>
      </c>
      <c r="K23" s="17">
        <v>46022</v>
      </c>
      <c r="L23" s="45" t="s">
        <v>93</v>
      </c>
      <c r="M23" s="45" t="s">
        <v>94</v>
      </c>
      <c r="N23" s="45" t="s">
        <v>115</v>
      </c>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row>
    <row r="24" spans="1:47" s="5" customFormat="1" ht="59.25" customHeight="1">
      <c r="A24" s="2"/>
      <c r="B24" s="2"/>
      <c r="C24" s="2" t="s">
        <v>142</v>
      </c>
      <c r="D24" s="13" t="s">
        <v>143</v>
      </c>
      <c r="E24" s="42" t="s">
        <v>141</v>
      </c>
      <c r="F24" s="43">
        <v>1</v>
      </c>
      <c r="G24" s="42" t="s">
        <v>87</v>
      </c>
      <c r="H24" s="24">
        <v>0.2</v>
      </c>
      <c r="I24" s="44" t="s">
        <v>92</v>
      </c>
      <c r="J24" s="18">
        <v>45658</v>
      </c>
      <c r="K24" s="17">
        <v>46022</v>
      </c>
      <c r="L24" s="45" t="s">
        <v>93</v>
      </c>
      <c r="M24" s="45" t="s">
        <v>94</v>
      </c>
      <c r="N24" s="45" t="s">
        <v>115</v>
      </c>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row>
    <row r="25" spans="1:47" s="5" customFormat="1" ht="59.25" customHeight="1">
      <c r="A25" s="2"/>
      <c r="B25" s="2"/>
      <c r="C25" s="2" t="s">
        <v>144</v>
      </c>
      <c r="D25" s="13" t="s">
        <v>145</v>
      </c>
      <c r="E25" s="42" t="s">
        <v>141</v>
      </c>
      <c r="F25" s="43">
        <v>1</v>
      </c>
      <c r="G25" s="42" t="s">
        <v>87</v>
      </c>
      <c r="H25" s="24">
        <v>0.2</v>
      </c>
      <c r="I25" s="44" t="s">
        <v>92</v>
      </c>
      <c r="J25" s="18">
        <v>45658</v>
      </c>
      <c r="K25" s="17">
        <v>46022</v>
      </c>
      <c r="L25" s="45" t="s">
        <v>93</v>
      </c>
      <c r="M25" s="45" t="s">
        <v>94</v>
      </c>
      <c r="N25" s="45" t="s">
        <v>115</v>
      </c>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row>
    <row r="26" spans="1:47" s="5" customFormat="1" ht="38.1" customHeight="1">
      <c r="A26" s="10">
        <v>5</v>
      </c>
      <c r="B26" s="10" t="s">
        <v>146</v>
      </c>
      <c r="C26" s="10" t="s">
        <v>20</v>
      </c>
      <c r="D26" s="11" t="s">
        <v>147</v>
      </c>
      <c r="E26" s="40"/>
      <c r="F26" s="40"/>
      <c r="G26" s="40"/>
      <c r="H26" s="23">
        <v>0.1</v>
      </c>
      <c r="I26" s="23"/>
      <c r="J26" s="12"/>
      <c r="K26" s="12"/>
      <c r="L26" s="10"/>
      <c r="M26" s="10"/>
      <c r="N26" s="10"/>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row>
    <row r="27" spans="1:47" s="5" customFormat="1" ht="61.5" customHeight="1">
      <c r="A27" s="2"/>
      <c r="B27" s="2"/>
      <c r="C27" s="2" t="s">
        <v>148</v>
      </c>
      <c r="D27" s="13" t="s">
        <v>149</v>
      </c>
      <c r="E27" s="42" t="s">
        <v>150</v>
      </c>
      <c r="F27" s="42">
        <v>15</v>
      </c>
      <c r="G27" s="42" t="s">
        <v>87</v>
      </c>
      <c r="H27" s="24">
        <v>0.3</v>
      </c>
      <c r="I27" s="44" t="s">
        <v>92</v>
      </c>
      <c r="J27" s="18">
        <v>45658</v>
      </c>
      <c r="K27" s="17">
        <v>46022</v>
      </c>
      <c r="L27" s="45" t="s">
        <v>99</v>
      </c>
      <c r="M27" s="45" t="s">
        <v>151</v>
      </c>
      <c r="N27" s="45" t="s">
        <v>152</v>
      </c>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row>
    <row r="28" spans="1:47" s="5" customFormat="1" ht="38.1" customHeight="1">
      <c r="A28" s="2"/>
      <c r="B28" s="2"/>
      <c r="C28" s="2" t="s">
        <v>153</v>
      </c>
      <c r="D28" s="13" t="s">
        <v>154</v>
      </c>
      <c r="E28" s="42" t="s">
        <v>155</v>
      </c>
      <c r="F28" s="42">
        <v>32</v>
      </c>
      <c r="G28" s="42" t="s">
        <v>87</v>
      </c>
      <c r="H28" s="24">
        <v>0.5</v>
      </c>
      <c r="I28" s="44" t="s">
        <v>92</v>
      </c>
      <c r="J28" s="18">
        <v>45658</v>
      </c>
      <c r="K28" s="17">
        <v>46022</v>
      </c>
      <c r="L28" s="45" t="s">
        <v>99</v>
      </c>
      <c r="M28" s="45" t="s">
        <v>94</v>
      </c>
      <c r="N28" s="45" t="s">
        <v>121</v>
      </c>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row>
    <row r="29" spans="1:47" s="5" customFormat="1" ht="38.1" customHeight="1">
      <c r="A29" s="2"/>
      <c r="B29" s="2"/>
      <c r="C29" s="2" t="s">
        <v>156</v>
      </c>
      <c r="D29" s="13" t="s">
        <v>157</v>
      </c>
      <c r="E29" s="42" t="s">
        <v>126</v>
      </c>
      <c r="F29" s="43" t="s">
        <v>158</v>
      </c>
      <c r="G29" s="42" t="s">
        <v>87</v>
      </c>
      <c r="H29" s="24">
        <v>0.05</v>
      </c>
      <c r="I29" s="44" t="s">
        <v>92</v>
      </c>
      <c r="J29" s="18">
        <v>45658</v>
      </c>
      <c r="K29" s="17">
        <v>46022</v>
      </c>
      <c r="L29" s="45" t="s">
        <v>99</v>
      </c>
      <c r="M29" s="45" t="s">
        <v>94</v>
      </c>
      <c r="N29" s="45" t="s">
        <v>121</v>
      </c>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row>
    <row r="30" spans="1:47" s="5" customFormat="1" ht="62.25" customHeight="1">
      <c r="A30" s="2"/>
      <c r="B30" s="2"/>
      <c r="C30" s="2" t="s">
        <v>159</v>
      </c>
      <c r="D30" s="13" t="s">
        <v>160</v>
      </c>
      <c r="E30" s="42" t="s">
        <v>161</v>
      </c>
      <c r="F30" s="42">
        <v>2</v>
      </c>
      <c r="G30" s="42" t="s">
        <v>87</v>
      </c>
      <c r="H30" s="25">
        <v>0.05</v>
      </c>
      <c r="I30" s="44" t="s">
        <v>92</v>
      </c>
      <c r="J30" s="18">
        <v>45658</v>
      </c>
      <c r="K30" s="17">
        <v>46022</v>
      </c>
      <c r="L30" s="45" t="s">
        <v>162</v>
      </c>
      <c r="M30" s="45" t="s">
        <v>94</v>
      </c>
      <c r="N30" s="45" t="s">
        <v>94</v>
      </c>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row>
    <row r="31" spans="1:47" s="5" customFormat="1" ht="50.25" customHeight="1">
      <c r="A31" s="2"/>
      <c r="B31" s="2"/>
      <c r="C31" s="2" t="s">
        <v>163</v>
      </c>
      <c r="D31" s="13" t="s">
        <v>164</v>
      </c>
      <c r="E31" s="42" t="s">
        <v>165</v>
      </c>
      <c r="F31" s="43">
        <v>1</v>
      </c>
      <c r="G31" s="42" t="s">
        <v>87</v>
      </c>
      <c r="H31" s="24">
        <v>0.05</v>
      </c>
      <c r="I31" s="44" t="s">
        <v>92</v>
      </c>
      <c r="J31" s="18">
        <v>45658</v>
      </c>
      <c r="K31" s="17">
        <v>46022</v>
      </c>
      <c r="L31" s="45" t="s">
        <v>99</v>
      </c>
      <c r="M31" s="45" t="s">
        <v>94</v>
      </c>
      <c r="N31" s="45" t="s">
        <v>95</v>
      </c>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row>
    <row r="32" spans="1:47" s="5" customFormat="1" ht="119.25" customHeight="1">
      <c r="A32" s="2"/>
      <c r="B32" s="2"/>
      <c r="C32" s="2" t="s">
        <v>166</v>
      </c>
      <c r="D32" s="13" t="s">
        <v>167</v>
      </c>
      <c r="E32" s="42" t="s">
        <v>168</v>
      </c>
      <c r="F32" s="50" t="s">
        <v>169</v>
      </c>
      <c r="G32" s="42" t="s">
        <v>87</v>
      </c>
      <c r="H32" s="24">
        <v>0.05</v>
      </c>
      <c r="I32" s="44" t="s">
        <v>92</v>
      </c>
      <c r="J32" s="18">
        <v>45658</v>
      </c>
      <c r="K32" s="17">
        <v>46022</v>
      </c>
      <c r="L32" s="45" t="s">
        <v>99</v>
      </c>
      <c r="M32" s="45" t="s">
        <v>94</v>
      </c>
      <c r="N32" s="45" t="s">
        <v>95</v>
      </c>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row>
    <row r="33" spans="1:47" s="5" customFormat="1" ht="38.1" customHeight="1">
      <c r="A33" s="10">
        <v>6</v>
      </c>
      <c r="B33" s="10" t="s">
        <v>170</v>
      </c>
      <c r="C33" s="10" t="s">
        <v>21</v>
      </c>
      <c r="D33" s="11" t="s">
        <v>171</v>
      </c>
      <c r="E33" s="40"/>
      <c r="F33" s="40"/>
      <c r="G33" s="40"/>
      <c r="H33" s="23">
        <v>0.1</v>
      </c>
      <c r="I33" s="23"/>
      <c r="J33" s="19"/>
      <c r="K33" s="19"/>
      <c r="L33" s="10"/>
      <c r="M33" s="10"/>
      <c r="N33" s="10"/>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row>
    <row r="34" spans="1:47" s="5" customFormat="1" ht="55.5" customHeight="1">
      <c r="A34" s="2"/>
      <c r="B34" s="2"/>
      <c r="C34" s="2" t="s">
        <v>22</v>
      </c>
      <c r="D34" s="13" t="s">
        <v>172</v>
      </c>
      <c r="E34" s="42" t="s">
        <v>173</v>
      </c>
      <c r="F34" s="43">
        <v>1</v>
      </c>
      <c r="G34" s="42" t="s">
        <v>87</v>
      </c>
      <c r="H34" s="24">
        <v>0.1</v>
      </c>
      <c r="I34" s="44" t="s">
        <v>92</v>
      </c>
      <c r="J34" s="18">
        <v>45658</v>
      </c>
      <c r="K34" s="17">
        <v>46022</v>
      </c>
      <c r="L34" s="45" t="s">
        <v>99</v>
      </c>
      <c r="M34" s="45" t="s">
        <v>94</v>
      </c>
      <c r="N34" s="45" t="s">
        <v>121</v>
      </c>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row>
    <row r="35" spans="1:47" s="58" customFormat="1" ht="55.9" customHeight="1">
      <c r="A35" s="51"/>
      <c r="B35" s="51"/>
      <c r="C35" s="51" t="s">
        <v>174</v>
      </c>
      <c r="D35" s="52" t="s">
        <v>175</v>
      </c>
      <c r="E35" s="48" t="s">
        <v>176</v>
      </c>
      <c r="F35" s="48">
        <v>8</v>
      </c>
      <c r="G35" s="48" t="s">
        <v>87</v>
      </c>
      <c r="H35" s="53">
        <v>0.3</v>
      </c>
      <c r="I35" s="54" t="s">
        <v>92</v>
      </c>
      <c r="J35" s="55">
        <v>45658</v>
      </c>
      <c r="K35" s="56">
        <v>46022</v>
      </c>
      <c r="L35" s="57" t="s">
        <v>177</v>
      </c>
      <c r="M35" s="57" t="s">
        <v>94</v>
      </c>
      <c r="N35" s="57" t="s">
        <v>121</v>
      </c>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row>
    <row r="36" spans="1:47" s="6" customFormat="1" ht="55.9" customHeight="1">
      <c r="A36" s="2"/>
      <c r="B36" s="2"/>
      <c r="C36" s="2" t="s">
        <v>178</v>
      </c>
      <c r="D36" s="13" t="s">
        <v>179</v>
      </c>
      <c r="E36" s="42" t="s">
        <v>180</v>
      </c>
      <c r="F36" s="42">
        <v>1</v>
      </c>
      <c r="G36" s="42" t="s">
        <v>91</v>
      </c>
      <c r="H36" s="24">
        <v>0.2</v>
      </c>
      <c r="I36" s="44" t="s">
        <v>92</v>
      </c>
      <c r="J36" s="18">
        <v>45658</v>
      </c>
      <c r="K36" s="17">
        <v>46022</v>
      </c>
      <c r="L36" s="45" t="s">
        <v>177</v>
      </c>
      <c r="M36" s="45" t="s">
        <v>94</v>
      </c>
      <c r="N36" s="45" t="s">
        <v>121</v>
      </c>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row>
    <row r="37" spans="1:47" s="6" customFormat="1" ht="55.9" customHeight="1">
      <c r="A37" s="2"/>
      <c r="B37" s="2"/>
      <c r="C37" s="2" t="s">
        <v>181</v>
      </c>
      <c r="D37" s="13" t="s">
        <v>182</v>
      </c>
      <c r="E37" s="42" t="s">
        <v>183</v>
      </c>
      <c r="F37" s="43">
        <v>1</v>
      </c>
      <c r="G37" s="42" t="s">
        <v>91</v>
      </c>
      <c r="H37" s="24">
        <v>0.2</v>
      </c>
      <c r="I37" s="44" t="s">
        <v>92</v>
      </c>
      <c r="J37" s="18">
        <v>45658</v>
      </c>
      <c r="K37" s="17">
        <v>46022</v>
      </c>
      <c r="L37" s="45" t="s">
        <v>99</v>
      </c>
      <c r="M37" s="45" t="s">
        <v>184</v>
      </c>
      <c r="N37" s="45" t="s">
        <v>121</v>
      </c>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row>
    <row r="38" spans="1:47" s="58" customFormat="1" ht="55.9" customHeight="1">
      <c r="A38" s="51"/>
      <c r="B38" s="51"/>
      <c r="C38" s="51" t="s">
        <v>185</v>
      </c>
      <c r="D38" s="52" t="s">
        <v>186</v>
      </c>
      <c r="E38" s="48" t="s">
        <v>187</v>
      </c>
      <c r="F38" s="59">
        <v>1</v>
      </c>
      <c r="G38" s="48" t="s">
        <v>87</v>
      </c>
      <c r="H38" s="53">
        <v>0.05</v>
      </c>
      <c r="I38" s="54" t="s">
        <v>92</v>
      </c>
      <c r="J38" s="55">
        <v>45658</v>
      </c>
      <c r="K38" s="56">
        <v>46022</v>
      </c>
      <c r="L38" s="57" t="s">
        <v>99</v>
      </c>
      <c r="M38" s="57" t="s">
        <v>94</v>
      </c>
      <c r="N38" s="57" t="s">
        <v>121</v>
      </c>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row>
    <row r="39" spans="1:47" s="58" customFormat="1" ht="55.9" customHeight="1">
      <c r="A39" s="51"/>
      <c r="B39" s="51"/>
      <c r="C39" s="51" t="s">
        <v>188</v>
      </c>
      <c r="D39" s="52" t="s">
        <v>189</v>
      </c>
      <c r="E39" s="57" t="s">
        <v>190</v>
      </c>
      <c r="F39" s="59">
        <v>1</v>
      </c>
      <c r="G39" s="57" t="s">
        <v>87</v>
      </c>
      <c r="H39" s="53">
        <v>0.05</v>
      </c>
      <c r="I39" s="54" t="s">
        <v>92</v>
      </c>
      <c r="J39" s="55">
        <v>45658</v>
      </c>
      <c r="K39" s="56">
        <v>46022</v>
      </c>
      <c r="L39" s="57" t="s">
        <v>99</v>
      </c>
      <c r="M39" s="57" t="s">
        <v>94</v>
      </c>
      <c r="N39" s="57" t="s">
        <v>121</v>
      </c>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row>
    <row r="40" spans="1:47" s="58" customFormat="1" ht="55.9" customHeight="1">
      <c r="A40" s="51"/>
      <c r="B40" s="51"/>
      <c r="C40" s="51" t="s">
        <v>191</v>
      </c>
      <c r="D40" s="52" t="s">
        <v>192</v>
      </c>
      <c r="E40" s="48" t="s">
        <v>193</v>
      </c>
      <c r="F40" s="48">
        <v>16</v>
      </c>
      <c r="G40" s="48" t="s">
        <v>87</v>
      </c>
      <c r="H40" s="53">
        <v>0.05</v>
      </c>
      <c r="I40" s="54" t="s">
        <v>92</v>
      </c>
      <c r="J40" s="55">
        <v>45658</v>
      </c>
      <c r="K40" s="56">
        <v>46022</v>
      </c>
      <c r="L40" s="57" t="s">
        <v>99</v>
      </c>
      <c r="M40" s="57" t="s">
        <v>94</v>
      </c>
      <c r="N40" s="57" t="s">
        <v>95</v>
      </c>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row>
    <row r="41" spans="1:47" s="6" customFormat="1" ht="44.45" customHeight="1">
      <c r="A41" s="2"/>
      <c r="B41" s="2"/>
      <c r="C41" s="2" t="s">
        <v>194</v>
      </c>
      <c r="D41" s="13" t="s">
        <v>195</v>
      </c>
      <c r="E41" s="42" t="s">
        <v>138</v>
      </c>
      <c r="F41" s="43">
        <v>1</v>
      </c>
      <c r="G41" s="42" t="s">
        <v>87</v>
      </c>
      <c r="H41" s="24">
        <v>0.05</v>
      </c>
      <c r="I41" s="44" t="s">
        <v>92</v>
      </c>
      <c r="J41" s="18">
        <v>45658</v>
      </c>
      <c r="K41" s="17">
        <v>46022</v>
      </c>
      <c r="L41" s="45" t="s">
        <v>99</v>
      </c>
      <c r="M41" s="45" t="s">
        <v>94</v>
      </c>
      <c r="N41" s="45" t="s">
        <v>95</v>
      </c>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row>
    <row r="42" spans="1:47" s="5" customFormat="1" ht="38.1" customHeight="1">
      <c r="A42" s="10">
        <v>7</v>
      </c>
      <c r="B42" s="10" t="s">
        <v>94</v>
      </c>
      <c r="C42" s="10" t="s">
        <v>25</v>
      </c>
      <c r="D42" s="11" t="s">
        <v>30</v>
      </c>
      <c r="E42" s="60"/>
      <c r="F42" s="60"/>
      <c r="G42" s="60"/>
      <c r="H42" s="23">
        <v>0.05</v>
      </c>
      <c r="I42" s="61"/>
      <c r="J42" s="19"/>
      <c r="K42" s="19"/>
      <c r="L42" s="10"/>
      <c r="M42" s="10"/>
      <c r="N42" s="10"/>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row>
    <row r="43" spans="1:47" s="5" customFormat="1" ht="55.5" customHeight="1">
      <c r="A43" s="2"/>
      <c r="B43" s="2"/>
      <c r="C43" s="2" t="s">
        <v>26</v>
      </c>
      <c r="D43" s="13" t="s">
        <v>196</v>
      </c>
      <c r="E43" s="62" t="s">
        <v>119</v>
      </c>
      <c r="F43" s="62">
        <v>1</v>
      </c>
      <c r="G43" s="62" t="s">
        <v>197</v>
      </c>
      <c r="H43" s="24">
        <v>0.6</v>
      </c>
      <c r="I43" s="44" t="s">
        <v>92</v>
      </c>
      <c r="J43" s="18">
        <v>45658</v>
      </c>
      <c r="K43" s="17">
        <v>46022</v>
      </c>
      <c r="L43" s="45" t="s">
        <v>99</v>
      </c>
      <c r="M43" s="45" t="s">
        <v>198</v>
      </c>
      <c r="N43" s="45" t="s">
        <v>121</v>
      </c>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row>
    <row r="44" spans="1:47" s="6" customFormat="1" ht="55.9" customHeight="1">
      <c r="A44" s="2"/>
      <c r="B44" s="2"/>
      <c r="C44" s="2" t="s">
        <v>199</v>
      </c>
      <c r="D44" s="13" t="s">
        <v>200</v>
      </c>
      <c r="E44" s="62" t="s">
        <v>119</v>
      </c>
      <c r="F44" s="63">
        <v>1</v>
      </c>
      <c r="G44" s="63" t="s">
        <v>201</v>
      </c>
      <c r="H44" s="24">
        <v>0.2</v>
      </c>
      <c r="I44" s="44" t="s">
        <v>92</v>
      </c>
      <c r="J44" s="18">
        <v>45658</v>
      </c>
      <c r="K44" s="17">
        <v>46022</v>
      </c>
      <c r="L44" s="45" t="s">
        <v>99</v>
      </c>
      <c r="M44" s="45" t="s">
        <v>198</v>
      </c>
      <c r="N44" s="45" t="s">
        <v>121</v>
      </c>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row>
    <row r="45" spans="1:47" s="6" customFormat="1" ht="55.9" customHeight="1">
      <c r="A45" s="2"/>
      <c r="B45" s="2"/>
      <c r="C45" s="2" t="s">
        <v>202</v>
      </c>
      <c r="D45" s="13" t="s">
        <v>203</v>
      </c>
      <c r="E45" s="62" t="s">
        <v>119</v>
      </c>
      <c r="F45" s="63">
        <v>5</v>
      </c>
      <c r="G45" s="63" t="s">
        <v>87</v>
      </c>
      <c r="H45" s="24">
        <v>0.2</v>
      </c>
      <c r="I45" s="44" t="s">
        <v>92</v>
      </c>
      <c r="J45" s="18">
        <v>45658</v>
      </c>
      <c r="K45" s="17">
        <v>46022</v>
      </c>
      <c r="L45" s="45" t="s">
        <v>93</v>
      </c>
      <c r="M45" s="45" t="s">
        <v>198</v>
      </c>
      <c r="N45" s="45" t="s">
        <v>121</v>
      </c>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row>
    <row r="46" spans="1:47" s="6" customFormat="1" ht="55.9" customHeight="1">
      <c r="A46" s="64"/>
      <c r="B46" s="64"/>
      <c r="C46" s="64"/>
      <c r="D46" s="65"/>
      <c r="E46" s="66"/>
      <c r="F46" s="66"/>
      <c r="G46" s="66"/>
      <c r="H46" s="67">
        <f>H3+H12+H16+H21+H26+H33+H42</f>
        <v>1</v>
      </c>
      <c r="I46" s="9"/>
      <c r="J46" s="68"/>
      <c r="K46" s="69"/>
      <c r="L46" s="70"/>
      <c r="M46" s="70"/>
      <c r="N46" s="70"/>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row>
    <row r="47" spans="1:47">
      <c r="B47" s="20"/>
      <c r="C47" s="20"/>
      <c r="D47" s="21"/>
      <c r="E47" s="71"/>
      <c r="F47" s="71"/>
      <c r="G47" s="71"/>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row>
    <row r="48" spans="1:47">
      <c r="C48" s="20"/>
      <c r="D48" s="21"/>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row>
    <row r="49" spans="4:47">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row>
    <row r="50" spans="4:47">
      <c r="D50" s="22"/>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row>
    <row r="51" spans="4:47">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row>
    <row r="52" spans="4:47">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row>
    <row r="53" spans="4:47">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row>
    <row r="54" spans="4:47">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row>
    <row r="55" spans="4:47">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row>
    <row r="56" spans="4:47">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row>
    <row r="57" spans="4:47">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row>
    <row r="58" spans="4:47">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row>
    <row r="59" spans="4:47">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row>
    <row r="60" spans="4:47">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row>
    <row r="61" spans="4:47">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row>
    <row r="62" spans="4:47">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row>
    <row r="63" spans="4:47">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row>
    <row r="64" spans="4:47">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row>
    <row r="65" spans="15:47">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row>
    <row r="66" spans="15:47">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row>
    <row r="67" spans="15:47">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row>
    <row r="68" spans="15:47">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row>
    <row r="69" spans="15:47">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row>
    <row r="70" spans="15:47">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row>
    <row r="71" spans="15:47">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row>
    <row r="72" spans="15:47">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row>
    <row r="73" spans="15:47">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row>
    <row r="74" spans="15:47">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row>
    <row r="75" spans="15:47">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row>
    <row r="76" spans="15:47">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row>
    <row r="77" spans="15:47">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row>
    <row r="78" spans="15:47">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spans="15:47">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spans="15:47">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row>
    <row r="81" spans="15:47">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row>
    <row r="82" spans="15:47">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row>
    <row r="83" spans="15:47">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row>
    <row r="84" spans="15:47">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row>
    <row r="85" spans="15:47">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row>
    <row r="86" spans="15:47">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row>
    <row r="87" spans="15:47">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row>
    <row r="88" spans="15:47">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row>
    <row r="89" spans="15:47">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row>
    <row r="90" spans="15:47">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spans="15:47">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row>
    <row r="92" spans="15:47">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spans="15:47">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row>
    <row r="94" spans="15:47">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row>
    <row r="95" spans="15:47">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row>
    <row r="96" spans="15:47">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spans="15:47">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spans="15:47">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row>
    <row r="99" spans="15:47">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row>
    <row r="100" spans="15:47">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row>
    <row r="101" spans="15:47">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row>
    <row r="102" spans="15:47">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row>
    <row r="103" spans="15:47">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row>
    <row r="104" spans="15:47">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row>
    <row r="105" spans="15:47">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row>
    <row r="106" spans="15:47">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spans="15:47">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spans="15:47">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spans="15:47">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row>
    <row r="110" spans="15:47">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row>
    <row r="111" spans="15:47">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row>
    <row r="112" spans="15:47">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row>
    <row r="113" spans="15:47">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row>
    <row r="114" spans="15:47">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row>
    <row r="115" spans="15:47">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row>
    <row r="116" spans="15:47">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row>
    <row r="117" spans="15:47">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row>
    <row r="118" spans="15:47">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row>
    <row r="119" spans="15:47">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row>
    <row r="120" spans="15:47">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row>
    <row r="121" spans="15:47">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row>
    <row r="122" spans="15:47">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spans="15:47">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spans="15:47">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spans="15:47">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spans="15:47">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spans="15:47">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spans="15:47">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spans="15:47">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row>
    <row r="130" spans="15:47">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row>
    <row r="131" spans="15:47">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row>
    <row r="132" spans="15:47">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row>
    <row r="133" spans="15:47">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row>
    <row r="134" spans="15:47">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row>
    <row r="135" spans="15:47">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row>
    <row r="136" spans="15:47">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row>
    <row r="137" spans="15:47">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row>
    <row r="138" spans="15:47">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row>
    <row r="139" spans="15:47">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row>
    <row r="140" spans="15:47">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row>
    <row r="141" spans="15:47">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row>
    <row r="142" spans="15:47">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row>
    <row r="143" spans="15:47">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row>
    <row r="144" spans="15:47">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row>
    <row r="145" spans="15:47">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row>
    <row r="146" spans="15:47">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row>
    <row r="147" spans="15:47">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row>
    <row r="148" spans="15:47">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row>
    <row r="149" spans="15:47">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row>
    <row r="150" spans="15:47">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row>
    <row r="151" spans="15:47">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row>
    <row r="152" spans="15:47">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row>
    <row r="153" spans="15:47">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row>
    <row r="154" spans="15:47">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row>
    <row r="155" spans="15:47">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row>
    <row r="156" spans="15:47">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spans="15:47">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row>
    <row r="158" spans="15:47">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row>
    <row r="159" spans="15:47">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row>
    <row r="160" spans="15:47">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row>
    <row r="161" spans="15:47">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row>
    <row r="162" spans="15:47">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row>
    <row r="163" spans="15:47">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row>
    <row r="164" spans="15:47">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row>
    <row r="165" spans="15:47">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row>
    <row r="166" spans="15:47">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row>
    <row r="167" spans="15:47">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row>
    <row r="168" spans="15:47">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row>
    <row r="169" spans="15:47">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row>
    <row r="170" spans="15:47">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row>
    <row r="171" spans="15:47">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row>
    <row r="172" spans="15:47">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row>
    <row r="173" spans="15:47">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row>
    <row r="174" spans="15:47">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row>
    <row r="175" spans="15:47">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row>
    <row r="176" spans="15:47">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row>
    <row r="177" spans="15:47">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row>
    <row r="178" spans="15:47">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row>
    <row r="179" spans="15:47">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row>
    <row r="180" spans="15:47">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row>
    <row r="181" spans="15:47">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row>
    <row r="182" spans="15:47">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row>
    <row r="183" spans="15:47">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row>
    <row r="184" spans="15:47">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row>
    <row r="185" spans="15:47">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row>
    <row r="186" spans="15:47">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row>
    <row r="187" spans="15:47">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row>
    <row r="188" spans="15:47">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row>
    <row r="189" spans="15:47">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row>
    <row r="190" spans="15:47">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row>
    <row r="191" spans="15:47">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row>
    <row r="192" spans="15:47">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row>
    <row r="193" spans="15:47">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row>
    <row r="194" spans="15:47">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row>
    <row r="195" spans="15:47">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row>
    <row r="196" spans="15:47">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row>
    <row r="197" spans="15:47">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row>
    <row r="198" spans="15:47">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row>
    <row r="199" spans="15:47">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row>
    <row r="200" spans="15:47">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row>
    <row r="201" spans="15:47">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row>
    <row r="202" spans="15:47">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row>
    <row r="203" spans="15:47">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row>
    <row r="204" spans="15:47">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row>
    <row r="205" spans="15:47">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row>
    <row r="206" spans="15:47">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row>
    <row r="207" spans="15:47">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row>
    <row r="208" spans="15:47">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row>
    <row r="209" spans="15:47">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row>
    <row r="210" spans="15:47">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row>
    <row r="211" spans="15:47">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row>
    <row r="212" spans="15:47">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row>
    <row r="213" spans="15:47">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row>
    <row r="214" spans="15:47">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row>
    <row r="215" spans="15:47">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row>
    <row r="216" spans="15:47">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row>
    <row r="217" spans="15:47">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row>
    <row r="218" spans="15:47">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row>
    <row r="219" spans="15:47">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row>
    <row r="220" spans="15:47">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row>
    <row r="221" spans="15:47">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row>
    <row r="222" spans="15:47">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row>
    <row r="223" spans="15:47">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row>
    <row r="224" spans="15:47">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row>
    <row r="225" spans="15:47">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row>
    <row r="226" spans="15:47">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row>
    <row r="227" spans="15:47">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row>
    <row r="228" spans="15:47">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row>
    <row r="229" spans="15:47">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row>
    <row r="230" spans="15:47">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row>
    <row r="231" spans="15:47">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row>
    <row r="232" spans="15:47">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row>
    <row r="233" spans="15:47">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row>
    <row r="234" spans="15:47">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row>
    <row r="235" spans="15:47">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row>
    <row r="236" spans="15:47">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row>
    <row r="237" spans="15:47">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row>
    <row r="238" spans="15:47">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row>
    <row r="239" spans="15:47">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row>
    <row r="240" spans="15:47">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row>
    <row r="241" spans="15:47">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row>
    <row r="242" spans="15:47">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row>
    <row r="243" spans="15:47">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row>
    <row r="244" spans="15:47">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row>
    <row r="245" spans="15:47">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row>
    <row r="246" spans="15:47">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row>
    <row r="247" spans="15:47">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row>
    <row r="248" spans="15:47">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row>
    <row r="249" spans="15:47">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row>
    <row r="250" spans="15:47">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row>
    <row r="251" spans="15:47">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row>
    <row r="252" spans="15:47">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row>
    <row r="253" spans="15:47">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row>
    <row r="254" spans="15:47">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row>
    <row r="255" spans="15:47">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row>
    <row r="256" spans="15:47">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row>
    <row r="257" spans="15:47">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row>
    <row r="258" spans="15:47">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row>
    <row r="259" spans="15:47">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row>
    <row r="260" spans="15:47">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row>
    <row r="261" spans="15:47">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row>
    <row r="262" spans="15:47">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row>
    <row r="263" spans="15:47">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row>
    <row r="264" spans="15:47">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row>
    <row r="265" spans="15:47">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row>
    <row r="266" spans="15:47">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row>
    <row r="267" spans="15:47">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row>
    <row r="268" spans="15:47">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row>
    <row r="269" spans="15:47">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row>
    <row r="270" spans="15:47">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row>
    <row r="271" spans="15:47">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row>
    <row r="272" spans="15:47">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row>
    <row r="273" spans="15:47">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row>
    <row r="274" spans="15:47">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row>
    <row r="275" spans="15:47">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row>
    <row r="276" spans="15:47">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row>
    <row r="277" spans="15:47">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row>
    <row r="278" spans="15:47">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row>
    <row r="279" spans="15:47">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row>
    <row r="280" spans="15:47">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row>
    <row r="281" spans="15:47">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row>
    <row r="282" spans="15:47">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row>
    <row r="283" spans="15:47">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row>
    <row r="284" spans="15:47">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row>
    <row r="285" spans="15:47">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row>
    <row r="286" spans="15:47">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row>
    <row r="287" spans="15:47">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row>
    <row r="288" spans="15:47">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row>
    <row r="289" spans="15:47">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row>
    <row r="290" spans="15:47">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row>
    <row r="291" spans="15:47">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row>
    <row r="292" spans="15:47">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row>
    <row r="293" spans="15:47">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row>
    <row r="294" spans="15:47">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row>
    <row r="295" spans="15:47">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row>
    <row r="296" spans="15:47">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row>
    <row r="297" spans="15:47">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row>
    <row r="298" spans="15:47">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row>
    <row r="299" spans="15:47">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row>
    <row r="300" spans="15:47">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row>
    <row r="301" spans="15:47">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row>
    <row r="302" spans="15:47">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row>
    <row r="303" spans="15:47">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row>
    <row r="304" spans="15:47">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row>
    <row r="305" spans="15:47">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row>
    <row r="306" spans="15:47">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row>
    <row r="307" spans="15:47">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row>
    <row r="308" spans="15:47">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row>
    <row r="309" spans="15:47">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row>
    <row r="310" spans="15:47">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row>
    <row r="311" spans="15:47">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row>
    <row r="312" spans="15:47">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row>
    <row r="313" spans="15:47">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row>
    <row r="314" spans="15:47">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row>
    <row r="315" spans="15:47">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row>
    <row r="316" spans="15:47">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row>
    <row r="317" spans="15:47">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row>
    <row r="318" spans="15:47">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row>
    <row r="319" spans="15:47">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row>
    <row r="320" spans="15:47">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row>
    <row r="321" spans="15:47">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row>
    <row r="322" spans="15:47">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row>
    <row r="323" spans="15:47">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row>
    <row r="324" spans="15:47">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row>
    <row r="325" spans="15:47">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row>
    <row r="326" spans="15:47">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row>
    <row r="327" spans="15:47">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row>
    <row r="328" spans="15:47">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row>
    <row r="329" spans="15:47">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row>
    <row r="330" spans="15:47">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row>
    <row r="331" spans="15:47">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row>
    <row r="332" spans="15:47">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row>
    <row r="333" spans="15:47">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row>
    <row r="334" spans="15:47">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row>
    <row r="335" spans="15:47">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row>
    <row r="336" spans="15:47">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row>
    <row r="337" spans="15:47">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row>
    <row r="338" spans="15:47">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row>
    <row r="339" spans="15:47">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row>
    <row r="340" spans="15:47">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row>
    <row r="341" spans="15:47">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row>
    <row r="342" spans="15:47">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row>
    <row r="343" spans="15:47">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row>
    <row r="344" spans="15:47">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row>
    <row r="345" spans="15:47">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row>
    <row r="346" spans="15:47">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row>
    <row r="347" spans="15:47">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row>
    <row r="348" spans="15:47">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row>
    <row r="349" spans="15:47">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row>
    <row r="350" spans="15:47">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row>
    <row r="351" spans="15:47">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row>
    <row r="352" spans="15:47">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row>
    <row r="353" spans="15:47">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row>
    <row r="354" spans="15:47">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row>
    <row r="355" spans="15:47">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row>
    <row r="356" spans="15:47">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row>
    <row r="357" spans="15:47">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row>
    <row r="358" spans="15:47">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row>
    <row r="359" spans="15:47">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row>
    <row r="360" spans="15:47">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row>
    <row r="361" spans="15:47">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row>
    <row r="362" spans="15:47">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row>
    <row r="363" spans="15:47">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row>
    <row r="364" spans="15:47">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row>
    <row r="365" spans="15:47">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row>
    <row r="366" spans="15:47">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row>
    <row r="367" spans="15:47">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row>
    <row r="368" spans="15:47">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row>
    <row r="369" spans="15:47">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row>
    <row r="370" spans="15:47">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row>
    <row r="371" spans="15:47">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row>
    <row r="372" spans="15:47">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row>
    <row r="373" spans="15:47">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row>
    <row r="374" spans="15:47">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row>
    <row r="375" spans="15:47">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row>
    <row r="376" spans="15:47">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row>
    <row r="377" spans="15:47">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row>
    <row r="378" spans="15:47">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row>
    <row r="379" spans="15:47">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row>
    <row r="380" spans="15:47">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row>
    <row r="381" spans="15:47">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row>
    <row r="382" spans="15:47">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row>
    <row r="383" spans="15:47">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row>
    <row r="384" spans="15:47">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row>
    <row r="385" spans="15:47">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row>
    <row r="386" spans="15:47">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row>
    <row r="387" spans="15:47">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row>
    <row r="388" spans="15:47">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row>
    <row r="389" spans="15:47">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row>
    <row r="390" spans="15:47">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row>
    <row r="391" spans="15:47">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row>
    <row r="392" spans="15:47">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row>
    <row r="393" spans="15:47">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row>
    <row r="394" spans="15:47">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row>
    <row r="395" spans="15:47">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row>
    <row r="396" spans="15:47">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row>
    <row r="397" spans="15:47">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row>
    <row r="398" spans="15:47">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row>
    <row r="399" spans="15:47">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row>
    <row r="400" spans="15:47">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row>
    <row r="401" spans="15:47">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row>
    <row r="402" spans="15:47">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row>
    <row r="403" spans="15:47">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row>
    <row r="404" spans="15:47">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row>
    <row r="405" spans="15:47">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row>
    <row r="406" spans="15:47">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row>
    <row r="407" spans="15:47">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row>
    <row r="408" spans="15:47">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row>
    <row r="409" spans="15:47">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row>
    <row r="410" spans="15:47">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row>
    <row r="411" spans="15:47">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row>
    <row r="412" spans="15:47">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row>
    <row r="413" spans="15:47">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row>
    <row r="414" spans="15:47">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row>
    <row r="415" spans="15:47">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row>
    <row r="416" spans="15:47">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row>
    <row r="417" spans="15:47">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row>
    <row r="418" spans="15:47">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row>
    <row r="419" spans="15:47">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row>
    <row r="420" spans="15:47">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row>
    <row r="421" spans="15:47">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row>
    <row r="422" spans="15:47">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row>
    <row r="423" spans="15:47">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row>
    <row r="424" spans="15:47">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row>
    <row r="425" spans="15:47">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row>
    <row r="426" spans="15:47">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row>
    <row r="427" spans="15:47">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row>
    <row r="428" spans="15:47">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row>
    <row r="429" spans="15:47">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row>
    <row r="430" spans="15:47">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row>
    <row r="431" spans="15:47">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row>
    <row r="432" spans="15:47">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row>
    <row r="433" spans="15:47">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row>
    <row r="434" spans="15:47">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row>
    <row r="435" spans="15:47">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row>
    <row r="436" spans="15:47">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row>
    <row r="437" spans="15:47">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row>
    <row r="438" spans="15:47">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row>
    <row r="439" spans="15:47">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row>
    <row r="440" spans="15:47">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row>
    <row r="441" spans="15:47">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row>
    <row r="442" spans="15:47">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row>
    <row r="443" spans="15:47">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row>
    <row r="444" spans="15:47">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row>
    <row r="445" spans="15:47">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row>
    <row r="446" spans="15:47">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row>
    <row r="447" spans="15:47">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row>
    <row r="448" spans="15:47">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row>
    <row r="449" spans="15:47">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row>
    <row r="450" spans="15:47">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row>
    <row r="451" spans="15:47">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row>
    <row r="452" spans="15:47">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row>
    <row r="453" spans="15:47">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row>
    <row r="454" spans="15:47">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row>
    <row r="455" spans="15:47">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row>
    <row r="456" spans="15:47">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row>
    <row r="457" spans="15:47">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row>
    <row r="458" spans="15:47">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row>
    <row r="459" spans="15:47">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row>
    <row r="460" spans="15:47">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row>
    <row r="461" spans="15:47">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row>
    <row r="462" spans="15:47">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row>
    <row r="463" spans="15:47">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row>
    <row r="464" spans="15:47">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row>
    <row r="465" spans="15:47">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row>
    <row r="466" spans="15:47">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row>
    <row r="467" spans="15:47">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row>
    <row r="468" spans="15:47">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row>
    <row r="469" spans="15:47">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row>
    <row r="470" spans="15:47">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row>
    <row r="471" spans="15:47">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row>
    <row r="472" spans="15:47">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row>
    <row r="473" spans="15:47">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row>
    <row r="474" spans="15:47">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row>
    <row r="475" spans="15:47">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row>
    <row r="476" spans="15:47">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row>
    <row r="477" spans="15:47">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row>
    <row r="478" spans="15:47">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row>
    <row r="479" spans="15:47">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row>
    <row r="480" spans="15:47">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row>
    <row r="481" spans="15:47">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row>
    <row r="482" spans="15:47">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row>
    <row r="483" spans="15:47">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row>
    <row r="484" spans="15:47">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row>
    <row r="485" spans="15:47">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row>
    <row r="486" spans="15:47">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row>
    <row r="487" spans="15:47">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row>
    <row r="488" spans="15:47">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row>
    <row r="489" spans="15:47">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row>
    <row r="490" spans="15:47">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row>
    <row r="491" spans="15:47">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row>
    <row r="492" spans="15:47">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row>
    <row r="493" spans="15:47">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row>
    <row r="494" spans="15:47">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row>
    <row r="495" spans="15:47">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row>
    <row r="496" spans="15:47">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row>
    <row r="497" spans="15:47">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row>
    <row r="498" spans="15:47">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row>
    <row r="499" spans="15:47">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row>
    <row r="500" spans="15:47">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row>
    <row r="501" spans="15:47">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row>
    <row r="502" spans="15:47">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row>
    <row r="503" spans="15:47">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row>
    <row r="504" spans="15:47">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row>
    <row r="505" spans="15:47">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row>
    <row r="506" spans="15:47">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row>
    <row r="507" spans="15:47">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row>
    <row r="508" spans="15:47">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row>
    <row r="509" spans="15:47">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row>
    <row r="510" spans="15:47">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row>
    <row r="511" spans="15:47">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row>
    <row r="512" spans="15:47">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row>
    <row r="513" spans="15:47">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row>
    <row r="514" spans="15:47">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row>
    <row r="515" spans="15:47">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row>
    <row r="516" spans="15:47">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row>
    <row r="517" spans="15:47">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row>
    <row r="518" spans="15:47">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row>
    <row r="519" spans="15:47">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row>
    <row r="520" spans="15:47">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row>
    <row r="521" spans="15:47">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row>
    <row r="522" spans="15:47">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row>
    <row r="523" spans="15:47">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row>
    <row r="524" spans="15:47">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row>
    <row r="525" spans="15:47">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row>
    <row r="526" spans="15:47">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row>
    <row r="527" spans="15:47">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row>
    <row r="528" spans="15:47">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row>
    <row r="529" spans="15:47">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row>
    <row r="530" spans="15:47">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row>
    <row r="531" spans="15:47">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row>
    <row r="532" spans="15:47">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row>
    <row r="533" spans="15:47">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row>
    <row r="534" spans="15:47">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row>
    <row r="535" spans="15:47">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row>
    <row r="536" spans="15:47">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row>
    <row r="537" spans="15:47">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row>
    <row r="538" spans="15:47">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row>
    <row r="539" spans="15:47">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row>
    <row r="540" spans="15:47">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row>
    <row r="541" spans="15:47">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row>
    <row r="542" spans="15:47">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row>
    <row r="543" spans="15:47">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row>
    <row r="544" spans="15:47">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row>
    <row r="545" spans="15:47">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row>
    <row r="546" spans="15:47">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row>
    <row r="547" spans="15:47">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row>
    <row r="548" spans="15:47">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row>
    <row r="549" spans="15:47">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row>
    <row r="550" spans="15:47">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row>
    <row r="551" spans="15:47">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row>
    <row r="552" spans="15:47">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row>
    <row r="553" spans="15:47">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row>
    <row r="554" spans="15:47">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row>
    <row r="555" spans="15:47">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row>
    <row r="556" spans="15:47">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row>
    <row r="557" spans="15:47">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row>
    <row r="558" spans="15:47">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row>
    <row r="559" spans="15:47">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row>
    <row r="560" spans="15:47">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row>
    <row r="561" spans="15:47">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row>
    <row r="562" spans="15:47">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row>
    <row r="563" spans="15:47">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row>
    <row r="564" spans="15:47">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row>
    <row r="565" spans="15:47">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row>
    <row r="566" spans="15:47">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row>
    <row r="567" spans="15:47">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row>
    <row r="568" spans="15:47">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row>
    <row r="569" spans="15:47">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row>
    <row r="570" spans="15:47">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row>
    <row r="571" spans="15:47">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row>
    <row r="572" spans="15:47">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row>
    <row r="573" spans="15:47">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row>
    <row r="574" spans="15:47">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row>
    <row r="575" spans="15:47">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row>
    <row r="576" spans="15:47">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row>
    <row r="577" spans="15:47">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row>
    <row r="578" spans="15:47">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row>
    <row r="579" spans="15:47">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row>
    <row r="580" spans="15:47">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row>
    <row r="581" spans="15:47">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row>
    <row r="582" spans="15:47">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row>
    <row r="583" spans="15:47">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row>
    <row r="584" spans="15:47">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row>
    <row r="585" spans="15:47">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row>
    <row r="586" spans="15:47">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row>
    <row r="587" spans="15:47">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row>
    <row r="588" spans="15:47">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row>
    <row r="589" spans="15:47">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row>
    <row r="590" spans="15:47">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row>
    <row r="591" spans="15:47">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row>
    <row r="592" spans="15:47">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row>
    <row r="593" spans="15:47">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row>
    <row r="594" spans="15:47">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row>
    <row r="595" spans="15:47">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row>
    <row r="596" spans="15:47">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row>
    <row r="597" spans="15:47">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row>
    <row r="598" spans="15:47">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row>
    <row r="599" spans="15:47">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row>
    <row r="600" spans="15:47">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row>
    <row r="601" spans="15:47">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row>
    <row r="602" spans="15:47">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row>
    <row r="603" spans="15:47">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row>
    <row r="604" spans="15:47">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row>
    <row r="605" spans="15:47">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row>
    <row r="606" spans="15:47">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row>
    <row r="607" spans="15:47">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row>
    <row r="608" spans="15:47">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row>
    <row r="609" spans="15:47">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row>
    <row r="610" spans="15:47">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row>
    <row r="611" spans="15:47">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row>
    <row r="612" spans="15:47">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row>
    <row r="613" spans="15:47">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row>
    <row r="614" spans="15:47">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row>
    <row r="615" spans="15:47">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row>
    <row r="616" spans="15:47">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row>
    <row r="617" spans="15:47">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row>
    <row r="618" spans="15:47">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row>
    <row r="619" spans="15:47">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row>
    <row r="620" spans="15:47">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row>
    <row r="621" spans="15:47">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row>
    <row r="622" spans="15:47">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row>
    <row r="623" spans="15:47">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row>
    <row r="624" spans="15:47">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row>
    <row r="625" spans="15:47">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row>
    <row r="626" spans="15:47">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row>
    <row r="627" spans="15:47">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row>
    <row r="628" spans="15:47">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row>
    <row r="629" spans="15:47">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row>
    <row r="630" spans="15:47">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row>
    <row r="631" spans="15:47">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row>
    <row r="632" spans="15:47">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row>
    <row r="633" spans="15:47">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row>
    <row r="634" spans="15:47">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row>
    <row r="635" spans="15:47">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row>
    <row r="636" spans="15:47">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row>
    <row r="637" spans="15:47">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row>
    <row r="638" spans="15:47">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row>
    <row r="639" spans="15:47">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row>
    <row r="640" spans="15:47">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row>
    <row r="641" spans="15:47">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row>
    <row r="642" spans="15:47">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row>
    <row r="643" spans="15:47">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row>
    <row r="644" spans="15:47">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row>
    <row r="645" spans="15:47">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row>
    <row r="646" spans="15:47">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row>
    <row r="647" spans="15:47">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row>
    <row r="648" spans="15:47">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row>
    <row r="649" spans="15:47">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row>
    <row r="650" spans="15:47">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row>
    <row r="651" spans="15:47">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row>
    <row r="652" spans="15:47">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row>
    <row r="653" spans="15:47">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row>
    <row r="654" spans="15:47">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row>
    <row r="655" spans="15:47">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row>
    <row r="656" spans="15:47">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row>
    <row r="657" spans="15:47">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row>
    <row r="658" spans="15:47">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row>
    <row r="659" spans="15:47">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row>
    <row r="660" spans="15:47">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row>
    <row r="661" spans="15:47">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row>
    <row r="662" spans="15:47">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row>
    <row r="663" spans="15:47">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row>
    <row r="664" spans="15:47">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row>
    <row r="665" spans="15:47">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row>
    <row r="666" spans="15:47">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row>
    <row r="667" spans="15:47">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row>
    <row r="668" spans="15:47">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row>
    <row r="669" spans="15:47">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row>
    <row r="670" spans="15:47">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row>
    <row r="671" spans="15:47">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row>
    <row r="672" spans="15:47">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row>
    <row r="673" spans="15:47">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row>
    <row r="674" spans="15:47">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row>
    <row r="675" spans="15:47">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row>
    <row r="676" spans="15:47">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row>
    <row r="677" spans="15:47">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row>
    <row r="678" spans="15:47">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row>
    <row r="679" spans="15:47">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row>
    <row r="680" spans="15:47">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row>
    <row r="681" spans="15:47">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row>
    <row r="682" spans="15:47">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row>
    <row r="683" spans="15:47">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row>
    <row r="684" spans="15:47">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row>
    <row r="685" spans="15:47">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row>
    <row r="686" spans="15:47">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row>
    <row r="687" spans="15:47">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row>
    <row r="688" spans="15:47">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row>
    <row r="689" spans="15:47">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row>
    <row r="690" spans="15:47">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row>
    <row r="691" spans="15:47">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row>
    <row r="692" spans="15:47">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row>
    <row r="693" spans="15:47">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row>
    <row r="694" spans="15:47">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row>
    <row r="695" spans="15:47">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row>
    <row r="696" spans="15:47">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row>
    <row r="697" spans="15:47">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row>
    <row r="698" spans="15:47">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row>
    <row r="699" spans="15:47">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row>
    <row r="700" spans="15:47">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row>
    <row r="701" spans="15:47">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row>
    <row r="702" spans="15:47">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row>
    <row r="703" spans="15:47">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row>
    <row r="704" spans="15:47">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row>
    <row r="705" spans="15:47">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row>
    <row r="706" spans="15:47">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row>
    <row r="707" spans="15:47">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row>
    <row r="708" spans="15:47">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row>
    <row r="709" spans="15:47">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row>
    <row r="710" spans="15:47">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row>
    <row r="711" spans="15:47">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row>
    <row r="712" spans="15:47">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row>
    <row r="713" spans="15:47">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row>
    <row r="714" spans="15:47">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row>
    <row r="715" spans="15:47">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row>
    <row r="716" spans="15:47">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row>
    <row r="717" spans="15:47">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row>
    <row r="718" spans="15:47">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row>
    <row r="719" spans="15:47">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row>
    <row r="720" spans="15:47">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row>
    <row r="721" spans="15:47">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row>
    <row r="722" spans="15:47">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row>
    <row r="723" spans="15:47">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row>
    <row r="724" spans="15:47">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row>
    <row r="725" spans="15:47">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row>
    <row r="726" spans="15:47">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row>
    <row r="727" spans="15:47">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row>
    <row r="728" spans="15:47">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row>
    <row r="729" spans="15:47">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row>
    <row r="730" spans="15:47">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row>
    <row r="731" spans="15:47">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row>
    <row r="732" spans="15:47">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row>
    <row r="733" spans="15:47">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row>
    <row r="734" spans="15:47">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row>
    <row r="735" spans="15:47">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row>
    <row r="736" spans="15:47">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row>
    <row r="737" spans="15:47">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row>
    <row r="738" spans="15:47">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row>
    <row r="739" spans="15:47">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row>
    <row r="740" spans="15:47">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row>
    <row r="741" spans="15:47">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row>
    <row r="742" spans="15:47">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row>
    <row r="743" spans="15:47">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row>
    <row r="744" spans="15:47">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row>
    <row r="745" spans="15:47">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row>
    <row r="746" spans="15:47">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row>
    <row r="747" spans="15:47">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row>
    <row r="748" spans="15:47">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row>
    <row r="749" spans="15:47">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row>
    <row r="750" spans="15:47">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row>
    <row r="751" spans="15:47">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row>
    <row r="752" spans="15:47">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row>
    <row r="753" spans="15:47">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row>
    <row r="754" spans="15:47">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row>
    <row r="755" spans="15:47">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row>
    <row r="756" spans="15:47">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row>
    <row r="757" spans="15:47">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row>
    <row r="758" spans="15:47">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row>
    <row r="759" spans="15:47">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row>
    <row r="760" spans="15:47">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row>
    <row r="761" spans="15:47">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row>
    <row r="762" spans="15:47">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row>
    <row r="763" spans="15:47">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row>
    <row r="764" spans="15:47">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row>
    <row r="765" spans="15:47">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row>
    <row r="766" spans="15:47">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row>
    <row r="767" spans="15:47">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row>
    <row r="768" spans="15:47">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row>
    <row r="769" spans="15:47">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row>
    <row r="770" spans="15:47">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row>
    <row r="771" spans="15:47">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row>
    <row r="772" spans="15:47">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row>
    <row r="773" spans="15:47">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row>
    <row r="774" spans="15:47">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row>
    <row r="775" spans="15:47">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row>
    <row r="776" spans="15:47">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row>
    <row r="777" spans="15:47">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row>
    <row r="778" spans="15:47">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row>
    <row r="779" spans="15:47">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row>
    <row r="780" spans="15:47">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row>
    <row r="781" spans="15:47">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row>
    <row r="782" spans="15:47">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row>
    <row r="783" spans="15:47">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row>
    <row r="784" spans="15:47">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row>
    <row r="785" spans="15:47">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row>
    <row r="786" spans="15:47">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row>
    <row r="787" spans="15:47">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row>
    <row r="788" spans="15:47">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row>
    <row r="789" spans="15:47">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row>
    <row r="790" spans="15:47">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row>
    <row r="791" spans="15:47">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row>
    <row r="792" spans="15:47">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row>
    <row r="793" spans="15:47">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row>
    <row r="794" spans="15:47">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row>
    <row r="795" spans="15:47">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row>
    <row r="796" spans="15:47">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row>
    <row r="797" spans="15:47">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row>
    <row r="798" spans="15:47">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row>
    <row r="799" spans="15:47">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row>
    <row r="800" spans="15:47">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row>
    <row r="801" spans="15:47">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row>
    <row r="802" spans="15:47">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row>
    <row r="803" spans="15:47">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row>
    <row r="804" spans="15:47">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row>
    <row r="805" spans="15:47">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row>
    <row r="806" spans="15:47">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row>
    <row r="807" spans="15:47">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row>
    <row r="808" spans="15:47">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row>
    <row r="809" spans="15:47">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row>
    <row r="810" spans="15:47">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row>
    <row r="811" spans="15:47">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row>
    <row r="812" spans="15:47">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row>
    <row r="813" spans="15:47">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row>
  </sheetData>
  <mergeCells count="24">
    <mergeCell ref="AS1:AU1"/>
    <mergeCell ref="A1:N1"/>
    <mergeCell ref="O1:Q1"/>
    <mergeCell ref="R1:T1"/>
    <mergeCell ref="U1:W1"/>
    <mergeCell ref="X1:Z1"/>
    <mergeCell ref="AA1:AC1"/>
    <mergeCell ref="AD1:AF1"/>
    <mergeCell ref="AG1:AI1"/>
    <mergeCell ref="AJ1:AL1"/>
    <mergeCell ref="AM1:AO1"/>
    <mergeCell ref="AP1:AR1"/>
    <mergeCell ref="N6:N7"/>
    <mergeCell ref="A6:A7"/>
    <mergeCell ref="B6:B7"/>
    <mergeCell ref="C6:C7"/>
    <mergeCell ref="D6:D7"/>
    <mergeCell ref="G6:G7"/>
    <mergeCell ref="H6:H7"/>
    <mergeCell ref="I6:I7"/>
    <mergeCell ref="J6:J7"/>
    <mergeCell ref="K6:K7"/>
    <mergeCell ref="L6:L7"/>
    <mergeCell ref="M6:M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62E8-1C65-4B0C-AE71-72E9027315C6}">
  <sheetPr>
    <tabColor rgb="FFFF0000"/>
  </sheetPr>
  <dimension ref="A1:W818"/>
  <sheetViews>
    <sheetView zoomScale="55" zoomScaleNormal="55" zoomScaleSheetLayoutView="70" workbookViewId="0">
      <pane xSplit="2" ySplit="2" topLeftCell="C22" activePane="bottomRight" state="frozen"/>
      <selection activeCell="B1" sqref="B1"/>
      <selection pane="topRight" activeCell="C1" sqref="C1"/>
      <selection pane="bottomLeft" activeCell="B3" sqref="B3"/>
      <selection pane="bottomRight" activeCell="E25" sqref="E25"/>
    </sheetView>
  </sheetViews>
  <sheetFormatPr defaultColWidth="9" defaultRowHeight="18.75"/>
  <cols>
    <col min="1" max="1" width="7.85546875" style="125" customWidth="1"/>
    <col min="2" max="2" width="21" style="125" customWidth="1"/>
    <col min="3" max="3" width="50.5703125" style="125" customWidth="1"/>
    <col min="4" max="4" width="20.140625" style="125" customWidth="1"/>
    <col min="5" max="5" width="34" style="125" customWidth="1"/>
    <col min="6" max="6" width="53.7109375" style="202" customWidth="1"/>
    <col min="7" max="7" width="29.28515625" style="201" customWidth="1"/>
    <col min="8" max="8" width="13" style="201" customWidth="1"/>
    <col min="9" max="9" width="15.5703125" style="201" customWidth="1"/>
    <col min="10" max="10" width="9.7109375" style="200" bestFit="1" customWidth="1"/>
    <col min="11" max="11" width="79.28515625" style="200" customWidth="1"/>
    <col min="12" max="13" width="16.42578125" style="125" customWidth="1"/>
    <col min="14" max="14" width="20.28515625" style="125" hidden="1" customWidth="1"/>
    <col min="15" max="16" width="20.140625" style="125" customWidth="1"/>
    <col min="17" max="17" width="33.140625" style="204" customWidth="1"/>
    <col min="18" max="18" width="15.7109375" style="204" customWidth="1"/>
    <col min="19" max="19" width="16.140625" style="204" customWidth="1"/>
    <col min="20" max="20" width="15" style="204" customWidth="1"/>
    <col min="21" max="21" width="13.7109375" style="204" customWidth="1"/>
    <col min="22" max="22" width="26" style="204" customWidth="1"/>
    <col min="23" max="23" width="12.28515625" style="204" customWidth="1"/>
    <col min="24" max="28" width="9" style="125" customWidth="1"/>
    <col min="29" max="29" width="9.42578125" style="125" customWidth="1"/>
    <col min="30" max="30" width="9" style="125" customWidth="1"/>
    <col min="31" max="16384" width="9" style="125"/>
  </cols>
  <sheetData>
    <row r="1" spans="1:23" ht="47.25" customHeight="1">
      <c r="A1" s="395" t="s">
        <v>432</v>
      </c>
      <c r="B1" s="396"/>
      <c r="C1" s="396"/>
      <c r="D1" s="396"/>
      <c r="E1" s="396"/>
      <c r="F1" s="396"/>
      <c r="G1" s="396"/>
      <c r="H1" s="396"/>
      <c r="I1" s="396"/>
      <c r="J1" s="396"/>
      <c r="K1" s="396"/>
      <c r="L1" s="396"/>
      <c r="M1" s="396"/>
      <c r="N1" s="396"/>
      <c r="O1" s="396"/>
      <c r="P1" s="397"/>
      <c r="Q1" s="398" t="s">
        <v>240</v>
      </c>
      <c r="R1" s="399"/>
      <c r="S1" s="399"/>
      <c r="T1" s="399"/>
      <c r="U1" s="399"/>
      <c r="V1" s="399"/>
      <c r="W1" s="400"/>
    </row>
    <row r="2" spans="1:23" ht="120" customHeight="1">
      <c r="A2" s="126" t="s">
        <v>0</v>
      </c>
      <c r="B2" s="126" t="s">
        <v>433</v>
      </c>
      <c r="C2" s="126" t="s">
        <v>434</v>
      </c>
      <c r="D2" s="126" t="s">
        <v>435</v>
      </c>
      <c r="E2" s="126" t="s">
        <v>241</v>
      </c>
      <c r="F2" s="126" t="s">
        <v>242</v>
      </c>
      <c r="G2" s="126" t="s">
        <v>75</v>
      </c>
      <c r="H2" s="126" t="s">
        <v>244</v>
      </c>
      <c r="I2" s="126" t="s">
        <v>77</v>
      </c>
      <c r="J2" s="127" t="s">
        <v>436</v>
      </c>
      <c r="K2" s="127" t="s">
        <v>78</v>
      </c>
      <c r="L2" s="126" t="s">
        <v>1</v>
      </c>
      <c r="M2" s="126" t="s">
        <v>2</v>
      </c>
      <c r="N2" s="126" t="s">
        <v>247</v>
      </c>
      <c r="O2" s="126" t="s">
        <v>437</v>
      </c>
      <c r="P2" s="126" t="s">
        <v>438</v>
      </c>
      <c r="Q2" s="128" t="s">
        <v>250</v>
      </c>
      <c r="R2" s="129" t="s">
        <v>251</v>
      </c>
      <c r="S2" s="129" t="s">
        <v>252</v>
      </c>
      <c r="T2" s="129" t="s">
        <v>253</v>
      </c>
      <c r="U2" s="129" t="s">
        <v>254</v>
      </c>
      <c r="V2" s="129" t="s">
        <v>255</v>
      </c>
      <c r="W2" s="129" t="s">
        <v>31</v>
      </c>
    </row>
    <row r="3" spans="1:23" s="135" customFormat="1" ht="73.5" customHeight="1">
      <c r="A3" s="130">
        <v>1</v>
      </c>
      <c r="B3" s="130" t="s">
        <v>439</v>
      </c>
      <c r="C3" s="131" t="s">
        <v>440</v>
      </c>
      <c r="D3" s="132">
        <v>0.5</v>
      </c>
      <c r="E3" s="401"/>
      <c r="F3" s="402"/>
      <c r="G3" s="402"/>
      <c r="H3" s="402"/>
      <c r="I3" s="402"/>
      <c r="J3" s="402"/>
      <c r="K3" s="402"/>
      <c r="L3" s="402"/>
      <c r="M3" s="402"/>
      <c r="N3" s="402"/>
      <c r="O3" s="402"/>
      <c r="P3" s="403"/>
      <c r="Q3" s="133"/>
      <c r="R3" s="134"/>
      <c r="S3" s="133"/>
      <c r="T3" s="133"/>
      <c r="U3" s="133"/>
      <c r="V3" s="133"/>
      <c r="W3" s="133"/>
    </row>
    <row r="4" spans="1:23" s="135" customFormat="1" ht="73.5" customHeight="1">
      <c r="A4" s="136">
        <v>2</v>
      </c>
      <c r="B4" s="136" t="s">
        <v>441</v>
      </c>
      <c r="C4" s="137" t="s">
        <v>442</v>
      </c>
      <c r="D4" s="138">
        <v>0.15</v>
      </c>
      <c r="E4" s="136" t="s">
        <v>443</v>
      </c>
      <c r="F4" s="137" t="s">
        <v>442</v>
      </c>
      <c r="G4" s="139" t="s">
        <v>444</v>
      </c>
      <c r="H4" s="139">
        <v>0</v>
      </c>
      <c r="I4" s="139" t="s">
        <v>201</v>
      </c>
      <c r="J4" s="140">
        <v>0.15</v>
      </c>
      <c r="K4" s="141"/>
      <c r="L4" s="142"/>
      <c r="M4" s="142"/>
      <c r="N4" s="136"/>
      <c r="O4" s="136"/>
      <c r="P4" s="136"/>
      <c r="Q4" s="143"/>
      <c r="R4" s="143"/>
      <c r="S4" s="143"/>
      <c r="T4" s="144"/>
      <c r="U4" s="144"/>
      <c r="V4" s="143"/>
      <c r="W4" s="143"/>
    </row>
    <row r="5" spans="1:23" ht="183.75" customHeight="1">
      <c r="A5" s="145">
        <v>3</v>
      </c>
      <c r="B5" s="146"/>
      <c r="C5" s="146"/>
      <c r="D5" s="147"/>
      <c r="E5" s="148" t="s">
        <v>445</v>
      </c>
      <c r="F5" s="149" t="s">
        <v>446</v>
      </c>
      <c r="G5" s="150" t="s">
        <v>447</v>
      </c>
      <c r="H5" s="151">
        <v>1</v>
      </c>
      <c r="I5" s="150" t="s">
        <v>91</v>
      </c>
      <c r="J5" s="151">
        <v>0.05</v>
      </c>
      <c r="K5" s="152" t="s">
        <v>448</v>
      </c>
      <c r="L5" s="153">
        <v>46023</v>
      </c>
      <c r="M5" s="154">
        <v>46387</v>
      </c>
      <c r="N5" s="155"/>
      <c r="O5" s="155" t="s">
        <v>367</v>
      </c>
      <c r="P5" s="155" t="s">
        <v>258</v>
      </c>
      <c r="Q5" s="156"/>
      <c r="R5" s="156"/>
      <c r="S5" s="157"/>
      <c r="T5" s="156"/>
      <c r="U5" s="144"/>
      <c r="V5" s="157"/>
      <c r="W5" s="157"/>
    </row>
    <row r="6" spans="1:23" ht="194.25" customHeight="1">
      <c r="A6" s="158">
        <v>4</v>
      </c>
      <c r="B6" s="146"/>
      <c r="C6" s="146"/>
      <c r="D6" s="147"/>
      <c r="E6" s="148" t="s">
        <v>449</v>
      </c>
      <c r="F6" s="149" t="s">
        <v>450</v>
      </c>
      <c r="G6" s="150" t="s">
        <v>451</v>
      </c>
      <c r="H6" s="151">
        <v>1</v>
      </c>
      <c r="I6" s="150" t="s">
        <v>91</v>
      </c>
      <c r="J6" s="151">
        <v>0.05</v>
      </c>
      <c r="K6" s="159" t="s">
        <v>452</v>
      </c>
      <c r="L6" s="153">
        <v>46023</v>
      </c>
      <c r="M6" s="154">
        <v>46387</v>
      </c>
      <c r="N6" s="155"/>
      <c r="O6" s="155" t="s">
        <v>453</v>
      </c>
      <c r="P6" s="160" t="s">
        <v>269</v>
      </c>
      <c r="Q6" s="156"/>
      <c r="R6" s="156"/>
      <c r="S6" s="157"/>
      <c r="T6" s="156"/>
      <c r="U6" s="144"/>
      <c r="V6" s="157"/>
      <c r="W6" s="157"/>
    </row>
    <row r="7" spans="1:23" ht="147" customHeight="1">
      <c r="A7" s="145">
        <v>5</v>
      </c>
      <c r="B7" s="146"/>
      <c r="C7" s="146"/>
      <c r="D7" s="147"/>
      <c r="E7" s="148" t="s">
        <v>454</v>
      </c>
      <c r="F7" s="149" t="s">
        <v>455</v>
      </c>
      <c r="G7" s="150" t="s">
        <v>451</v>
      </c>
      <c r="H7" s="151">
        <v>1</v>
      </c>
      <c r="I7" s="150" t="s">
        <v>91</v>
      </c>
      <c r="J7" s="151">
        <v>0.02</v>
      </c>
      <c r="K7" s="159" t="s">
        <v>456</v>
      </c>
      <c r="L7" s="153">
        <v>46023</v>
      </c>
      <c r="M7" s="154">
        <v>46387</v>
      </c>
      <c r="N7" s="155"/>
      <c r="O7" s="155" t="s">
        <v>453</v>
      </c>
      <c r="P7" s="155" t="s">
        <v>258</v>
      </c>
      <c r="Q7" s="156"/>
      <c r="R7" s="156"/>
      <c r="S7" s="157"/>
      <c r="T7" s="156"/>
      <c r="U7" s="144"/>
      <c r="V7" s="157"/>
      <c r="W7" s="157"/>
    </row>
    <row r="8" spans="1:23" s="135" customFormat="1" ht="90" customHeight="1">
      <c r="A8" s="136">
        <v>6</v>
      </c>
      <c r="B8" s="136" t="s">
        <v>457</v>
      </c>
      <c r="C8" s="161" t="s">
        <v>84</v>
      </c>
      <c r="D8" s="138">
        <v>0.2</v>
      </c>
      <c r="E8" s="136" t="s">
        <v>458</v>
      </c>
      <c r="F8" s="161" t="s">
        <v>84</v>
      </c>
      <c r="G8" s="139" t="s">
        <v>459</v>
      </c>
      <c r="H8" s="139" t="s">
        <v>460</v>
      </c>
      <c r="I8" s="139" t="s">
        <v>87</v>
      </c>
      <c r="J8" s="140">
        <v>0.2</v>
      </c>
      <c r="K8" s="140"/>
      <c r="L8" s="142"/>
      <c r="M8" s="142"/>
      <c r="N8" s="136"/>
      <c r="O8" s="136"/>
      <c r="P8" s="136"/>
      <c r="Q8" s="143"/>
      <c r="R8" s="143"/>
      <c r="S8" s="143"/>
      <c r="T8" s="144"/>
      <c r="U8" s="144"/>
      <c r="V8" s="143"/>
      <c r="W8" s="143"/>
    </row>
    <row r="9" spans="1:23" ht="131.25" customHeight="1">
      <c r="A9" s="158">
        <v>7</v>
      </c>
      <c r="B9" s="157"/>
      <c r="C9" s="157"/>
      <c r="D9" s="156"/>
      <c r="E9" s="148" t="s">
        <v>461</v>
      </c>
      <c r="F9" s="149" t="s">
        <v>462</v>
      </c>
      <c r="G9" s="150" t="s">
        <v>119</v>
      </c>
      <c r="H9" s="150">
        <v>1</v>
      </c>
      <c r="I9" s="150" t="s">
        <v>201</v>
      </c>
      <c r="J9" s="162">
        <v>0.03</v>
      </c>
      <c r="K9" s="152" t="s">
        <v>463</v>
      </c>
      <c r="L9" s="153">
        <v>46023</v>
      </c>
      <c r="M9" s="154">
        <v>46387</v>
      </c>
      <c r="N9" s="163"/>
      <c r="O9" s="155" t="s">
        <v>464</v>
      </c>
      <c r="P9" s="155" t="s">
        <v>465</v>
      </c>
      <c r="Q9" s="157"/>
      <c r="R9" s="157"/>
      <c r="S9" s="157"/>
      <c r="T9" s="156"/>
      <c r="U9" s="144"/>
      <c r="V9" s="157"/>
      <c r="W9" s="157"/>
    </row>
    <row r="10" spans="1:23" s="168" customFormat="1" ht="252" customHeight="1">
      <c r="A10" s="145">
        <v>8</v>
      </c>
      <c r="B10" s="146"/>
      <c r="C10" s="146"/>
      <c r="D10" s="147"/>
      <c r="E10" s="148" t="s">
        <v>466</v>
      </c>
      <c r="F10" s="149" t="s">
        <v>467</v>
      </c>
      <c r="G10" s="150" t="s">
        <v>89</v>
      </c>
      <c r="H10" s="151" t="s">
        <v>90</v>
      </c>
      <c r="I10" s="150" t="s">
        <v>91</v>
      </c>
      <c r="J10" s="164">
        <v>7.0000000000000007E-2</v>
      </c>
      <c r="K10" s="165" t="s">
        <v>468</v>
      </c>
      <c r="L10" s="166">
        <v>46023</v>
      </c>
      <c r="M10" s="154">
        <v>46387</v>
      </c>
      <c r="N10" s="167"/>
      <c r="O10" s="167" t="s">
        <v>257</v>
      </c>
      <c r="P10" s="155" t="s">
        <v>258</v>
      </c>
      <c r="Q10" s="156"/>
      <c r="R10" s="156"/>
      <c r="S10" s="157"/>
      <c r="T10" s="156"/>
      <c r="U10" s="144"/>
      <c r="V10" s="157"/>
      <c r="W10" s="157"/>
    </row>
    <row r="11" spans="1:23" ht="246.75" customHeight="1">
      <c r="A11" s="158">
        <v>9</v>
      </c>
      <c r="B11" s="157"/>
      <c r="C11" s="157"/>
      <c r="D11" s="156"/>
      <c r="E11" s="148" t="s">
        <v>469</v>
      </c>
      <c r="F11" s="149" t="s">
        <v>470</v>
      </c>
      <c r="G11" s="150" t="s">
        <v>97</v>
      </c>
      <c r="H11" s="151" t="s">
        <v>98</v>
      </c>
      <c r="I11" s="150" t="s">
        <v>91</v>
      </c>
      <c r="J11" s="169">
        <v>0.06</v>
      </c>
      <c r="K11" s="165" t="s">
        <v>471</v>
      </c>
      <c r="L11" s="166">
        <v>46023</v>
      </c>
      <c r="M11" s="154">
        <v>46387</v>
      </c>
      <c r="N11" s="167"/>
      <c r="O11" s="167" t="s">
        <v>268</v>
      </c>
      <c r="P11" s="155" t="s">
        <v>258</v>
      </c>
      <c r="Q11" s="156"/>
      <c r="R11" s="156"/>
      <c r="S11" s="157"/>
      <c r="T11" s="156"/>
      <c r="U11" s="144"/>
      <c r="V11" s="157"/>
      <c r="W11" s="157"/>
    </row>
    <row r="12" spans="1:23" ht="264" customHeight="1">
      <c r="A12" s="145">
        <v>10</v>
      </c>
      <c r="B12" s="170"/>
      <c r="C12" s="170"/>
      <c r="D12" s="171"/>
      <c r="E12" s="148" t="s">
        <v>472</v>
      </c>
      <c r="F12" s="172" t="s">
        <v>473</v>
      </c>
      <c r="G12" s="150" t="s">
        <v>474</v>
      </c>
      <c r="H12" s="151" t="s">
        <v>475</v>
      </c>
      <c r="I12" s="173" t="s">
        <v>87</v>
      </c>
      <c r="J12" s="174">
        <v>0.05</v>
      </c>
      <c r="K12" s="175" t="s">
        <v>476</v>
      </c>
      <c r="L12" s="166">
        <v>46023</v>
      </c>
      <c r="M12" s="154">
        <v>46387</v>
      </c>
      <c r="N12" s="170"/>
      <c r="O12" s="170" t="s">
        <v>102</v>
      </c>
      <c r="P12" s="155" t="s">
        <v>258</v>
      </c>
      <c r="Q12" s="157"/>
      <c r="R12" s="157"/>
      <c r="S12" s="157"/>
      <c r="T12" s="156"/>
      <c r="U12" s="144"/>
      <c r="V12" s="157"/>
      <c r="W12" s="157"/>
    </row>
    <row r="13" spans="1:23" ht="164.25" customHeight="1">
      <c r="A13" s="158">
        <v>11</v>
      </c>
      <c r="B13" s="176"/>
      <c r="C13" s="176"/>
      <c r="D13" s="177"/>
      <c r="E13" s="148" t="s">
        <v>477</v>
      </c>
      <c r="F13" s="149" t="s">
        <v>478</v>
      </c>
      <c r="G13" s="150" t="s">
        <v>479</v>
      </c>
      <c r="H13" s="151">
        <v>1</v>
      </c>
      <c r="I13" s="150" t="s">
        <v>87</v>
      </c>
      <c r="J13" s="162">
        <v>0.01</v>
      </c>
      <c r="K13" s="152" t="s">
        <v>480</v>
      </c>
      <c r="L13" s="153">
        <v>46023</v>
      </c>
      <c r="M13" s="154">
        <v>46387</v>
      </c>
      <c r="N13" s="163"/>
      <c r="O13" s="155" t="s">
        <v>257</v>
      </c>
      <c r="P13" s="155" t="s">
        <v>258</v>
      </c>
      <c r="Q13" s="157"/>
      <c r="R13" s="157"/>
      <c r="S13" s="157"/>
      <c r="T13" s="156"/>
      <c r="U13" s="144"/>
      <c r="V13" s="157"/>
      <c r="W13" s="157"/>
    </row>
    <row r="14" spans="1:23" s="168" customFormat="1" ht="88.5" customHeight="1">
      <c r="A14" s="145">
        <v>12</v>
      </c>
      <c r="B14" s="146"/>
      <c r="C14" s="146"/>
      <c r="D14" s="147"/>
      <c r="E14" s="148" t="s">
        <v>481</v>
      </c>
      <c r="F14" s="149" t="s">
        <v>112</v>
      </c>
      <c r="G14" s="150" t="s">
        <v>113</v>
      </c>
      <c r="H14" s="151" t="s">
        <v>114</v>
      </c>
      <c r="I14" s="150" t="s">
        <v>87</v>
      </c>
      <c r="J14" s="162">
        <v>0.01</v>
      </c>
      <c r="K14" s="152" t="s">
        <v>482</v>
      </c>
      <c r="L14" s="153">
        <v>46023</v>
      </c>
      <c r="M14" s="154">
        <v>46387</v>
      </c>
      <c r="N14" s="155"/>
      <c r="O14" s="155" t="s">
        <v>483</v>
      </c>
      <c r="P14" s="155" t="s">
        <v>258</v>
      </c>
      <c r="Q14" s="178"/>
      <c r="R14" s="178"/>
      <c r="S14" s="178"/>
      <c r="T14" s="178"/>
      <c r="U14" s="178"/>
      <c r="V14" s="178"/>
      <c r="W14" s="178"/>
    </row>
    <row r="15" spans="1:23" s="135" customFormat="1" ht="70.5" customHeight="1">
      <c r="A15" s="136">
        <v>13</v>
      </c>
      <c r="B15" s="136" t="s">
        <v>484</v>
      </c>
      <c r="C15" s="179" t="s">
        <v>16</v>
      </c>
      <c r="D15" s="138">
        <v>0.15</v>
      </c>
      <c r="E15" s="136" t="s">
        <v>485</v>
      </c>
      <c r="F15" s="179" t="s">
        <v>16</v>
      </c>
      <c r="G15" s="139" t="s">
        <v>117</v>
      </c>
      <c r="H15" s="139">
        <v>0</v>
      </c>
      <c r="I15" s="139"/>
      <c r="J15" s="140">
        <v>0.15</v>
      </c>
      <c r="K15" s="140"/>
      <c r="L15" s="180"/>
      <c r="M15" s="180"/>
      <c r="N15" s="136"/>
      <c r="O15" s="136"/>
      <c r="P15" s="136"/>
      <c r="Q15" s="157"/>
      <c r="R15" s="157"/>
      <c r="S15" s="157"/>
      <c r="T15" s="156"/>
      <c r="U15" s="144"/>
      <c r="V15" s="157"/>
      <c r="W15" s="157"/>
    </row>
    <row r="16" spans="1:23" s="168" customFormat="1" ht="113.25" customHeight="1">
      <c r="A16" s="145">
        <v>14</v>
      </c>
      <c r="B16" s="146"/>
      <c r="C16" s="146"/>
      <c r="D16" s="147"/>
      <c r="E16" s="148" t="s">
        <v>486</v>
      </c>
      <c r="F16" s="149" t="s">
        <v>118</v>
      </c>
      <c r="G16" s="150" t="s">
        <v>119</v>
      </c>
      <c r="H16" s="150">
        <v>1</v>
      </c>
      <c r="I16" s="150" t="s">
        <v>91</v>
      </c>
      <c r="J16" s="164">
        <v>0.05</v>
      </c>
      <c r="K16" s="165" t="s">
        <v>487</v>
      </c>
      <c r="L16" s="166">
        <v>46023</v>
      </c>
      <c r="M16" s="154">
        <v>46387</v>
      </c>
      <c r="N16" s="167"/>
      <c r="O16" s="167" t="s">
        <v>310</v>
      </c>
      <c r="P16" s="155" t="s">
        <v>258</v>
      </c>
      <c r="Q16" s="157"/>
      <c r="R16" s="157"/>
      <c r="S16" s="157"/>
      <c r="T16" s="157"/>
      <c r="U16" s="157"/>
      <c r="V16" s="157"/>
      <c r="W16" s="157"/>
    </row>
    <row r="17" spans="1:23" s="168" customFormat="1" ht="78" customHeight="1">
      <c r="A17" s="158">
        <v>15</v>
      </c>
      <c r="B17" s="146"/>
      <c r="C17" s="146"/>
      <c r="D17" s="147"/>
      <c r="E17" s="148" t="s">
        <v>488</v>
      </c>
      <c r="F17" s="149" t="s">
        <v>122</v>
      </c>
      <c r="G17" s="150" t="s">
        <v>123</v>
      </c>
      <c r="H17" s="150" t="s">
        <v>489</v>
      </c>
      <c r="I17" s="150" t="s">
        <v>87</v>
      </c>
      <c r="J17" s="164">
        <v>0.08</v>
      </c>
      <c r="K17" s="165" t="s">
        <v>490</v>
      </c>
      <c r="L17" s="166">
        <v>46023</v>
      </c>
      <c r="M17" s="154">
        <v>46387</v>
      </c>
      <c r="N17" s="167"/>
      <c r="O17" s="167" t="s">
        <v>310</v>
      </c>
      <c r="P17" s="155" t="s">
        <v>258</v>
      </c>
      <c r="Q17" s="181"/>
      <c r="R17" s="157"/>
      <c r="S17" s="157"/>
      <c r="T17" s="157"/>
      <c r="U17" s="157"/>
      <c r="V17" s="157"/>
      <c r="W17" s="157"/>
    </row>
    <row r="18" spans="1:23" s="168" customFormat="1" ht="82.5" customHeight="1">
      <c r="A18" s="145">
        <v>16</v>
      </c>
      <c r="B18" s="146"/>
      <c r="C18" s="146"/>
      <c r="D18" s="147"/>
      <c r="E18" s="148" t="s">
        <v>491</v>
      </c>
      <c r="F18" s="149" t="s">
        <v>125</v>
      </c>
      <c r="G18" s="150" t="s">
        <v>126</v>
      </c>
      <c r="H18" s="151">
        <v>1</v>
      </c>
      <c r="I18" s="150" t="s">
        <v>87</v>
      </c>
      <c r="J18" s="164">
        <v>0.02</v>
      </c>
      <c r="K18" s="165" t="s">
        <v>492</v>
      </c>
      <c r="L18" s="166">
        <v>46023</v>
      </c>
      <c r="M18" s="154">
        <v>46387</v>
      </c>
      <c r="N18" s="167"/>
      <c r="O18" s="167" t="s">
        <v>310</v>
      </c>
      <c r="P18" s="155" t="s">
        <v>258</v>
      </c>
      <c r="Q18" s="157"/>
      <c r="R18" s="157"/>
      <c r="S18" s="157"/>
      <c r="T18" s="157"/>
      <c r="U18" s="157"/>
      <c r="V18" s="157"/>
      <c r="W18" s="157"/>
    </row>
    <row r="19" spans="1:23" s="135" customFormat="1" ht="114.75" customHeight="1">
      <c r="A19" s="182">
        <v>17</v>
      </c>
      <c r="B19" s="182" t="s">
        <v>493</v>
      </c>
      <c r="C19" s="183" t="s">
        <v>494</v>
      </c>
      <c r="D19" s="184">
        <v>0.1</v>
      </c>
      <c r="E19" s="404"/>
      <c r="F19" s="405"/>
      <c r="G19" s="405"/>
      <c r="H19" s="405"/>
      <c r="I19" s="405"/>
      <c r="J19" s="405"/>
      <c r="K19" s="405"/>
      <c r="L19" s="405"/>
      <c r="M19" s="405"/>
      <c r="N19" s="405"/>
      <c r="O19" s="405"/>
      <c r="P19" s="406"/>
      <c r="Q19" s="133"/>
      <c r="R19" s="134"/>
      <c r="S19" s="133"/>
      <c r="T19" s="133"/>
      <c r="U19" s="133"/>
      <c r="V19" s="133"/>
      <c r="W19" s="133"/>
    </row>
    <row r="20" spans="1:23" s="135" customFormat="1" ht="55.5" customHeight="1">
      <c r="A20" s="136">
        <v>18</v>
      </c>
      <c r="B20" s="136" t="s">
        <v>495</v>
      </c>
      <c r="C20" s="137" t="s">
        <v>496</v>
      </c>
      <c r="D20" s="138">
        <v>0.08</v>
      </c>
      <c r="E20" s="136" t="s">
        <v>497</v>
      </c>
      <c r="F20" s="179" t="s">
        <v>135</v>
      </c>
      <c r="G20" s="139"/>
      <c r="H20" s="139"/>
      <c r="I20" s="139"/>
      <c r="J20" s="140">
        <v>0.2</v>
      </c>
      <c r="K20" s="140"/>
      <c r="L20" s="142"/>
      <c r="M20" s="142"/>
      <c r="N20" s="136"/>
      <c r="O20" s="136"/>
      <c r="P20" s="136"/>
      <c r="Q20" s="157"/>
      <c r="R20" s="157"/>
      <c r="S20" s="157"/>
      <c r="T20" s="157"/>
      <c r="U20" s="157"/>
      <c r="V20" s="157"/>
      <c r="W20" s="157"/>
    </row>
    <row r="21" spans="1:23" s="135" customFormat="1" ht="138.75" customHeight="1">
      <c r="A21" s="158">
        <v>19</v>
      </c>
      <c r="B21" s="146"/>
      <c r="C21" s="148"/>
      <c r="D21" s="147"/>
      <c r="E21" s="146" t="s">
        <v>498</v>
      </c>
      <c r="F21" s="149" t="s">
        <v>499</v>
      </c>
      <c r="G21" s="150" t="s">
        <v>138</v>
      </c>
      <c r="H21" s="151">
        <v>1</v>
      </c>
      <c r="I21" s="150" t="s">
        <v>87</v>
      </c>
      <c r="J21" s="151">
        <v>0.02</v>
      </c>
      <c r="K21" s="152" t="s">
        <v>500</v>
      </c>
      <c r="L21" s="153">
        <v>46023</v>
      </c>
      <c r="M21" s="154">
        <v>46387</v>
      </c>
      <c r="N21" s="155"/>
      <c r="O21" s="155" t="s">
        <v>257</v>
      </c>
      <c r="P21" s="155" t="s">
        <v>258</v>
      </c>
      <c r="Q21" s="157"/>
      <c r="R21" s="157"/>
      <c r="S21" s="157"/>
      <c r="T21" s="157"/>
      <c r="U21" s="157"/>
      <c r="V21" s="157"/>
      <c r="W21" s="157"/>
    </row>
    <row r="22" spans="1:23" s="135" customFormat="1" ht="122.25" customHeight="1">
      <c r="A22" s="145">
        <v>20</v>
      </c>
      <c r="B22" s="146"/>
      <c r="C22" s="146"/>
      <c r="D22" s="147"/>
      <c r="E22" s="146" t="s">
        <v>501</v>
      </c>
      <c r="F22" s="149" t="s">
        <v>502</v>
      </c>
      <c r="G22" s="150" t="s">
        <v>141</v>
      </c>
      <c r="H22" s="151">
        <v>1</v>
      </c>
      <c r="I22" s="150" t="s">
        <v>87</v>
      </c>
      <c r="J22" s="151">
        <v>0.02</v>
      </c>
      <c r="K22" s="152" t="s">
        <v>503</v>
      </c>
      <c r="L22" s="153">
        <v>46023</v>
      </c>
      <c r="M22" s="154">
        <v>46387</v>
      </c>
      <c r="N22" s="155"/>
      <c r="O22" s="155" t="s">
        <v>504</v>
      </c>
      <c r="P22" s="155" t="s">
        <v>258</v>
      </c>
      <c r="Q22" s="157"/>
      <c r="R22" s="157"/>
      <c r="S22" s="157"/>
      <c r="T22" s="157"/>
      <c r="U22" s="157"/>
      <c r="V22" s="157"/>
      <c r="W22" s="157"/>
    </row>
    <row r="23" spans="1:23" s="135" customFormat="1" ht="177.75" customHeight="1">
      <c r="A23" s="158">
        <v>21</v>
      </c>
      <c r="B23" s="146"/>
      <c r="C23" s="146"/>
      <c r="D23" s="147"/>
      <c r="E23" s="146" t="s">
        <v>505</v>
      </c>
      <c r="F23" s="149" t="s">
        <v>506</v>
      </c>
      <c r="G23" s="150" t="s">
        <v>141</v>
      </c>
      <c r="H23" s="151">
        <v>1</v>
      </c>
      <c r="I23" s="150" t="s">
        <v>87</v>
      </c>
      <c r="J23" s="151">
        <v>0.04</v>
      </c>
      <c r="K23" s="152" t="s">
        <v>507</v>
      </c>
      <c r="L23" s="153">
        <v>46023</v>
      </c>
      <c r="M23" s="154">
        <v>46387</v>
      </c>
      <c r="N23" s="155"/>
      <c r="O23" s="160" t="s">
        <v>464</v>
      </c>
      <c r="P23" s="155" t="s">
        <v>258</v>
      </c>
      <c r="Q23" s="157"/>
      <c r="R23" s="157"/>
      <c r="S23" s="157"/>
      <c r="T23" s="157"/>
      <c r="U23" s="157"/>
      <c r="V23" s="157"/>
      <c r="W23" s="157"/>
    </row>
    <row r="24" spans="1:23" s="135" customFormat="1" ht="180.75" customHeight="1">
      <c r="A24" s="145">
        <v>22</v>
      </c>
      <c r="B24" s="146"/>
      <c r="C24" s="146"/>
      <c r="D24" s="147"/>
      <c r="E24" s="146" t="s">
        <v>508</v>
      </c>
      <c r="F24" s="149" t="s">
        <v>509</v>
      </c>
      <c r="G24" s="150" t="s">
        <v>141</v>
      </c>
      <c r="H24" s="151">
        <v>1</v>
      </c>
      <c r="I24" s="150" t="s">
        <v>87</v>
      </c>
      <c r="J24" s="151">
        <v>0.04</v>
      </c>
      <c r="K24" s="152" t="s">
        <v>510</v>
      </c>
      <c r="L24" s="153">
        <v>46023</v>
      </c>
      <c r="M24" s="154">
        <v>46387</v>
      </c>
      <c r="N24" s="155"/>
      <c r="O24" s="155" t="s">
        <v>464</v>
      </c>
      <c r="P24" s="155" t="s">
        <v>258</v>
      </c>
      <c r="Q24" s="157"/>
      <c r="R24" s="157"/>
      <c r="S24" s="157"/>
      <c r="T24" s="157"/>
      <c r="U24" s="157"/>
      <c r="V24" s="157"/>
      <c r="W24" s="157"/>
    </row>
    <row r="25" spans="1:23" s="135" customFormat="1" ht="132.75" customHeight="1">
      <c r="A25" s="158">
        <v>23</v>
      </c>
      <c r="B25" s="146"/>
      <c r="C25" s="146"/>
      <c r="D25" s="147"/>
      <c r="E25" s="146" t="s">
        <v>511</v>
      </c>
      <c r="F25" s="149" t="s">
        <v>512</v>
      </c>
      <c r="G25" s="150" t="s">
        <v>141</v>
      </c>
      <c r="H25" s="151">
        <v>1</v>
      </c>
      <c r="I25" s="150" t="s">
        <v>87</v>
      </c>
      <c r="J25" s="151">
        <v>0.02</v>
      </c>
      <c r="K25" s="152" t="s">
        <v>513</v>
      </c>
      <c r="L25" s="153">
        <v>46023</v>
      </c>
      <c r="M25" s="154">
        <v>46387</v>
      </c>
      <c r="N25" s="155"/>
      <c r="O25" s="160" t="s">
        <v>514</v>
      </c>
      <c r="P25" s="155" t="s">
        <v>258</v>
      </c>
      <c r="Q25" s="157"/>
      <c r="R25" s="157"/>
      <c r="S25" s="157"/>
      <c r="T25" s="157"/>
      <c r="U25" s="157"/>
      <c r="V25" s="157"/>
      <c r="W25" s="157"/>
    </row>
    <row r="26" spans="1:23" s="135" customFormat="1" ht="195" customHeight="1">
      <c r="A26" s="145">
        <v>24</v>
      </c>
      <c r="B26" s="146"/>
      <c r="C26" s="146"/>
      <c r="D26" s="147"/>
      <c r="E26" s="146" t="s">
        <v>515</v>
      </c>
      <c r="F26" s="149" t="s">
        <v>516</v>
      </c>
      <c r="G26" s="150" t="s">
        <v>517</v>
      </c>
      <c r="H26" s="151">
        <v>1</v>
      </c>
      <c r="I26" s="150" t="s">
        <v>87</v>
      </c>
      <c r="J26" s="151">
        <v>0.06</v>
      </c>
      <c r="K26" s="152" t="s">
        <v>507</v>
      </c>
      <c r="L26" s="153">
        <v>46023</v>
      </c>
      <c r="M26" s="154">
        <v>46387</v>
      </c>
      <c r="N26" s="155"/>
      <c r="O26" s="155" t="s">
        <v>518</v>
      </c>
      <c r="P26" s="155" t="s">
        <v>258</v>
      </c>
      <c r="Q26" s="157"/>
      <c r="R26" s="157"/>
      <c r="S26" s="157"/>
      <c r="T26" s="157"/>
      <c r="U26" s="157"/>
      <c r="V26" s="157"/>
      <c r="W26" s="157"/>
    </row>
    <row r="27" spans="1:23" s="191" customFormat="1" ht="85.5" customHeight="1">
      <c r="A27" s="185">
        <v>25</v>
      </c>
      <c r="B27" s="185" t="s">
        <v>519</v>
      </c>
      <c r="C27" s="186" t="s">
        <v>520</v>
      </c>
      <c r="D27" s="187">
        <v>0.1</v>
      </c>
      <c r="E27" s="136" t="s">
        <v>521</v>
      </c>
      <c r="F27" s="179" t="s">
        <v>522</v>
      </c>
      <c r="G27" s="139"/>
      <c r="H27" s="139"/>
      <c r="I27" s="139"/>
      <c r="J27" s="140">
        <v>0.25</v>
      </c>
      <c r="K27" s="188"/>
      <c r="L27" s="189"/>
      <c r="M27" s="189"/>
      <c r="N27" s="189"/>
      <c r="O27" s="189"/>
      <c r="P27" s="190"/>
      <c r="Q27" s="133"/>
      <c r="R27" s="133"/>
      <c r="S27" s="134"/>
      <c r="T27" s="133"/>
      <c r="U27" s="133"/>
      <c r="V27" s="133"/>
      <c r="W27" s="133"/>
    </row>
    <row r="28" spans="1:23" s="135" customFormat="1" ht="261" customHeight="1">
      <c r="A28" s="158">
        <v>26</v>
      </c>
      <c r="B28" s="146"/>
      <c r="C28" s="146"/>
      <c r="D28" s="147"/>
      <c r="E28" s="148" t="s">
        <v>523</v>
      </c>
      <c r="F28" s="149" t="s">
        <v>149</v>
      </c>
      <c r="G28" s="150" t="s">
        <v>150</v>
      </c>
      <c r="H28" s="150">
        <v>8</v>
      </c>
      <c r="I28" s="150" t="s">
        <v>87</v>
      </c>
      <c r="J28" s="164">
        <v>0.04</v>
      </c>
      <c r="K28" s="165" t="s">
        <v>524</v>
      </c>
      <c r="L28" s="166">
        <v>46023</v>
      </c>
      <c r="M28" s="154">
        <v>46387</v>
      </c>
      <c r="N28" s="167"/>
      <c r="O28" s="155" t="s">
        <v>464</v>
      </c>
      <c r="P28" s="155" t="s">
        <v>258</v>
      </c>
      <c r="Q28" s="157"/>
      <c r="R28" s="157"/>
      <c r="S28" s="157"/>
      <c r="T28" s="157"/>
      <c r="U28" s="157"/>
      <c r="V28" s="157"/>
      <c r="W28" s="157"/>
    </row>
    <row r="29" spans="1:23" s="135" customFormat="1" ht="202.5" customHeight="1">
      <c r="A29" s="145">
        <v>27</v>
      </c>
      <c r="B29" s="146"/>
      <c r="C29" s="146"/>
      <c r="D29" s="147"/>
      <c r="E29" s="148" t="s">
        <v>525</v>
      </c>
      <c r="F29" s="149" t="s">
        <v>154</v>
      </c>
      <c r="G29" s="150" t="s">
        <v>526</v>
      </c>
      <c r="H29" s="150">
        <v>33</v>
      </c>
      <c r="I29" s="150" t="s">
        <v>87</v>
      </c>
      <c r="J29" s="164">
        <v>0.04</v>
      </c>
      <c r="K29" s="165" t="s">
        <v>527</v>
      </c>
      <c r="L29" s="166">
        <v>46023</v>
      </c>
      <c r="M29" s="154">
        <v>46387</v>
      </c>
      <c r="N29" s="167"/>
      <c r="O29" s="155" t="s">
        <v>464</v>
      </c>
      <c r="P29" s="155" t="s">
        <v>258</v>
      </c>
      <c r="Q29" s="157"/>
      <c r="R29" s="157"/>
      <c r="S29" s="157"/>
      <c r="T29" s="157"/>
      <c r="U29" s="157"/>
      <c r="V29" s="157"/>
      <c r="W29" s="157"/>
    </row>
    <row r="30" spans="1:23" s="135" customFormat="1" ht="99.75" customHeight="1">
      <c r="A30" s="158">
        <v>28</v>
      </c>
      <c r="B30" s="146"/>
      <c r="C30" s="146"/>
      <c r="D30" s="147"/>
      <c r="E30" s="148" t="s">
        <v>528</v>
      </c>
      <c r="F30" s="149" t="s">
        <v>529</v>
      </c>
      <c r="G30" s="150" t="s">
        <v>530</v>
      </c>
      <c r="H30" s="151">
        <v>1</v>
      </c>
      <c r="I30" s="150" t="s">
        <v>87</v>
      </c>
      <c r="J30" s="164">
        <v>0.01</v>
      </c>
      <c r="K30" s="165" t="s">
        <v>531</v>
      </c>
      <c r="L30" s="166">
        <v>46023</v>
      </c>
      <c r="M30" s="154">
        <v>46387</v>
      </c>
      <c r="N30" s="167"/>
      <c r="O30" s="155" t="s">
        <v>532</v>
      </c>
      <c r="P30" s="155" t="s">
        <v>258</v>
      </c>
      <c r="Q30" s="157"/>
      <c r="R30" s="157"/>
      <c r="S30" s="157"/>
      <c r="T30" s="157"/>
      <c r="U30" s="157"/>
      <c r="V30" s="157"/>
      <c r="W30" s="157"/>
    </row>
    <row r="31" spans="1:23" s="135" customFormat="1" ht="131.25" customHeight="1">
      <c r="A31" s="145">
        <v>29</v>
      </c>
      <c r="B31" s="146"/>
      <c r="C31" s="146"/>
      <c r="D31" s="147"/>
      <c r="E31" s="148" t="s">
        <v>533</v>
      </c>
      <c r="F31" s="149" t="s">
        <v>534</v>
      </c>
      <c r="G31" s="150" t="s">
        <v>119</v>
      </c>
      <c r="H31" s="150">
        <v>15</v>
      </c>
      <c r="I31" s="150" t="s">
        <v>87</v>
      </c>
      <c r="J31" s="164">
        <v>0.01</v>
      </c>
      <c r="K31" s="165" t="s">
        <v>535</v>
      </c>
      <c r="L31" s="166">
        <v>46023</v>
      </c>
      <c r="M31" s="154">
        <v>46387</v>
      </c>
      <c r="N31" s="167"/>
      <c r="O31" s="155" t="s">
        <v>310</v>
      </c>
      <c r="P31" s="155" t="s">
        <v>258</v>
      </c>
      <c r="Q31" s="157"/>
      <c r="R31" s="157"/>
      <c r="S31" s="157"/>
      <c r="T31" s="157"/>
      <c r="U31" s="157"/>
      <c r="V31" s="157"/>
      <c r="W31" s="157"/>
    </row>
    <row r="32" spans="1:23" s="135" customFormat="1" ht="99" customHeight="1">
      <c r="A32" s="158">
        <v>30</v>
      </c>
      <c r="B32" s="146"/>
      <c r="C32" s="146"/>
      <c r="D32" s="147"/>
      <c r="E32" s="148" t="s">
        <v>536</v>
      </c>
      <c r="F32" s="149" t="s">
        <v>537</v>
      </c>
      <c r="G32" s="150" t="s">
        <v>479</v>
      </c>
      <c r="H32" s="151">
        <v>1</v>
      </c>
      <c r="I32" s="150" t="s">
        <v>87</v>
      </c>
      <c r="J32" s="164">
        <v>0.01</v>
      </c>
      <c r="K32" s="165" t="s">
        <v>538</v>
      </c>
      <c r="L32" s="166">
        <v>46023</v>
      </c>
      <c r="M32" s="154">
        <v>46387</v>
      </c>
      <c r="N32" s="167"/>
      <c r="O32" s="155" t="s">
        <v>532</v>
      </c>
      <c r="P32" s="155" t="s">
        <v>258</v>
      </c>
      <c r="Q32" s="157"/>
      <c r="R32" s="157"/>
      <c r="S32" s="157"/>
      <c r="T32" s="157"/>
      <c r="U32" s="157"/>
      <c r="V32" s="157"/>
      <c r="W32" s="157"/>
    </row>
    <row r="33" spans="1:23" s="135" customFormat="1" ht="99" customHeight="1">
      <c r="A33" s="145">
        <v>31</v>
      </c>
      <c r="B33" s="146"/>
      <c r="C33" s="146"/>
      <c r="D33" s="147"/>
      <c r="E33" s="148" t="s">
        <v>539</v>
      </c>
      <c r="F33" s="149" t="s">
        <v>540</v>
      </c>
      <c r="G33" s="150" t="s">
        <v>479</v>
      </c>
      <c r="H33" s="151">
        <v>1</v>
      </c>
      <c r="I33" s="150" t="s">
        <v>87</v>
      </c>
      <c r="J33" s="164">
        <v>0.01</v>
      </c>
      <c r="K33" s="165" t="s">
        <v>541</v>
      </c>
      <c r="L33" s="166">
        <v>46023</v>
      </c>
      <c r="M33" s="154">
        <v>46387</v>
      </c>
      <c r="N33" s="167"/>
      <c r="O33" s="155" t="s">
        <v>532</v>
      </c>
      <c r="P33" s="155" t="s">
        <v>258</v>
      </c>
      <c r="Q33" s="157"/>
      <c r="R33" s="157"/>
      <c r="S33" s="157"/>
      <c r="T33" s="157"/>
      <c r="U33" s="157"/>
      <c r="V33" s="157"/>
      <c r="W33" s="157"/>
    </row>
    <row r="34" spans="1:23" s="135" customFormat="1" ht="147" customHeight="1">
      <c r="A34" s="158">
        <v>32</v>
      </c>
      <c r="B34" s="146"/>
      <c r="C34" s="146"/>
      <c r="D34" s="147"/>
      <c r="E34" s="148" t="s">
        <v>542</v>
      </c>
      <c r="F34" s="149" t="s">
        <v>543</v>
      </c>
      <c r="G34" s="150" t="s">
        <v>479</v>
      </c>
      <c r="H34" s="151">
        <v>1</v>
      </c>
      <c r="I34" s="150" t="s">
        <v>87</v>
      </c>
      <c r="J34" s="151">
        <v>0.03</v>
      </c>
      <c r="K34" s="152" t="s">
        <v>544</v>
      </c>
      <c r="L34" s="153">
        <v>46023</v>
      </c>
      <c r="M34" s="154">
        <v>46387</v>
      </c>
      <c r="N34" s="155"/>
      <c r="O34" s="155" t="s">
        <v>545</v>
      </c>
      <c r="P34" s="155" t="s">
        <v>258</v>
      </c>
      <c r="Q34" s="157"/>
      <c r="R34" s="157"/>
      <c r="S34" s="157"/>
      <c r="T34" s="157"/>
      <c r="U34" s="157"/>
      <c r="V34" s="157"/>
      <c r="W34" s="157"/>
    </row>
    <row r="35" spans="1:23" s="135" customFormat="1" ht="112.5" customHeight="1">
      <c r="A35" s="145">
        <v>33</v>
      </c>
      <c r="B35" s="146"/>
      <c r="C35" s="146"/>
      <c r="D35" s="147"/>
      <c r="E35" s="148" t="s">
        <v>546</v>
      </c>
      <c r="F35" s="149" t="s">
        <v>547</v>
      </c>
      <c r="G35" s="150" t="s">
        <v>479</v>
      </c>
      <c r="H35" s="151">
        <v>1</v>
      </c>
      <c r="I35" s="150" t="s">
        <v>87</v>
      </c>
      <c r="J35" s="151">
        <v>0.02</v>
      </c>
      <c r="K35" s="152" t="s">
        <v>548</v>
      </c>
      <c r="L35" s="153">
        <v>46023</v>
      </c>
      <c r="M35" s="154">
        <v>46387</v>
      </c>
      <c r="N35" s="155"/>
      <c r="O35" s="155" t="s">
        <v>549</v>
      </c>
      <c r="P35" s="155" t="s">
        <v>258</v>
      </c>
      <c r="Q35" s="157"/>
      <c r="R35" s="157"/>
      <c r="S35" s="157"/>
      <c r="T35" s="157"/>
      <c r="U35" s="157"/>
      <c r="V35" s="157"/>
      <c r="W35" s="157"/>
    </row>
    <row r="36" spans="1:23" s="135" customFormat="1" ht="111.75" customHeight="1">
      <c r="A36" s="158">
        <v>34</v>
      </c>
      <c r="B36" s="146"/>
      <c r="C36" s="146"/>
      <c r="D36" s="147"/>
      <c r="E36" s="148" t="s">
        <v>550</v>
      </c>
      <c r="F36" s="149" t="s">
        <v>551</v>
      </c>
      <c r="G36" s="150" t="s">
        <v>479</v>
      </c>
      <c r="H36" s="151">
        <v>1</v>
      </c>
      <c r="I36" s="150" t="s">
        <v>87</v>
      </c>
      <c r="J36" s="151">
        <v>0.01</v>
      </c>
      <c r="K36" s="152" t="s">
        <v>552</v>
      </c>
      <c r="L36" s="153">
        <v>46023</v>
      </c>
      <c r="M36" s="154">
        <v>46387</v>
      </c>
      <c r="N36" s="155"/>
      <c r="O36" s="155" t="s">
        <v>553</v>
      </c>
      <c r="P36" s="155" t="s">
        <v>258</v>
      </c>
      <c r="Q36" s="157"/>
      <c r="R36" s="157"/>
      <c r="S36" s="157"/>
      <c r="T36" s="157"/>
      <c r="U36" s="157"/>
      <c r="V36" s="157"/>
      <c r="W36" s="157"/>
    </row>
    <row r="37" spans="1:23" s="135" customFormat="1" ht="120.75" customHeight="1">
      <c r="A37" s="145">
        <v>35</v>
      </c>
      <c r="B37" s="146"/>
      <c r="C37" s="146"/>
      <c r="D37" s="147"/>
      <c r="E37" s="148" t="s">
        <v>554</v>
      </c>
      <c r="F37" s="149" t="s">
        <v>555</v>
      </c>
      <c r="G37" s="150" t="s">
        <v>479</v>
      </c>
      <c r="H37" s="151">
        <v>1</v>
      </c>
      <c r="I37" s="150" t="s">
        <v>87</v>
      </c>
      <c r="J37" s="151">
        <v>0.02</v>
      </c>
      <c r="K37" s="152" t="s">
        <v>556</v>
      </c>
      <c r="L37" s="153">
        <v>46023</v>
      </c>
      <c r="M37" s="154">
        <v>46387</v>
      </c>
      <c r="N37" s="155"/>
      <c r="O37" s="155" t="s">
        <v>557</v>
      </c>
      <c r="P37" s="155" t="s">
        <v>258</v>
      </c>
      <c r="Q37" s="157"/>
      <c r="R37" s="157"/>
      <c r="S37" s="157"/>
      <c r="T37" s="157"/>
      <c r="U37" s="157"/>
      <c r="V37" s="157"/>
      <c r="W37" s="157"/>
    </row>
    <row r="38" spans="1:23" s="135" customFormat="1" ht="187.5">
      <c r="A38" s="158">
        <v>36</v>
      </c>
      <c r="B38" s="146"/>
      <c r="C38" s="146"/>
      <c r="D38" s="147"/>
      <c r="E38" s="148" t="s">
        <v>558</v>
      </c>
      <c r="F38" s="149" t="s">
        <v>559</v>
      </c>
      <c r="G38" s="150" t="s">
        <v>479</v>
      </c>
      <c r="H38" s="151">
        <v>1</v>
      </c>
      <c r="I38" s="150" t="s">
        <v>87</v>
      </c>
      <c r="J38" s="151">
        <v>0.01</v>
      </c>
      <c r="K38" s="152" t="s">
        <v>560</v>
      </c>
      <c r="L38" s="153">
        <v>46023</v>
      </c>
      <c r="M38" s="154">
        <v>46387</v>
      </c>
      <c r="N38" s="155"/>
      <c r="O38" s="155" t="s">
        <v>367</v>
      </c>
      <c r="P38" s="155" t="s">
        <v>258</v>
      </c>
      <c r="Q38" s="157"/>
      <c r="R38" s="157"/>
      <c r="S38" s="157"/>
      <c r="T38" s="157"/>
      <c r="U38" s="157"/>
      <c r="V38" s="157"/>
      <c r="W38" s="157"/>
    </row>
    <row r="39" spans="1:23" s="135" customFormat="1" ht="110.25" customHeight="1">
      <c r="A39" s="145">
        <v>37</v>
      </c>
      <c r="B39" s="192"/>
      <c r="C39" s="192"/>
      <c r="D39" s="193"/>
      <c r="E39" s="148" t="s">
        <v>561</v>
      </c>
      <c r="F39" s="149" t="s">
        <v>562</v>
      </c>
      <c r="G39" s="150" t="s">
        <v>563</v>
      </c>
      <c r="H39" s="150">
        <v>8</v>
      </c>
      <c r="I39" s="150" t="s">
        <v>87</v>
      </c>
      <c r="J39" s="151">
        <v>0.01</v>
      </c>
      <c r="K39" s="152" t="s">
        <v>564</v>
      </c>
      <c r="L39" s="153">
        <v>46023</v>
      </c>
      <c r="M39" s="154">
        <v>46387</v>
      </c>
      <c r="N39" s="155"/>
      <c r="O39" s="155" t="s">
        <v>464</v>
      </c>
      <c r="P39" s="155" t="s">
        <v>258</v>
      </c>
      <c r="Q39" s="157"/>
      <c r="R39" s="157"/>
      <c r="S39" s="157"/>
      <c r="T39" s="157"/>
      <c r="U39" s="157"/>
      <c r="V39" s="157"/>
      <c r="W39" s="157"/>
    </row>
    <row r="40" spans="1:23" s="135" customFormat="1" ht="110.25" customHeight="1">
      <c r="A40" s="158">
        <v>38</v>
      </c>
      <c r="B40" s="192"/>
      <c r="C40" s="192"/>
      <c r="D40" s="193"/>
      <c r="E40" s="148" t="s">
        <v>565</v>
      </c>
      <c r="F40" s="149" t="s">
        <v>566</v>
      </c>
      <c r="G40" s="150" t="s">
        <v>180</v>
      </c>
      <c r="H40" s="150">
        <v>1</v>
      </c>
      <c r="I40" s="150" t="s">
        <v>91</v>
      </c>
      <c r="J40" s="151">
        <v>0.01</v>
      </c>
      <c r="K40" s="152" t="s">
        <v>567</v>
      </c>
      <c r="L40" s="153">
        <v>46023</v>
      </c>
      <c r="M40" s="154">
        <v>46387</v>
      </c>
      <c r="N40" s="155"/>
      <c r="O40" s="155" t="s">
        <v>464</v>
      </c>
      <c r="P40" s="155" t="s">
        <v>258</v>
      </c>
      <c r="Q40" s="157"/>
      <c r="R40" s="157"/>
      <c r="S40" s="157"/>
      <c r="T40" s="157"/>
      <c r="U40" s="157"/>
      <c r="V40" s="157"/>
      <c r="W40" s="157"/>
    </row>
    <row r="41" spans="1:23" s="135" customFormat="1" ht="77.25" customHeight="1">
      <c r="A41" s="145">
        <v>39</v>
      </c>
      <c r="B41" s="146"/>
      <c r="C41" s="146"/>
      <c r="D41" s="147"/>
      <c r="E41" s="148" t="s">
        <v>568</v>
      </c>
      <c r="F41" s="149" t="s">
        <v>569</v>
      </c>
      <c r="G41" s="150" t="s">
        <v>570</v>
      </c>
      <c r="H41" s="151">
        <v>1</v>
      </c>
      <c r="I41" s="150" t="s">
        <v>87</v>
      </c>
      <c r="J41" s="151">
        <v>0.01</v>
      </c>
      <c r="K41" s="152" t="s">
        <v>571</v>
      </c>
      <c r="L41" s="153">
        <v>46023</v>
      </c>
      <c r="M41" s="154">
        <v>46387</v>
      </c>
      <c r="N41" s="155"/>
      <c r="O41" s="155" t="s">
        <v>572</v>
      </c>
      <c r="P41" s="155" t="s">
        <v>258</v>
      </c>
      <c r="Q41" s="157"/>
      <c r="R41" s="157"/>
      <c r="S41" s="157"/>
      <c r="T41" s="157"/>
      <c r="U41" s="157"/>
      <c r="V41" s="157"/>
      <c r="W41" s="157"/>
    </row>
    <row r="42" spans="1:23" s="135" customFormat="1" ht="100.5" customHeight="1">
      <c r="A42" s="158">
        <v>40</v>
      </c>
      <c r="B42" s="146"/>
      <c r="C42" s="146"/>
      <c r="D42" s="147"/>
      <c r="E42" s="148" t="s">
        <v>573</v>
      </c>
      <c r="F42" s="149" t="s">
        <v>574</v>
      </c>
      <c r="G42" s="150" t="s">
        <v>570</v>
      </c>
      <c r="H42" s="151">
        <v>1</v>
      </c>
      <c r="I42" s="150" t="s">
        <v>87</v>
      </c>
      <c r="J42" s="151">
        <v>0.01</v>
      </c>
      <c r="K42" s="152" t="s">
        <v>575</v>
      </c>
      <c r="L42" s="153">
        <v>46023</v>
      </c>
      <c r="M42" s="154">
        <v>46387</v>
      </c>
      <c r="N42" s="155"/>
      <c r="O42" s="155" t="s">
        <v>518</v>
      </c>
      <c r="P42" s="155" t="s">
        <v>258</v>
      </c>
      <c r="Q42" s="157"/>
      <c r="R42" s="157"/>
      <c r="S42" s="157"/>
      <c r="T42" s="157"/>
      <c r="U42" s="157"/>
      <c r="V42" s="157"/>
      <c r="W42" s="157"/>
    </row>
    <row r="43" spans="1:23" s="135" customFormat="1" ht="54.75" customHeight="1">
      <c r="A43" s="136">
        <v>41</v>
      </c>
      <c r="B43" s="136" t="s">
        <v>94</v>
      </c>
      <c r="C43" s="136" t="s">
        <v>94</v>
      </c>
      <c r="D43" s="136" t="s">
        <v>94</v>
      </c>
      <c r="E43" s="136" t="s">
        <v>576</v>
      </c>
      <c r="F43" s="137" t="s">
        <v>30</v>
      </c>
      <c r="G43" s="194"/>
      <c r="H43" s="194"/>
      <c r="I43" s="194"/>
      <c r="J43" s="195">
        <v>0.05</v>
      </c>
      <c r="K43" s="196"/>
      <c r="L43" s="180"/>
      <c r="M43" s="180"/>
      <c r="N43" s="136"/>
      <c r="O43" s="136"/>
      <c r="P43" s="136"/>
      <c r="Q43" s="157"/>
      <c r="R43" s="157"/>
      <c r="S43" s="157"/>
      <c r="T43" s="157"/>
      <c r="U43" s="157"/>
      <c r="V43" s="157"/>
      <c r="W43" s="157"/>
    </row>
    <row r="44" spans="1:23" s="135" customFormat="1" ht="143.25" customHeight="1">
      <c r="A44" s="158">
        <v>42</v>
      </c>
      <c r="B44" s="192"/>
      <c r="C44" s="192"/>
      <c r="D44" s="193"/>
      <c r="E44" s="148" t="s">
        <v>577</v>
      </c>
      <c r="F44" s="149" t="s">
        <v>196</v>
      </c>
      <c r="G44" s="150" t="s">
        <v>119</v>
      </c>
      <c r="H44" s="150">
        <v>2</v>
      </c>
      <c r="I44" s="150" t="s">
        <v>578</v>
      </c>
      <c r="J44" s="151">
        <v>0.01</v>
      </c>
      <c r="K44" s="152" t="s">
        <v>579</v>
      </c>
      <c r="L44" s="153">
        <v>46023</v>
      </c>
      <c r="M44" s="154">
        <v>46387</v>
      </c>
      <c r="N44" s="155"/>
      <c r="O44" s="155" t="s">
        <v>198</v>
      </c>
      <c r="P44" s="155" t="s">
        <v>269</v>
      </c>
      <c r="Q44" s="157"/>
      <c r="R44" s="157"/>
      <c r="S44" s="157"/>
      <c r="T44" s="157"/>
      <c r="U44" s="157"/>
      <c r="V44" s="157"/>
      <c r="W44" s="157"/>
    </row>
    <row r="45" spans="1:23" s="168" customFormat="1" ht="123" customHeight="1">
      <c r="A45" s="158">
        <v>43</v>
      </c>
      <c r="B45" s="192"/>
      <c r="C45" s="192"/>
      <c r="D45" s="193"/>
      <c r="E45" s="148" t="s">
        <v>580</v>
      </c>
      <c r="F45" s="149" t="s">
        <v>200</v>
      </c>
      <c r="G45" s="150" t="s">
        <v>119</v>
      </c>
      <c r="H45" s="163">
        <v>1</v>
      </c>
      <c r="I45" s="163" t="s">
        <v>201</v>
      </c>
      <c r="J45" s="151">
        <v>0.01</v>
      </c>
      <c r="K45" s="152" t="s">
        <v>579</v>
      </c>
      <c r="L45" s="153">
        <v>46023</v>
      </c>
      <c r="M45" s="154">
        <v>46387</v>
      </c>
      <c r="N45" s="155"/>
      <c r="O45" s="155" t="s">
        <v>198</v>
      </c>
      <c r="P45" s="155" t="s">
        <v>269</v>
      </c>
      <c r="Q45" s="157"/>
      <c r="R45" s="157"/>
      <c r="S45" s="157"/>
      <c r="T45" s="157"/>
      <c r="U45" s="157"/>
      <c r="V45" s="157"/>
      <c r="W45" s="157"/>
    </row>
    <row r="46" spans="1:23" s="168" customFormat="1" ht="167.25" customHeight="1">
      <c r="A46" s="158">
        <v>44</v>
      </c>
      <c r="B46" s="192"/>
      <c r="C46" s="192"/>
      <c r="D46" s="193"/>
      <c r="E46" s="148" t="s">
        <v>581</v>
      </c>
      <c r="F46" s="149" t="s">
        <v>582</v>
      </c>
      <c r="G46" s="150" t="s">
        <v>119</v>
      </c>
      <c r="H46" s="163">
        <v>11</v>
      </c>
      <c r="I46" s="163" t="s">
        <v>87</v>
      </c>
      <c r="J46" s="151">
        <v>0.02</v>
      </c>
      <c r="K46" s="152" t="s">
        <v>583</v>
      </c>
      <c r="L46" s="153">
        <v>46023</v>
      </c>
      <c r="M46" s="154">
        <v>46387</v>
      </c>
      <c r="N46" s="155"/>
      <c r="O46" s="155" t="s">
        <v>198</v>
      </c>
      <c r="P46" s="155" t="s">
        <v>269</v>
      </c>
      <c r="Q46" s="157"/>
      <c r="R46" s="157"/>
      <c r="S46" s="157"/>
      <c r="T46" s="157"/>
      <c r="U46" s="157"/>
      <c r="V46" s="157"/>
      <c r="W46" s="157"/>
    </row>
    <row r="47" spans="1:23" s="168" customFormat="1" ht="117" customHeight="1">
      <c r="A47" s="158">
        <v>45</v>
      </c>
      <c r="B47" s="192"/>
      <c r="C47" s="192"/>
      <c r="D47" s="193"/>
      <c r="E47" s="148" t="s">
        <v>584</v>
      </c>
      <c r="F47" s="149" t="s">
        <v>585</v>
      </c>
      <c r="G47" s="150" t="s">
        <v>586</v>
      </c>
      <c r="H47" s="163">
        <v>1</v>
      </c>
      <c r="I47" s="163" t="s">
        <v>201</v>
      </c>
      <c r="J47" s="151">
        <v>0.01</v>
      </c>
      <c r="K47" s="152" t="s">
        <v>587</v>
      </c>
      <c r="L47" s="153">
        <v>46023</v>
      </c>
      <c r="M47" s="154">
        <v>46387</v>
      </c>
      <c r="N47" s="155"/>
      <c r="O47" s="155" t="s">
        <v>198</v>
      </c>
      <c r="P47" s="155" t="s">
        <v>269</v>
      </c>
      <c r="Q47" s="157"/>
      <c r="R47" s="157"/>
      <c r="S47" s="157"/>
      <c r="T47" s="157"/>
      <c r="U47" s="157"/>
      <c r="V47" s="157"/>
      <c r="W47" s="157"/>
    </row>
    <row r="48" spans="1:23" ht="49.5" customHeight="1">
      <c r="B48" s="197"/>
      <c r="C48" s="197"/>
      <c r="D48" s="197"/>
      <c r="E48" s="197"/>
      <c r="F48" s="198"/>
      <c r="G48" s="199"/>
      <c r="H48" s="199"/>
      <c r="I48" s="199"/>
      <c r="Q48" s="125"/>
      <c r="R48" s="125"/>
      <c r="S48" s="125"/>
      <c r="T48" s="125"/>
      <c r="U48" s="125"/>
      <c r="V48" s="125"/>
      <c r="W48" s="125"/>
    </row>
    <row r="49" spans="1:23">
      <c r="E49" s="197"/>
      <c r="F49" s="198"/>
      <c r="Q49" s="125"/>
      <c r="R49" s="125"/>
      <c r="S49" s="125"/>
      <c r="T49" s="125"/>
      <c r="U49" s="125"/>
      <c r="V49" s="125"/>
      <c r="W49" s="125"/>
    </row>
    <row r="50" spans="1:23">
      <c r="Q50" s="125"/>
      <c r="R50" s="125"/>
      <c r="S50" s="125"/>
      <c r="T50" s="125"/>
      <c r="U50" s="125"/>
      <c r="V50" s="125"/>
      <c r="W50" s="125"/>
    </row>
    <row r="51" spans="1:23" s="201" customFormat="1">
      <c r="A51" s="125"/>
      <c r="B51" s="125"/>
      <c r="C51" s="125"/>
      <c r="D51" s="125"/>
      <c r="E51" s="125"/>
      <c r="F51" s="203"/>
      <c r="J51" s="200"/>
      <c r="K51" s="200"/>
      <c r="L51" s="125"/>
      <c r="M51" s="125"/>
      <c r="N51" s="125"/>
      <c r="O51" s="125"/>
      <c r="P51" s="125"/>
      <c r="Q51" s="125"/>
      <c r="R51" s="125"/>
      <c r="S51" s="125"/>
      <c r="T51" s="125"/>
      <c r="U51" s="125"/>
      <c r="V51" s="125"/>
      <c r="W51" s="125"/>
    </row>
    <row r="52" spans="1:23">
      <c r="Q52" s="125"/>
      <c r="R52" s="125"/>
      <c r="S52" s="125"/>
      <c r="T52" s="125"/>
      <c r="U52" s="125"/>
      <c r="V52" s="125"/>
      <c r="W52" s="125"/>
    </row>
    <row r="53" spans="1:23">
      <c r="Q53" s="125"/>
      <c r="R53" s="125"/>
      <c r="S53" s="125"/>
      <c r="T53" s="125"/>
      <c r="U53" s="125"/>
      <c r="V53" s="125"/>
      <c r="W53" s="125"/>
    </row>
    <row r="54" spans="1:23">
      <c r="Q54" s="125"/>
      <c r="R54" s="125"/>
      <c r="S54" s="125"/>
      <c r="T54" s="125"/>
      <c r="U54" s="125"/>
      <c r="V54" s="125"/>
      <c r="W54" s="125"/>
    </row>
    <row r="55" spans="1:23">
      <c r="Q55" s="125"/>
      <c r="R55" s="125"/>
      <c r="S55" s="125"/>
      <c r="T55" s="125"/>
      <c r="U55" s="125"/>
      <c r="V55" s="125"/>
      <c r="W55" s="125"/>
    </row>
    <row r="56" spans="1:23">
      <c r="Q56" s="125"/>
      <c r="R56" s="125"/>
      <c r="S56" s="125"/>
      <c r="T56" s="125"/>
      <c r="U56" s="125"/>
      <c r="V56" s="125"/>
      <c r="W56" s="125"/>
    </row>
    <row r="57" spans="1:23">
      <c r="Q57" s="125"/>
      <c r="R57" s="125"/>
      <c r="S57" s="125"/>
      <c r="T57" s="125"/>
      <c r="U57" s="125"/>
      <c r="V57" s="125"/>
      <c r="W57" s="125"/>
    </row>
    <row r="58" spans="1:23">
      <c r="Q58" s="125"/>
      <c r="R58" s="125"/>
      <c r="S58" s="125"/>
      <c r="T58" s="125"/>
      <c r="U58" s="125"/>
      <c r="V58" s="125"/>
      <c r="W58" s="125"/>
    </row>
    <row r="59" spans="1:23">
      <c r="Q59" s="125"/>
      <c r="R59" s="125"/>
      <c r="S59" s="125"/>
      <c r="T59" s="125"/>
      <c r="U59" s="125"/>
      <c r="V59" s="125"/>
      <c r="W59" s="125"/>
    </row>
    <row r="60" spans="1:23">
      <c r="Q60" s="125"/>
      <c r="R60" s="125"/>
      <c r="S60" s="125"/>
      <c r="T60" s="125"/>
      <c r="U60" s="125"/>
      <c r="V60" s="125"/>
      <c r="W60" s="125"/>
    </row>
    <row r="61" spans="1:23">
      <c r="Q61" s="125"/>
      <c r="R61" s="125"/>
      <c r="S61" s="125"/>
      <c r="T61" s="125"/>
      <c r="U61" s="125"/>
      <c r="V61" s="125"/>
      <c r="W61" s="125"/>
    </row>
    <row r="62" spans="1:23">
      <c r="Q62" s="125"/>
      <c r="R62" s="125"/>
      <c r="S62" s="125"/>
      <c r="T62" s="125"/>
      <c r="U62" s="125"/>
      <c r="V62" s="125"/>
      <c r="W62" s="125"/>
    </row>
    <row r="63" spans="1:23">
      <c r="Q63" s="125"/>
      <c r="R63" s="125"/>
      <c r="S63" s="125"/>
      <c r="T63" s="125"/>
      <c r="U63" s="125"/>
      <c r="V63" s="125"/>
      <c r="W63" s="125"/>
    </row>
    <row r="64" spans="1:23">
      <c r="Q64" s="125"/>
      <c r="R64" s="125"/>
      <c r="S64" s="125"/>
      <c r="T64" s="125"/>
      <c r="U64" s="125"/>
      <c r="V64" s="125"/>
      <c r="W64" s="125"/>
    </row>
    <row r="65" spans="17:23">
      <c r="Q65" s="125"/>
      <c r="R65" s="125"/>
      <c r="S65" s="125"/>
      <c r="T65" s="125"/>
      <c r="U65" s="125"/>
      <c r="V65" s="125"/>
      <c r="W65" s="125"/>
    </row>
    <row r="66" spans="17:23">
      <c r="Q66" s="125"/>
      <c r="R66" s="125"/>
      <c r="S66" s="125"/>
      <c r="T66" s="125"/>
      <c r="U66" s="125"/>
      <c r="V66" s="125"/>
      <c r="W66" s="125"/>
    </row>
    <row r="67" spans="17:23">
      <c r="Q67" s="125"/>
      <c r="R67" s="125"/>
      <c r="S67" s="125"/>
      <c r="T67" s="125"/>
      <c r="U67" s="125"/>
      <c r="V67" s="125"/>
      <c r="W67" s="125"/>
    </row>
    <row r="68" spans="17:23">
      <c r="Q68" s="125"/>
      <c r="R68" s="125"/>
      <c r="S68" s="125"/>
      <c r="T68" s="125"/>
      <c r="U68" s="125"/>
      <c r="V68" s="125"/>
      <c r="W68" s="125"/>
    </row>
    <row r="69" spans="17:23">
      <c r="Q69" s="125"/>
      <c r="R69" s="125"/>
      <c r="S69" s="125"/>
      <c r="T69" s="125"/>
      <c r="U69" s="125"/>
      <c r="V69" s="125"/>
      <c r="W69" s="125"/>
    </row>
    <row r="70" spans="17:23">
      <c r="Q70" s="125"/>
      <c r="R70" s="125"/>
      <c r="S70" s="125"/>
      <c r="T70" s="125"/>
      <c r="U70" s="125"/>
      <c r="V70" s="125"/>
      <c r="W70" s="125"/>
    </row>
    <row r="71" spans="17:23">
      <c r="Q71" s="125"/>
      <c r="R71" s="125"/>
      <c r="S71" s="125"/>
      <c r="T71" s="125"/>
      <c r="U71" s="125"/>
      <c r="V71" s="125"/>
      <c r="W71" s="125"/>
    </row>
    <row r="72" spans="17:23">
      <c r="Q72" s="125"/>
      <c r="R72" s="125"/>
      <c r="S72" s="125"/>
      <c r="T72" s="125"/>
      <c r="U72" s="125"/>
      <c r="V72" s="125"/>
      <c r="W72" s="125"/>
    </row>
    <row r="73" spans="17:23">
      <c r="Q73" s="125"/>
      <c r="R73" s="125"/>
      <c r="S73" s="125"/>
      <c r="T73" s="125"/>
      <c r="U73" s="125"/>
      <c r="V73" s="125"/>
      <c r="W73" s="125"/>
    </row>
    <row r="74" spans="17:23">
      <c r="Q74" s="125"/>
      <c r="R74" s="125"/>
      <c r="S74" s="125"/>
      <c r="T74" s="125"/>
      <c r="U74" s="125"/>
      <c r="V74" s="125"/>
      <c r="W74" s="125"/>
    </row>
    <row r="75" spans="17:23">
      <c r="Q75" s="125"/>
      <c r="R75" s="125"/>
      <c r="S75" s="125"/>
      <c r="T75" s="125"/>
      <c r="U75" s="125"/>
      <c r="V75" s="125"/>
      <c r="W75" s="125"/>
    </row>
    <row r="76" spans="17:23">
      <c r="Q76" s="125"/>
      <c r="R76" s="125"/>
      <c r="S76" s="125"/>
      <c r="T76" s="125"/>
      <c r="U76" s="125"/>
      <c r="V76" s="125"/>
      <c r="W76" s="125"/>
    </row>
    <row r="77" spans="17:23">
      <c r="Q77" s="125"/>
      <c r="R77" s="125"/>
      <c r="S77" s="125"/>
      <c r="T77" s="125"/>
      <c r="U77" s="125"/>
      <c r="V77" s="125"/>
      <c r="W77" s="125"/>
    </row>
    <row r="78" spans="17:23">
      <c r="Q78" s="125"/>
      <c r="R78" s="125"/>
      <c r="S78" s="125"/>
      <c r="T78" s="125"/>
      <c r="U78" s="125"/>
      <c r="V78" s="125"/>
      <c r="W78" s="125"/>
    </row>
    <row r="79" spans="17:23">
      <c r="Q79" s="125"/>
      <c r="R79" s="125"/>
      <c r="S79" s="125"/>
      <c r="T79" s="125"/>
      <c r="U79" s="125"/>
      <c r="V79" s="125"/>
      <c r="W79" s="125"/>
    </row>
    <row r="80" spans="17:23">
      <c r="Q80" s="125"/>
      <c r="R80" s="125"/>
      <c r="S80" s="125"/>
      <c r="T80" s="125"/>
      <c r="U80" s="125"/>
      <c r="V80" s="125"/>
      <c r="W80" s="125"/>
    </row>
    <row r="81" spans="17:23">
      <c r="Q81" s="125"/>
      <c r="R81" s="125"/>
      <c r="S81" s="125"/>
      <c r="T81" s="125"/>
      <c r="U81" s="125"/>
      <c r="V81" s="125"/>
      <c r="W81" s="125"/>
    </row>
    <row r="82" spans="17:23">
      <c r="Q82" s="125"/>
      <c r="R82" s="125"/>
      <c r="S82" s="125"/>
      <c r="T82" s="125"/>
      <c r="U82" s="125"/>
      <c r="V82" s="125"/>
      <c r="W82" s="125"/>
    </row>
    <row r="83" spans="17:23">
      <c r="Q83" s="125"/>
      <c r="R83" s="125"/>
      <c r="S83" s="125"/>
      <c r="T83" s="125"/>
      <c r="U83" s="125"/>
      <c r="V83" s="125"/>
      <c r="W83" s="125"/>
    </row>
    <row r="84" spans="17:23">
      <c r="Q84" s="125"/>
      <c r="R84" s="125"/>
      <c r="S84" s="125"/>
      <c r="T84" s="125"/>
      <c r="U84" s="125"/>
      <c r="V84" s="125"/>
      <c r="W84" s="125"/>
    </row>
    <row r="85" spans="17:23">
      <c r="Q85" s="125"/>
      <c r="R85" s="125"/>
      <c r="S85" s="125"/>
      <c r="T85" s="125"/>
      <c r="U85" s="125"/>
      <c r="V85" s="125"/>
      <c r="W85" s="125"/>
    </row>
    <row r="86" spans="17:23">
      <c r="Q86" s="125"/>
      <c r="R86" s="125"/>
      <c r="S86" s="125"/>
      <c r="T86" s="125"/>
      <c r="U86" s="125"/>
      <c r="V86" s="125"/>
      <c r="W86" s="125"/>
    </row>
    <row r="87" spans="17:23">
      <c r="Q87" s="125"/>
      <c r="R87" s="125"/>
      <c r="S87" s="125"/>
      <c r="T87" s="125"/>
      <c r="U87" s="125"/>
      <c r="V87" s="125"/>
      <c r="W87" s="125"/>
    </row>
    <row r="88" spans="17:23">
      <c r="Q88" s="125"/>
      <c r="R88" s="125"/>
      <c r="S88" s="125"/>
      <c r="T88" s="125"/>
      <c r="U88" s="125"/>
      <c r="V88" s="125"/>
      <c r="W88" s="125"/>
    </row>
    <row r="89" spans="17:23">
      <c r="Q89" s="125"/>
      <c r="R89" s="125"/>
      <c r="S89" s="125"/>
      <c r="T89" s="125"/>
      <c r="U89" s="125"/>
      <c r="V89" s="125"/>
      <c r="W89" s="125"/>
    </row>
    <row r="90" spans="17:23">
      <c r="Q90" s="125"/>
      <c r="R90" s="125"/>
      <c r="S90" s="125"/>
      <c r="T90" s="125"/>
      <c r="U90" s="125"/>
      <c r="V90" s="125"/>
      <c r="W90" s="125"/>
    </row>
    <row r="91" spans="17:23">
      <c r="Q91" s="125"/>
      <c r="R91" s="125"/>
      <c r="S91" s="125"/>
      <c r="T91" s="125"/>
      <c r="U91" s="125"/>
      <c r="V91" s="125"/>
      <c r="W91" s="125"/>
    </row>
    <row r="92" spans="17:23">
      <c r="Q92" s="125"/>
      <c r="R92" s="125"/>
      <c r="S92" s="125"/>
      <c r="T92" s="125"/>
      <c r="U92" s="125"/>
      <c r="V92" s="125"/>
      <c r="W92" s="125"/>
    </row>
    <row r="93" spans="17:23">
      <c r="Q93" s="125"/>
      <c r="R93" s="125"/>
      <c r="S93" s="125"/>
      <c r="T93" s="125"/>
      <c r="U93" s="125"/>
      <c r="V93" s="125"/>
      <c r="W93" s="125"/>
    </row>
    <row r="94" spans="17:23">
      <c r="Q94" s="125"/>
      <c r="R94" s="125"/>
      <c r="S94" s="125"/>
      <c r="T94" s="125"/>
      <c r="U94" s="125"/>
      <c r="V94" s="125"/>
      <c r="W94" s="125"/>
    </row>
    <row r="95" spans="17:23">
      <c r="Q95" s="125"/>
      <c r="R95" s="125"/>
      <c r="S95" s="125"/>
      <c r="T95" s="125"/>
      <c r="U95" s="125"/>
      <c r="V95" s="125"/>
      <c r="W95" s="125"/>
    </row>
    <row r="96" spans="17:23">
      <c r="Q96" s="125"/>
      <c r="R96" s="125"/>
      <c r="S96" s="125"/>
      <c r="T96" s="125"/>
      <c r="U96" s="125"/>
      <c r="V96" s="125"/>
      <c r="W96" s="125"/>
    </row>
    <row r="97" spans="17:23">
      <c r="Q97" s="125"/>
      <c r="R97" s="125"/>
      <c r="S97" s="125"/>
      <c r="T97" s="125"/>
      <c r="U97" s="125"/>
      <c r="V97" s="125"/>
      <c r="W97" s="125"/>
    </row>
    <row r="98" spans="17:23">
      <c r="Q98" s="125"/>
      <c r="R98" s="125"/>
      <c r="S98" s="125"/>
      <c r="T98" s="125"/>
      <c r="U98" s="125"/>
      <c r="V98" s="125"/>
      <c r="W98" s="125"/>
    </row>
    <row r="99" spans="17:23">
      <c r="Q99" s="125"/>
      <c r="R99" s="125"/>
      <c r="S99" s="125"/>
      <c r="T99" s="125"/>
      <c r="U99" s="125"/>
      <c r="V99" s="125"/>
      <c r="W99" s="125"/>
    </row>
    <row r="100" spans="17:23">
      <c r="Q100" s="125"/>
      <c r="R100" s="125"/>
      <c r="S100" s="125"/>
      <c r="T100" s="125"/>
      <c r="U100" s="125"/>
      <c r="V100" s="125"/>
      <c r="W100" s="125"/>
    </row>
    <row r="101" spans="17:23">
      <c r="Q101" s="125"/>
      <c r="R101" s="125"/>
      <c r="S101" s="125"/>
      <c r="T101" s="125"/>
      <c r="U101" s="125"/>
      <c r="V101" s="125"/>
      <c r="W101" s="125"/>
    </row>
    <row r="102" spans="17:23">
      <c r="Q102" s="125"/>
      <c r="R102" s="125"/>
      <c r="S102" s="125"/>
      <c r="T102" s="125"/>
      <c r="U102" s="125"/>
      <c r="V102" s="125"/>
      <c r="W102" s="125"/>
    </row>
    <row r="103" spans="17:23">
      <c r="Q103" s="125"/>
      <c r="R103" s="125"/>
      <c r="S103" s="125"/>
      <c r="T103" s="125"/>
      <c r="U103" s="125"/>
      <c r="V103" s="125"/>
      <c r="W103" s="125"/>
    </row>
    <row r="104" spans="17:23">
      <c r="Q104" s="125"/>
      <c r="R104" s="125"/>
      <c r="S104" s="125"/>
      <c r="T104" s="125"/>
      <c r="U104" s="125"/>
      <c r="V104" s="125"/>
      <c r="W104" s="125"/>
    </row>
    <row r="105" spans="17:23">
      <c r="Q105" s="125"/>
      <c r="R105" s="125"/>
      <c r="S105" s="125"/>
      <c r="T105" s="125"/>
      <c r="U105" s="125"/>
      <c r="V105" s="125"/>
      <c r="W105" s="125"/>
    </row>
    <row r="106" spans="17:23">
      <c r="Q106" s="125"/>
      <c r="R106" s="125"/>
      <c r="S106" s="125"/>
      <c r="T106" s="125"/>
      <c r="U106" s="125"/>
      <c r="V106" s="125"/>
      <c r="W106" s="125"/>
    </row>
    <row r="107" spans="17:23">
      <c r="Q107" s="125"/>
      <c r="R107" s="125"/>
      <c r="S107" s="125"/>
      <c r="T107" s="125"/>
      <c r="U107" s="125"/>
      <c r="V107" s="125"/>
      <c r="W107" s="125"/>
    </row>
    <row r="108" spans="17:23">
      <c r="Q108" s="125"/>
      <c r="R108" s="125"/>
      <c r="S108" s="125"/>
      <c r="T108" s="125"/>
      <c r="U108" s="125"/>
      <c r="V108" s="125"/>
      <c r="W108" s="125"/>
    </row>
    <row r="109" spans="17:23">
      <c r="Q109" s="125"/>
      <c r="R109" s="125"/>
      <c r="S109" s="125"/>
      <c r="T109" s="125"/>
      <c r="U109" s="125"/>
      <c r="V109" s="125"/>
      <c r="W109" s="125"/>
    </row>
    <row r="110" spans="17:23">
      <c r="Q110" s="125"/>
      <c r="R110" s="125"/>
      <c r="S110" s="125"/>
      <c r="T110" s="125"/>
      <c r="U110" s="125"/>
      <c r="V110" s="125"/>
      <c r="W110" s="125"/>
    </row>
    <row r="111" spans="17:23">
      <c r="Q111" s="125"/>
      <c r="R111" s="125"/>
      <c r="S111" s="125"/>
      <c r="T111" s="125"/>
      <c r="U111" s="125"/>
      <c r="V111" s="125"/>
      <c r="W111" s="125"/>
    </row>
    <row r="112" spans="17:23">
      <c r="Q112" s="125"/>
      <c r="R112" s="125"/>
      <c r="S112" s="125"/>
      <c r="T112" s="125"/>
      <c r="U112" s="125"/>
      <c r="V112" s="125"/>
      <c r="W112" s="125"/>
    </row>
    <row r="113" spans="17:23">
      <c r="Q113" s="125"/>
      <c r="R113" s="125"/>
      <c r="S113" s="125"/>
      <c r="T113" s="125"/>
      <c r="U113" s="125"/>
      <c r="V113" s="125"/>
      <c r="W113" s="125"/>
    </row>
    <row r="114" spans="17:23">
      <c r="Q114" s="125"/>
      <c r="R114" s="125"/>
      <c r="S114" s="125"/>
      <c r="T114" s="125"/>
      <c r="U114" s="125"/>
      <c r="V114" s="125"/>
      <c r="W114" s="125"/>
    </row>
    <row r="115" spans="17:23">
      <c r="Q115" s="125"/>
      <c r="R115" s="125"/>
      <c r="S115" s="125"/>
      <c r="T115" s="125"/>
      <c r="U115" s="125"/>
      <c r="V115" s="125"/>
      <c r="W115" s="125"/>
    </row>
    <row r="116" spans="17:23">
      <c r="Q116" s="125"/>
      <c r="R116" s="125"/>
      <c r="S116" s="125"/>
      <c r="T116" s="125"/>
      <c r="U116" s="125"/>
      <c r="V116" s="125"/>
      <c r="W116" s="125"/>
    </row>
    <row r="117" spans="17:23">
      <c r="Q117" s="125"/>
      <c r="R117" s="125"/>
      <c r="S117" s="125"/>
      <c r="T117" s="125"/>
      <c r="U117" s="125"/>
      <c r="V117" s="125"/>
      <c r="W117" s="125"/>
    </row>
    <row r="118" spans="17:23">
      <c r="Q118" s="125"/>
      <c r="R118" s="125"/>
      <c r="S118" s="125"/>
      <c r="T118" s="125"/>
      <c r="U118" s="125"/>
      <c r="V118" s="125"/>
      <c r="W118" s="125"/>
    </row>
    <row r="119" spans="17:23">
      <c r="Q119" s="125"/>
      <c r="R119" s="125"/>
      <c r="S119" s="125"/>
      <c r="T119" s="125"/>
      <c r="U119" s="125"/>
      <c r="V119" s="125"/>
      <c r="W119" s="125"/>
    </row>
    <row r="120" spans="17:23">
      <c r="Q120" s="125"/>
      <c r="R120" s="125"/>
      <c r="S120" s="125"/>
      <c r="T120" s="125"/>
      <c r="U120" s="125"/>
      <c r="V120" s="125"/>
      <c r="W120" s="125"/>
    </row>
    <row r="121" spans="17:23">
      <c r="Q121" s="125"/>
      <c r="R121" s="125"/>
      <c r="S121" s="125"/>
      <c r="T121" s="125"/>
      <c r="U121" s="125"/>
      <c r="V121" s="125"/>
      <c r="W121" s="125"/>
    </row>
    <row r="122" spans="17:23">
      <c r="Q122" s="125"/>
      <c r="R122" s="125"/>
      <c r="S122" s="125"/>
      <c r="T122" s="125"/>
      <c r="U122" s="125"/>
      <c r="V122" s="125"/>
      <c r="W122" s="125"/>
    </row>
    <row r="123" spans="17:23">
      <c r="Q123" s="125"/>
      <c r="R123" s="125"/>
      <c r="S123" s="125"/>
      <c r="T123" s="125"/>
      <c r="U123" s="125"/>
      <c r="V123" s="125"/>
      <c r="W123" s="125"/>
    </row>
    <row r="124" spans="17:23">
      <c r="Q124" s="125"/>
      <c r="R124" s="125"/>
      <c r="S124" s="125"/>
      <c r="T124" s="125"/>
      <c r="U124" s="125"/>
      <c r="V124" s="125"/>
      <c r="W124" s="125"/>
    </row>
    <row r="125" spans="17:23">
      <c r="Q125" s="125"/>
      <c r="R125" s="125"/>
      <c r="S125" s="125"/>
      <c r="T125" s="125"/>
      <c r="U125" s="125"/>
      <c r="V125" s="125"/>
      <c r="W125" s="125"/>
    </row>
    <row r="126" spans="17:23">
      <c r="Q126" s="125"/>
      <c r="R126" s="125"/>
      <c r="S126" s="125"/>
      <c r="T126" s="125"/>
      <c r="U126" s="125"/>
      <c r="V126" s="125"/>
      <c r="W126" s="125"/>
    </row>
    <row r="127" spans="17:23">
      <c r="Q127" s="125"/>
      <c r="R127" s="125"/>
      <c r="S127" s="125"/>
      <c r="T127" s="125"/>
      <c r="U127" s="125"/>
      <c r="V127" s="125"/>
      <c r="W127" s="125"/>
    </row>
    <row r="128" spans="17:23">
      <c r="Q128" s="125"/>
      <c r="R128" s="125"/>
      <c r="S128" s="125"/>
      <c r="T128" s="125"/>
      <c r="U128" s="125"/>
      <c r="V128" s="125"/>
      <c r="W128" s="125"/>
    </row>
    <row r="129" spans="17:23">
      <c r="Q129" s="125"/>
      <c r="R129" s="125"/>
      <c r="S129" s="125"/>
      <c r="T129" s="125"/>
      <c r="U129" s="125"/>
      <c r="V129" s="125"/>
      <c r="W129" s="125"/>
    </row>
    <row r="130" spans="17:23">
      <c r="Q130" s="125"/>
      <c r="R130" s="125"/>
      <c r="S130" s="125"/>
      <c r="T130" s="125"/>
      <c r="U130" s="125"/>
      <c r="V130" s="125"/>
      <c r="W130" s="125"/>
    </row>
    <row r="131" spans="17:23">
      <c r="Q131" s="125"/>
      <c r="R131" s="125"/>
      <c r="S131" s="125"/>
      <c r="T131" s="125"/>
      <c r="U131" s="125"/>
      <c r="V131" s="125"/>
      <c r="W131" s="125"/>
    </row>
    <row r="132" spans="17:23">
      <c r="Q132" s="125"/>
      <c r="R132" s="125"/>
      <c r="S132" s="125"/>
      <c r="T132" s="125"/>
      <c r="U132" s="125"/>
      <c r="V132" s="125"/>
      <c r="W132" s="125"/>
    </row>
    <row r="133" spans="17:23">
      <c r="Q133" s="125"/>
      <c r="R133" s="125"/>
      <c r="S133" s="125"/>
      <c r="T133" s="125"/>
      <c r="U133" s="125"/>
      <c r="V133" s="125"/>
      <c r="W133" s="125"/>
    </row>
    <row r="134" spans="17:23">
      <c r="Q134" s="125"/>
      <c r="R134" s="125"/>
      <c r="S134" s="125"/>
      <c r="T134" s="125"/>
      <c r="U134" s="125"/>
      <c r="V134" s="125"/>
      <c r="W134" s="125"/>
    </row>
    <row r="135" spans="17:23">
      <c r="Q135" s="125"/>
      <c r="R135" s="125"/>
      <c r="S135" s="125"/>
      <c r="T135" s="125"/>
      <c r="U135" s="125"/>
      <c r="V135" s="125"/>
      <c r="W135" s="125"/>
    </row>
    <row r="136" spans="17:23">
      <c r="Q136" s="125"/>
      <c r="R136" s="125"/>
      <c r="S136" s="125"/>
      <c r="T136" s="125"/>
      <c r="U136" s="125"/>
      <c r="V136" s="125"/>
      <c r="W136" s="125"/>
    </row>
    <row r="137" spans="17:23">
      <c r="Q137" s="125"/>
      <c r="R137" s="125"/>
      <c r="S137" s="125"/>
      <c r="T137" s="125"/>
      <c r="U137" s="125"/>
      <c r="V137" s="125"/>
      <c r="W137" s="125"/>
    </row>
    <row r="138" spans="17:23">
      <c r="Q138" s="125"/>
      <c r="R138" s="125"/>
      <c r="S138" s="125"/>
      <c r="T138" s="125"/>
      <c r="U138" s="125"/>
      <c r="V138" s="125"/>
      <c r="W138" s="125"/>
    </row>
    <row r="139" spans="17:23">
      <c r="Q139" s="125"/>
      <c r="R139" s="125"/>
      <c r="S139" s="125"/>
      <c r="T139" s="125"/>
      <c r="U139" s="125"/>
      <c r="V139" s="125"/>
      <c r="W139" s="125"/>
    </row>
    <row r="140" spans="17:23">
      <c r="Q140" s="125"/>
      <c r="R140" s="125"/>
      <c r="S140" s="125"/>
      <c r="T140" s="125"/>
      <c r="U140" s="125"/>
      <c r="V140" s="125"/>
      <c r="W140" s="125"/>
    </row>
    <row r="141" spans="17:23">
      <c r="Q141" s="125"/>
      <c r="R141" s="125"/>
      <c r="S141" s="125"/>
      <c r="T141" s="125"/>
      <c r="U141" s="125"/>
      <c r="V141" s="125"/>
      <c r="W141" s="125"/>
    </row>
    <row r="142" spans="17:23">
      <c r="Q142" s="125"/>
      <c r="R142" s="125"/>
      <c r="S142" s="125"/>
      <c r="T142" s="125"/>
      <c r="U142" s="125"/>
      <c r="V142" s="125"/>
      <c r="W142" s="125"/>
    </row>
    <row r="143" spans="17:23">
      <c r="Q143" s="125"/>
      <c r="R143" s="125"/>
      <c r="S143" s="125"/>
      <c r="T143" s="125"/>
      <c r="U143" s="125"/>
      <c r="V143" s="125"/>
      <c r="W143" s="125"/>
    </row>
    <row r="144" spans="17:23">
      <c r="Q144" s="125"/>
      <c r="R144" s="125"/>
      <c r="S144" s="125"/>
      <c r="T144" s="125"/>
      <c r="U144" s="125"/>
      <c r="V144" s="125"/>
      <c r="W144" s="125"/>
    </row>
    <row r="145" spans="17:23">
      <c r="Q145" s="125"/>
      <c r="R145" s="125"/>
      <c r="S145" s="125"/>
      <c r="T145" s="125"/>
      <c r="U145" s="125"/>
      <c r="V145" s="125"/>
      <c r="W145" s="125"/>
    </row>
    <row r="146" spans="17:23">
      <c r="Q146" s="125"/>
      <c r="R146" s="125"/>
      <c r="S146" s="125"/>
      <c r="T146" s="125"/>
      <c r="U146" s="125"/>
      <c r="V146" s="125"/>
      <c r="W146" s="125"/>
    </row>
    <row r="147" spans="17:23">
      <c r="Q147" s="125"/>
      <c r="R147" s="125"/>
      <c r="S147" s="125"/>
      <c r="T147" s="125"/>
      <c r="U147" s="125"/>
      <c r="V147" s="125"/>
      <c r="W147" s="125"/>
    </row>
    <row r="148" spans="17:23">
      <c r="Q148" s="125"/>
      <c r="R148" s="125"/>
      <c r="S148" s="125"/>
      <c r="T148" s="125"/>
      <c r="U148" s="125"/>
      <c r="V148" s="125"/>
      <c r="W148" s="125"/>
    </row>
    <row r="149" spans="17:23">
      <c r="Q149" s="125"/>
      <c r="R149" s="125"/>
      <c r="S149" s="125"/>
      <c r="T149" s="125"/>
      <c r="U149" s="125"/>
      <c r="V149" s="125"/>
      <c r="W149" s="125"/>
    </row>
    <row r="150" spans="17:23">
      <c r="Q150" s="125"/>
      <c r="R150" s="125"/>
      <c r="S150" s="125"/>
      <c r="T150" s="125"/>
      <c r="U150" s="125"/>
      <c r="V150" s="125"/>
      <c r="W150" s="125"/>
    </row>
    <row r="151" spans="17:23">
      <c r="Q151" s="125"/>
      <c r="R151" s="125"/>
      <c r="S151" s="125"/>
      <c r="T151" s="125"/>
      <c r="U151" s="125"/>
      <c r="V151" s="125"/>
      <c r="W151" s="125"/>
    </row>
    <row r="152" spans="17:23">
      <c r="Q152" s="125"/>
      <c r="R152" s="125"/>
      <c r="S152" s="125"/>
      <c r="T152" s="125"/>
      <c r="U152" s="125"/>
      <c r="V152" s="125"/>
      <c r="W152" s="125"/>
    </row>
    <row r="153" spans="17:23">
      <c r="Q153" s="125"/>
      <c r="R153" s="125"/>
      <c r="S153" s="125"/>
      <c r="T153" s="125"/>
      <c r="U153" s="125"/>
      <c r="V153" s="125"/>
      <c r="W153" s="125"/>
    </row>
    <row r="154" spans="17:23">
      <c r="Q154" s="125"/>
      <c r="R154" s="125"/>
      <c r="S154" s="125"/>
      <c r="T154" s="125"/>
      <c r="U154" s="125"/>
      <c r="V154" s="125"/>
      <c r="W154" s="125"/>
    </row>
    <row r="155" spans="17:23">
      <c r="Q155" s="125"/>
      <c r="R155" s="125"/>
      <c r="S155" s="125"/>
      <c r="T155" s="125"/>
      <c r="U155" s="125"/>
      <c r="V155" s="125"/>
      <c r="W155" s="125"/>
    </row>
    <row r="156" spans="17:23">
      <c r="Q156" s="125"/>
      <c r="R156" s="125"/>
      <c r="S156" s="125"/>
      <c r="T156" s="125"/>
      <c r="U156" s="125"/>
      <c r="V156" s="125"/>
      <c r="W156" s="125"/>
    </row>
    <row r="157" spans="17:23">
      <c r="Q157" s="125"/>
      <c r="R157" s="125"/>
      <c r="S157" s="125"/>
      <c r="T157" s="125"/>
      <c r="U157" s="125"/>
      <c r="V157" s="125"/>
      <c r="W157" s="125"/>
    </row>
    <row r="158" spans="17:23">
      <c r="Q158" s="125"/>
      <c r="R158" s="125"/>
      <c r="S158" s="125"/>
      <c r="T158" s="125"/>
      <c r="U158" s="125"/>
      <c r="V158" s="125"/>
      <c r="W158" s="125"/>
    </row>
    <row r="159" spans="17:23">
      <c r="Q159" s="125"/>
      <c r="R159" s="125"/>
      <c r="S159" s="125"/>
      <c r="T159" s="125"/>
      <c r="U159" s="125"/>
      <c r="V159" s="125"/>
      <c r="W159" s="125"/>
    </row>
    <row r="160" spans="17:23">
      <c r="Q160" s="125"/>
      <c r="R160" s="125"/>
      <c r="S160" s="125"/>
      <c r="T160" s="125"/>
      <c r="U160" s="125"/>
      <c r="V160" s="125"/>
      <c r="W160" s="125"/>
    </row>
    <row r="161" spans="17:23">
      <c r="Q161" s="125"/>
      <c r="R161" s="125"/>
      <c r="S161" s="125"/>
      <c r="T161" s="125"/>
      <c r="U161" s="125"/>
      <c r="V161" s="125"/>
      <c r="W161" s="125"/>
    </row>
    <row r="162" spans="17:23">
      <c r="Q162" s="125"/>
      <c r="R162" s="125"/>
      <c r="S162" s="125"/>
      <c r="T162" s="125"/>
      <c r="U162" s="125"/>
      <c r="V162" s="125"/>
      <c r="W162" s="125"/>
    </row>
    <row r="163" spans="17:23">
      <c r="Q163" s="125"/>
      <c r="R163" s="125"/>
      <c r="S163" s="125"/>
      <c r="T163" s="125"/>
      <c r="U163" s="125"/>
      <c r="V163" s="125"/>
      <c r="W163" s="125"/>
    </row>
    <row r="164" spans="17:23">
      <c r="Q164" s="125"/>
      <c r="R164" s="125"/>
      <c r="S164" s="125"/>
      <c r="T164" s="125"/>
      <c r="U164" s="125"/>
      <c r="V164" s="125"/>
      <c r="W164" s="125"/>
    </row>
    <row r="165" spans="17:23">
      <c r="Q165" s="125"/>
      <c r="R165" s="125"/>
      <c r="S165" s="125"/>
      <c r="T165" s="125"/>
      <c r="U165" s="125"/>
      <c r="V165" s="125"/>
      <c r="W165" s="125"/>
    </row>
    <row r="166" spans="17:23">
      <c r="Q166" s="125"/>
      <c r="R166" s="125"/>
      <c r="S166" s="125"/>
      <c r="T166" s="125"/>
      <c r="U166" s="125"/>
      <c r="V166" s="125"/>
      <c r="W166" s="125"/>
    </row>
    <row r="167" spans="17:23">
      <c r="Q167" s="125"/>
      <c r="R167" s="125"/>
      <c r="S167" s="125"/>
      <c r="T167" s="125"/>
      <c r="U167" s="125"/>
      <c r="V167" s="125"/>
      <c r="W167" s="125"/>
    </row>
    <row r="168" spans="17:23">
      <c r="Q168" s="125"/>
      <c r="R168" s="125"/>
      <c r="S168" s="125"/>
      <c r="T168" s="125"/>
      <c r="U168" s="125"/>
      <c r="V168" s="125"/>
      <c r="W168" s="125"/>
    </row>
    <row r="169" spans="17:23">
      <c r="Q169" s="125"/>
      <c r="R169" s="125"/>
      <c r="S169" s="125"/>
      <c r="T169" s="125"/>
      <c r="U169" s="125"/>
      <c r="V169" s="125"/>
      <c r="W169" s="125"/>
    </row>
    <row r="170" spans="17:23">
      <c r="Q170" s="125"/>
      <c r="R170" s="125"/>
      <c r="S170" s="125"/>
      <c r="T170" s="125"/>
      <c r="U170" s="125"/>
      <c r="V170" s="125"/>
      <c r="W170" s="125"/>
    </row>
    <row r="171" spans="17:23">
      <c r="Q171" s="125"/>
      <c r="R171" s="125"/>
      <c r="S171" s="125"/>
      <c r="T171" s="125"/>
      <c r="U171" s="125"/>
      <c r="V171" s="125"/>
      <c r="W171" s="125"/>
    </row>
    <row r="172" spans="17:23">
      <c r="Q172" s="125"/>
      <c r="R172" s="125"/>
      <c r="S172" s="125"/>
      <c r="T172" s="125"/>
      <c r="U172" s="125"/>
      <c r="V172" s="125"/>
      <c r="W172" s="125"/>
    </row>
    <row r="173" spans="17:23">
      <c r="Q173" s="125"/>
      <c r="R173" s="125"/>
      <c r="S173" s="125"/>
      <c r="T173" s="125"/>
      <c r="U173" s="125"/>
      <c r="V173" s="125"/>
      <c r="W173" s="125"/>
    </row>
    <row r="174" spans="17:23">
      <c r="Q174" s="125"/>
      <c r="R174" s="125"/>
      <c r="S174" s="125"/>
      <c r="T174" s="125"/>
      <c r="U174" s="125"/>
      <c r="V174" s="125"/>
      <c r="W174" s="125"/>
    </row>
    <row r="175" spans="17:23">
      <c r="Q175" s="125"/>
      <c r="R175" s="125"/>
      <c r="S175" s="125"/>
      <c r="T175" s="125"/>
      <c r="U175" s="125"/>
      <c r="V175" s="125"/>
      <c r="W175" s="125"/>
    </row>
    <row r="176" spans="17:23">
      <c r="Q176" s="125"/>
      <c r="R176" s="125"/>
      <c r="S176" s="125"/>
      <c r="T176" s="125"/>
      <c r="U176" s="125"/>
      <c r="V176" s="125"/>
      <c r="W176" s="125"/>
    </row>
    <row r="177" spans="17:23">
      <c r="Q177" s="125"/>
      <c r="R177" s="125"/>
      <c r="S177" s="125"/>
      <c r="T177" s="125"/>
      <c r="U177" s="125"/>
      <c r="V177" s="125"/>
      <c r="W177" s="125"/>
    </row>
    <row r="178" spans="17:23">
      <c r="Q178" s="125"/>
      <c r="R178" s="125"/>
      <c r="S178" s="125"/>
      <c r="T178" s="125"/>
      <c r="U178" s="125"/>
      <c r="V178" s="125"/>
      <c r="W178" s="125"/>
    </row>
    <row r="179" spans="17:23">
      <c r="Q179" s="125"/>
      <c r="R179" s="125"/>
      <c r="S179" s="125"/>
      <c r="T179" s="125"/>
      <c r="U179" s="125"/>
      <c r="V179" s="125"/>
      <c r="W179" s="125"/>
    </row>
    <row r="180" spans="17:23">
      <c r="Q180" s="125"/>
      <c r="R180" s="125"/>
      <c r="S180" s="125"/>
      <c r="T180" s="125"/>
      <c r="U180" s="125"/>
      <c r="V180" s="125"/>
      <c r="W180" s="125"/>
    </row>
    <row r="181" spans="17:23">
      <c r="Q181" s="125"/>
      <c r="R181" s="125"/>
      <c r="S181" s="125"/>
      <c r="T181" s="125"/>
      <c r="U181" s="125"/>
      <c r="V181" s="125"/>
      <c r="W181" s="125"/>
    </row>
    <row r="182" spans="17:23">
      <c r="Q182" s="125"/>
      <c r="R182" s="125"/>
      <c r="S182" s="125"/>
      <c r="T182" s="125"/>
      <c r="U182" s="125"/>
      <c r="V182" s="125"/>
      <c r="W182" s="125"/>
    </row>
    <row r="183" spans="17:23">
      <c r="Q183" s="125"/>
      <c r="R183" s="125"/>
      <c r="S183" s="125"/>
      <c r="T183" s="125"/>
      <c r="U183" s="125"/>
      <c r="V183" s="125"/>
      <c r="W183" s="125"/>
    </row>
    <row r="184" spans="17:23">
      <c r="Q184" s="125"/>
      <c r="R184" s="125"/>
      <c r="S184" s="125"/>
      <c r="T184" s="125"/>
      <c r="U184" s="125"/>
      <c r="V184" s="125"/>
      <c r="W184" s="125"/>
    </row>
    <row r="185" spans="17:23">
      <c r="Q185" s="125"/>
      <c r="R185" s="125"/>
      <c r="S185" s="125"/>
      <c r="T185" s="125"/>
      <c r="U185" s="125"/>
      <c r="V185" s="125"/>
      <c r="W185" s="125"/>
    </row>
    <row r="186" spans="17:23">
      <c r="Q186" s="125"/>
      <c r="R186" s="125"/>
      <c r="S186" s="125"/>
      <c r="T186" s="125"/>
      <c r="U186" s="125"/>
      <c r="V186" s="125"/>
      <c r="W186" s="125"/>
    </row>
    <row r="187" spans="17:23">
      <c r="Q187" s="125"/>
      <c r="R187" s="125"/>
      <c r="S187" s="125"/>
      <c r="T187" s="125"/>
      <c r="U187" s="125"/>
      <c r="V187" s="125"/>
      <c r="W187" s="125"/>
    </row>
    <row r="188" spans="17:23">
      <c r="Q188" s="125"/>
      <c r="R188" s="125"/>
      <c r="S188" s="125"/>
      <c r="T188" s="125"/>
      <c r="U188" s="125"/>
      <c r="V188" s="125"/>
      <c r="W188" s="125"/>
    </row>
    <row r="189" spans="17:23">
      <c r="Q189" s="125"/>
      <c r="R189" s="125"/>
      <c r="S189" s="125"/>
      <c r="T189" s="125"/>
      <c r="U189" s="125"/>
      <c r="V189" s="125"/>
      <c r="W189" s="125"/>
    </row>
    <row r="190" spans="17:23">
      <c r="Q190" s="125"/>
      <c r="R190" s="125"/>
      <c r="S190" s="125"/>
      <c r="T190" s="125"/>
      <c r="U190" s="125"/>
      <c r="V190" s="125"/>
      <c r="W190" s="125"/>
    </row>
    <row r="191" spans="17:23">
      <c r="Q191" s="125"/>
      <c r="R191" s="125"/>
      <c r="S191" s="125"/>
      <c r="T191" s="125"/>
      <c r="U191" s="125"/>
      <c r="V191" s="125"/>
      <c r="W191" s="125"/>
    </row>
    <row r="192" spans="17:23">
      <c r="Q192" s="125"/>
      <c r="R192" s="125"/>
      <c r="S192" s="125"/>
      <c r="T192" s="125"/>
      <c r="U192" s="125"/>
      <c r="V192" s="125"/>
      <c r="W192" s="125"/>
    </row>
    <row r="193" spans="17:23">
      <c r="Q193" s="125"/>
      <c r="R193" s="125"/>
      <c r="S193" s="125"/>
      <c r="T193" s="125"/>
      <c r="U193" s="125"/>
      <c r="V193" s="125"/>
      <c r="W193" s="125"/>
    </row>
    <row r="194" spans="17:23">
      <c r="Q194" s="125"/>
      <c r="R194" s="125"/>
      <c r="S194" s="125"/>
      <c r="T194" s="125"/>
      <c r="U194" s="125"/>
      <c r="V194" s="125"/>
      <c r="W194" s="125"/>
    </row>
    <row r="195" spans="17:23">
      <c r="Q195" s="125"/>
      <c r="R195" s="125"/>
      <c r="S195" s="125"/>
      <c r="T195" s="125"/>
      <c r="U195" s="125"/>
      <c r="V195" s="125"/>
      <c r="W195" s="125"/>
    </row>
    <row r="196" spans="17:23">
      <c r="Q196" s="125"/>
      <c r="R196" s="125"/>
      <c r="S196" s="125"/>
      <c r="T196" s="125"/>
      <c r="U196" s="125"/>
      <c r="V196" s="125"/>
      <c r="W196" s="125"/>
    </row>
    <row r="197" spans="17:23">
      <c r="Q197" s="125"/>
      <c r="R197" s="125"/>
      <c r="S197" s="125"/>
      <c r="T197" s="125"/>
      <c r="U197" s="125"/>
      <c r="V197" s="125"/>
      <c r="W197" s="125"/>
    </row>
    <row r="198" spans="17:23">
      <c r="Q198" s="125"/>
      <c r="R198" s="125"/>
      <c r="S198" s="125"/>
      <c r="T198" s="125"/>
      <c r="U198" s="125"/>
      <c r="V198" s="125"/>
      <c r="W198" s="125"/>
    </row>
    <row r="199" spans="17:23">
      <c r="Q199" s="125"/>
      <c r="R199" s="125"/>
      <c r="S199" s="125"/>
      <c r="T199" s="125"/>
      <c r="U199" s="125"/>
      <c r="V199" s="125"/>
      <c r="W199" s="125"/>
    </row>
    <row r="200" spans="17:23">
      <c r="Q200" s="125"/>
      <c r="R200" s="125"/>
      <c r="S200" s="125"/>
      <c r="T200" s="125"/>
      <c r="U200" s="125"/>
      <c r="V200" s="125"/>
      <c r="W200" s="125"/>
    </row>
    <row r="201" spans="17:23">
      <c r="Q201" s="125"/>
      <c r="R201" s="125"/>
      <c r="S201" s="125"/>
      <c r="T201" s="125"/>
      <c r="U201" s="125"/>
      <c r="V201" s="125"/>
      <c r="W201" s="125"/>
    </row>
    <row r="202" spans="17:23">
      <c r="Q202" s="125"/>
      <c r="R202" s="125"/>
      <c r="S202" s="125"/>
      <c r="T202" s="125"/>
      <c r="U202" s="125"/>
      <c r="V202" s="125"/>
      <c r="W202" s="125"/>
    </row>
    <row r="203" spans="17:23">
      <c r="Q203" s="125"/>
      <c r="R203" s="125"/>
      <c r="S203" s="125"/>
      <c r="T203" s="125"/>
      <c r="U203" s="125"/>
      <c r="V203" s="125"/>
      <c r="W203" s="125"/>
    </row>
    <row r="204" spans="17:23">
      <c r="Q204" s="125"/>
      <c r="R204" s="125"/>
      <c r="S204" s="125"/>
      <c r="T204" s="125"/>
      <c r="U204" s="125"/>
      <c r="V204" s="125"/>
      <c r="W204" s="125"/>
    </row>
    <row r="205" spans="17:23">
      <c r="Q205" s="125"/>
      <c r="R205" s="125"/>
      <c r="S205" s="125"/>
      <c r="T205" s="125"/>
      <c r="U205" s="125"/>
      <c r="V205" s="125"/>
      <c r="W205" s="125"/>
    </row>
    <row r="206" spans="17:23">
      <c r="Q206" s="125"/>
      <c r="R206" s="125"/>
      <c r="S206" s="125"/>
      <c r="T206" s="125"/>
      <c r="U206" s="125"/>
      <c r="V206" s="125"/>
      <c r="W206" s="125"/>
    </row>
    <row r="207" spans="17:23">
      <c r="Q207" s="125"/>
      <c r="R207" s="125"/>
      <c r="S207" s="125"/>
      <c r="T207" s="125"/>
      <c r="U207" s="125"/>
      <c r="V207" s="125"/>
      <c r="W207" s="125"/>
    </row>
    <row r="208" spans="17:23">
      <c r="Q208" s="125"/>
      <c r="R208" s="125"/>
      <c r="S208" s="125"/>
      <c r="T208" s="125"/>
      <c r="U208" s="125"/>
      <c r="V208" s="125"/>
      <c r="W208" s="125"/>
    </row>
    <row r="209" spans="17:23">
      <c r="Q209" s="125"/>
      <c r="R209" s="125"/>
      <c r="S209" s="125"/>
      <c r="T209" s="125"/>
      <c r="U209" s="125"/>
      <c r="V209" s="125"/>
      <c r="W209" s="125"/>
    </row>
    <row r="210" spans="17:23">
      <c r="Q210" s="125"/>
      <c r="R210" s="125"/>
      <c r="S210" s="125"/>
      <c r="T210" s="125"/>
      <c r="U210" s="125"/>
      <c r="V210" s="125"/>
      <c r="W210" s="125"/>
    </row>
    <row r="211" spans="17:23">
      <c r="Q211" s="125"/>
      <c r="R211" s="125"/>
      <c r="S211" s="125"/>
      <c r="T211" s="125"/>
      <c r="U211" s="125"/>
      <c r="V211" s="125"/>
      <c r="W211" s="125"/>
    </row>
    <row r="212" spans="17:23">
      <c r="Q212" s="125"/>
      <c r="R212" s="125"/>
      <c r="S212" s="125"/>
      <c r="T212" s="125"/>
      <c r="U212" s="125"/>
      <c r="V212" s="125"/>
      <c r="W212" s="125"/>
    </row>
    <row r="213" spans="17:23">
      <c r="Q213" s="125"/>
      <c r="R213" s="125"/>
      <c r="S213" s="125"/>
      <c r="T213" s="125"/>
      <c r="U213" s="125"/>
      <c r="V213" s="125"/>
      <c r="W213" s="125"/>
    </row>
    <row r="214" spans="17:23">
      <c r="Q214" s="125"/>
      <c r="R214" s="125"/>
      <c r="S214" s="125"/>
      <c r="T214" s="125"/>
      <c r="U214" s="125"/>
      <c r="V214" s="125"/>
      <c r="W214" s="125"/>
    </row>
    <row r="215" spans="17:23">
      <c r="Q215" s="125"/>
      <c r="R215" s="125"/>
      <c r="S215" s="125"/>
      <c r="T215" s="125"/>
      <c r="U215" s="125"/>
      <c r="V215" s="125"/>
      <c r="W215" s="125"/>
    </row>
    <row r="216" spans="17:23">
      <c r="Q216" s="125"/>
      <c r="R216" s="125"/>
      <c r="S216" s="125"/>
      <c r="T216" s="125"/>
      <c r="U216" s="125"/>
      <c r="V216" s="125"/>
      <c r="W216" s="125"/>
    </row>
    <row r="217" spans="17:23">
      <c r="Q217" s="125"/>
      <c r="R217" s="125"/>
      <c r="S217" s="125"/>
      <c r="T217" s="125"/>
      <c r="U217" s="125"/>
      <c r="V217" s="125"/>
      <c r="W217" s="125"/>
    </row>
    <row r="218" spans="17:23">
      <c r="Q218" s="125"/>
      <c r="R218" s="125"/>
      <c r="S218" s="125"/>
      <c r="T218" s="125"/>
      <c r="U218" s="125"/>
      <c r="V218" s="125"/>
      <c r="W218" s="125"/>
    </row>
    <row r="219" spans="17:23">
      <c r="Q219" s="125"/>
      <c r="R219" s="125"/>
      <c r="S219" s="125"/>
      <c r="T219" s="125"/>
      <c r="U219" s="125"/>
      <c r="V219" s="125"/>
      <c r="W219" s="125"/>
    </row>
    <row r="220" spans="17:23">
      <c r="Q220" s="125"/>
      <c r="R220" s="125"/>
      <c r="S220" s="125"/>
      <c r="T220" s="125"/>
      <c r="U220" s="125"/>
      <c r="V220" s="125"/>
      <c r="W220" s="125"/>
    </row>
    <row r="221" spans="17:23">
      <c r="Q221" s="125"/>
      <c r="R221" s="125"/>
      <c r="S221" s="125"/>
      <c r="T221" s="125"/>
      <c r="U221" s="125"/>
      <c r="V221" s="125"/>
      <c r="W221" s="125"/>
    </row>
    <row r="222" spans="17:23">
      <c r="Q222" s="125"/>
      <c r="R222" s="125"/>
      <c r="S222" s="125"/>
      <c r="T222" s="125"/>
      <c r="U222" s="125"/>
      <c r="V222" s="125"/>
      <c r="W222" s="125"/>
    </row>
    <row r="223" spans="17:23">
      <c r="Q223" s="125"/>
      <c r="R223" s="125"/>
      <c r="S223" s="125"/>
      <c r="T223" s="125"/>
      <c r="U223" s="125"/>
      <c r="V223" s="125"/>
      <c r="W223" s="125"/>
    </row>
    <row r="224" spans="17:23">
      <c r="Q224" s="125"/>
      <c r="R224" s="125"/>
      <c r="S224" s="125"/>
      <c r="T224" s="125"/>
      <c r="U224" s="125"/>
      <c r="V224" s="125"/>
      <c r="W224" s="125"/>
    </row>
    <row r="225" spans="17:23">
      <c r="Q225" s="125"/>
      <c r="R225" s="125"/>
      <c r="S225" s="125"/>
      <c r="T225" s="125"/>
      <c r="U225" s="125"/>
      <c r="V225" s="125"/>
      <c r="W225" s="125"/>
    </row>
    <row r="226" spans="17:23">
      <c r="Q226" s="125"/>
      <c r="R226" s="125"/>
      <c r="S226" s="125"/>
      <c r="T226" s="125"/>
      <c r="U226" s="125"/>
      <c r="V226" s="125"/>
      <c r="W226" s="125"/>
    </row>
    <row r="227" spans="17:23">
      <c r="Q227" s="125"/>
      <c r="R227" s="125"/>
      <c r="S227" s="125"/>
      <c r="T227" s="125"/>
      <c r="U227" s="125"/>
      <c r="V227" s="125"/>
      <c r="W227" s="125"/>
    </row>
    <row r="228" spans="17:23">
      <c r="Q228" s="125"/>
      <c r="R228" s="125"/>
      <c r="S228" s="125"/>
      <c r="T228" s="125"/>
      <c r="U228" s="125"/>
      <c r="V228" s="125"/>
      <c r="W228" s="125"/>
    </row>
    <row r="229" spans="17:23">
      <c r="Q229" s="125"/>
      <c r="R229" s="125"/>
      <c r="S229" s="125"/>
      <c r="T229" s="125"/>
      <c r="U229" s="125"/>
      <c r="V229" s="125"/>
      <c r="W229" s="125"/>
    </row>
    <row r="230" spans="17:23">
      <c r="Q230" s="125"/>
      <c r="R230" s="125"/>
      <c r="S230" s="125"/>
      <c r="T230" s="125"/>
      <c r="U230" s="125"/>
      <c r="V230" s="125"/>
      <c r="W230" s="125"/>
    </row>
    <row r="231" spans="17:23">
      <c r="Q231" s="125"/>
      <c r="R231" s="125"/>
      <c r="S231" s="125"/>
      <c r="T231" s="125"/>
      <c r="U231" s="125"/>
      <c r="V231" s="125"/>
      <c r="W231" s="125"/>
    </row>
    <row r="232" spans="17:23">
      <c r="Q232" s="125"/>
      <c r="R232" s="125"/>
      <c r="S232" s="125"/>
      <c r="T232" s="125"/>
      <c r="U232" s="125"/>
      <c r="V232" s="125"/>
      <c r="W232" s="125"/>
    </row>
    <row r="233" spans="17:23">
      <c r="Q233" s="125"/>
      <c r="R233" s="125"/>
      <c r="S233" s="125"/>
      <c r="T233" s="125"/>
      <c r="U233" s="125"/>
      <c r="V233" s="125"/>
      <c r="W233" s="125"/>
    </row>
    <row r="234" spans="17:23">
      <c r="Q234" s="125"/>
      <c r="R234" s="125"/>
      <c r="S234" s="125"/>
      <c r="T234" s="125"/>
      <c r="U234" s="125"/>
      <c r="V234" s="125"/>
      <c r="W234" s="125"/>
    </row>
    <row r="235" spans="17:23">
      <c r="Q235" s="125"/>
      <c r="R235" s="125"/>
      <c r="S235" s="125"/>
      <c r="T235" s="125"/>
      <c r="U235" s="125"/>
      <c r="V235" s="125"/>
      <c r="W235" s="125"/>
    </row>
    <row r="236" spans="17:23">
      <c r="Q236" s="125"/>
      <c r="R236" s="125"/>
      <c r="S236" s="125"/>
      <c r="T236" s="125"/>
      <c r="U236" s="125"/>
      <c r="V236" s="125"/>
      <c r="W236" s="125"/>
    </row>
    <row r="237" spans="17:23">
      <c r="Q237" s="125"/>
      <c r="R237" s="125"/>
      <c r="S237" s="125"/>
      <c r="T237" s="125"/>
      <c r="U237" s="125"/>
      <c r="V237" s="125"/>
      <c r="W237" s="125"/>
    </row>
    <row r="238" spans="17:23">
      <c r="Q238" s="125"/>
      <c r="R238" s="125"/>
      <c r="S238" s="125"/>
      <c r="T238" s="125"/>
      <c r="U238" s="125"/>
      <c r="V238" s="125"/>
      <c r="W238" s="125"/>
    </row>
    <row r="239" spans="17:23">
      <c r="Q239" s="125"/>
      <c r="R239" s="125"/>
      <c r="S239" s="125"/>
      <c r="T239" s="125"/>
      <c r="U239" s="125"/>
      <c r="V239" s="125"/>
      <c r="W239" s="125"/>
    </row>
    <row r="240" spans="17:23">
      <c r="Q240" s="125"/>
      <c r="R240" s="125"/>
      <c r="S240" s="125"/>
      <c r="T240" s="125"/>
      <c r="U240" s="125"/>
      <c r="V240" s="125"/>
      <c r="W240" s="125"/>
    </row>
    <row r="241" spans="17:23">
      <c r="Q241" s="125"/>
      <c r="R241" s="125"/>
      <c r="S241" s="125"/>
      <c r="T241" s="125"/>
      <c r="U241" s="125"/>
      <c r="V241" s="125"/>
      <c r="W241" s="125"/>
    </row>
    <row r="242" spans="17:23">
      <c r="Q242" s="125"/>
      <c r="R242" s="125"/>
      <c r="S242" s="125"/>
      <c r="T242" s="125"/>
      <c r="U242" s="125"/>
      <c r="V242" s="125"/>
      <c r="W242" s="125"/>
    </row>
    <row r="243" spans="17:23">
      <c r="Q243" s="125"/>
      <c r="R243" s="125"/>
      <c r="S243" s="125"/>
      <c r="T243" s="125"/>
      <c r="U243" s="125"/>
      <c r="V243" s="125"/>
      <c r="W243" s="125"/>
    </row>
    <row r="244" spans="17:23">
      <c r="Q244" s="125"/>
      <c r="R244" s="125"/>
      <c r="S244" s="125"/>
      <c r="T244" s="125"/>
      <c r="U244" s="125"/>
      <c r="V244" s="125"/>
      <c r="W244" s="125"/>
    </row>
    <row r="245" spans="17:23">
      <c r="Q245" s="125"/>
      <c r="R245" s="125"/>
      <c r="S245" s="125"/>
      <c r="T245" s="125"/>
      <c r="U245" s="125"/>
      <c r="V245" s="125"/>
      <c r="W245" s="125"/>
    </row>
    <row r="246" spans="17:23">
      <c r="Q246" s="125"/>
      <c r="R246" s="125"/>
      <c r="S246" s="125"/>
      <c r="T246" s="125"/>
      <c r="U246" s="125"/>
      <c r="V246" s="125"/>
      <c r="W246" s="125"/>
    </row>
    <row r="247" spans="17:23">
      <c r="Q247" s="125"/>
      <c r="R247" s="125"/>
      <c r="S247" s="125"/>
      <c r="T247" s="125"/>
      <c r="U247" s="125"/>
      <c r="V247" s="125"/>
      <c r="W247" s="125"/>
    </row>
    <row r="248" spans="17:23">
      <c r="Q248" s="125"/>
      <c r="R248" s="125"/>
      <c r="S248" s="125"/>
      <c r="T248" s="125"/>
      <c r="U248" s="125"/>
      <c r="V248" s="125"/>
      <c r="W248" s="125"/>
    </row>
    <row r="249" spans="17:23">
      <c r="Q249" s="125"/>
      <c r="R249" s="125"/>
      <c r="S249" s="125"/>
      <c r="T249" s="125"/>
      <c r="U249" s="125"/>
      <c r="V249" s="125"/>
      <c r="W249" s="125"/>
    </row>
    <row r="250" spans="17:23">
      <c r="Q250" s="125"/>
      <c r="R250" s="125"/>
      <c r="S250" s="125"/>
      <c r="T250" s="125"/>
      <c r="U250" s="125"/>
      <c r="V250" s="125"/>
      <c r="W250" s="125"/>
    </row>
    <row r="251" spans="17:23">
      <c r="Q251" s="125"/>
      <c r="R251" s="125"/>
      <c r="S251" s="125"/>
      <c r="T251" s="125"/>
      <c r="U251" s="125"/>
      <c r="V251" s="125"/>
      <c r="W251" s="125"/>
    </row>
    <row r="252" spans="17:23">
      <c r="Q252" s="125"/>
      <c r="R252" s="125"/>
      <c r="S252" s="125"/>
      <c r="T252" s="125"/>
      <c r="U252" s="125"/>
      <c r="V252" s="125"/>
      <c r="W252" s="125"/>
    </row>
    <row r="253" spans="17:23">
      <c r="Q253" s="125"/>
      <c r="R253" s="125"/>
      <c r="S253" s="125"/>
      <c r="T253" s="125"/>
      <c r="U253" s="125"/>
      <c r="V253" s="125"/>
      <c r="W253" s="125"/>
    </row>
    <row r="254" spans="17:23">
      <c r="Q254" s="125"/>
      <c r="R254" s="125"/>
      <c r="S254" s="125"/>
      <c r="T254" s="125"/>
      <c r="U254" s="125"/>
      <c r="V254" s="125"/>
      <c r="W254" s="125"/>
    </row>
    <row r="255" spans="17:23">
      <c r="Q255" s="125"/>
      <c r="R255" s="125"/>
      <c r="S255" s="125"/>
      <c r="T255" s="125"/>
      <c r="U255" s="125"/>
      <c r="V255" s="125"/>
      <c r="W255" s="125"/>
    </row>
    <row r="256" spans="17:23">
      <c r="Q256" s="125"/>
      <c r="R256" s="125"/>
      <c r="S256" s="125"/>
      <c r="T256" s="125"/>
      <c r="U256" s="125"/>
      <c r="V256" s="125"/>
      <c r="W256" s="125"/>
    </row>
    <row r="257" spans="17:23">
      <c r="Q257" s="125"/>
      <c r="R257" s="125"/>
      <c r="S257" s="125"/>
      <c r="T257" s="125"/>
      <c r="U257" s="125"/>
      <c r="V257" s="125"/>
      <c r="W257" s="125"/>
    </row>
    <row r="258" spans="17:23">
      <c r="Q258" s="125"/>
      <c r="R258" s="125"/>
      <c r="S258" s="125"/>
      <c r="T258" s="125"/>
      <c r="U258" s="125"/>
      <c r="V258" s="125"/>
      <c r="W258" s="125"/>
    </row>
    <row r="259" spans="17:23">
      <c r="Q259" s="125"/>
      <c r="R259" s="125"/>
      <c r="S259" s="125"/>
      <c r="T259" s="125"/>
      <c r="U259" s="125"/>
      <c r="V259" s="125"/>
      <c r="W259" s="125"/>
    </row>
    <row r="260" spans="17:23">
      <c r="Q260" s="125"/>
      <c r="R260" s="125"/>
      <c r="S260" s="125"/>
      <c r="T260" s="125"/>
      <c r="U260" s="125"/>
      <c r="V260" s="125"/>
      <c r="W260" s="125"/>
    </row>
    <row r="261" spans="17:23">
      <c r="Q261" s="125"/>
      <c r="R261" s="125"/>
      <c r="S261" s="125"/>
      <c r="T261" s="125"/>
      <c r="U261" s="125"/>
      <c r="V261" s="125"/>
      <c r="W261" s="125"/>
    </row>
    <row r="262" spans="17:23">
      <c r="Q262" s="125"/>
      <c r="R262" s="125"/>
      <c r="S262" s="125"/>
      <c r="T262" s="125"/>
      <c r="U262" s="125"/>
      <c r="V262" s="125"/>
      <c r="W262" s="125"/>
    </row>
    <row r="263" spans="17:23">
      <c r="Q263" s="125"/>
      <c r="R263" s="125"/>
      <c r="S263" s="125"/>
      <c r="T263" s="125"/>
      <c r="U263" s="125"/>
      <c r="V263" s="125"/>
      <c r="W263" s="125"/>
    </row>
    <row r="264" spans="17:23">
      <c r="Q264" s="125"/>
      <c r="R264" s="125"/>
      <c r="S264" s="125"/>
      <c r="T264" s="125"/>
      <c r="U264" s="125"/>
      <c r="V264" s="125"/>
      <c r="W264" s="125"/>
    </row>
    <row r="265" spans="17:23">
      <c r="Q265" s="125"/>
      <c r="R265" s="125"/>
      <c r="S265" s="125"/>
      <c r="T265" s="125"/>
      <c r="U265" s="125"/>
      <c r="V265" s="125"/>
      <c r="W265" s="125"/>
    </row>
    <row r="266" spans="17:23">
      <c r="Q266" s="125"/>
      <c r="R266" s="125"/>
      <c r="S266" s="125"/>
      <c r="T266" s="125"/>
      <c r="U266" s="125"/>
      <c r="V266" s="125"/>
      <c r="W266" s="125"/>
    </row>
    <row r="267" spans="17:23">
      <c r="Q267" s="125"/>
      <c r="R267" s="125"/>
      <c r="S267" s="125"/>
      <c r="T267" s="125"/>
      <c r="U267" s="125"/>
      <c r="V267" s="125"/>
      <c r="W267" s="125"/>
    </row>
    <row r="268" spans="17:23">
      <c r="Q268" s="125"/>
      <c r="R268" s="125"/>
      <c r="S268" s="125"/>
      <c r="T268" s="125"/>
      <c r="U268" s="125"/>
      <c r="V268" s="125"/>
      <c r="W268" s="125"/>
    </row>
    <row r="269" spans="17:23">
      <c r="Q269" s="125"/>
      <c r="R269" s="125"/>
      <c r="S269" s="125"/>
      <c r="T269" s="125"/>
      <c r="U269" s="125"/>
      <c r="V269" s="125"/>
      <c r="W269" s="125"/>
    </row>
    <row r="270" spans="17:23">
      <c r="Q270" s="125"/>
      <c r="R270" s="125"/>
      <c r="S270" s="125"/>
      <c r="T270" s="125"/>
      <c r="U270" s="125"/>
      <c r="V270" s="125"/>
      <c r="W270" s="125"/>
    </row>
    <row r="271" spans="17:23">
      <c r="Q271" s="125"/>
      <c r="R271" s="125"/>
      <c r="S271" s="125"/>
      <c r="T271" s="125"/>
      <c r="U271" s="125"/>
      <c r="V271" s="125"/>
      <c r="W271" s="125"/>
    </row>
    <row r="272" spans="17:23">
      <c r="Q272" s="125"/>
      <c r="R272" s="125"/>
      <c r="S272" s="125"/>
      <c r="T272" s="125"/>
      <c r="U272" s="125"/>
      <c r="V272" s="125"/>
      <c r="W272" s="125"/>
    </row>
    <row r="273" spans="17:23">
      <c r="Q273" s="125"/>
      <c r="R273" s="125"/>
      <c r="S273" s="125"/>
      <c r="T273" s="125"/>
      <c r="U273" s="125"/>
      <c r="V273" s="125"/>
      <c r="W273" s="125"/>
    </row>
    <row r="274" spans="17:23">
      <c r="Q274" s="125"/>
      <c r="R274" s="125"/>
      <c r="S274" s="125"/>
      <c r="T274" s="125"/>
      <c r="U274" s="125"/>
      <c r="V274" s="125"/>
      <c r="W274" s="125"/>
    </row>
    <row r="275" spans="17:23">
      <c r="Q275" s="125"/>
      <c r="R275" s="125"/>
      <c r="S275" s="125"/>
      <c r="T275" s="125"/>
      <c r="U275" s="125"/>
      <c r="V275" s="125"/>
      <c r="W275" s="125"/>
    </row>
    <row r="276" spans="17:23">
      <c r="Q276" s="125"/>
      <c r="R276" s="125"/>
      <c r="S276" s="125"/>
      <c r="T276" s="125"/>
      <c r="U276" s="125"/>
      <c r="V276" s="125"/>
      <c r="W276" s="125"/>
    </row>
    <row r="277" spans="17:23">
      <c r="Q277" s="125"/>
      <c r="R277" s="125"/>
      <c r="S277" s="125"/>
      <c r="T277" s="125"/>
      <c r="U277" s="125"/>
      <c r="V277" s="125"/>
      <c r="W277" s="125"/>
    </row>
    <row r="278" spans="17:23">
      <c r="Q278" s="125"/>
      <c r="R278" s="125"/>
      <c r="S278" s="125"/>
      <c r="T278" s="125"/>
      <c r="U278" s="125"/>
      <c r="V278" s="125"/>
      <c r="W278" s="125"/>
    </row>
    <row r="279" spans="17:23">
      <c r="Q279" s="125"/>
      <c r="R279" s="125"/>
      <c r="S279" s="125"/>
      <c r="T279" s="125"/>
      <c r="U279" s="125"/>
      <c r="V279" s="125"/>
      <c r="W279" s="125"/>
    </row>
    <row r="280" spans="17:23">
      <c r="Q280" s="125"/>
      <c r="R280" s="125"/>
      <c r="S280" s="125"/>
      <c r="T280" s="125"/>
      <c r="U280" s="125"/>
      <c r="V280" s="125"/>
      <c r="W280" s="125"/>
    </row>
    <row r="281" spans="17:23">
      <c r="Q281" s="125"/>
      <c r="R281" s="125"/>
      <c r="S281" s="125"/>
      <c r="T281" s="125"/>
      <c r="U281" s="125"/>
      <c r="V281" s="125"/>
      <c r="W281" s="125"/>
    </row>
    <row r="282" spans="17:23">
      <c r="Q282" s="125"/>
      <c r="R282" s="125"/>
      <c r="S282" s="125"/>
      <c r="T282" s="125"/>
      <c r="U282" s="125"/>
      <c r="V282" s="125"/>
      <c r="W282" s="125"/>
    </row>
    <row r="283" spans="17:23">
      <c r="Q283" s="125"/>
      <c r="R283" s="125"/>
      <c r="S283" s="125"/>
      <c r="T283" s="125"/>
      <c r="U283" s="125"/>
      <c r="V283" s="125"/>
      <c r="W283" s="125"/>
    </row>
    <row r="284" spans="17:23">
      <c r="Q284" s="125"/>
      <c r="R284" s="125"/>
      <c r="S284" s="125"/>
      <c r="T284" s="125"/>
      <c r="U284" s="125"/>
      <c r="V284" s="125"/>
      <c r="W284" s="125"/>
    </row>
    <row r="285" spans="17:23">
      <c r="Q285" s="125"/>
      <c r="R285" s="125"/>
      <c r="S285" s="125"/>
      <c r="T285" s="125"/>
      <c r="U285" s="125"/>
      <c r="V285" s="125"/>
      <c r="W285" s="125"/>
    </row>
    <row r="286" spans="17:23">
      <c r="Q286" s="125"/>
      <c r="R286" s="125"/>
      <c r="S286" s="125"/>
      <c r="T286" s="125"/>
      <c r="U286" s="125"/>
      <c r="V286" s="125"/>
      <c r="W286" s="125"/>
    </row>
    <row r="287" spans="17:23">
      <c r="Q287" s="125"/>
      <c r="R287" s="125"/>
      <c r="S287" s="125"/>
      <c r="T287" s="125"/>
      <c r="U287" s="125"/>
      <c r="V287" s="125"/>
      <c r="W287" s="125"/>
    </row>
    <row r="288" spans="17:23">
      <c r="Q288" s="125"/>
      <c r="R288" s="125"/>
      <c r="S288" s="125"/>
      <c r="T288" s="125"/>
      <c r="U288" s="125"/>
      <c r="V288" s="125"/>
      <c r="W288" s="125"/>
    </row>
    <row r="289" spans="17:23">
      <c r="Q289" s="125"/>
      <c r="R289" s="125"/>
      <c r="S289" s="125"/>
      <c r="T289" s="125"/>
      <c r="U289" s="125"/>
      <c r="V289" s="125"/>
      <c r="W289" s="125"/>
    </row>
    <row r="290" spans="17:23">
      <c r="Q290" s="125"/>
      <c r="R290" s="125"/>
      <c r="S290" s="125"/>
      <c r="T290" s="125"/>
      <c r="U290" s="125"/>
      <c r="V290" s="125"/>
      <c r="W290" s="125"/>
    </row>
    <row r="291" spans="17:23">
      <c r="Q291" s="125"/>
      <c r="R291" s="125"/>
      <c r="S291" s="125"/>
      <c r="T291" s="125"/>
      <c r="U291" s="125"/>
      <c r="V291" s="125"/>
      <c r="W291" s="125"/>
    </row>
    <row r="292" spans="17:23">
      <c r="Q292" s="125"/>
      <c r="R292" s="125"/>
      <c r="S292" s="125"/>
      <c r="T292" s="125"/>
      <c r="U292" s="125"/>
      <c r="V292" s="125"/>
      <c r="W292" s="125"/>
    </row>
    <row r="293" spans="17:23">
      <c r="Q293" s="125"/>
      <c r="R293" s="125"/>
      <c r="S293" s="125"/>
      <c r="T293" s="125"/>
      <c r="U293" s="125"/>
      <c r="V293" s="125"/>
      <c r="W293" s="125"/>
    </row>
    <row r="294" spans="17:23">
      <c r="Q294" s="125"/>
      <c r="R294" s="125"/>
      <c r="S294" s="125"/>
      <c r="T294" s="125"/>
      <c r="U294" s="125"/>
      <c r="V294" s="125"/>
      <c r="W294" s="125"/>
    </row>
    <row r="295" spans="17:23">
      <c r="Q295" s="125"/>
      <c r="R295" s="125"/>
      <c r="S295" s="125"/>
      <c r="T295" s="125"/>
      <c r="U295" s="125"/>
      <c r="V295" s="125"/>
      <c r="W295" s="125"/>
    </row>
    <row r="296" spans="17:23">
      <c r="Q296" s="125"/>
      <c r="R296" s="125"/>
      <c r="S296" s="125"/>
      <c r="T296" s="125"/>
      <c r="U296" s="125"/>
      <c r="V296" s="125"/>
      <c r="W296" s="125"/>
    </row>
    <row r="297" spans="17:23">
      <c r="Q297" s="125"/>
      <c r="R297" s="125"/>
      <c r="S297" s="125"/>
      <c r="T297" s="125"/>
      <c r="U297" s="125"/>
      <c r="V297" s="125"/>
      <c r="W297" s="125"/>
    </row>
    <row r="298" spans="17:23">
      <c r="Q298" s="125"/>
      <c r="R298" s="125"/>
      <c r="S298" s="125"/>
      <c r="T298" s="125"/>
      <c r="U298" s="125"/>
      <c r="V298" s="125"/>
      <c r="W298" s="125"/>
    </row>
    <row r="299" spans="17:23">
      <c r="Q299" s="125"/>
      <c r="R299" s="125"/>
      <c r="S299" s="125"/>
      <c r="T299" s="125"/>
      <c r="U299" s="125"/>
      <c r="V299" s="125"/>
      <c r="W299" s="125"/>
    </row>
    <row r="300" spans="17:23">
      <c r="Q300" s="125"/>
      <c r="R300" s="125"/>
      <c r="S300" s="125"/>
      <c r="T300" s="125"/>
      <c r="U300" s="125"/>
      <c r="V300" s="125"/>
      <c r="W300" s="125"/>
    </row>
    <row r="301" spans="17:23">
      <c r="Q301" s="125"/>
      <c r="R301" s="125"/>
      <c r="S301" s="125"/>
      <c r="T301" s="125"/>
      <c r="U301" s="125"/>
      <c r="V301" s="125"/>
      <c r="W301" s="125"/>
    </row>
    <row r="302" spans="17:23">
      <c r="Q302" s="125"/>
      <c r="R302" s="125"/>
      <c r="S302" s="125"/>
      <c r="T302" s="125"/>
      <c r="U302" s="125"/>
      <c r="V302" s="125"/>
      <c r="W302" s="125"/>
    </row>
    <row r="303" spans="17:23">
      <c r="Q303" s="125"/>
      <c r="R303" s="125"/>
      <c r="S303" s="125"/>
      <c r="T303" s="125"/>
      <c r="U303" s="125"/>
      <c r="V303" s="125"/>
      <c r="W303" s="125"/>
    </row>
    <row r="304" spans="17:23">
      <c r="Q304" s="125"/>
      <c r="R304" s="125"/>
      <c r="S304" s="125"/>
      <c r="T304" s="125"/>
      <c r="U304" s="125"/>
      <c r="V304" s="125"/>
      <c r="W304" s="125"/>
    </row>
    <row r="305" spans="17:23">
      <c r="Q305" s="125"/>
      <c r="R305" s="125"/>
      <c r="S305" s="125"/>
      <c r="T305" s="125"/>
      <c r="U305" s="125"/>
      <c r="V305" s="125"/>
      <c r="W305" s="125"/>
    </row>
    <row r="306" spans="17:23">
      <c r="Q306" s="125"/>
      <c r="R306" s="125"/>
      <c r="S306" s="125"/>
      <c r="T306" s="125"/>
      <c r="U306" s="125"/>
      <c r="V306" s="125"/>
      <c r="W306" s="125"/>
    </row>
    <row r="307" spans="17:23">
      <c r="Q307" s="125"/>
      <c r="R307" s="125"/>
      <c r="S307" s="125"/>
      <c r="T307" s="125"/>
      <c r="U307" s="125"/>
      <c r="V307" s="125"/>
      <c r="W307" s="125"/>
    </row>
    <row r="308" spans="17:23">
      <c r="Q308" s="125"/>
      <c r="R308" s="125"/>
      <c r="S308" s="125"/>
      <c r="T308" s="125"/>
      <c r="U308" s="125"/>
      <c r="V308" s="125"/>
      <c r="W308" s="125"/>
    </row>
    <row r="309" spans="17:23">
      <c r="Q309" s="125"/>
      <c r="R309" s="125"/>
      <c r="S309" s="125"/>
      <c r="T309" s="125"/>
      <c r="U309" s="125"/>
      <c r="V309" s="125"/>
      <c r="W309" s="125"/>
    </row>
    <row r="310" spans="17:23">
      <c r="Q310" s="125"/>
      <c r="R310" s="125"/>
      <c r="S310" s="125"/>
      <c r="T310" s="125"/>
      <c r="U310" s="125"/>
      <c r="V310" s="125"/>
      <c r="W310" s="125"/>
    </row>
    <row r="311" spans="17:23">
      <c r="Q311" s="125"/>
      <c r="R311" s="125"/>
      <c r="S311" s="125"/>
      <c r="T311" s="125"/>
      <c r="U311" s="125"/>
      <c r="V311" s="125"/>
      <c r="W311" s="125"/>
    </row>
    <row r="312" spans="17:23">
      <c r="Q312" s="125"/>
      <c r="R312" s="125"/>
      <c r="S312" s="125"/>
      <c r="T312" s="125"/>
      <c r="U312" s="125"/>
      <c r="V312" s="125"/>
      <c r="W312" s="125"/>
    </row>
    <row r="313" spans="17:23">
      <c r="Q313" s="125"/>
      <c r="R313" s="125"/>
      <c r="S313" s="125"/>
      <c r="T313" s="125"/>
      <c r="U313" s="125"/>
      <c r="V313" s="125"/>
      <c r="W313" s="125"/>
    </row>
    <row r="314" spans="17:23">
      <c r="Q314" s="125"/>
      <c r="R314" s="125"/>
      <c r="S314" s="125"/>
      <c r="T314" s="125"/>
      <c r="U314" s="125"/>
      <c r="V314" s="125"/>
      <c r="W314" s="125"/>
    </row>
    <row r="315" spans="17:23">
      <c r="Q315" s="125"/>
      <c r="R315" s="125"/>
      <c r="S315" s="125"/>
      <c r="T315" s="125"/>
      <c r="U315" s="125"/>
      <c r="V315" s="125"/>
      <c r="W315" s="125"/>
    </row>
    <row r="316" spans="17:23">
      <c r="Q316" s="125"/>
      <c r="R316" s="125"/>
      <c r="S316" s="125"/>
      <c r="T316" s="125"/>
      <c r="U316" s="125"/>
      <c r="V316" s="125"/>
      <c r="W316" s="125"/>
    </row>
    <row r="317" spans="17:23">
      <c r="Q317" s="125"/>
      <c r="R317" s="125"/>
      <c r="S317" s="125"/>
      <c r="T317" s="125"/>
      <c r="U317" s="125"/>
      <c r="V317" s="125"/>
      <c r="W317" s="125"/>
    </row>
    <row r="318" spans="17:23">
      <c r="Q318" s="125"/>
      <c r="R318" s="125"/>
      <c r="S318" s="125"/>
      <c r="T318" s="125"/>
      <c r="U318" s="125"/>
      <c r="V318" s="125"/>
      <c r="W318" s="125"/>
    </row>
    <row r="319" spans="17:23">
      <c r="Q319" s="125"/>
      <c r="R319" s="125"/>
      <c r="S319" s="125"/>
      <c r="T319" s="125"/>
      <c r="U319" s="125"/>
      <c r="V319" s="125"/>
      <c r="W319" s="125"/>
    </row>
    <row r="320" spans="17:23">
      <c r="Q320" s="125"/>
      <c r="R320" s="125"/>
      <c r="S320" s="125"/>
      <c r="T320" s="125"/>
      <c r="U320" s="125"/>
      <c r="V320" s="125"/>
      <c r="W320" s="125"/>
    </row>
    <row r="321" spans="17:23">
      <c r="Q321" s="125"/>
      <c r="R321" s="125"/>
      <c r="S321" s="125"/>
      <c r="T321" s="125"/>
      <c r="U321" s="125"/>
      <c r="V321" s="125"/>
      <c r="W321" s="125"/>
    </row>
    <row r="322" spans="17:23">
      <c r="Q322" s="125"/>
      <c r="R322" s="125"/>
      <c r="S322" s="125"/>
      <c r="T322" s="125"/>
      <c r="U322" s="125"/>
      <c r="V322" s="125"/>
      <c r="W322" s="125"/>
    </row>
    <row r="323" spans="17:23">
      <c r="Q323" s="125"/>
      <c r="R323" s="125"/>
      <c r="S323" s="125"/>
      <c r="T323" s="125"/>
      <c r="U323" s="125"/>
      <c r="V323" s="125"/>
      <c r="W323" s="125"/>
    </row>
    <row r="324" spans="17:23">
      <c r="Q324" s="125"/>
      <c r="R324" s="125"/>
      <c r="S324" s="125"/>
      <c r="T324" s="125"/>
      <c r="U324" s="125"/>
      <c r="V324" s="125"/>
      <c r="W324" s="125"/>
    </row>
    <row r="325" spans="17:23">
      <c r="Q325" s="125"/>
      <c r="R325" s="125"/>
      <c r="S325" s="125"/>
      <c r="T325" s="125"/>
      <c r="U325" s="125"/>
      <c r="V325" s="125"/>
      <c r="W325" s="125"/>
    </row>
    <row r="326" spans="17:23">
      <c r="Q326" s="125"/>
      <c r="R326" s="125"/>
      <c r="S326" s="125"/>
      <c r="T326" s="125"/>
      <c r="U326" s="125"/>
      <c r="V326" s="125"/>
      <c r="W326" s="125"/>
    </row>
    <row r="327" spans="17:23">
      <c r="Q327" s="125"/>
      <c r="R327" s="125"/>
      <c r="S327" s="125"/>
      <c r="T327" s="125"/>
      <c r="U327" s="125"/>
      <c r="V327" s="125"/>
      <c r="W327" s="125"/>
    </row>
    <row r="328" spans="17:23">
      <c r="Q328" s="125"/>
      <c r="R328" s="125"/>
      <c r="S328" s="125"/>
      <c r="T328" s="125"/>
      <c r="U328" s="125"/>
      <c r="V328" s="125"/>
      <c r="W328" s="125"/>
    </row>
    <row r="329" spans="17:23">
      <c r="Q329" s="125"/>
      <c r="R329" s="125"/>
      <c r="S329" s="125"/>
      <c r="T329" s="125"/>
      <c r="U329" s="125"/>
      <c r="V329" s="125"/>
      <c r="W329" s="125"/>
    </row>
    <row r="330" spans="17:23">
      <c r="Q330" s="125"/>
      <c r="R330" s="125"/>
      <c r="S330" s="125"/>
      <c r="T330" s="125"/>
      <c r="U330" s="125"/>
      <c r="V330" s="125"/>
      <c r="W330" s="125"/>
    </row>
    <row r="331" spans="17:23">
      <c r="Q331" s="125"/>
      <c r="R331" s="125"/>
      <c r="S331" s="125"/>
      <c r="T331" s="125"/>
      <c r="U331" s="125"/>
      <c r="V331" s="125"/>
      <c r="W331" s="125"/>
    </row>
    <row r="332" spans="17:23">
      <c r="Q332" s="125"/>
      <c r="R332" s="125"/>
      <c r="S332" s="125"/>
      <c r="T332" s="125"/>
      <c r="U332" s="125"/>
      <c r="V332" s="125"/>
      <c r="W332" s="125"/>
    </row>
    <row r="333" spans="17:23">
      <c r="Q333" s="125"/>
      <c r="R333" s="125"/>
      <c r="S333" s="125"/>
      <c r="T333" s="125"/>
      <c r="U333" s="125"/>
      <c r="V333" s="125"/>
      <c r="W333" s="125"/>
    </row>
    <row r="334" spans="17:23">
      <c r="Q334" s="125"/>
      <c r="R334" s="125"/>
      <c r="S334" s="125"/>
      <c r="T334" s="125"/>
      <c r="U334" s="125"/>
      <c r="V334" s="125"/>
      <c r="W334" s="125"/>
    </row>
    <row r="335" spans="17:23">
      <c r="Q335" s="125"/>
      <c r="R335" s="125"/>
      <c r="S335" s="125"/>
      <c r="T335" s="125"/>
      <c r="U335" s="125"/>
      <c r="V335" s="125"/>
      <c r="W335" s="125"/>
    </row>
    <row r="336" spans="17:23">
      <c r="Q336" s="125"/>
      <c r="R336" s="125"/>
      <c r="S336" s="125"/>
      <c r="T336" s="125"/>
      <c r="U336" s="125"/>
      <c r="V336" s="125"/>
      <c r="W336" s="125"/>
    </row>
    <row r="337" spans="17:23">
      <c r="Q337" s="125"/>
      <c r="R337" s="125"/>
      <c r="S337" s="125"/>
      <c r="T337" s="125"/>
      <c r="U337" s="125"/>
      <c r="V337" s="125"/>
      <c r="W337" s="125"/>
    </row>
    <row r="338" spans="17:23">
      <c r="Q338" s="125"/>
      <c r="R338" s="125"/>
      <c r="S338" s="125"/>
      <c r="T338" s="125"/>
      <c r="U338" s="125"/>
      <c r="V338" s="125"/>
      <c r="W338" s="125"/>
    </row>
    <row r="339" spans="17:23">
      <c r="Q339" s="125"/>
      <c r="R339" s="125"/>
      <c r="S339" s="125"/>
      <c r="T339" s="125"/>
      <c r="U339" s="125"/>
      <c r="V339" s="125"/>
      <c r="W339" s="125"/>
    </row>
    <row r="340" spans="17:23">
      <c r="Q340" s="125"/>
      <c r="R340" s="125"/>
      <c r="S340" s="125"/>
      <c r="T340" s="125"/>
      <c r="U340" s="125"/>
      <c r="V340" s="125"/>
      <c r="W340" s="125"/>
    </row>
    <row r="341" spans="17:23">
      <c r="Q341" s="125"/>
      <c r="R341" s="125"/>
      <c r="S341" s="125"/>
      <c r="T341" s="125"/>
      <c r="U341" s="125"/>
      <c r="V341" s="125"/>
      <c r="W341" s="125"/>
    </row>
    <row r="342" spans="17:23">
      <c r="Q342" s="125"/>
      <c r="R342" s="125"/>
      <c r="S342" s="125"/>
      <c r="T342" s="125"/>
      <c r="U342" s="125"/>
      <c r="V342" s="125"/>
      <c r="W342" s="125"/>
    </row>
    <row r="343" spans="17:23">
      <c r="Q343" s="125"/>
      <c r="R343" s="125"/>
      <c r="S343" s="125"/>
      <c r="T343" s="125"/>
      <c r="U343" s="125"/>
      <c r="V343" s="125"/>
      <c r="W343" s="125"/>
    </row>
    <row r="344" spans="17:23">
      <c r="Q344" s="125"/>
      <c r="R344" s="125"/>
      <c r="S344" s="125"/>
      <c r="T344" s="125"/>
      <c r="U344" s="125"/>
      <c r="V344" s="125"/>
      <c r="W344" s="125"/>
    </row>
    <row r="345" spans="17:23">
      <c r="Q345" s="125"/>
      <c r="R345" s="125"/>
      <c r="S345" s="125"/>
      <c r="T345" s="125"/>
      <c r="U345" s="125"/>
      <c r="V345" s="125"/>
      <c r="W345" s="125"/>
    </row>
    <row r="346" spans="17:23">
      <c r="Q346" s="125"/>
      <c r="R346" s="125"/>
      <c r="S346" s="125"/>
      <c r="T346" s="125"/>
      <c r="U346" s="125"/>
      <c r="V346" s="125"/>
      <c r="W346" s="125"/>
    </row>
    <row r="347" spans="17:23">
      <c r="Q347" s="125"/>
      <c r="R347" s="125"/>
      <c r="S347" s="125"/>
      <c r="T347" s="125"/>
      <c r="U347" s="125"/>
      <c r="V347" s="125"/>
      <c r="W347" s="125"/>
    </row>
    <row r="348" spans="17:23">
      <c r="Q348" s="125"/>
      <c r="R348" s="125"/>
      <c r="S348" s="125"/>
      <c r="T348" s="125"/>
      <c r="U348" s="125"/>
      <c r="V348" s="125"/>
      <c r="W348" s="125"/>
    </row>
    <row r="349" spans="17:23">
      <c r="Q349" s="125"/>
      <c r="R349" s="125"/>
      <c r="S349" s="125"/>
      <c r="T349" s="125"/>
      <c r="U349" s="125"/>
      <c r="V349" s="125"/>
      <c r="W349" s="125"/>
    </row>
    <row r="350" spans="17:23">
      <c r="Q350" s="125"/>
      <c r="R350" s="125"/>
      <c r="S350" s="125"/>
      <c r="T350" s="125"/>
      <c r="U350" s="125"/>
      <c r="V350" s="125"/>
      <c r="W350" s="125"/>
    </row>
    <row r="351" spans="17:23">
      <c r="Q351" s="125"/>
      <c r="R351" s="125"/>
      <c r="S351" s="125"/>
      <c r="T351" s="125"/>
      <c r="U351" s="125"/>
      <c r="V351" s="125"/>
      <c r="W351" s="125"/>
    </row>
    <row r="352" spans="17:23">
      <c r="Q352" s="125"/>
      <c r="R352" s="125"/>
      <c r="S352" s="125"/>
      <c r="T352" s="125"/>
      <c r="U352" s="125"/>
      <c r="V352" s="125"/>
      <c r="W352" s="125"/>
    </row>
    <row r="353" spans="17:23">
      <c r="Q353" s="125"/>
      <c r="R353" s="125"/>
      <c r="S353" s="125"/>
      <c r="T353" s="125"/>
      <c r="U353" s="125"/>
      <c r="V353" s="125"/>
      <c r="W353" s="125"/>
    </row>
    <row r="354" spans="17:23">
      <c r="Q354" s="125"/>
      <c r="R354" s="125"/>
      <c r="S354" s="125"/>
      <c r="T354" s="125"/>
      <c r="U354" s="125"/>
      <c r="V354" s="125"/>
      <c r="W354" s="125"/>
    </row>
    <row r="355" spans="17:23">
      <c r="Q355" s="125"/>
      <c r="R355" s="125"/>
      <c r="S355" s="125"/>
      <c r="T355" s="125"/>
      <c r="U355" s="125"/>
      <c r="V355" s="125"/>
      <c r="W355" s="125"/>
    </row>
    <row r="356" spans="17:23">
      <c r="Q356" s="125"/>
      <c r="R356" s="125"/>
      <c r="S356" s="125"/>
      <c r="T356" s="125"/>
      <c r="U356" s="125"/>
      <c r="V356" s="125"/>
      <c r="W356" s="125"/>
    </row>
    <row r="357" spans="17:23">
      <c r="Q357" s="125"/>
      <c r="R357" s="125"/>
      <c r="S357" s="125"/>
      <c r="T357" s="125"/>
      <c r="U357" s="125"/>
      <c r="V357" s="125"/>
      <c r="W357" s="125"/>
    </row>
    <row r="358" spans="17:23">
      <c r="Q358" s="125"/>
      <c r="R358" s="125"/>
      <c r="S358" s="125"/>
      <c r="T358" s="125"/>
      <c r="U358" s="125"/>
      <c r="V358" s="125"/>
      <c r="W358" s="125"/>
    </row>
    <row r="359" spans="17:23">
      <c r="Q359" s="125"/>
      <c r="R359" s="125"/>
      <c r="S359" s="125"/>
      <c r="T359" s="125"/>
      <c r="U359" s="125"/>
      <c r="V359" s="125"/>
      <c r="W359" s="125"/>
    </row>
    <row r="360" spans="17:23">
      <c r="Q360" s="125"/>
      <c r="R360" s="125"/>
      <c r="S360" s="125"/>
      <c r="T360" s="125"/>
      <c r="U360" s="125"/>
      <c r="V360" s="125"/>
      <c r="W360" s="125"/>
    </row>
    <row r="361" spans="17:23">
      <c r="Q361" s="125"/>
      <c r="R361" s="125"/>
      <c r="S361" s="125"/>
      <c r="T361" s="125"/>
      <c r="U361" s="125"/>
      <c r="V361" s="125"/>
      <c r="W361" s="125"/>
    </row>
    <row r="362" spans="17:23">
      <c r="Q362" s="125"/>
      <c r="R362" s="125"/>
      <c r="S362" s="125"/>
      <c r="T362" s="125"/>
      <c r="U362" s="125"/>
      <c r="V362" s="125"/>
      <c r="W362" s="125"/>
    </row>
    <row r="363" spans="17:23">
      <c r="Q363" s="125"/>
      <c r="R363" s="125"/>
      <c r="S363" s="125"/>
      <c r="T363" s="125"/>
      <c r="U363" s="125"/>
      <c r="V363" s="125"/>
      <c r="W363" s="125"/>
    </row>
    <row r="364" spans="17:23">
      <c r="Q364" s="125"/>
      <c r="R364" s="125"/>
      <c r="S364" s="125"/>
      <c r="T364" s="125"/>
      <c r="U364" s="125"/>
      <c r="V364" s="125"/>
      <c r="W364" s="125"/>
    </row>
    <row r="365" spans="17:23">
      <c r="Q365" s="125"/>
      <c r="R365" s="125"/>
      <c r="S365" s="125"/>
      <c r="T365" s="125"/>
      <c r="U365" s="125"/>
      <c r="V365" s="125"/>
      <c r="W365" s="125"/>
    </row>
    <row r="366" spans="17:23">
      <c r="Q366" s="125"/>
      <c r="R366" s="125"/>
      <c r="S366" s="125"/>
      <c r="T366" s="125"/>
      <c r="U366" s="125"/>
      <c r="V366" s="125"/>
      <c r="W366" s="125"/>
    </row>
    <row r="367" spans="17:23">
      <c r="Q367" s="125"/>
      <c r="R367" s="125"/>
      <c r="S367" s="125"/>
      <c r="T367" s="125"/>
      <c r="U367" s="125"/>
      <c r="V367" s="125"/>
      <c r="W367" s="125"/>
    </row>
    <row r="368" spans="17:23">
      <c r="Q368" s="125"/>
      <c r="R368" s="125"/>
      <c r="S368" s="125"/>
      <c r="T368" s="125"/>
      <c r="U368" s="125"/>
      <c r="V368" s="125"/>
      <c r="W368" s="125"/>
    </row>
    <row r="369" spans="17:23">
      <c r="Q369" s="125"/>
      <c r="R369" s="125"/>
      <c r="S369" s="125"/>
      <c r="T369" s="125"/>
      <c r="U369" s="125"/>
      <c r="V369" s="125"/>
      <c r="W369" s="125"/>
    </row>
    <row r="370" spans="17:23">
      <c r="Q370" s="125"/>
      <c r="R370" s="125"/>
      <c r="S370" s="125"/>
      <c r="T370" s="125"/>
      <c r="U370" s="125"/>
      <c r="V370" s="125"/>
      <c r="W370" s="125"/>
    </row>
    <row r="371" spans="17:23">
      <c r="Q371" s="125"/>
      <c r="R371" s="125"/>
      <c r="S371" s="125"/>
      <c r="T371" s="125"/>
      <c r="U371" s="125"/>
      <c r="V371" s="125"/>
      <c r="W371" s="125"/>
    </row>
    <row r="372" spans="17:23">
      <c r="Q372" s="125"/>
      <c r="R372" s="125"/>
      <c r="S372" s="125"/>
      <c r="T372" s="125"/>
      <c r="U372" s="125"/>
      <c r="V372" s="125"/>
      <c r="W372" s="125"/>
    </row>
    <row r="373" spans="17:23">
      <c r="Q373" s="125"/>
      <c r="R373" s="125"/>
      <c r="S373" s="125"/>
      <c r="T373" s="125"/>
      <c r="U373" s="125"/>
      <c r="V373" s="125"/>
      <c r="W373" s="125"/>
    </row>
    <row r="374" spans="17:23">
      <c r="Q374" s="125"/>
      <c r="R374" s="125"/>
      <c r="S374" s="125"/>
      <c r="T374" s="125"/>
      <c r="U374" s="125"/>
      <c r="V374" s="125"/>
      <c r="W374" s="125"/>
    </row>
    <row r="375" spans="17:23">
      <c r="Q375" s="125"/>
      <c r="R375" s="125"/>
      <c r="S375" s="125"/>
      <c r="T375" s="125"/>
      <c r="U375" s="125"/>
      <c r="V375" s="125"/>
      <c r="W375" s="125"/>
    </row>
    <row r="376" spans="17:23">
      <c r="Q376" s="125"/>
      <c r="R376" s="125"/>
      <c r="S376" s="125"/>
      <c r="T376" s="125"/>
      <c r="U376" s="125"/>
      <c r="V376" s="125"/>
      <c r="W376" s="125"/>
    </row>
    <row r="377" spans="17:23">
      <c r="Q377" s="125"/>
      <c r="R377" s="125"/>
      <c r="S377" s="125"/>
      <c r="T377" s="125"/>
      <c r="U377" s="125"/>
      <c r="V377" s="125"/>
      <c r="W377" s="125"/>
    </row>
    <row r="378" spans="17:23">
      <c r="Q378" s="125"/>
      <c r="R378" s="125"/>
      <c r="S378" s="125"/>
      <c r="T378" s="125"/>
      <c r="U378" s="125"/>
      <c r="V378" s="125"/>
      <c r="W378" s="125"/>
    </row>
    <row r="379" spans="17:23">
      <c r="Q379" s="125"/>
      <c r="R379" s="125"/>
      <c r="S379" s="125"/>
      <c r="T379" s="125"/>
      <c r="U379" s="125"/>
      <c r="V379" s="125"/>
      <c r="W379" s="125"/>
    </row>
    <row r="380" spans="17:23">
      <c r="Q380" s="125"/>
      <c r="R380" s="125"/>
      <c r="S380" s="125"/>
      <c r="T380" s="125"/>
      <c r="U380" s="125"/>
      <c r="V380" s="125"/>
      <c r="W380" s="125"/>
    </row>
    <row r="381" spans="17:23">
      <c r="Q381" s="125"/>
      <c r="R381" s="125"/>
      <c r="S381" s="125"/>
      <c r="T381" s="125"/>
      <c r="U381" s="125"/>
      <c r="V381" s="125"/>
      <c r="W381" s="125"/>
    </row>
    <row r="382" spans="17:23">
      <c r="Q382" s="125"/>
      <c r="R382" s="125"/>
      <c r="S382" s="125"/>
      <c r="T382" s="125"/>
      <c r="U382" s="125"/>
      <c r="V382" s="125"/>
      <c r="W382" s="125"/>
    </row>
    <row r="383" spans="17:23">
      <c r="Q383" s="125"/>
      <c r="R383" s="125"/>
      <c r="S383" s="125"/>
      <c r="T383" s="125"/>
      <c r="U383" s="125"/>
      <c r="V383" s="125"/>
      <c r="W383" s="125"/>
    </row>
    <row r="384" spans="17:23">
      <c r="Q384" s="125"/>
      <c r="R384" s="125"/>
      <c r="S384" s="125"/>
      <c r="T384" s="125"/>
      <c r="U384" s="125"/>
      <c r="V384" s="125"/>
      <c r="W384" s="125"/>
    </row>
    <row r="385" spans="17:23">
      <c r="Q385" s="125"/>
      <c r="R385" s="125"/>
      <c r="S385" s="125"/>
      <c r="T385" s="125"/>
      <c r="U385" s="125"/>
      <c r="V385" s="125"/>
      <c r="W385" s="125"/>
    </row>
    <row r="386" spans="17:23">
      <c r="Q386" s="125"/>
      <c r="R386" s="125"/>
      <c r="S386" s="125"/>
      <c r="T386" s="125"/>
      <c r="U386" s="125"/>
      <c r="V386" s="125"/>
      <c r="W386" s="125"/>
    </row>
    <row r="387" spans="17:23">
      <c r="Q387" s="125"/>
      <c r="R387" s="125"/>
      <c r="S387" s="125"/>
      <c r="T387" s="125"/>
      <c r="U387" s="125"/>
      <c r="V387" s="125"/>
      <c r="W387" s="125"/>
    </row>
    <row r="388" spans="17:23">
      <c r="Q388" s="125"/>
      <c r="R388" s="125"/>
      <c r="S388" s="125"/>
      <c r="T388" s="125"/>
      <c r="U388" s="125"/>
      <c r="V388" s="125"/>
      <c r="W388" s="125"/>
    </row>
    <row r="389" spans="17:23">
      <c r="Q389" s="125"/>
      <c r="R389" s="125"/>
      <c r="S389" s="125"/>
      <c r="T389" s="125"/>
      <c r="U389" s="125"/>
      <c r="V389" s="125"/>
      <c r="W389" s="125"/>
    </row>
    <row r="390" spans="17:23">
      <c r="Q390" s="125"/>
      <c r="R390" s="125"/>
      <c r="S390" s="125"/>
      <c r="T390" s="125"/>
      <c r="U390" s="125"/>
      <c r="V390" s="125"/>
      <c r="W390" s="125"/>
    </row>
    <row r="391" spans="17:23">
      <c r="Q391" s="125"/>
      <c r="R391" s="125"/>
      <c r="S391" s="125"/>
      <c r="T391" s="125"/>
      <c r="U391" s="125"/>
      <c r="V391" s="125"/>
      <c r="W391" s="125"/>
    </row>
    <row r="392" spans="17:23">
      <c r="Q392" s="125"/>
      <c r="R392" s="125"/>
      <c r="S392" s="125"/>
      <c r="T392" s="125"/>
      <c r="U392" s="125"/>
      <c r="V392" s="125"/>
      <c r="W392" s="125"/>
    </row>
    <row r="393" spans="17:23">
      <c r="Q393" s="125"/>
      <c r="R393" s="125"/>
      <c r="S393" s="125"/>
      <c r="T393" s="125"/>
      <c r="U393" s="125"/>
      <c r="V393" s="125"/>
      <c r="W393" s="125"/>
    </row>
    <row r="394" spans="17:23">
      <c r="Q394" s="125"/>
      <c r="R394" s="125"/>
      <c r="S394" s="125"/>
      <c r="T394" s="125"/>
      <c r="U394" s="125"/>
      <c r="V394" s="125"/>
      <c r="W394" s="125"/>
    </row>
    <row r="395" spans="17:23">
      <c r="Q395" s="125"/>
      <c r="R395" s="125"/>
      <c r="S395" s="125"/>
      <c r="T395" s="125"/>
      <c r="U395" s="125"/>
      <c r="V395" s="125"/>
      <c r="W395" s="125"/>
    </row>
    <row r="396" spans="17:23">
      <c r="Q396" s="125"/>
      <c r="R396" s="125"/>
      <c r="S396" s="125"/>
      <c r="T396" s="125"/>
      <c r="U396" s="125"/>
      <c r="V396" s="125"/>
      <c r="W396" s="125"/>
    </row>
    <row r="397" spans="17:23">
      <c r="Q397" s="125"/>
      <c r="R397" s="125"/>
      <c r="S397" s="125"/>
      <c r="T397" s="125"/>
      <c r="U397" s="125"/>
      <c r="V397" s="125"/>
      <c r="W397" s="125"/>
    </row>
    <row r="398" spans="17:23">
      <c r="Q398" s="125"/>
      <c r="R398" s="125"/>
      <c r="S398" s="125"/>
      <c r="T398" s="125"/>
      <c r="U398" s="125"/>
      <c r="V398" s="125"/>
      <c r="W398" s="125"/>
    </row>
    <row r="399" spans="17:23">
      <c r="Q399" s="125"/>
      <c r="R399" s="125"/>
      <c r="S399" s="125"/>
      <c r="T399" s="125"/>
      <c r="U399" s="125"/>
      <c r="V399" s="125"/>
      <c r="W399" s="125"/>
    </row>
    <row r="400" spans="17:23">
      <c r="Q400" s="125"/>
      <c r="R400" s="125"/>
      <c r="S400" s="125"/>
      <c r="T400" s="125"/>
      <c r="U400" s="125"/>
      <c r="V400" s="125"/>
      <c r="W400" s="125"/>
    </row>
    <row r="401" spans="17:23">
      <c r="Q401" s="125"/>
      <c r="R401" s="125"/>
      <c r="S401" s="125"/>
      <c r="T401" s="125"/>
      <c r="U401" s="125"/>
      <c r="V401" s="125"/>
      <c r="W401" s="125"/>
    </row>
    <row r="402" spans="17:23">
      <c r="Q402" s="125"/>
      <c r="R402" s="125"/>
      <c r="S402" s="125"/>
      <c r="T402" s="125"/>
      <c r="U402" s="125"/>
      <c r="V402" s="125"/>
      <c r="W402" s="125"/>
    </row>
    <row r="403" spans="17:23">
      <c r="Q403" s="125"/>
      <c r="R403" s="125"/>
      <c r="S403" s="125"/>
      <c r="T403" s="125"/>
      <c r="U403" s="125"/>
      <c r="V403" s="125"/>
      <c r="W403" s="125"/>
    </row>
    <row r="404" spans="17:23">
      <c r="Q404" s="125"/>
      <c r="R404" s="125"/>
      <c r="S404" s="125"/>
      <c r="T404" s="125"/>
      <c r="U404" s="125"/>
      <c r="V404" s="125"/>
      <c r="W404" s="125"/>
    </row>
    <row r="405" spans="17:23">
      <c r="Q405" s="125"/>
      <c r="R405" s="125"/>
      <c r="S405" s="125"/>
      <c r="T405" s="125"/>
      <c r="U405" s="125"/>
      <c r="V405" s="125"/>
      <c r="W405" s="125"/>
    </row>
    <row r="406" spans="17:23">
      <c r="Q406" s="125"/>
      <c r="R406" s="125"/>
      <c r="S406" s="125"/>
      <c r="T406" s="125"/>
      <c r="U406" s="125"/>
      <c r="V406" s="125"/>
      <c r="W406" s="125"/>
    </row>
    <row r="407" spans="17:23">
      <c r="Q407" s="125"/>
      <c r="R407" s="125"/>
      <c r="S407" s="125"/>
      <c r="T407" s="125"/>
      <c r="U407" s="125"/>
      <c r="V407" s="125"/>
      <c r="W407" s="125"/>
    </row>
    <row r="408" spans="17:23">
      <c r="Q408" s="125"/>
      <c r="R408" s="125"/>
      <c r="S408" s="125"/>
      <c r="T408" s="125"/>
      <c r="U408" s="125"/>
      <c r="V408" s="125"/>
      <c r="W408" s="125"/>
    </row>
    <row r="409" spans="17:23">
      <c r="Q409" s="125"/>
      <c r="R409" s="125"/>
      <c r="S409" s="125"/>
      <c r="T409" s="125"/>
      <c r="U409" s="125"/>
      <c r="V409" s="125"/>
      <c r="W409" s="125"/>
    </row>
    <row r="410" spans="17:23">
      <c r="Q410" s="125"/>
      <c r="R410" s="125"/>
      <c r="S410" s="125"/>
      <c r="T410" s="125"/>
      <c r="U410" s="125"/>
      <c r="V410" s="125"/>
      <c r="W410" s="125"/>
    </row>
    <row r="411" spans="17:23">
      <c r="Q411" s="125"/>
      <c r="R411" s="125"/>
      <c r="S411" s="125"/>
      <c r="T411" s="125"/>
      <c r="U411" s="125"/>
      <c r="V411" s="125"/>
      <c r="W411" s="125"/>
    </row>
    <row r="412" spans="17:23">
      <c r="Q412" s="125"/>
      <c r="R412" s="125"/>
      <c r="S412" s="125"/>
      <c r="T412" s="125"/>
      <c r="U412" s="125"/>
      <c r="V412" s="125"/>
      <c r="W412" s="125"/>
    </row>
    <row r="413" spans="17:23">
      <c r="Q413" s="125"/>
      <c r="R413" s="125"/>
      <c r="S413" s="125"/>
      <c r="T413" s="125"/>
      <c r="U413" s="125"/>
      <c r="V413" s="125"/>
      <c r="W413" s="125"/>
    </row>
    <row r="414" spans="17:23">
      <c r="Q414" s="125"/>
      <c r="R414" s="125"/>
      <c r="S414" s="125"/>
      <c r="T414" s="125"/>
      <c r="U414" s="125"/>
      <c r="V414" s="125"/>
      <c r="W414" s="125"/>
    </row>
    <row r="415" spans="17:23">
      <c r="Q415" s="125"/>
      <c r="R415" s="125"/>
      <c r="S415" s="125"/>
      <c r="T415" s="125"/>
      <c r="U415" s="125"/>
      <c r="V415" s="125"/>
      <c r="W415" s="125"/>
    </row>
    <row r="416" spans="17:23">
      <c r="Q416" s="125"/>
      <c r="R416" s="125"/>
      <c r="S416" s="125"/>
      <c r="T416" s="125"/>
      <c r="U416" s="125"/>
      <c r="V416" s="125"/>
      <c r="W416" s="125"/>
    </row>
    <row r="417" spans="17:23">
      <c r="Q417" s="125"/>
      <c r="R417" s="125"/>
      <c r="S417" s="125"/>
      <c r="T417" s="125"/>
      <c r="U417" s="125"/>
      <c r="V417" s="125"/>
      <c r="W417" s="125"/>
    </row>
    <row r="418" spans="17:23">
      <c r="Q418" s="125"/>
      <c r="R418" s="125"/>
      <c r="S418" s="125"/>
      <c r="T418" s="125"/>
      <c r="U418" s="125"/>
      <c r="V418" s="125"/>
      <c r="W418" s="125"/>
    </row>
    <row r="419" spans="17:23">
      <c r="Q419" s="125"/>
      <c r="R419" s="125"/>
      <c r="S419" s="125"/>
      <c r="T419" s="125"/>
      <c r="U419" s="125"/>
      <c r="V419" s="125"/>
      <c r="W419" s="125"/>
    </row>
    <row r="420" spans="17:23">
      <c r="Q420" s="125"/>
      <c r="R420" s="125"/>
      <c r="S420" s="125"/>
      <c r="T420" s="125"/>
      <c r="U420" s="125"/>
      <c r="V420" s="125"/>
      <c r="W420" s="125"/>
    </row>
    <row r="421" spans="17:23">
      <c r="Q421" s="125"/>
      <c r="R421" s="125"/>
      <c r="S421" s="125"/>
      <c r="T421" s="125"/>
      <c r="U421" s="125"/>
      <c r="V421" s="125"/>
      <c r="W421" s="125"/>
    </row>
    <row r="422" spans="17:23">
      <c r="Q422" s="125"/>
      <c r="R422" s="125"/>
      <c r="S422" s="125"/>
      <c r="T422" s="125"/>
      <c r="U422" s="125"/>
      <c r="V422" s="125"/>
      <c r="W422" s="125"/>
    </row>
    <row r="423" spans="17:23">
      <c r="Q423" s="125"/>
      <c r="R423" s="125"/>
      <c r="S423" s="125"/>
      <c r="T423" s="125"/>
      <c r="U423" s="125"/>
      <c r="V423" s="125"/>
      <c r="W423" s="125"/>
    </row>
    <row r="424" spans="17:23">
      <c r="Q424" s="125"/>
      <c r="R424" s="125"/>
      <c r="S424" s="125"/>
      <c r="T424" s="125"/>
      <c r="U424" s="125"/>
      <c r="V424" s="125"/>
      <c r="W424" s="125"/>
    </row>
    <row r="425" spans="17:23">
      <c r="Q425" s="125"/>
      <c r="R425" s="125"/>
      <c r="S425" s="125"/>
      <c r="T425" s="125"/>
      <c r="U425" s="125"/>
      <c r="V425" s="125"/>
      <c r="W425" s="125"/>
    </row>
    <row r="426" spans="17:23">
      <c r="Q426" s="125"/>
      <c r="R426" s="125"/>
      <c r="S426" s="125"/>
      <c r="T426" s="125"/>
      <c r="U426" s="125"/>
      <c r="V426" s="125"/>
      <c r="W426" s="125"/>
    </row>
    <row r="427" spans="17:23">
      <c r="Q427" s="125"/>
      <c r="R427" s="125"/>
      <c r="S427" s="125"/>
      <c r="T427" s="125"/>
      <c r="U427" s="125"/>
      <c r="V427" s="125"/>
      <c r="W427" s="125"/>
    </row>
    <row r="428" spans="17:23">
      <c r="Q428" s="125"/>
      <c r="R428" s="125"/>
      <c r="S428" s="125"/>
      <c r="T428" s="125"/>
      <c r="U428" s="125"/>
      <c r="V428" s="125"/>
      <c r="W428" s="125"/>
    </row>
    <row r="429" spans="17:23">
      <c r="Q429" s="125"/>
      <c r="R429" s="125"/>
      <c r="S429" s="125"/>
      <c r="T429" s="125"/>
      <c r="U429" s="125"/>
      <c r="V429" s="125"/>
      <c r="W429" s="125"/>
    </row>
    <row r="430" spans="17:23">
      <c r="Q430" s="125"/>
      <c r="R430" s="125"/>
      <c r="S430" s="125"/>
      <c r="T430" s="125"/>
      <c r="U430" s="125"/>
      <c r="V430" s="125"/>
      <c r="W430" s="125"/>
    </row>
    <row r="431" spans="17:23">
      <c r="Q431" s="125"/>
      <c r="R431" s="125"/>
      <c r="S431" s="125"/>
      <c r="T431" s="125"/>
      <c r="U431" s="125"/>
      <c r="V431" s="125"/>
      <c r="W431" s="125"/>
    </row>
    <row r="432" spans="17:23">
      <c r="Q432" s="125"/>
      <c r="R432" s="125"/>
      <c r="S432" s="125"/>
      <c r="T432" s="125"/>
      <c r="U432" s="125"/>
      <c r="V432" s="125"/>
      <c r="W432" s="125"/>
    </row>
    <row r="433" spans="17:23">
      <c r="Q433" s="125"/>
      <c r="R433" s="125"/>
      <c r="S433" s="125"/>
      <c r="T433" s="125"/>
      <c r="U433" s="125"/>
      <c r="V433" s="125"/>
      <c r="W433" s="125"/>
    </row>
    <row r="434" spans="17:23">
      <c r="Q434" s="125"/>
      <c r="R434" s="125"/>
      <c r="S434" s="125"/>
      <c r="T434" s="125"/>
      <c r="U434" s="125"/>
      <c r="V434" s="125"/>
      <c r="W434" s="125"/>
    </row>
    <row r="435" spans="17:23">
      <c r="Q435" s="125"/>
      <c r="R435" s="125"/>
      <c r="S435" s="125"/>
      <c r="T435" s="125"/>
      <c r="U435" s="125"/>
      <c r="V435" s="125"/>
      <c r="W435" s="125"/>
    </row>
    <row r="436" spans="17:23">
      <c r="Q436" s="125"/>
      <c r="R436" s="125"/>
      <c r="S436" s="125"/>
      <c r="T436" s="125"/>
      <c r="U436" s="125"/>
      <c r="V436" s="125"/>
      <c r="W436" s="125"/>
    </row>
    <row r="437" spans="17:23">
      <c r="Q437" s="125"/>
      <c r="R437" s="125"/>
      <c r="S437" s="125"/>
      <c r="T437" s="125"/>
      <c r="U437" s="125"/>
      <c r="V437" s="125"/>
      <c r="W437" s="125"/>
    </row>
    <row r="438" spans="17:23">
      <c r="Q438" s="125"/>
      <c r="R438" s="125"/>
      <c r="S438" s="125"/>
      <c r="T438" s="125"/>
      <c r="U438" s="125"/>
      <c r="V438" s="125"/>
      <c r="W438" s="125"/>
    </row>
    <row r="439" spans="17:23">
      <c r="Q439" s="125"/>
      <c r="R439" s="125"/>
      <c r="S439" s="125"/>
      <c r="T439" s="125"/>
      <c r="U439" s="125"/>
      <c r="V439" s="125"/>
      <c r="W439" s="125"/>
    </row>
    <row r="440" spans="17:23">
      <c r="Q440" s="125"/>
      <c r="R440" s="125"/>
      <c r="S440" s="125"/>
      <c r="T440" s="125"/>
      <c r="U440" s="125"/>
      <c r="V440" s="125"/>
      <c r="W440" s="125"/>
    </row>
    <row r="441" spans="17:23">
      <c r="Q441" s="125"/>
      <c r="R441" s="125"/>
      <c r="S441" s="125"/>
      <c r="T441" s="125"/>
      <c r="U441" s="125"/>
      <c r="V441" s="125"/>
      <c r="W441" s="125"/>
    </row>
    <row r="442" spans="17:23">
      <c r="Q442" s="125"/>
      <c r="R442" s="125"/>
      <c r="S442" s="125"/>
      <c r="T442" s="125"/>
      <c r="U442" s="125"/>
      <c r="V442" s="125"/>
      <c r="W442" s="125"/>
    </row>
    <row r="443" spans="17:23">
      <c r="Q443" s="125"/>
      <c r="R443" s="125"/>
      <c r="S443" s="125"/>
      <c r="T443" s="125"/>
      <c r="U443" s="125"/>
      <c r="V443" s="125"/>
      <c r="W443" s="125"/>
    </row>
    <row r="444" spans="17:23">
      <c r="Q444" s="125"/>
      <c r="R444" s="125"/>
      <c r="S444" s="125"/>
      <c r="T444" s="125"/>
      <c r="U444" s="125"/>
      <c r="V444" s="125"/>
      <c r="W444" s="125"/>
    </row>
    <row r="445" spans="17:23">
      <c r="Q445" s="125"/>
      <c r="R445" s="125"/>
      <c r="S445" s="125"/>
      <c r="T445" s="125"/>
      <c r="U445" s="125"/>
      <c r="V445" s="125"/>
      <c r="W445" s="125"/>
    </row>
    <row r="446" spans="17:23">
      <c r="Q446" s="125"/>
      <c r="R446" s="125"/>
      <c r="S446" s="125"/>
      <c r="T446" s="125"/>
      <c r="U446" s="125"/>
      <c r="V446" s="125"/>
      <c r="W446" s="125"/>
    </row>
    <row r="447" spans="17:23">
      <c r="Q447" s="125"/>
      <c r="R447" s="125"/>
      <c r="S447" s="125"/>
      <c r="T447" s="125"/>
      <c r="U447" s="125"/>
      <c r="V447" s="125"/>
      <c r="W447" s="125"/>
    </row>
    <row r="448" spans="17:23">
      <c r="Q448" s="125"/>
      <c r="R448" s="125"/>
      <c r="S448" s="125"/>
      <c r="T448" s="125"/>
      <c r="U448" s="125"/>
      <c r="V448" s="125"/>
      <c r="W448" s="125"/>
    </row>
    <row r="449" spans="17:23">
      <c r="Q449" s="125"/>
      <c r="R449" s="125"/>
      <c r="S449" s="125"/>
      <c r="T449" s="125"/>
      <c r="U449" s="125"/>
      <c r="V449" s="125"/>
      <c r="W449" s="125"/>
    </row>
    <row r="450" spans="17:23">
      <c r="Q450" s="125"/>
      <c r="R450" s="125"/>
      <c r="S450" s="125"/>
      <c r="T450" s="125"/>
      <c r="U450" s="125"/>
      <c r="V450" s="125"/>
      <c r="W450" s="125"/>
    </row>
    <row r="451" spans="17:23">
      <c r="Q451" s="125"/>
      <c r="R451" s="125"/>
      <c r="S451" s="125"/>
      <c r="T451" s="125"/>
      <c r="U451" s="125"/>
      <c r="V451" s="125"/>
      <c r="W451" s="125"/>
    </row>
    <row r="452" spans="17:23">
      <c r="Q452" s="125"/>
      <c r="R452" s="125"/>
      <c r="S452" s="125"/>
      <c r="T452" s="125"/>
      <c r="U452" s="125"/>
      <c r="V452" s="125"/>
      <c r="W452" s="125"/>
    </row>
    <row r="453" spans="17:23">
      <c r="Q453" s="125"/>
      <c r="R453" s="125"/>
      <c r="S453" s="125"/>
      <c r="T453" s="125"/>
      <c r="U453" s="125"/>
      <c r="V453" s="125"/>
      <c r="W453" s="125"/>
    </row>
    <row r="454" spans="17:23">
      <c r="Q454" s="125"/>
      <c r="R454" s="125"/>
      <c r="S454" s="125"/>
      <c r="T454" s="125"/>
      <c r="U454" s="125"/>
      <c r="V454" s="125"/>
      <c r="W454" s="125"/>
    </row>
    <row r="455" spans="17:23">
      <c r="Q455" s="125"/>
      <c r="R455" s="125"/>
      <c r="S455" s="125"/>
      <c r="T455" s="125"/>
      <c r="U455" s="125"/>
      <c r="V455" s="125"/>
      <c r="W455" s="125"/>
    </row>
    <row r="456" spans="17:23">
      <c r="Q456" s="125"/>
      <c r="R456" s="125"/>
      <c r="S456" s="125"/>
      <c r="T456" s="125"/>
      <c r="U456" s="125"/>
      <c r="V456" s="125"/>
      <c r="W456" s="125"/>
    </row>
    <row r="457" spans="17:23">
      <c r="Q457" s="125"/>
      <c r="R457" s="125"/>
      <c r="S457" s="125"/>
      <c r="T457" s="125"/>
      <c r="U457" s="125"/>
      <c r="V457" s="125"/>
      <c r="W457" s="125"/>
    </row>
    <row r="458" spans="17:23">
      <c r="Q458" s="125"/>
      <c r="R458" s="125"/>
      <c r="S458" s="125"/>
      <c r="T458" s="125"/>
      <c r="U458" s="125"/>
      <c r="V458" s="125"/>
      <c r="W458" s="125"/>
    </row>
    <row r="459" spans="17:23">
      <c r="Q459" s="125"/>
      <c r="R459" s="125"/>
      <c r="S459" s="125"/>
      <c r="T459" s="125"/>
      <c r="U459" s="125"/>
      <c r="V459" s="125"/>
      <c r="W459" s="125"/>
    </row>
    <row r="460" spans="17:23">
      <c r="Q460" s="125"/>
      <c r="R460" s="125"/>
      <c r="S460" s="125"/>
      <c r="T460" s="125"/>
      <c r="U460" s="125"/>
      <c r="V460" s="125"/>
      <c r="W460" s="125"/>
    </row>
    <row r="461" spans="17:23">
      <c r="Q461" s="125"/>
      <c r="R461" s="125"/>
      <c r="S461" s="125"/>
      <c r="T461" s="125"/>
      <c r="U461" s="125"/>
      <c r="V461" s="125"/>
      <c r="W461" s="125"/>
    </row>
    <row r="462" spans="17:23">
      <c r="Q462" s="125"/>
      <c r="R462" s="125"/>
      <c r="S462" s="125"/>
      <c r="T462" s="125"/>
      <c r="U462" s="125"/>
      <c r="V462" s="125"/>
      <c r="W462" s="125"/>
    </row>
    <row r="463" spans="17:23">
      <c r="Q463" s="125"/>
      <c r="R463" s="125"/>
      <c r="S463" s="125"/>
      <c r="T463" s="125"/>
      <c r="U463" s="125"/>
      <c r="V463" s="125"/>
      <c r="W463" s="125"/>
    </row>
    <row r="464" spans="17:23">
      <c r="Q464" s="125"/>
      <c r="R464" s="125"/>
      <c r="S464" s="125"/>
      <c r="T464" s="125"/>
      <c r="U464" s="125"/>
      <c r="V464" s="125"/>
      <c r="W464" s="125"/>
    </row>
    <row r="465" spans="17:23">
      <c r="Q465" s="125"/>
      <c r="R465" s="125"/>
      <c r="S465" s="125"/>
      <c r="T465" s="125"/>
      <c r="U465" s="125"/>
      <c r="V465" s="125"/>
      <c r="W465" s="125"/>
    </row>
    <row r="466" spans="17:23">
      <c r="Q466" s="125"/>
      <c r="R466" s="125"/>
      <c r="S466" s="125"/>
      <c r="T466" s="125"/>
      <c r="U466" s="125"/>
      <c r="V466" s="125"/>
      <c r="W466" s="125"/>
    </row>
    <row r="467" spans="17:23">
      <c r="Q467" s="125"/>
      <c r="R467" s="125"/>
      <c r="S467" s="125"/>
      <c r="T467" s="125"/>
      <c r="U467" s="125"/>
      <c r="V467" s="125"/>
      <c r="W467" s="125"/>
    </row>
    <row r="468" spans="17:23">
      <c r="Q468" s="125"/>
      <c r="R468" s="125"/>
      <c r="S468" s="125"/>
      <c r="T468" s="125"/>
      <c r="U468" s="125"/>
      <c r="V468" s="125"/>
      <c r="W468" s="125"/>
    </row>
    <row r="469" spans="17:23">
      <c r="Q469" s="125"/>
      <c r="R469" s="125"/>
      <c r="S469" s="125"/>
      <c r="T469" s="125"/>
      <c r="U469" s="125"/>
      <c r="V469" s="125"/>
      <c r="W469" s="125"/>
    </row>
    <row r="470" spans="17:23">
      <c r="Q470" s="125"/>
      <c r="R470" s="125"/>
      <c r="S470" s="125"/>
      <c r="T470" s="125"/>
      <c r="U470" s="125"/>
      <c r="V470" s="125"/>
      <c r="W470" s="125"/>
    </row>
    <row r="471" spans="17:23">
      <c r="Q471" s="125"/>
      <c r="R471" s="125"/>
      <c r="S471" s="125"/>
      <c r="T471" s="125"/>
      <c r="U471" s="125"/>
      <c r="V471" s="125"/>
      <c r="W471" s="125"/>
    </row>
    <row r="472" spans="17:23">
      <c r="Q472" s="125"/>
      <c r="R472" s="125"/>
      <c r="S472" s="125"/>
      <c r="T472" s="125"/>
      <c r="U472" s="125"/>
      <c r="V472" s="125"/>
      <c r="W472" s="125"/>
    </row>
    <row r="473" spans="17:23">
      <c r="Q473" s="125"/>
      <c r="R473" s="125"/>
      <c r="S473" s="125"/>
      <c r="T473" s="125"/>
      <c r="U473" s="125"/>
      <c r="V473" s="125"/>
      <c r="W473" s="125"/>
    </row>
    <row r="474" spans="17:23">
      <c r="Q474" s="125"/>
      <c r="R474" s="125"/>
      <c r="S474" s="125"/>
      <c r="T474" s="125"/>
      <c r="U474" s="125"/>
      <c r="V474" s="125"/>
      <c r="W474" s="125"/>
    </row>
    <row r="475" spans="17:23">
      <c r="Q475" s="125"/>
      <c r="R475" s="125"/>
      <c r="S475" s="125"/>
      <c r="T475" s="125"/>
      <c r="U475" s="125"/>
      <c r="V475" s="125"/>
      <c r="W475" s="125"/>
    </row>
    <row r="476" spans="17:23">
      <c r="Q476" s="125"/>
      <c r="R476" s="125"/>
      <c r="S476" s="125"/>
      <c r="T476" s="125"/>
      <c r="U476" s="125"/>
      <c r="V476" s="125"/>
      <c r="W476" s="125"/>
    </row>
    <row r="477" spans="17:23">
      <c r="Q477" s="125"/>
      <c r="R477" s="125"/>
      <c r="S477" s="125"/>
      <c r="T477" s="125"/>
      <c r="U477" s="125"/>
      <c r="V477" s="125"/>
      <c r="W477" s="125"/>
    </row>
    <row r="478" spans="17:23">
      <c r="Q478" s="125"/>
      <c r="R478" s="125"/>
      <c r="S478" s="125"/>
      <c r="T478" s="125"/>
      <c r="U478" s="125"/>
      <c r="V478" s="125"/>
      <c r="W478" s="125"/>
    </row>
    <row r="479" spans="17:23">
      <c r="Q479" s="125"/>
      <c r="R479" s="125"/>
      <c r="S479" s="125"/>
      <c r="T479" s="125"/>
      <c r="U479" s="125"/>
      <c r="V479" s="125"/>
      <c r="W479" s="125"/>
    </row>
    <row r="480" spans="17:23">
      <c r="Q480" s="125"/>
      <c r="R480" s="125"/>
      <c r="S480" s="125"/>
      <c r="T480" s="125"/>
      <c r="U480" s="125"/>
      <c r="V480" s="125"/>
      <c r="W480" s="125"/>
    </row>
    <row r="481" spans="17:23">
      <c r="Q481" s="125"/>
      <c r="R481" s="125"/>
      <c r="S481" s="125"/>
      <c r="T481" s="125"/>
      <c r="U481" s="125"/>
      <c r="V481" s="125"/>
      <c r="W481" s="125"/>
    </row>
    <row r="482" spans="17:23">
      <c r="Q482" s="125"/>
      <c r="R482" s="125"/>
      <c r="S482" s="125"/>
      <c r="T482" s="125"/>
      <c r="U482" s="125"/>
      <c r="V482" s="125"/>
      <c r="W482" s="125"/>
    </row>
    <row r="483" spans="17:23">
      <c r="Q483" s="125"/>
      <c r="R483" s="125"/>
      <c r="S483" s="125"/>
      <c r="T483" s="125"/>
      <c r="U483" s="125"/>
      <c r="V483" s="125"/>
      <c r="W483" s="125"/>
    </row>
    <row r="484" spans="17:23">
      <c r="Q484" s="125"/>
      <c r="R484" s="125"/>
      <c r="S484" s="125"/>
      <c r="T484" s="125"/>
      <c r="U484" s="125"/>
      <c r="V484" s="125"/>
      <c r="W484" s="125"/>
    </row>
    <row r="485" spans="17:23">
      <c r="Q485" s="125"/>
      <c r="R485" s="125"/>
      <c r="S485" s="125"/>
      <c r="T485" s="125"/>
      <c r="U485" s="125"/>
      <c r="V485" s="125"/>
      <c r="W485" s="125"/>
    </row>
    <row r="486" spans="17:23">
      <c r="Q486" s="125"/>
      <c r="R486" s="125"/>
      <c r="S486" s="125"/>
      <c r="T486" s="125"/>
      <c r="U486" s="125"/>
      <c r="V486" s="125"/>
      <c r="W486" s="125"/>
    </row>
    <row r="487" spans="17:23">
      <c r="Q487" s="125"/>
      <c r="R487" s="125"/>
      <c r="S487" s="125"/>
      <c r="T487" s="125"/>
      <c r="U487" s="125"/>
      <c r="V487" s="125"/>
      <c r="W487" s="125"/>
    </row>
    <row r="488" spans="17:23">
      <c r="Q488" s="125"/>
      <c r="R488" s="125"/>
      <c r="S488" s="125"/>
      <c r="T488" s="125"/>
      <c r="U488" s="125"/>
      <c r="V488" s="125"/>
      <c r="W488" s="125"/>
    </row>
    <row r="489" spans="17:23">
      <c r="Q489" s="125"/>
      <c r="R489" s="125"/>
      <c r="S489" s="125"/>
      <c r="T489" s="125"/>
      <c r="U489" s="125"/>
      <c r="V489" s="125"/>
      <c r="W489" s="125"/>
    </row>
    <row r="490" spans="17:23">
      <c r="Q490" s="125"/>
      <c r="R490" s="125"/>
      <c r="S490" s="125"/>
      <c r="T490" s="125"/>
      <c r="U490" s="125"/>
      <c r="V490" s="125"/>
      <c r="W490" s="125"/>
    </row>
    <row r="491" spans="17:23">
      <c r="Q491" s="125"/>
      <c r="R491" s="125"/>
      <c r="S491" s="125"/>
      <c r="T491" s="125"/>
      <c r="U491" s="125"/>
      <c r="V491" s="125"/>
      <c r="W491" s="125"/>
    </row>
    <row r="492" spans="17:23">
      <c r="Q492" s="125"/>
      <c r="R492" s="125"/>
      <c r="S492" s="125"/>
      <c r="T492" s="125"/>
      <c r="U492" s="125"/>
      <c r="V492" s="125"/>
      <c r="W492" s="125"/>
    </row>
    <row r="493" spans="17:23">
      <c r="Q493" s="125"/>
      <c r="R493" s="125"/>
      <c r="S493" s="125"/>
      <c r="T493" s="125"/>
      <c r="U493" s="125"/>
      <c r="V493" s="125"/>
      <c r="W493" s="125"/>
    </row>
    <row r="494" spans="17:23">
      <c r="Q494" s="125"/>
      <c r="R494" s="125"/>
      <c r="S494" s="125"/>
      <c r="T494" s="125"/>
      <c r="U494" s="125"/>
      <c r="V494" s="125"/>
      <c r="W494" s="125"/>
    </row>
    <row r="495" spans="17:23">
      <c r="Q495" s="125"/>
      <c r="R495" s="125"/>
      <c r="S495" s="125"/>
      <c r="T495" s="125"/>
      <c r="U495" s="125"/>
      <c r="V495" s="125"/>
      <c r="W495" s="125"/>
    </row>
    <row r="496" spans="17:23">
      <c r="Q496" s="125"/>
      <c r="R496" s="125"/>
      <c r="S496" s="125"/>
      <c r="T496" s="125"/>
      <c r="U496" s="125"/>
      <c r="V496" s="125"/>
      <c r="W496" s="125"/>
    </row>
    <row r="497" spans="17:23">
      <c r="Q497" s="125"/>
      <c r="R497" s="125"/>
      <c r="S497" s="125"/>
      <c r="T497" s="125"/>
      <c r="U497" s="125"/>
      <c r="V497" s="125"/>
      <c r="W497" s="125"/>
    </row>
    <row r="498" spans="17:23">
      <c r="Q498" s="125"/>
      <c r="R498" s="125"/>
      <c r="S498" s="125"/>
      <c r="T498" s="125"/>
      <c r="U498" s="125"/>
      <c r="V498" s="125"/>
      <c r="W498" s="125"/>
    </row>
    <row r="499" spans="17:23">
      <c r="Q499" s="125"/>
      <c r="R499" s="125"/>
      <c r="S499" s="125"/>
      <c r="T499" s="125"/>
      <c r="U499" s="125"/>
      <c r="V499" s="125"/>
      <c r="W499" s="125"/>
    </row>
    <row r="500" spans="17:23">
      <c r="Q500" s="125"/>
      <c r="R500" s="125"/>
      <c r="S500" s="125"/>
      <c r="T500" s="125"/>
      <c r="U500" s="125"/>
      <c r="V500" s="125"/>
      <c r="W500" s="125"/>
    </row>
    <row r="501" spans="17:23">
      <c r="Q501" s="125"/>
      <c r="R501" s="125"/>
      <c r="S501" s="125"/>
      <c r="T501" s="125"/>
      <c r="U501" s="125"/>
      <c r="V501" s="125"/>
      <c r="W501" s="125"/>
    </row>
    <row r="502" spans="17:23">
      <c r="Q502" s="125"/>
      <c r="R502" s="125"/>
      <c r="S502" s="125"/>
      <c r="T502" s="125"/>
      <c r="U502" s="125"/>
      <c r="V502" s="125"/>
      <c r="W502" s="125"/>
    </row>
    <row r="503" spans="17:23">
      <c r="Q503" s="125"/>
      <c r="R503" s="125"/>
      <c r="S503" s="125"/>
      <c r="T503" s="125"/>
      <c r="U503" s="125"/>
      <c r="V503" s="125"/>
      <c r="W503" s="125"/>
    </row>
    <row r="504" spans="17:23">
      <c r="Q504" s="125"/>
      <c r="R504" s="125"/>
      <c r="S504" s="125"/>
      <c r="T504" s="125"/>
      <c r="U504" s="125"/>
      <c r="V504" s="125"/>
      <c r="W504" s="125"/>
    </row>
    <row r="505" spans="17:23">
      <c r="Q505" s="125"/>
      <c r="R505" s="125"/>
      <c r="S505" s="125"/>
      <c r="T505" s="125"/>
      <c r="U505" s="125"/>
      <c r="V505" s="125"/>
      <c r="W505" s="125"/>
    </row>
    <row r="506" spans="17:23">
      <c r="Q506" s="125"/>
      <c r="R506" s="125"/>
      <c r="S506" s="125"/>
      <c r="T506" s="125"/>
      <c r="U506" s="125"/>
      <c r="V506" s="125"/>
      <c r="W506" s="125"/>
    </row>
    <row r="507" spans="17:23">
      <c r="Q507" s="125"/>
      <c r="R507" s="125"/>
      <c r="S507" s="125"/>
      <c r="T507" s="125"/>
      <c r="U507" s="125"/>
      <c r="V507" s="125"/>
      <c r="W507" s="125"/>
    </row>
    <row r="508" spans="17:23">
      <c r="Q508" s="125"/>
      <c r="R508" s="125"/>
      <c r="S508" s="125"/>
      <c r="T508" s="125"/>
      <c r="U508" s="125"/>
      <c r="V508" s="125"/>
      <c r="W508" s="125"/>
    </row>
    <row r="509" spans="17:23">
      <c r="Q509" s="125"/>
      <c r="R509" s="125"/>
      <c r="S509" s="125"/>
      <c r="T509" s="125"/>
      <c r="U509" s="125"/>
      <c r="V509" s="125"/>
      <c r="W509" s="125"/>
    </row>
    <row r="510" spans="17:23">
      <c r="Q510" s="125"/>
      <c r="R510" s="125"/>
      <c r="S510" s="125"/>
      <c r="T510" s="125"/>
      <c r="U510" s="125"/>
      <c r="V510" s="125"/>
      <c r="W510" s="125"/>
    </row>
    <row r="511" spans="17:23">
      <c r="Q511" s="125"/>
      <c r="R511" s="125"/>
      <c r="S511" s="125"/>
      <c r="T511" s="125"/>
      <c r="U511" s="125"/>
      <c r="V511" s="125"/>
      <c r="W511" s="125"/>
    </row>
    <row r="512" spans="17:23">
      <c r="Q512" s="125"/>
      <c r="R512" s="125"/>
      <c r="S512" s="125"/>
      <c r="T512" s="125"/>
      <c r="U512" s="125"/>
      <c r="V512" s="125"/>
      <c r="W512" s="125"/>
    </row>
    <row r="513" spans="17:23">
      <c r="Q513" s="125"/>
      <c r="R513" s="125"/>
      <c r="S513" s="125"/>
      <c r="T513" s="125"/>
      <c r="U513" s="125"/>
      <c r="V513" s="125"/>
      <c r="W513" s="125"/>
    </row>
    <row r="514" spans="17:23">
      <c r="Q514" s="125"/>
      <c r="R514" s="125"/>
      <c r="S514" s="125"/>
      <c r="T514" s="125"/>
      <c r="U514" s="125"/>
      <c r="V514" s="125"/>
      <c r="W514" s="125"/>
    </row>
    <row r="515" spans="17:23">
      <c r="Q515" s="125"/>
      <c r="R515" s="125"/>
      <c r="S515" s="125"/>
      <c r="T515" s="125"/>
      <c r="U515" s="125"/>
      <c r="V515" s="125"/>
      <c r="W515" s="125"/>
    </row>
    <row r="516" spans="17:23">
      <c r="Q516" s="125"/>
      <c r="R516" s="125"/>
      <c r="S516" s="125"/>
      <c r="T516" s="125"/>
      <c r="U516" s="125"/>
      <c r="V516" s="125"/>
      <c r="W516" s="125"/>
    </row>
    <row r="517" spans="17:23">
      <c r="Q517" s="125"/>
      <c r="R517" s="125"/>
      <c r="S517" s="125"/>
      <c r="T517" s="125"/>
      <c r="U517" s="125"/>
      <c r="V517" s="125"/>
      <c r="W517" s="125"/>
    </row>
    <row r="518" spans="17:23">
      <c r="Q518" s="125"/>
      <c r="R518" s="125"/>
      <c r="S518" s="125"/>
      <c r="T518" s="125"/>
      <c r="U518" s="125"/>
      <c r="V518" s="125"/>
      <c r="W518" s="125"/>
    </row>
    <row r="519" spans="17:23">
      <c r="Q519" s="125"/>
      <c r="R519" s="125"/>
      <c r="S519" s="125"/>
      <c r="T519" s="125"/>
      <c r="U519" s="125"/>
      <c r="V519" s="125"/>
      <c r="W519" s="125"/>
    </row>
    <row r="520" spans="17:23">
      <c r="Q520" s="125"/>
      <c r="R520" s="125"/>
      <c r="S520" s="125"/>
      <c r="T520" s="125"/>
      <c r="U520" s="125"/>
      <c r="V520" s="125"/>
      <c r="W520" s="125"/>
    </row>
    <row r="521" spans="17:23">
      <c r="Q521" s="125"/>
      <c r="R521" s="125"/>
      <c r="S521" s="125"/>
      <c r="T521" s="125"/>
      <c r="U521" s="125"/>
      <c r="V521" s="125"/>
      <c r="W521" s="125"/>
    </row>
    <row r="522" spans="17:23">
      <c r="Q522" s="125"/>
      <c r="R522" s="125"/>
      <c r="S522" s="125"/>
      <c r="T522" s="125"/>
      <c r="U522" s="125"/>
      <c r="V522" s="125"/>
      <c r="W522" s="125"/>
    </row>
    <row r="523" spans="17:23">
      <c r="Q523" s="125"/>
      <c r="R523" s="125"/>
      <c r="S523" s="125"/>
      <c r="T523" s="125"/>
      <c r="U523" s="125"/>
      <c r="V523" s="125"/>
      <c r="W523" s="125"/>
    </row>
    <row r="524" spans="17:23">
      <c r="Q524" s="125"/>
      <c r="R524" s="125"/>
      <c r="S524" s="125"/>
      <c r="T524" s="125"/>
      <c r="U524" s="125"/>
      <c r="V524" s="125"/>
      <c r="W524" s="125"/>
    </row>
    <row r="525" spans="17:23">
      <c r="Q525" s="125"/>
      <c r="R525" s="125"/>
      <c r="S525" s="125"/>
      <c r="T525" s="125"/>
      <c r="U525" s="125"/>
      <c r="V525" s="125"/>
      <c r="W525" s="125"/>
    </row>
    <row r="526" spans="17:23">
      <c r="Q526" s="125"/>
      <c r="R526" s="125"/>
      <c r="S526" s="125"/>
      <c r="T526" s="125"/>
      <c r="U526" s="125"/>
      <c r="V526" s="125"/>
      <c r="W526" s="125"/>
    </row>
    <row r="527" spans="17:23">
      <c r="Q527" s="125"/>
      <c r="R527" s="125"/>
      <c r="S527" s="125"/>
      <c r="T527" s="125"/>
      <c r="U527" s="125"/>
      <c r="V527" s="125"/>
      <c r="W527" s="125"/>
    </row>
    <row r="528" spans="17:23">
      <c r="Q528" s="125"/>
      <c r="R528" s="125"/>
      <c r="S528" s="125"/>
      <c r="T528" s="125"/>
      <c r="U528" s="125"/>
      <c r="V528" s="125"/>
      <c r="W528" s="125"/>
    </row>
    <row r="529" spans="17:23">
      <c r="Q529" s="125"/>
      <c r="R529" s="125"/>
      <c r="S529" s="125"/>
      <c r="T529" s="125"/>
      <c r="U529" s="125"/>
      <c r="V529" s="125"/>
      <c r="W529" s="125"/>
    </row>
    <row r="530" spans="17:23">
      <c r="Q530" s="125"/>
      <c r="R530" s="125"/>
      <c r="S530" s="125"/>
      <c r="T530" s="125"/>
      <c r="U530" s="125"/>
      <c r="V530" s="125"/>
      <c r="W530" s="125"/>
    </row>
    <row r="531" spans="17:23">
      <c r="Q531" s="125"/>
      <c r="R531" s="125"/>
      <c r="S531" s="125"/>
      <c r="T531" s="125"/>
      <c r="U531" s="125"/>
      <c r="V531" s="125"/>
      <c r="W531" s="125"/>
    </row>
    <row r="532" spans="17:23">
      <c r="Q532" s="125"/>
      <c r="R532" s="125"/>
      <c r="S532" s="125"/>
      <c r="T532" s="125"/>
      <c r="U532" s="125"/>
      <c r="V532" s="125"/>
      <c r="W532" s="125"/>
    </row>
    <row r="533" spans="17:23">
      <c r="Q533" s="125"/>
      <c r="R533" s="125"/>
      <c r="S533" s="125"/>
      <c r="T533" s="125"/>
      <c r="U533" s="125"/>
      <c r="V533" s="125"/>
      <c r="W533" s="125"/>
    </row>
    <row r="534" spans="17:23">
      <c r="Q534" s="125"/>
      <c r="R534" s="125"/>
      <c r="S534" s="125"/>
      <c r="T534" s="125"/>
      <c r="U534" s="125"/>
      <c r="V534" s="125"/>
      <c r="W534" s="125"/>
    </row>
    <row r="535" spans="17:23">
      <c r="Q535" s="125"/>
      <c r="R535" s="125"/>
      <c r="S535" s="125"/>
      <c r="T535" s="125"/>
      <c r="U535" s="125"/>
      <c r="V535" s="125"/>
      <c r="W535" s="125"/>
    </row>
    <row r="536" spans="17:23">
      <c r="Q536" s="125"/>
      <c r="R536" s="125"/>
      <c r="S536" s="125"/>
      <c r="T536" s="125"/>
      <c r="U536" s="125"/>
      <c r="V536" s="125"/>
      <c r="W536" s="125"/>
    </row>
    <row r="537" spans="17:23">
      <c r="Q537" s="125"/>
      <c r="R537" s="125"/>
      <c r="S537" s="125"/>
      <c r="T537" s="125"/>
      <c r="U537" s="125"/>
      <c r="V537" s="125"/>
      <c r="W537" s="125"/>
    </row>
    <row r="538" spans="17:23">
      <c r="Q538" s="125"/>
      <c r="R538" s="125"/>
      <c r="S538" s="125"/>
      <c r="T538" s="125"/>
      <c r="U538" s="125"/>
      <c r="V538" s="125"/>
      <c r="W538" s="125"/>
    </row>
    <row r="539" spans="17:23">
      <c r="Q539" s="125"/>
      <c r="R539" s="125"/>
      <c r="S539" s="125"/>
      <c r="T539" s="125"/>
      <c r="U539" s="125"/>
      <c r="V539" s="125"/>
      <c r="W539" s="125"/>
    </row>
    <row r="540" spans="17:23">
      <c r="Q540" s="125"/>
      <c r="R540" s="125"/>
      <c r="S540" s="125"/>
      <c r="T540" s="125"/>
      <c r="U540" s="125"/>
      <c r="V540" s="125"/>
      <c r="W540" s="125"/>
    </row>
    <row r="541" spans="17:23">
      <c r="Q541" s="125"/>
      <c r="R541" s="125"/>
      <c r="S541" s="125"/>
      <c r="T541" s="125"/>
      <c r="U541" s="125"/>
      <c r="V541" s="125"/>
      <c r="W541" s="125"/>
    </row>
    <row r="542" spans="17:23">
      <c r="Q542" s="125"/>
      <c r="R542" s="125"/>
      <c r="S542" s="125"/>
      <c r="T542" s="125"/>
      <c r="U542" s="125"/>
      <c r="V542" s="125"/>
      <c r="W542" s="125"/>
    </row>
    <row r="543" spans="17:23">
      <c r="Q543" s="125"/>
      <c r="R543" s="125"/>
      <c r="S543" s="125"/>
      <c r="T543" s="125"/>
      <c r="U543" s="125"/>
      <c r="V543" s="125"/>
      <c r="W543" s="125"/>
    </row>
    <row r="544" spans="17:23">
      <c r="Q544" s="125"/>
      <c r="R544" s="125"/>
      <c r="S544" s="125"/>
      <c r="T544" s="125"/>
      <c r="U544" s="125"/>
      <c r="V544" s="125"/>
      <c r="W544" s="125"/>
    </row>
    <row r="545" spans="17:23">
      <c r="Q545" s="125"/>
      <c r="R545" s="125"/>
      <c r="S545" s="125"/>
      <c r="T545" s="125"/>
      <c r="U545" s="125"/>
      <c r="V545" s="125"/>
      <c r="W545" s="125"/>
    </row>
    <row r="546" spans="17:23">
      <c r="Q546" s="125"/>
      <c r="R546" s="125"/>
      <c r="S546" s="125"/>
      <c r="T546" s="125"/>
      <c r="U546" s="125"/>
      <c r="V546" s="125"/>
      <c r="W546" s="125"/>
    </row>
    <row r="547" spans="17:23">
      <c r="Q547" s="125"/>
      <c r="R547" s="125"/>
      <c r="S547" s="125"/>
      <c r="T547" s="125"/>
      <c r="U547" s="125"/>
      <c r="V547" s="125"/>
      <c r="W547" s="125"/>
    </row>
    <row r="548" spans="17:23">
      <c r="Q548" s="125"/>
      <c r="R548" s="125"/>
      <c r="S548" s="125"/>
      <c r="T548" s="125"/>
      <c r="U548" s="125"/>
      <c r="V548" s="125"/>
      <c r="W548" s="125"/>
    </row>
    <row r="549" spans="17:23">
      <c r="Q549" s="125"/>
      <c r="R549" s="125"/>
      <c r="S549" s="125"/>
      <c r="T549" s="125"/>
      <c r="U549" s="125"/>
      <c r="V549" s="125"/>
      <c r="W549" s="125"/>
    </row>
    <row r="550" spans="17:23">
      <c r="Q550" s="125"/>
      <c r="R550" s="125"/>
      <c r="S550" s="125"/>
      <c r="T550" s="125"/>
      <c r="U550" s="125"/>
      <c r="V550" s="125"/>
      <c r="W550" s="125"/>
    </row>
    <row r="551" spans="17:23">
      <c r="Q551" s="125"/>
      <c r="R551" s="125"/>
      <c r="S551" s="125"/>
      <c r="T551" s="125"/>
      <c r="U551" s="125"/>
      <c r="V551" s="125"/>
      <c r="W551" s="125"/>
    </row>
    <row r="552" spans="17:23">
      <c r="Q552" s="125"/>
      <c r="R552" s="125"/>
      <c r="S552" s="125"/>
      <c r="T552" s="125"/>
      <c r="U552" s="125"/>
      <c r="V552" s="125"/>
      <c r="W552" s="125"/>
    </row>
    <row r="553" spans="17:23">
      <c r="Q553" s="125"/>
      <c r="R553" s="125"/>
      <c r="S553" s="125"/>
      <c r="T553" s="125"/>
      <c r="U553" s="125"/>
      <c r="V553" s="125"/>
      <c r="W553" s="125"/>
    </row>
    <row r="554" spans="17:23">
      <c r="Q554" s="125"/>
      <c r="R554" s="125"/>
      <c r="S554" s="125"/>
      <c r="T554" s="125"/>
      <c r="U554" s="125"/>
      <c r="V554" s="125"/>
      <c r="W554" s="125"/>
    </row>
    <row r="555" spans="17:23">
      <c r="Q555" s="125"/>
      <c r="R555" s="125"/>
      <c r="S555" s="125"/>
      <c r="T555" s="125"/>
      <c r="U555" s="125"/>
      <c r="V555" s="125"/>
      <c r="W555" s="125"/>
    </row>
    <row r="556" spans="17:23">
      <c r="Q556" s="125"/>
      <c r="R556" s="125"/>
      <c r="S556" s="125"/>
      <c r="T556" s="125"/>
      <c r="U556" s="125"/>
      <c r="V556" s="125"/>
      <c r="W556" s="125"/>
    </row>
    <row r="557" spans="17:23">
      <c r="Q557" s="125"/>
      <c r="R557" s="125"/>
      <c r="S557" s="125"/>
      <c r="T557" s="125"/>
      <c r="U557" s="125"/>
      <c r="V557" s="125"/>
      <c r="W557" s="125"/>
    </row>
    <row r="558" spans="17:23">
      <c r="Q558" s="125"/>
      <c r="R558" s="125"/>
      <c r="S558" s="125"/>
      <c r="T558" s="125"/>
      <c r="U558" s="125"/>
      <c r="V558" s="125"/>
      <c r="W558" s="125"/>
    </row>
    <row r="559" spans="17:23">
      <c r="Q559" s="125"/>
      <c r="R559" s="125"/>
      <c r="S559" s="125"/>
      <c r="T559" s="125"/>
      <c r="U559" s="125"/>
      <c r="V559" s="125"/>
      <c r="W559" s="125"/>
    </row>
    <row r="560" spans="17:23">
      <c r="Q560" s="125"/>
      <c r="R560" s="125"/>
      <c r="S560" s="125"/>
      <c r="T560" s="125"/>
      <c r="U560" s="125"/>
      <c r="V560" s="125"/>
      <c r="W560" s="125"/>
    </row>
    <row r="561" spans="17:23">
      <c r="Q561" s="125"/>
      <c r="R561" s="125"/>
      <c r="S561" s="125"/>
      <c r="T561" s="125"/>
      <c r="U561" s="125"/>
      <c r="V561" s="125"/>
      <c r="W561" s="125"/>
    </row>
    <row r="562" spans="17:23">
      <c r="Q562" s="125"/>
      <c r="R562" s="125"/>
      <c r="S562" s="125"/>
      <c r="T562" s="125"/>
      <c r="U562" s="125"/>
      <c r="V562" s="125"/>
      <c r="W562" s="125"/>
    </row>
    <row r="563" spans="17:23">
      <c r="Q563" s="125"/>
      <c r="R563" s="125"/>
      <c r="S563" s="125"/>
      <c r="T563" s="125"/>
      <c r="U563" s="125"/>
      <c r="V563" s="125"/>
      <c r="W563" s="125"/>
    </row>
    <row r="564" spans="17:23">
      <c r="Q564" s="125"/>
      <c r="R564" s="125"/>
      <c r="S564" s="125"/>
      <c r="T564" s="125"/>
      <c r="U564" s="125"/>
      <c r="V564" s="125"/>
      <c r="W564" s="125"/>
    </row>
    <row r="565" spans="17:23">
      <c r="Q565" s="125"/>
      <c r="R565" s="125"/>
      <c r="S565" s="125"/>
      <c r="T565" s="125"/>
      <c r="U565" s="125"/>
      <c r="V565" s="125"/>
      <c r="W565" s="125"/>
    </row>
    <row r="566" spans="17:23">
      <c r="Q566" s="125"/>
      <c r="R566" s="125"/>
      <c r="S566" s="125"/>
      <c r="T566" s="125"/>
      <c r="U566" s="125"/>
      <c r="V566" s="125"/>
      <c r="W566" s="125"/>
    </row>
    <row r="567" spans="17:23">
      <c r="Q567" s="125"/>
      <c r="R567" s="125"/>
      <c r="S567" s="125"/>
      <c r="T567" s="125"/>
      <c r="U567" s="125"/>
      <c r="V567" s="125"/>
      <c r="W567" s="125"/>
    </row>
    <row r="568" spans="17:23">
      <c r="Q568" s="125"/>
      <c r="R568" s="125"/>
      <c r="S568" s="125"/>
      <c r="T568" s="125"/>
      <c r="U568" s="125"/>
      <c r="V568" s="125"/>
      <c r="W568" s="125"/>
    </row>
    <row r="569" spans="17:23">
      <c r="Q569" s="125"/>
      <c r="R569" s="125"/>
      <c r="S569" s="125"/>
      <c r="T569" s="125"/>
      <c r="U569" s="125"/>
      <c r="V569" s="125"/>
      <c r="W569" s="125"/>
    </row>
    <row r="570" spans="17:23">
      <c r="Q570" s="125"/>
      <c r="R570" s="125"/>
      <c r="S570" s="125"/>
      <c r="T570" s="125"/>
      <c r="U570" s="125"/>
      <c r="V570" s="125"/>
      <c r="W570" s="125"/>
    </row>
    <row r="571" spans="17:23">
      <c r="Q571" s="125"/>
      <c r="R571" s="125"/>
      <c r="S571" s="125"/>
      <c r="T571" s="125"/>
      <c r="U571" s="125"/>
      <c r="V571" s="125"/>
      <c r="W571" s="125"/>
    </row>
    <row r="572" spans="17:23">
      <c r="Q572" s="125"/>
      <c r="R572" s="125"/>
      <c r="S572" s="125"/>
      <c r="T572" s="125"/>
      <c r="U572" s="125"/>
      <c r="V572" s="125"/>
      <c r="W572" s="125"/>
    </row>
    <row r="573" spans="17:23">
      <c r="Q573" s="125"/>
      <c r="R573" s="125"/>
      <c r="S573" s="125"/>
      <c r="T573" s="125"/>
      <c r="U573" s="125"/>
      <c r="V573" s="125"/>
      <c r="W573" s="125"/>
    </row>
    <row r="574" spans="17:23">
      <c r="Q574" s="125"/>
      <c r="R574" s="125"/>
      <c r="S574" s="125"/>
      <c r="T574" s="125"/>
      <c r="U574" s="125"/>
      <c r="V574" s="125"/>
      <c r="W574" s="125"/>
    </row>
    <row r="575" spans="17:23">
      <c r="Q575" s="125"/>
      <c r="R575" s="125"/>
      <c r="S575" s="125"/>
      <c r="T575" s="125"/>
      <c r="U575" s="125"/>
      <c r="V575" s="125"/>
      <c r="W575" s="125"/>
    </row>
    <row r="576" spans="17:23">
      <c r="Q576" s="125"/>
      <c r="R576" s="125"/>
      <c r="S576" s="125"/>
      <c r="T576" s="125"/>
      <c r="U576" s="125"/>
      <c r="V576" s="125"/>
      <c r="W576" s="125"/>
    </row>
    <row r="577" spans="17:23">
      <c r="Q577" s="125"/>
      <c r="R577" s="125"/>
      <c r="S577" s="125"/>
      <c r="T577" s="125"/>
      <c r="U577" s="125"/>
      <c r="V577" s="125"/>
      <c r="W577" s="125"/>
    </row>
    <row r="578" spans="17:23">
      <c r="Q578" s="125"/>
      <c r="R578" s="125"/>
      <c r="S578" s="125"/>
      <c r="T578" s="125"/>
      <c r="U578" s="125"/>
      <c r="V578" s="125"/>
      <c r="W578" s="125"/>
    </row>
    <row r="579" spans="17:23">
      <c r="Q579" s="125"/>
      <c r="R579" s="125"/>
      <c r="S579" s="125"/>
      <c r="T579" s="125"/>
      <c r="U579" s="125"/>
      <c r="V579" s="125"/>
      <c r="W579" s="125"/>
    </row>
    <row r="580" spans="17:23">
      <c r="Q580" s="125"/>
      <c r="R580" s="125"/>
      <c r="S580" s="125"/>
      <c r="T580" s="125"/>
      <c r="U580" s="125"/>
      <c r="V580" s="125"/>
      <c r="W580" s="125"/>
    </row>
    <row r="581" spans="17:23">
      <c r="Q581" s="125"/>
      <c r="R581" s="125"/>
      <c r="S581" s="125"/>
      <c r="T581" s="125"/>
      <c r="U581" s="125"/>
      <c r="V581" s="125"/>
      <c r="W581" s="125"/>
    </row>
    <row r="582" spans="17:23">
      <c r="Q582" s="125"/>
      <c r="R582" s="125"/>
      <c r="S582" s="125"/>
      <c r="T582" s="125"/>
      <c r="U582" s="125"/>
      <c r="V582" s="125"/>
      <c r="W582" s="125"/>
    </row>
    <row r="583" spans="17:23">
      <c r="Q583" s="125"/>
      <c r="R583" s="125"/>
      <c r="S583" s="125"/>
      <c r="T583" s="125"/>
      <c r="U583" s="125"/>
      <c r="V583" s="125"/>
      <c r="W583" s="125"/>
    </row>
    <row r="584" spans="17:23">
      <c r="Q584" s="125"/>
      <c r="R584" s="125"/>
      <c r="S584" s="125"/>
      <c r="T584" s="125"/>
      <c r="U584" s="125"/>
      <c r="V584" s="125"/>
      <c r="W584" s="125"/>
    </row>
    <row r="585" spans="17:23">
      <c r="Q585" s="125"/>
      <c r="R585" s="125"/>
      <c r="S585" s="125"/>
      <c r="T585" s="125"/>
      <c r="U585" s="125"/>
      <c r="V585" s="125"/>
      <c r="W585" s="125"/>
    </row>
    <row r="586" spans="17:23">
      <c r="Q586" s="125"/>
      <c r="R586" s="125"/>
      <c r="S586" s="125"/>
      <c r="T586" s="125"/>
      <c r="U586" s="125"/>
      <c r="V586" s="125"/>
      <c r="W586" s="125"/>
    </row>
    <row r="587" spans="17:23">
      <c r="Q587" s="125"/>
      <c r="R587" s="125"/>
      <c r="S587" s="125"/>
      <c r="T587" s="125"/>
      <c r="U587" s="125"/>
      <c r="V587" s="125"/>
      <c r="W587" s="125"/>
    </row>
    <row r="588" spans="17:23">
      <c r="Q588" s="125"/>
      <c r="R588" s="125"/>
      <c r="S588" s="125"/>
      <c r="T588" s="125"/>
      <c r="U588" s="125"/>
      <c r="V588" s="125"/>
      <c r="W588" s="125"/>
    </row>
    <row r="589" spans="17:23">
      <c r="Q589" s="125"/>
      <c r="R589" s="125"/>
      <c r="S589" s="125"/>
      <c r="T589" s="125"/>
      <c r="U589" s="125"/>
      <c r="V589" s="125"/>
      <c r="W589" s="125"/>
    </row>
    <row r="590" spans="17:23">
      <c r="Q590" s="125"/>
      <c r="R590" s="125"/>
      <c r="S590" s="125"/>
      <c r="T590" s="125"/>
      <c r="U590" s="125"/>
      <c r="V590" s="125"/>
      <c r="W590" s="125"/>
    </row>
    <row r="591" spans="17:23">
      <c r="Q591" s="125"/>
      <c r="R591" s="125"/>
      <c r="S591" s="125"/>
      <c r="T591" s="125"/>
      <c r="U591" s="125"/>
      <c r="V591" s="125"/>
      <c r="W591" s="125"/>
    </row>
    <row r="592" spans="17:23">
      <c r="Q592" s="125"/>
      <c r="R592" s="125"/>
      <c r="S592" s="125"/>
      <c r="T592" s="125"/>
      <c r="U592" s="125"/>
      <c r="V592" s="125"/>
      <c r="W592" s="125"/>
    </row>
    <row r="593" spans="17:23">
      <c r="Q593" s="125"/>
      <c r="R593" s="125"/>
      <c r="S593" s="125"/>
      <c r="T593" s="125"/>
      <c r="U593" s="125"/>
      <c r="V593" s="125"/>
      <c r="W593" s="125"/>
    </row>
    <row r="594" spans="17:23">
      <c r="Q594" s="125"/>
      <c r="R594" s="125"/>
      <c r="S594" s="125"/>
      <c r="T594" s="125"/>
      <c r="U594" s="125"/>
      <c r="V594" s="125"/>
      <c r="W594" s="125"/>
    </row>
    <row r="595" spans="17:23">
      <c r="Q595" s="125"/>
      <c r="R595" s="125"/>
      <c r="S595" s="125"/>
      <c r="T595" s="125"/>
      <c r="U595" s="125"/>
      <c r="V595" s="125"/>
      <c r="W595" s="125"/>
    </row>
    <row r="596" spans="17:23">
      <c r="Q596" s="125"/>
      <c r="R596" s="125"/>
      <c r="S596" s="125"/>
      <c r="T596" s="125"/>
      <c r="U596" s="125"/>
      <c r="V596" s="125"/>
      <c r="W596" s="125"/>
    </row>
    <row r="597" spans="17:23">
      <c r="Q597" s="125"/>
      <c r="R597" s="125"/>
      <c r="S597" s="125"/>
      <c r="T597" s="125"/>
      <c r="U597" s="125"/>
      <c r="V597" s="125"/>
      <c r="W597" s="125"/>
    </row>
    <row r="598" spans="17:23">
      <c r="Q598" s="125"/>
      <c r="R598" s="125"/>
      <c r="S598" s="125"/>
      <c r="T598" s="125"/>
      <c r="U598" s="125"/>
      <c r="V598" s="125"/>
      <c r="W598" s="125"/>
    </row>
    <row r="599" spans="17:23">
      <c r="Q599" s="125"/>
      <c r="R599" s="125"/>
      <c r="S599" s="125"/>
      <c r="T599" s="125"/>
      <c r="U599" s="125"/>
      <c r="V599" s="125"/>
      <c r="W599" s="125"/>
    </row>
    <row r="600" spans="17:23">
      <c r="Q600" s="125"/>
      <c r="R600" s="125"/>
      <c r="S600" s="125"/>
      <c r="T600" s="125"/>
      <c r="U600" s="125"/>
      <c r="V600" s="125"/>
      <c r="W600" s="125"/>
    </row>
    <row r="601" spans="17:23">
      <c r="Q601" s="125"/>
      <c r="R601" s="125"/>
      <c r="S601" s="125"/>
      <c r="T601" s="125"/>
      <c r="U601" s="125"/>
      <c r="V601" s="125"/>
      <c r="W601" s="125"/>
    </row>
    <row r="602" spans="17:23">
      <c r="Q602" s="125"/>
      <c r="R602" s="125"/>
      <c r="S602" s="125"/>
      <c r="T602" s="125"/>
      <c r="U602" s="125"/>
      <c r="V602" s="125"/>
      <c r="W602" s="125"/>
    </row>
    <row r="603" spans="17:23">
      <c r="Q603" s="125"/>
      <c r="R603" s="125"/>
      <c r="S603" s="125"/>
      <c r="T603" s="125"/>
      <c r="U603" s="125"/>
      <c r="V603" s="125"/>
      <c r="W603" s="125"/>
    </row>
    <row r="604" spans="17:23">
      <c r="Q604" s="125"/>
      <c r="R604" s="125"/>
      <c r="S604" s="125"/>
      <c r="T604" s="125"/>
      <c r="U604" s="125"/>
      <c r="V604" s="125"/>
      <c r="W604" s="125"/>
    </row>
    <row r="605" spans="17:23">
      <c r="Q605" s="125"/>
      <c r="R605" s="125"/>
      <c r="S605" s="125"/>
      <c r="T605" s="125"/>
      <c r="U605" s="125"/>
      <c r="V605" s="125"/>
      <c r="W605" s="125"/>
    </row>
    <row r="606" spans="17:23">
      <c r="Q606" s="125"/>
      <c r="R606" s="125"/>
      <c r="S606" s="125"/>
      <c r="T606" s="125"/>
      <c r="U606" s="125"/>
      <c r="V606" s="125"/>
      <c r="W606" s="125"/>
    </row>
    <row r="607" spans="17:23">
      <c r="Q607" s="125"/>
      <c r="R607" s="125"/>
      <c r="S607" s="125"/>
      <c r="T607" s="125"/>
      <c r="U607" s="125"/>
      <c r="V607" s="125"/>
      <c r="W607" s="125"/>
    </row>
    <row r="608" spans="17:23">
      <c r="Q608" s="125"/>
      <c r="R608" s="125"/>
      <c r="S608" s="125"/>
      <c r="T608" s="125"/>
      <c r="U608" s="125"/>
      <c r="V608" s="125"/>
      <c r="W608" s="125"/>
    </row>
    <row r="609" spans="17:23">
      <c r="Q609" s="125"/>
      <c r="R609" s="125"/>
      <c r="S609" s="125"/>
      <c r="T609" s="125"/>
      <c r="U609" s="125"/>
      <c r="V609" s="125"/>
      <c r="W609" s="125"/>
    </row>
    <row r="610" spans="17:23">
      <c r="Q610" s="125"/>
      <c r="R610" s="125"/>
      <c r="S610" s="125"/>
      <c r="T610" s="125"/>
      <c r="U610" s="125"/>
      <c r="V610" s="125"/>
      <c r="W610" s="125"/>
    </row>
    <row r="611" spans="17:23">
      <c r="Q611" s="125"/>
      <c r="R611" s="125"/>
      <c r="S611" s="125"/>
      <c r="T611" s="125"/>
      <c r="U611" s="125"/>
      <c r="V611" s="125"/>
      <c r="W611" s="125"/>
    </row>
    <row r="612" spans="17:23">
      <c r="Q612" s="125"/>
      <c r="R612" s="125"/>
      <c r="S612" s="125"/>
      <c r="T612" s="125"/>
      <c r="U612" s="125"/>
      <c r="V612" s="125"/>
      <c r="W612" s="125"/>
    </row>
    <row r="613" spans="17:23">
      <c r="Q613" s="125"/>
      <c r="R613" s="125"/>
      <c r="S613" s="125"/>
      <c r="T613" s="125"/>
      <c r="U613" s="125"/>
      <c r="V613" s="125"/>
      <c r="W613" s="125"/>
    </row>
    <row r="614" spans="17:23">
      <c r="Q614" s="125"/>
      <c r="R614" s="125"/>
      <c r="S614" s="125"/>
      <c r="T614" s="125"/>
      <c r="U614" s="125"/>
      <c r="V614" s="125"/>
      <c r="W614" s="125"/>
    </row>
    <row r="615" spans="17:23">
      <c r="Q615" s="125"/>
      <c r="R615" s="125"/>
      <c r="S615" s="125"/>
      <c r="T615" s="125"/>
      <c r="U615" s="125"/>
      <c r="V615" s="125"/>
      <c r="W615" s="125"/>
    </row>
    <row r="616" spans="17:23">
      <c r="Q616" s="125"/>
      <c r="R616" s="125"/>
      <c r="S616" s="125"/>
      <c r="T616" s="125"/>
      <c r="U616" s="125"/>
      <c r="V616" s="125"/>
      <c r="W616" s="125"/>
    </row>
    <row r="617" spans="17:23">
      <c r="Q617" s="125"/>
      <c r="R617" s="125"/>
      <c r="S617" s="125"/>
      <c r="T617" s="125"/>
      <c r="U617" s="125"/>
      <c r="V617" s="125"/>
      <c r="W617" s="125"/>
    </row>
    <row r="618" spans="17:23">
      <c r="Q618" s="125"/>
      <c r="R618" s="125"/>
      <c r="S618" s="125"/>
      <c r="T618" s="125"/>
      <c r="U618" s="125"/>
      <c r="V618" s="125"/>
      <c r="W618" s="125"/>
    </row>
    <row r="619" spans="17:23">
      <c r="Q619" s="125"/>
      <c r="R619" s="125"/>
      <c r="S619" s="125"/>
      <c r="T619" s="125"/>
      <c r="U619" s="125"/>
      <c r="V619" s="125"/>
      <c r="W619" s="125"/>
    </row>
    <row r="620" spans="17:23">
      <c r="Q620" s="125"/>
      <c r="R620" s="125"/>
      <c r="S620" s="125"/>
      <c r="T620" s="125"/>
      <c r="U620" s="125"/>
      <c r="V620" s="125"/>
      <c r="W620" s="125"/>
    </row>
    <row r="621" spans="17:23">
      <c r="Q621" s="125"/>
      <c r="R621" s="125"/>
      <c r="S621" s="125"/>
      <c r="T621" s="125"/>
      <c r="U621" s="125"/>
      <c r="V621" s="125"/>
      <c r="W621" s="125"/>
    </row>
    <row r="622" spans="17:23">
      <c r="Q622" s="125"/>
      <c r="R622" s="125"/>
      <c r="S622" s="125"/>
      <c r="T622" s="125"/>
      <c r="U622" s="125"/>
      <c r="V622" s="125"/>
      <c r="W622" s="125"/>
    </row>
    <row r="623" spans="17:23">
      <c r="Q623" s="125"/>
      <c r="R623" s="125"/>
      <c r="S623" s="125"/>
      <c r="T623" s="125"/>
      <c r="U623" s="125"/>
      <c r="V623" s="125"/>
      <c r="W623" s="125"/>
    </row>
    <row r="624" spans="17:23">
      <c r="Q624" s="125"/>
      <c r="R624" s="125"/>
      <c r="S624" s="125"/>
      <c r="T624" s="125"/>
      <c r="U624" s="125"/>
      <c r="V624" s="125"/>
      <c r="W624" s="125"/>
    </row>
    <row r="625" spans="17:23">
      <c r="Q625" s="125"/>
      <c r="R625" s="125"/>
      <c r="S625" s="125"/>
      <c r="T625" s="125"/>
      <c r="U625" s="125"/>
      <c r="V625" s="125"/>
      <c r="W625" s="125"/>
    </row>
    <row r="626" spans="17:23">
      <c r="Q626" s="125"/>
      <c r="R626" s="125"/>
      <c r="S626" s="125"/>
      <c r="T626" s="125"/>
      <c r="U626" s="125"/>
      <c r="V626" s="125"/>
      <c r="W626" s="125"/>
    </row>
    <row r="627" spans="17:23">
      <c r="Q627" s="125"/>
      <c r="R627" s="125"/>
      <c r="S627" s="125"/>
      <c r="T627" s="125"/>
      <c r="U627" s="125"/>
      <c r="V627" s="125"/>
      <c r="W627" s="125"/>
    </row>
    <row r="628" spans="17:23">
      <c r="Q628" s="125"/>
      <c r="R628" s="125"/>
      <c r="S628" s="125"/>
      <c r="T628" s="125"/>
      <c r="U628" s="125"/>
      <c r="V628" s="125"/>
      <c r="W628" s="125"/>
    </row>
    <row r="629" spans="17:23">
      <c r="Q629" s="125"/>
      <c r="R629" s="125"/>
      <c r="S629" s="125"/>
      <c r="T629" s="125"/>
      <c r="U629" s="125"/>
      <c r="V629" s="125"/>
      <c r="W629" s="125"/>
    </row>
    <row r="630" spans="17:23">
      <c r="Q630" s="125"/>
      <c r="R630" s="125"/>
      <c r="S630" s="125"/>
      <c r="T630" s="125"/>
      <c r="U630" s="125"/>
      <c r="V630" s="125"/>
      <c r="W630" s="125"/>
    </row>
    <row r="631" spans="17:23">
      <c r="Q631" s="125"/>
      <c r="R631" s="125"/>
      <c r="S631" s="125"/>
      <c r="T631" s="125"/>
      <c r="U631" s="125"/>
      <c r="V631" s="125"/>
      <c r="W631" s="125"/>
    </row>
    <row r="632" spans="17:23">
      <c r="Q632" s="125"/>
      <c r="R632" s="125"/>
      <c r="S632" s="125"/>
      <c r="T632" s="125"/>
      <c r="U632" s="125"/>
      <c r="V632" s="125"/>
      <c r="W632" s="125"/>
    </row>
    <row r="633" spans="17:23">
      <c r="Q633" s="125"/>
      <c r="R633" s="125"/>
      <c r="S633" s="125"/>
      <c r="T633" s="125"/>
      <c r="U633" s="125"/>
      <c r="V633" s="125"/>
      <c r="W633" s="125"/>
    </row>
    <row r="634" spans="17:23">
      <c r="Q634" s="125"/>
      <c r="R634" s="125"/>
      <c r="S634" s="125"/>
      <c r="T634" s="125"/>
      <c r="U634" s="125"/>
      <c r="V634" s="125"/>
      <c r="W634" s="125"/>
    </row>
    <row r="635" spans="17:23">
      <c r="Q635" s="125"/>
      <c r="R635" s="125"/>
      <c r="S635" s="125"/>
      <c r="T635" s="125"/>
      <c r="U635" s="125"/>
      <c r="V635" s="125"/>
      <c r="W635" s="125"/>
    </row>
    <row r="636" spans="17:23">
      <c r="Q636" s="125"/>
      <c r="R636" s="125"/>
      <c r="S636" s="125"/>
      <c r="T636" s="125"/>
      <c r="U636" s="125"/>
      <c r="V636" s="125"/>
      <c r="W636" s="125"/>
    </row>
    <row r="637" spans="17:23">
      <c r="Q637" s="125"/>
      <c r="R637" s="125"/>
      <c r="S637" s="125"/>
      <c r="T637" s="125"/>
      <c r="U637" s="125"/>
      <c r="V637" s="125"/>
      <c r="W637" s="125"/>
    </row>
    <row r="638" spans="17:23">
      <c r="Q638" s="125"/>
      <c r="R638" s="125"/>
      <c r="S638" s="125"/>
      <c r="T638" s="125"/>
      <c r="U638" s="125"/>
      <c r="V638" s="125"/>
      <c r="W638" s="125"/>
    </row>
    <row r="639" spans="17:23">
      <c r="Q639" s="125"/>
      <c r="R639" s="125"/>
      <c r="S639" s="125"/>
      <c r="T639" s="125"/>
      <c r="U639" s="125"/>
      <c r="V639" s="125"/>
      <c r="W639" s="125"/>
    </row>
    <row r="640" spans="17:23">
      <c r="Q640" s="125"/>
      <c r="R640" s="125"/>
      <c r="S640" s="125"/>
      <c r="T640" s="125"/>
      <c r="U640" s="125"/>
      <c r="V640" s="125"/>
      <c r="W640" s="125"/>
    </row>
    <row r="641" spans="17:23">
      <c r="Q641" s="125"/>
      <c r="R641" s="125"/>
      <c r="S641" s="125"/>
      <c r="T641" s="125"/>
      <c r="U641" s="125"/>
      <c r="V641" s="125"/>
      <c r="W641" s="125"/>
    </row>
    <row r="642" spans="17:23">
      <c r="Q642" s="125"/>
      <c r="R642" s="125"/>
      <c r="S642" s="125"/>
      <c r="T642" s="125"/>
      <c r="U642" s="125"/>
      <c r="V642" s="125"/>
      <c r="W642" s="125"/>
    </row>
    <row r="643" spans="17:23">
      <c r="Q643" s="125"/>
      <c r="R643" s="125"/>
      <c r="S643" s="125"/>
      <c r="T643" s="125"/>
      <c r="U643" s="125"/>
      <c r="V643" s="125"/>
      <c r="W643" s="125"/>
    </row>
    <row r="644" spans="17:23">
      <c r="Q644" s="125"/>
      <c r="R644" s="125"/>
      <c r="S644" s="125"/>
      <c r="T644" s="125"/>
      <c r="U644" s="125"/>
      <c r="V644" s="125"/>
      <c r="W644" s="125"/>
    </row>
    <row r="645" spans="17:23">
      <c r="Q645" s="125"/>
      <c r="R645" s="125"/>
      <c r="S645" s="125"/>
      <c r="T645" s="125"/>
      <c r="U645" s="125"/>
      <c r="V645" s="125"/>
      <c r="W645" s="125"/>
    </row>
    <row r="646" spans="17:23">
      <c r="Q646" s="125"/>
      <c r="R646" s="125"/>
      <c r="S646" s="125"/>
      <c r="T646" s="125"/>
      <c r="U646" s="125"/>
      <c r="V646" s="125"/>
      <c r="W646" s="125"/>
    </row>
    <row r="647" spans="17:23">
      <c r="Q647" s="125"/>
      <c r="R647" s="125"/>
      <c r="S647" s="125"/>
      <c r="T647" s="125"/>
      <c r="U647" s="125"/>
      <c r="V647" s="125"/>
      <c r="W647" s="125"/>
    </row>
    <row r="648" spans="17:23">
      <c r="Q648" s="125"/>
      <c r="R648" s="125"/>
      <c r="S648" s="125"/>
      <c r="T648" s="125"/>
      <c r="U648" s="125"/>
      <c r="V648" s="125"/>
      <c r="W648" s="125"/>
    </row>
    <row r="649" spans="17:23">
      <c r="Q649" s="125"/>
      <c r="R649" s="125"/>
      <c r="S649" s="125"/>
      <c r="T649" s="125"/>
      <c r="U649" s="125"/>
      <c r="V649" s="125"/>
      <c r="W649" s="125"/>
    </row>
    <row r="650" spans="17:23">
      <c r="Q650" s="125"/>
      <c r="R650" s="125"/>
      <c r="S650" s="125"/>
      <c r="T650" s="125"/>
      <c r="U650" s="125"/>
      <c r="V650" s="125"/>
      <c r="W650" s="125"/>
    </row>
    <row r="651" spans="17:23">
      <c r="Q651" s="125"/>
      <c r="R651" s="125"/>
      <c r="S651" s="125"/>
      <c r="T651" s="125"/>
      <c r="U651" s="125"/>
      <c r="V651" s="125"/>
      <c r="W651" s="125"/>
    </row>
    <row r="652" spans="17:23">
      <c r="Q652" s="125"/>
      <c r="R652" s="125"/>
      <c r="S652" s="125"/>
      <c r="T652" s="125"/>
      <c r="U652" s="125"/>
      <c r="V652" s="125"/>
      <c r="W652" s="125"/>
    </row>
    <row r="653" spans="17:23">
      <c r="Q653" s="125"/>
      <c r="R653" s="125"/>
      <c r="S653" s="125"/>
      <c r="T653" s="125"/>
      <c r="U653" s="125"/>
      <c r="V653" s="125"/>
      <c r="W653" s="125"/>
    </row>
    <row r="654" spans="17:23">
      <c r="Q654" s="125"/>
      <c r="R654" s="125"/>
      <c r="S654" s="125"/>
      <c r="T654" s="125"/>
      <c r="U654" s="125"/>
      <c r="V654" s="125"/>
      <c r="W654" s="125"/>
    </row>
    <row r="655" spans="17:23">
      <c r="Q655" s="125"/>
      <c r="R655" s="125"/>
      <c r="S655" s="125"/>
      <c r="T655" s="125"/>
      <c r="U655" s="125"/>
      <c r="V655" s="125"/>
      <c r="W655" s="125"/>
    </row>
    <row r="656" spans="17:23">
      <c r="Q656" s="125"/>
      <c r="R656" s="125"/>
      <c r="S656" s="125"/>
      <c r="T656" s="125"/>
      <c r="U656" s="125"/>
      <c r="V656" s="125"/>
      <c r="W656" s="125"/>
    </row>
    <row r="657" spans="17:23">
      <c r="Q657" s="125"/>
      <c r="R657" s="125"/>
      <c r="S657" s="125"/>
      <c r="T657" s="125"/>
      <c r="U657" s="125"/>
      <c r="V657" s="125"/>
      <c r="W657" s="125"/>
    </row>
    <row r="658" spans="17:23">
      <c r="Q658" s="125"/>
      <c r="R658" s="125"/>
      <c r="S658" s="125"/>
      <c r="T658" s="125"/>
      <c r="U658" s="125"/>
      <c r="V658" s="125"/>
      <c r="W658" s="125"/>
    </row>
    <row r="659" spans="17:23">
      <c r="Q659" s="125"/>
      <c r="R659" s="125"/>
      <c r="S659" s="125"/>
      <c r="T659" s="125"/>
      <c r="U659" s="125"/>
      <c r="V659" s="125"/>
      <c r="W659" s="125"/>
    </row>
    <row r="660" spans="17:23">
      <c r="Q660" s="125"/>
      <c r="R660" s="125"/>
      <c r="S660" s="125"/>
      <c r="T660" s="125"/>
      <c r="U660" s="125"/>
      <c r="V660" s="125"/>
      <c r="W660" s="125"/>
    </row>
    <row r="661" spans="17:23">
      <c r="Q661" s="125"/>
      <c r="R661" s="125"/>
      <c r="S661" s="125"/>
      <c r="T661" s="125"/>
      <c r="U661" s="125"/>
      <c r="V661" s="125"/>
      <c r="W661" s="125"/>
    </row>
    <row r="662" spans="17:23">
      <c r="Q662" s="125"/>
      <c r="R662" s="125"/>
      <c r="S662" s="125"/>
      <c r="T662" s="125"/>
      <c r="U662" s="125"/>
      <c r="V662" s="125"/>
      <c r="W662" s="125"/>
    </row>
    <row r="663" spans="17:23">
      <c r="Q663" s="125"/>
      <c r="R663" s="125"/>
      <c r="S663" s="125"/>
      <c r="T663" s="125"/>
      <c r="U663" s="125"/>
      <c r="V663" s="125"/>
      <c r="W663" s="125"/>
    </row>
    <row r="664" spans="17:23">
      <c r="Q664" s="125"/>
      <c r="R664" s="125"/>
      <c r="S664" s="125"/>
      <c r="T664" s="125"/>
      <c r="U664" s="125"/>
      <c r="V664" s="125"/>
      <c r="W664" s="125"/>
    </row>
    <row r="665" spans="17:23">
      <c r="Q665" s="125"/>
      <c r="R665" s="125"/>
      <c r="S665" s="125"/>
      <c r="T665" s="125"/>
      <c r="U665" s="125"/>
      <c r="V665" s="125"/>
      <c r="W665" s="125"/>
    </row>
    <row r="666" spans="17:23">
      <c r="Q666" s="125"/>
      <c r="R666" s="125"/>
      <c r="S666" s="125"/>
      <c r="T666" s="125"/>
      <c r="U666" s="125"/>
      <c r="V666" s="125"/>
      <c r="W666" s="125"/>
    </row>
    <row r="667" spans="17:23">
      <c r="Q667" s="125"/>
      <c r="R667" s="125"/>
      <c r="S667" s="125"/>
      <c r="T667" s="125"/>
      <c r="U667" s="125"/>
      <c r="V667" s="125"/>
      <c r="W667" s="125"/>
    </row>
    <row r="668" spans="17:23">
      <c r="Q668" s="125"/>
      <c r="R668" s="125"/>
      <c r="S668" s="125"/>
      <c r="T668" s="125"/>
      <c r="U668" s="125"/>
      <c r="V668" s="125"/>
      <c r="W668" s="125"/>
    </row>
    <row r="669" spans="17:23">
      <c r="Q669" s="125"/>
      <c r="R669" s="125"/>
      <c r="S669" s="125"/>
      <c r="T669" s="125"/>
      <c r="U669" s="125"/>
      <c r="V669" s="125"/>
      <c r="W669" s="125"/>
    </row>
    <row r="670" spans="17:23">
      <c r="Q670" s="125"/>
      <c r="R670" s="125"/>
      <c r="S670" s="125"/>
      <c r="T670" s="125"/>
      <c r="U670" s="125"/>
      <c r="V670" s="125"/>
      <c r="W670" s="125"/>
    </row>
    <row r="671" spans="17:23">
      <c r="Q671" s="125"/>
      <c r="R671" s="125"/>
      <c r="S671" s="125"/>
      <c r="T671" s="125"/>
      <c r="U671" s="125"/>
      <c r="V671" s="125"/>
      <c r="W671" s="125"/>
    </row>
    <row r="672" spans="17:23">
      <c r="Q672" s="125"/>
      <c r="R672" s="125"/>
      <c r="S672" s="125"/>
      <c r="T672" s="125"/>
      <c r="U672" s="125"/>
      <c r="V672" s="125"/>
      <c r="W672" s="125"/>
    </row>
    <row r="673" spans="17:23">
      <c r="Q673" s="125"/>
      <c r="R673" s="125"/>
      <c r="S673" s="125"/>
      <c r="T673" s="125"/>
      <c r="U673" s="125"/>
      <c r="V673" s="125"/>
      <c r="W673" s="125"/>
    </row>
    <row r="674" spans="17:23">
      <c r="Q674" s="125"/>
      <c r="R674" s="125"/>
      <c r="S674" s="125"/>
      <c r="T674" s="125"/>
      <c r="U674" s="125"/>
      <c r="V674" s="125"/>
      <c r="W674" s="125"/>
    </row>
    <row r="675" spans="17:23">
      <c r="Q675" s="125"/>
      <c r="R675" s="125"/>
      <c r="S675" s="125"/>
      <c r="T675" s="125"/>
      <c r="U675" s="125"/>
      <c r="V675" s="125"/>
      <c r="W675" s="125"/>
    </row>
    <row r="676" spans="17:23">
      <c r="Q676" s="125"/>
      <c r="R676" s="125"/>
      <c r="S676" s="125"/>
      <c r="T676" s="125"/>
      <c r="U676" s="125"/>
      <c r="V676" s="125"/>
      <c r="W676" s="125"/>
    </row>
    <row r="677" spans="17:23">
      <c r="Q677" s="125"/>
      <c r="R677" s="125"/>
      <c r="S677" s="125"/>
      <c r="T677" s="125"/>
      <c r="U677" s="125"/>
      <c r="V677" s="125"/>
      <c r="W677" s="125"/>
    </row>
    <row r="678" spans="17:23">
      <c r="Q678" s="125"/>
      <c r="R678" s="125"/>
      <c r="S678" s="125"/>
      <c r="T678" s="125"/>
      <c r="U678" s="125"/>
      <c r="V678" s="125"/>
      <c r="W678" s="125"/>
    </row>
    <row r="679" spans="17:23">
      <c r="Q679" s="125"/>
      <c r="R679" s="125"/>
      <c r="S679" s="125"/>
      <c r="T679" s="125"/>
      <c r="U679" s="125"/>
      <c r="V679" s="125"/>
      <c r="W679" s="125"/>
    </row>
    <row r="680" spans="17:23">
      <c r="Q680" s="125"/>
      <c r="R680" s="125"/>
      <c r="S680" s="125"/>
      <c r="T680" s="125"/>
      <c r="U680" s="125"/>
      <c r="V680" s="125"/>
      <c r="W680" s="125"/>
    </row>
    <row r="681" spans="17:23">
      <c r="Q681" s="125"/>
      <c r="R681" s="125"/>
      <c r="S681" s="125"/>
      <c r="T681" s="125"/>
      <c r="U681" s="125"/>
      <c r="V681" s="125"/>
      <c r="W681" s="125"/>
    </row>
    <row r="682" spans="17:23">
      <c r="Q682" s="125"/>
      <c r="R682" s="125"/>
      <c r="S682" s="125"/>
      <c r="T682" s="125"/>
      <c r="U682" s="125"/>
      <c r="V682" s="125"/>
      <c r="W682" s="125"/>
    </row>
    <row r="683" spans="17:23">
      <c r="Q683" s="125"/>
      <c r="R683" s="125"/>
      <c r="S683" s="125"/>
      <c r="T683" s="125"/>
      <c r="U683" s="125"/>
      <c r="V683" s="125"/>
      <c r="W683" s="125"/>
    </row>
    <row r="684" spans="17:23">
      <c r="Q684" s="125"/>
      <c r="R684" s="125"/>
      <c r="S684" s="125"/>
      <c r="T684" s="125"/>
      <c r="U684" s="125"/>
      <c r="V684" s="125"/>
      <c r="W684" s="125"/>
    </row>
    <row r="685" spans="17:23">
      <c r="Q685" s="125"/>
      <c r="R685" s="125"/>
      <c r="S685" s="125"/>
      <c r="T685" s="125"/>
      <c r="U685" s="125"/>
      <c r="V685" s="125"/>
      <c r="W685" s="125"/>
    </row>
    <row r="686" spans="17:23">
      <c r="Q686" s="125"/>
      <c r="R686" s="125"/>
      <c r="S686" s="125"/>
      <c r="T686" s="125"/>
      <c r="U686" s="125"/>
      <c r="V686" s="125"/>
      <c r="W686" s="125"/>
    </row>
    <row r="687" spans="17:23">
      <c r="Q687" s="125"/>
      <c r="R687" s="125"/>
      <c r="S687" s="125"/>
      <c r="T687" s="125"/>
      <c r="U687" s="125"/>
      <c r="V687" s="125"/>
      <c r="W687" s="125"/>
    </row>
    <row r="688" spans="17:23">
      <c r="Q688" s="125"/>
      <c r="R688" s="125"/>
      <c r="S688" s="125"/>
      <c r="T688" s="125"/>
      <c r="U688" s="125"/>
      <c r="V688" s="125"/>
      <c r="W688" s="125"/>
    </row>
    <row r="689" spans="17:23">
      <c r="Q689" s="125"/>
      <c r="R689" s="125"/>
      <c r="S689" s="125"/>
      <c r="T689" s="125"/>
      <c r="U689" s="125"/>
      <c r="V689" s="125"/>
      <c r="W689" s="125"/>
    </row>
    <row r="690" spans="17:23">
      <c r="Q690" s="125"/>
      <c r="R690" s="125"/>
      <c r="S690" s="125"/>
      <c r="T690" s="125"/>
      <c r="U690" s="125"/>
      <c r="V690" s="125"/>
      <c r="W690" s="125"/>
    </row>
    <row r="691" spans="17:23">
      <c r="Q691" s="125"/>
      <c r="R691" s="125"/>
      <c r="S691" s="125"/>
      <c r="T691" s="125"/>
      <c r="U691" s="125"/>
      <c r="V691" s="125"/>
      <c r="W691" s="125"/>
    </row>
    <row r="692" spans="17:23">
      <c r="Q692" s="125"/>
      <c r="R692" s="125"/>
      <c r="S692" s="125"/>
      <c r="T692" s="125"/>
      <c r="U692" s="125"/>
      <c r="V692" s="125"/>
      <c r="W692" s="125"/>
    </row>
    <row r="693" spans="17:23">
      <c r="Q693" s="125"/>
      <c r="R693" s="125"/>
      <c r="S693" s="125"/>
      <c r="T693" s="125"/>
      <c r="U693" s="125"/>
      <c r="V693" s="125"/>
      <c r="W693" s="125"/>
    </row>
    <row r="694" spans="17:23">
      <c r="Q694" s="125"/>
      <c r="R694" s="125"/>
      <c r="S694" s="125"/>
      <c r="T694" s="125"/>
      <c r="U694" s="125"/>
      <c r="V694" s="125"/>
      <c r="W694" s="125"/>
    </row>
    <row r="695" spans="17:23">
      <c r="Q695" s="125"/>
      <c r="R695" s="125"/>
      <c r="S695" s="125"/>
      <c r="T695" s="125"/>
      <c r="U695" s="125"/>
      <c r="V695" s="125"/>
      <c r="W695" s="125"/>
    </row>
    <row r="696" spans="17:23">
      <c r="Q696" s="125"/>
      <c r="R696" s="125"/>
      <c r="S696" s="125"/>
      <c r="T696" s="125"/>
      <c r="U696" s="125"/>
      <c r="V696" s="125"/>
      <c r="W696" s="125"/>
    </row>
    <row r="697" spans="17:23">
      <c r="Q697" s="125"/>
      <c r="R697" s="125"/>
      <c r="S697" s="125"/>
      <c r="T697" s="125"/>
      <c r="U697" s="125"/>
      <c r="V697" s="125"/>
      <c r="W697" s="125"/>
    </row>
    <row r="698" spans="17:23">
      <c r="Q698" s="125"/>
      <c r="R698" s="125"/>
      <c r="S698" s="125"/>
      <c r="T698" s="125"/>
      <c r="U698" s="125"/>
      <c r="V698" s="125"/>
      <c r="W698" s="125"/>
    </row>
    <row r="699" spans="17:23">
      <c r="Q699" s="125"/>
      <c r="R699" s="125"/>
      <c r="S699" s="125"/>
      <c r="T699" s="125"/>
      <c r="U699" s="125"/>
      <c r="V699" s="125"/>
      <c r="W699" s="125"/>
    </row>
    <row r="700" spans="17:23">
      <c r="Q700" s="125"/>
      <c r="R700" s="125"/>
      <c r="S700" s="125"/>
      <c r="T700" s="125"/>
      <c r="U700" s="125"/>
      <c r="V700" s="125"/>
      <c r="W700" s="125"/>
    </row>
    <row r="701" spans="17:23">
      <c r="Q701" s="125"/>
      <c r="R701" s="125"/>
      <c r="S701" s="125"/>
      <c r="T701" s="125"/>
      <c r="U701" s="125"/>
      <c r="V701" s="125"/>
      <c r="W701" s="125"/>
    </row>
    <row r="702" spans="17:23">
      <c r="Q702" s="125"/>
      <c r="R702" s="125"/>
      <c r="S702" s="125"/>
      <c r="T702" s="125"/>
      <c r="U702" s="125"/>
      <c r="V702" s="125"/>
      <c r="W702" s="125"/>
    </row>
    <row r="703" spans="17:23">
      <c r="Q703" s="125"/>
      <c r="R703" s="125"/>
      <c r="S703" s="125"/>
      <c r="T703" s="125"/>
      <c r="U703" s="125"/>
      <c r="V703" s="125"/>
      <c r="W703" s="125"/>
    </row>
    <row r="704" spans="17:23">
      <c r="Q704" s="125"/>
      <c r="R704" s="125"/>
      <c r="S704" s="125"/>
      <c r="T704" s="125"/>
      <c r="U704" s="125"/>
      <c r="V704" s="125"/>
      <c r="W704" s="125"/>
    </row>
    <row r="705" spans="17:23">
      <c r="Q705" s="125"/>
      <c r="R705" s="125"/>
      <c r="S705" s="125"/>
      <c r="T705" s="125"/>
      <c r="U705" s="125"/>
      <c r="V705" s="125"/>
      <c r="W705" s="125"/>
    </row>
    <row r="706" spans="17:23">
      <c r="Q706" s="125"/>
      <c r="R706" s="125"/>
      <c r="S706" s="125"/>
      <c r="T706" s="125"/>
      <c r="U706" s="125"/>
      <c r="V706" s="125"/>
      <c r="W706" s="125"/>
    </row>
    <row r="707" spans="17:23">
      <c r="Q707" s="125"/>
      <c r="R707" s="125"/>
      <c r="S707" s="125"/>
      <c r="T707" s="125"/>
      <c r="U707" s="125"/>
      <c r="V707" s="125"/>
      <c r="W707" s="125"/>
    </row>
    <row r="708" spans="17:23">
      <c r="Q708" s="125"/>
      <c r="R708" s="125"/>
      <c r="S708" s="125"/>
      <c r="T708" s="125"/>
      <c r="U708" s="125"/>
      <c r="V708" s="125"/>
      <c r="W708" s="125"/>
    </row>
    <row r="709" spans="17:23">
      <c r="Q709" s="125"/>
      <c r="R709" s="125"/>
      <c r="S709" s="125"/>
      <c r="T709" s="125"/>
      <c r="U709" s="125"/>
      <c r="V709" s="125"/>
      <c r="W709" s="125"/>
    </row>
    <row r="710" spans="17:23">
      <c r="Q710" s="125"/>
      <c r="R710" s="125"/>
      <c r="S710" s="125"/>
      <c r="T710" s="125"/>
      <c r="U710" s="125"/>
      <c r="V710" s="125"/>
      <c r="W710" s="125"/>
    </row>
    <row r="711" spans="17:23">
      <c r="Q711" s="125"/>
      <c r="R711" s="125"/>
      <c r="S711" s="125"/>
      <c r="T711" s="125"/>
      <c r="U711" s="125"/>
      <c r="V711" s="125"/>
      <c r="W711" s="125"/>
    </row>
    <row r="712" spans="17:23">
      <c r="Q712" s="125"/>
      <c r="R712" s="125"/>
      <c r="S712" s="125"/>
      <c r="T712" s="125"/>
      <c r="U712" s="125"/>
      <c r="V712" s="125"/>
      <c r="W712" s="125"/>
    </row>
    <row r="713" spans="17:23">
      <c r="Q713" s="125"/>
      <c r="R713" s="125"/>
      <c r="S713" s="125"/>
      <c r="T713" s="125"/>
      <c r="U713" s="125"/>
      <c r="V713" s="125"/>
      <c r="W713" s="125"/>
    </row>
    <row r="714" spans="17:23">
      <c r="Q714" s="125"/>
      <c r="R714" s="125"/>
      <c r="S714" s="125"/>
      <c r="T714" s="125"/>
      <c r="U714" s="125"/>
      <c r="V714" s="125"/>
      <c r="W714" s="125"/>
    </row>
    <row r="715" spans="17:23">
      <c r="Q715" s="125"/>
      <c r="R715" s="125"/>
      <c r="S715" s="125"/>
      <c r="T715" s="125"/>
      <c r="U715" s="125"/>
      <c r="V715" s="125"/>
      <c r="W715" s="125"/>
    </row>
    <row r="716" spans="17:23">
      <c r="Q716" s="125"/>
      <c r="R716" s="125"/>
      <c r="S716" s="125"/>
      <c r="T716" s="125"/>
      <c r="U716" s="125"/>
      <c r="V716" s="125"/>
      <c r="W716" s="125"/>
    </row>
    <row r="717" spans="17:23">
      <c r="Q717" s="125"/>
      <c r="R717" s="125"/>
      <c r="S717" s="125"/>
      <c r="T717" s="125"/>
      <c r="U717" s="125"/>
      <c r="V717" s="125"/>
      <c r="W717" s="125"/>
    </row>
    <row r="718" spans="17:23">
      <c r="Q718" s="125"/>
      <c r="R718" s="125"/>
      <c r="S718" s="125"/>
      <c r="T718" s="125"/>
      <c r="U718" s="125"/>
      <c r="V718" s="125"/>
      <c r="W718" s="125"/>
    </row>
    <row r="719" spans="17:23">
      <c r="Q719" s="125"/>
      <c r="R719" s="125"/>
      <c r="S719" s="125"/>
      <c r="T719" s="125"/>
      <c r="U719" s="125"/>
      <c r="V719" s="125"/>
      <c r="W719" s="125"/>
    </row>
    <row r="720" spans="17:23">
      <c r="Q720" s="125"/>
      <c r="R720" s="125"/>
      <c r="S720" s="125"/>
      <c r="T720" s="125"/>
      <c r="U720" s="125"/>
      <c r="V720" s="125"/>
      <c r="W720" s="125"/>
    </row>
    <row r="721" spans="17:23">
      <c r="Q721" s="125"/>
      <c r="R721" s="125"/>
      <c r="S721" s="125"/>
      <c r="T721" s="125"/>
      <c r="U721" s="125"/>
      <c r="V721" s="125"/>
      <c r="W721" s="125"/>
    </row>
    <row r="722" spans="17:23">
      <c r="Q722" s="125"/>
      <c r="R722" s="125"/>
      <c r="S722" s="125"/>
      <c r="T722" s="125"/>
      <c r="U722" s="125"/>
      <c r="V722" s="125"/>
      <c r="W722" s="125"/>
    </row>
    <row r="723" spans="17:23">
      <c r="Q723" s="125"/>
      <c r="R723" s="125"/>
      <c r="S723" s="125"/>
      <c r="T723" s="125"/>
      <c r="U723" s="125"/>
      <c r="V723" s="125"/>
      <c r="W723" s="125"/>
    </row>
    <row r="724" spans="17:23">
      <c r="Q724" s="125"/>
      <c r="R724" s="125"/>
      <c r="S724" s="125"/>
      <c r="T724" s="125"/>
      <c r="U724" s="125"/>
      <c r="V724" s="125"/>
      <c r="W724" s="125"/>
    </row>
    <row r="725" spans="17:23">
      <c r="Q725" s="125"/>
      <c r="R725" s="125"/>
      <c r="S725" s="125"/>
      <c r="T725" s="125"/>
      <c r="U725" s="125"/>
      <c r="V725" s="125"/>
      <c r="W725" s="125"/>
    </row>
    <row r="726" spans="17:23">
      <c r="Q726" s="125"/>
      <c r="R726" s="125"/>
      <c r="S726" s="125"/>
      <c r="T726" s="125"/>
      <c r="U726" s="125"/>
      <c r="V726" s="125"/>
      <c r="W726" s="125"/>
    </row>
    <row r="727" spans="17:23">
      <c r="Q727" s="125"/>
      <c r="R727" s="125"/>
      <c r="S727" s="125"/>
      <c r="T727" s="125"/>
      <c r="U727" s="125"/>
      <c r="V727" s="125"/>
      <c r="W727" s="125"/>
    </row>
    <row r="728" spans="17:23">
      <c r="Q728" s="125"/>
      <c r="R728" s="125"/>
      <c r="S728" s="125"/>
      <c r="T728" s="125"/>
      <c r="U728" s="125"/>
      <c r="V728" s="125"/>
      <c r="W728" s="125"/>
    </row>
    <row r="729" spans="17:23">
      <c r="Q729" s="125"/>
      <c r="R729" s="125"/>
      <c r="S729" s="125"/>
      <c r="T729" s="125"/>
      <c r="U729" s="125"/>
      <c r="V729" s="125"/>
      <c r="W729" s="125"/>
    </row>
    <row r="730" spans="17:23">
      <c r="Q730" s="125"/>
      <c r="R730" s="125"/>
      <c r="S730" s="125"/>
      <c r="T730" s="125"/>
      <c r="U730" s="125"/>
      <c r="V730" s="125"/>
      <c r="W730" s="125"/>
    </row>
    <row r="731" spans="17:23">
      <c r="Q731" s="125"/>
      <c r="R731" s="125"/>
      <c r="S731" s="125"/>
      <c r="T731" s="125"/>
      <c r="U731" s="125"/>
      <c r="V731" s="125"/>
      <c r="W731" s="125"/>
    </row>
    <row r="732" spans="17:23">
      <c r="Q732" s="125"/>
      <c r="R732" s="125"/>
      <c r="S732" s="125"/>
      <c r="T732" s="125"/>
      <c r="U732" s="125"/>
      <c r="V732" s="125"/>
      <c r="W732" s="125"/>
    </row>
    <row r="733" spans="17:23">
      <c r="Q733" s="125"/>
      <c r="R733" s="125"/>
      <c r="S733" s="125"/>
      <c r="T733" s="125"/>
      <c r="U733" s="125"/>
      <c r="V733" s="125"/>
      <c r="W733" s="125"/>
    </row>
    <row r="734" spans="17:23">
      <c r="Q734" s="125"/>
      <c r="R734" s="125"/>
      <c r="S734" s="125"/>
      <c r="T734" s="125"/>
      <c r="U734" s="125"/>
      <c r="V734" s="125"/>
      <c r="W734" s="125"/>
    </row>
    <row r="735" spans="17:23">
      <c r="Q735" s="125"/>
      <c r="R735" s="125"/>
      <c r="S735" s="125"/>
      <c r="T735" s="125"/>
      <c r="U735" s="125"/>
      <c r="V735" s="125"/>
      <c r="W735" s="125"/>
    </row>
    <row r="736" spans="17:23">
      <c r="Q736" s="125"/>
      <c r="R736" s="125"/>
      <c r="S736" s="125"/>
      <c r="T736" s="125"/>
      <c r="U736" s="125"/>
      <c r="V736" s="125"/>
      <c r="W736" s="125"/>
    </row>
    <row r="737" spans="17:23">
      <c r="Q737" s="125"/>
      <c r="R737" s="125"/>
      <c r="S737" s="125"/>
      <c r="T737" s="125"/>
      <c r="U737" s="125"/>
      <c r="V737" s="125"/>
      <c r="W737" s="125"/>
    </row>
    <row r="738" spans="17:23">
      <c r="Q738" s="125"/>
      <c r="R738" s="125"/>
      <c r="S738" s="125"/>
      <c r="T738" s="125"/>
      <c r="U738" s="125"/>
      <c r="V738" s="125"/>
      <c r="W738" s="125"/>
    </row>
    <row r="739" spans="17:23">
      <c r="Q739" s="125"/>
      <c r="R739" s="125"/>
      <c r="S739" s="125"/>
      <c r="T739" s="125"/>
      <c r="U739" s="125"/>
      <c r="V739" s="125"/>
      <c r="W739" s="125"/>
    </row>
    <row r="740" spans="17:23">
      <c r="Q740" s="125"/>
      <c r="R740" s="125"/>
      <c r="S740" s="125"/>
      <c r="T740" s="125"/>
      <c r="U740" s="125"/>
      <c r="V740" s="125"/>
      <c r="W740" s="125"/>
    </row>
    <row r="741" spans="17:23">
      <c r="Q741" s="125"/>
      <c r="R741" s="125"/>
      <c r="S741" s="125"/>
      <c r="T741" s="125"/>
      <c r="U741" s="125"/>
      <c r="V741" s="125"/>
      <c r="W741" s="125"/>
    </row>
    <row r="742" spans="17:23">
      <c r="Q742" s="125"/>
      <c r="R742" s="125"/>
      <c r="S742" s="125"/>
      <c r="T742" s="125"/>
      <c r="U742" s="125"/>
      <c r="V742" s="125"/>
      <c r="W742" s="125"/>
    </row>
    <row r="743" spans="17:23">
      <c r="Q743" s="125"/>
      <c r="R743" s="125"/>
      <c r="S743" s="125"/>
      <c r="T743" s="125"/>
      <c r="U743" s="125"/>
      <c r="V743" s="125"/>
      <c r="W743" s="125"/>
    </row>
    <row r="744" spans="17:23">
      <c r="Q744" s="125"/>
      <c r="R744" s="125"/>
      <c r="S744" s="125"/>
      <c r="T744" s="125"/>
      <c r="U744" s="125"/>
      <c r="V744" s="125"/>
      <c r="W744" s="125"/>
    </row>
    <row r="745" spans="17:23">
      <c r="Q745" s="125"/>
      <c r="R745" s="125"/>
      <c r="S745" s="125"/>
      <c r="T745" s="125"/>
      <c r="U745" s="125"/>
      <c r="V745" s="125"/>
      <c r="W745" s="125"/>
    </row>
    <row r="746" spans="17:23">
      <c r="Q746" s="125"/>
      <c r="R746" s="125"/>
      <c r="S746" s="125"/>
      <c r="T746" s="125"/>
      <c r="U746" s="125"/>
      <c r="V746" s="125"/>
      <c r="W746" s="125"/>
    </row>
    <row r="747" spans="17:23">
      <c r="Q747" s="125"/>
      <c r="R747" s="125"/>
      <c r="S747" s="125"/>
      <c r="T747" s="125"/>
      <c r="U747" s="125"/>
      <c r="V747" s="125"/>
      <c r="W747" s="125"/>
    </row>
    <row r="748" spans="17:23">
      <c r="Q748" s="125"/>
      <c r="R748" s="125"/>
      <c r="S748" s="125"/>
      <c r="T748" s="125"/>
      <c r="U748" s="125"/>
      <c r="V748" s="125"/>
      <c r="W748" s="125"/>
    </row>
    <row r="749" spans="17:23">
      <c r="Q749" s="125"/>
      <c r="R749" s="125"/>
      <c r="S749" s="125"/>
      <c r="T749" s="125"/>
      <c r="U749" s="125"/>
      <c r="V749" s="125"/>
      <c r="W749" s="125"/>
    </row>
    <row r="750" spans="17:23">
      <c r="Q750" s="125"/>
      <c r="R750" s="125"/>
      <c r="S750" s="125"/>
      <c r="T750" s="125"/>
      <c r="U750" s="125"/>
      <c r="V750" s="125"/>
      <c r="W750" s="125"/>
    </row>
    <row r="751" spans="17:23">
      <c r="Q751" s="125"/>
      <c r="R751" s="125"/>
      <c r="S751" s="125"/>
      <c r="T751" s="125"/>
      <c r="U751" s="125"/>
      <c r="V751" s="125"/>
      <c r="W751" s="125"/>
    </row>
    <row r="752" spans="17:23">
      <c r="Q752" s="125"/>
      <c r="R752" s="125"/>
      <c r="S752" s="125"/>
      <c r="T752" s="125"/>
      <c r="U752" s="125"/>
      <c r="V752" s="125"/>
      <c r="W752" s="125"/>
    </row>
    <row r="753" spans="17:23">
      <c r="Q753" s="125"/>
      <c r="R753" s="125"/>
      <c r="S753" s="125"/>
      <c r="T753" s="125"/>
      <c r="U753" s="125"/>
      <c r="V753" s="125"/>
      <c r="W753" s="125"/>
    </row>
    <row r="754" spans="17:23">
      <c r="Q754" s="125"/>
      <c r="R754" s="125"/>
      <c r="S754" s="125"/>
      <c r="T754" s="125"/>
      <c r="U754" s="125"/>
      <c r="V754" s="125"/>
      <c r="W754" s="125"/>
    </row>
    <row r="755" spans="17:23">
      <c r="Q755" s="125"/>
      <c r="R755" s="125"/>
      <c r="S755" s="125"/>
      <c r="T755" s="125"/>
      <c r="U755" s="125"/>
      <c r="V755" s="125"/>
      <c r="W755" s="125"/>
    </row>
    <row r="756" spans="17:23">
      <c r="Q756" s="125"/>
      <c r="R756" s="125"/>
      <c r="S756" s="125"/>
      <c r="T756" s="125"/>
      <c r="U756" s="125"/>
      <c r="V756" s="125"/>
      <c r="W756" s="125"/>
    </row>
    <row r="757" spans="17:23">
      <c r="Q757" s="125"/>
      <c r="R757" s="125"/>
      <c r="S757" s="125"/>
      <c r="T757" s="125"/>
      <c r="U757" s="125"/>
      <c r="V757" s="125"/>
      <c r="W757" s="125"/>
    </row>
    <row r="758" spans="17:23">
      <c r="Q758" s="125"/>
      <c r="R758" s="125"/>
      <c r="S758" s="125"/>
      <c r="T758" s="125"/>
      <c r="U758" s="125"/>
      <c r="V758" s="125"/>
      <c r="W758" s="125"/>
    </row>
    <row r="759" spans="17:23">
      <c r="Q759" s="125"/>
      <c r="R759" s="125"/>
      <c r="S759" s="125"/>
      <c r="T759" s="125"/>
      <c r="U759" s="125"/>
      <c r="V759" s="125"/>
      <c r="W759" s="125"/>
    </row>
    <row r="760" spans="17:23">
      <c r="Q760" s="125"/>
      <c r="R760" s="125"/>
      <c r="S760" s="125"/>
      <c r="T760" s="125"/>
      <c r="U760" s="125"/>
      <c r="V760" s="125"/>
      <c r="W760" s="125"/>
    </row>
    <row r="761" spans="17:23">
      <c r="Q761" s="125"/>
      <c r="R761" s="125"/>
      <c r="S761" s="125"/>
      <c r="T761" s="125"/>
      <c r="U761" s="125"/>
      <c r="V761" s="125"/>
      <c r="W761" s="125"/>
    </row>
    <row r="762" spans="17:23">
      <c r="Q762" s="125"/>
      <c r="R762" s="125"/>
      <c r="S762" s="125"/>
      <c r="T762" s="125"/>
      <c r="U762" s="125"/>
      <c r="V762" s="125"/>
      <c r="W762" s="125"/>
    </row>
    <row r="763" spans="17:23">
      <c r="Q763" s="125"/>
      <c r="R763" s="125"/>
      <c r="S763" s="125"/>
      <c r="T763" s="125"/>
      <c r="U763" s="125"/>
      <c r="V763" s="125"/>
      <c r="W763" s="125"/>
    </row>
    <row r="764" spans="17:23">
      <c r="Q764" s="125"/>
      <c r="R764" s="125"/>
      <c r="S764" s="125"/>
      <c r="T764" s="125"/>
      <c r="U764" s="125"/>
      <c r="V764" s="125"/>
      <c r="W764" s="125"/>
    </row>
    <row r="765" spans="17:23">
      <c r="Q765" s="125"/>
      <c r="R765" s="125"/>
      <c r="S765" s="125"/>
      <c r="T765" s="125"/>
      <c r="U765" s="125"/>
      <c r="V765" s="125"/>
      <c r="W765" s="125"/>
    </row>
    <row r="766" spans="17:23">
      <c r="Q766" s="125"/>
      <c r="R766" s="125"/>
      <c r="S766" s="125"/>
      <c r="T766" s="125"/>
      <c r="U766" s="125"/>
      <c r="V766" s="125"/>
      <c r="W766" s="125"/>
    </row>
    <row r="767" spans="17:23">
      <c r="Q767" s="125"/>
      <c r="R767" s="125"/>
      <c r="S767" s="125"/>
      <c r="T767" s="125"/>
      <c r="U767" s="125"/>
      <c r="V767" s="125"/>
      <c r="W767" s="125"/>
    </row>
    <row r="768" spans="17:23">
      <c r="Q768" s="125"/>
      <c r="R768" s="125"/>
      <c r="S768" s="125"/>
      <c r="T768" s="125"/>
      <c r="U768" s="125"/>
      <c r="V768" s="125"/>
      <c r="W768" s="125"/>
    </row>
    <row r="769" spans="17:23">
      <c r="Q769" s="125"/>
      <c r="R769" s="125"/>
      <c r="S769" s="125"/>
      <c r="T769" s="125"/>
      <c r="U769" s="125"/>
      <c r="V769" s="125"/>
      <c r="W769" s="125"/>
    </row>
    <row r="770" spans="17:23">
      <c r="Q770" s="125"/>
      <c r="R770" s="125"/>
      <c r="S770" s="125"/>
      <c r="T770" s="125"/>
      <c r="U770" s="125"/>
      <c r="V770" s="125"/>
      <c r="W770" s="125"/>
    </row>
    <row r="771" spans="17:23">
      <c r="Q771" s="125"/>
      <c r="R771" s="125"/>
      <c r="S771" s="125"/>
      <c r="T771" s="125"/>
      <c r="U771" s="125"/>
      <c r="V771" s="125"/>
      <c r="W771" s="125"/>
    </row>
    <row r="772" spans="17:23">
      <c r="Q772" s="125"/>
      <c r="R772" s="125"/>
      <c r="S772" s="125"/>
      <c r="T772" s="125"/>
      <c r="U772" s="125"/>
      <c r="V772" s="125"/>
      <c r="W772" s="125"/>
    </row>
    <row r="773" spans="17:23">
      <c r="Q773" s="125"/>
      <c r="R773" s="125"/>
      <c r="S773" s="125"/>
      <c r="T773" s="125"/>
      <c r="U773" s="125"/>
      <c r="V773" s="125"/>
      <c r="W773" s="125"/>
    </row>
    <row r="774" spans="17:23">
      <c r="Q774" s="125"/>
      <c r="R774" s="125"/>
      <c r="S774" s="125"/>
      <c r="T774" s="125"/>
      <c r="U774" s="125"/>
      <c r="V774" s="125"/>
      <c r="W774" s="125"/>
    </row>
    <row r="775" spans="17:23">
      <c r="Q775" s="125"/>
      <c r="R775" s="125"/>
      <c r="S775" s="125"/>
      <c r="T775" s="125"/>
      <c r="U775" s="125"/>
      <c r="V775" s="125"/>
      <c r="W775" s="125"/>
    </row>
    <row r="776" spans="17:23">
      <c r="Q776" s="125"/>
      <c r="R776" s="125"/>
      <c r="S776" s="125"/>
      <c r="T776" s="125"/>
      <c r="U776" s="125"/>
      <c r="V776" s="125"/>
      <c r="W776" s="125"/>
    </row>
    <row r="777" spans="17:23">
      <c r="Q777" s="125"/>
      <c r="R777" s="125"/>
      <c r="S777" s="125"/>
      <c r="T777" s="125"/>
      <c r="U777" s="125"/>
      <c r="V777" s="125"/>
      <c r="W777" s="125"/>
    </row>
    <row r="778" spans="17:23">
      <c r="Q778" s="125"/>
      <c r="R778" s="125"/>
      <c r="S778" s="125"/>
      <c r="T778" s="125"/>
      <c r="U778" s="125"/>
      <c r="V778" s="125"/>
      <c r="W778" s="125"/>
    </row>
    <row r="779" spans="17:23">
      <c r="Q779" s="125"/>
      <c r="R779" s="125"/>
      <c r="S779" s="125"/>
      <c r="T779" s="125"/>
      <c r="U779" s="125"/>
      <c r="V779" s="125"/>
      <c r="W779" s="125"/>
    </row>
    <row r="780" spans="17:23">
      <c r="Q780" s="125"/>
      <c r="R780" s="125"/>
      <c r="S780" s="125"/>
      <c r="T780" s="125"/>
      <c r="U780" s="125"/>
      <c r="V780" s="125"/>
      <c r="W780" s="125"/>
    </row>
    <row r="781" spans="17:23">
      <c r="Q781" s="125"/>
      <c r="R781" s="125"/>
      <c r="S781" s="125"/>
      <c r="T781" s="125"/>
      <c r="U781" s="125"/>
      <c r="V781" s="125"/>
      <c r="W781" s="125"/>
    </row>
    <row r="782" spans="17:23">
      <c r="Q782" s="125"/>
      <c r="R782" s="125"/>
      <c r="S782" s="125"/>
      <c r="T782" s="125"/>
      <c r="U782" s="125"/>
      <c r="V782" s="125"/>
      <c r="W782" s="125"/>
    </row>
    <row r="783" spans="17:23">
      <c r="Q783" s="125"/>
      <c r="R783" s="125"/>
      <c r="S783" s="125"/>
      <c r="T783" s="125"/>
      <c r="U783" s="125"/>
      <c r="V783" s="125"/>
      <c r="W783" s="125"/>
    </row>
    <row r="784" spans="17:23">
      <c r="Q784" s="125"/>
      <c r="R784" s="125"/>
      <c r="S784" s="125"/>
      <c r="T784" s="125"/>
      <c r="U784" s="125"/>
      <c r="V784" s="125"/>
      <c r="W784" s="125"/>
    </row>
    <row r="785" spans="17:23">
      <c r="Q785" s="125"/>
      <c r="R785" s="125"/>
      <c r="S785" s="125"/>
      <c r="T785" s="125"/>
      <c r="U785" s="125"/>
      <c r="V785" s="125"/>
      <c r="W785" s="125"/>
    </row>
    <row r="786" spans="17:23">
      <c r="Q786" s="125"/>
      <c r="R786" s="125"/>
      <c r="S786" s="125"/>
      <c r="T786" s="125"/>
      <c r="U786" s="125"/>
      <c r="V786" s="125"/>
      <c r="W786" s="125"/>
    </row>
    <row r="787" spans="17:23">
      <c r="Q787" s="125"/>
      <c r="R787" s="125"/>
      <c r="S787" s="125"/>
      <c r="T787" s="125"/>
      <c r="U787" s="125"/>
      <c r="V787" s="125"/>
      <c r="W787" s="125"/>
    </row>
    <row r="788" spans="17:23">
      <c r="Q788" s="125"/>
      <c r="R788" s="125"/>
      <c r="S788" s="125"/>
      <c r="T788" s="125"/>
      <c r="U788" s="125"/>
      <c r="V788" s="125"/>
      <c r="W788" s="125"/>
    </row>
    <row r="789" spans="17:23">
      <c r="Q789" s="125"/>
      <c r="R789" s="125"/>
      <c r="S789" s="125"/>
      <c r="T789" s="125"/>
      <c r="U789" s="125"/>
      <c r="V789" s="125"/>
      <c r="W789" s="125"/>
    </row>
    <row r="790" spans="17:23">
      <c r="Q790" s="125"/>
      <c r="R790" s="125"/>
      <c r="S790" s="125"/>
      <c r="T790" s="125"/>
      <c r="U790" s="125"/>
      <c r="V790" s="125"/>
      <c r="W790" s="125"/>
    </row>
    <row r="791" spans="17:23">
      <c r="Q791" s="125"/>
      <c r="R791" s="125"/>
      <c r="S791" s="125"/>
      <c r="T791" s="125"/>
      <c r="U791" s="125"/>
      <c r="V791" s="125"/>
      <c r="W791" s="125"/>
    </row>
    <row r="792" spans="17:23">
      <c r="Q792" s="125"/>
      <c r="R792" s="125"/>
      <c r="S792" s="125"/>
      <c r="T792" s="125"/>
      <c r="U792" s="125"/>
      <c r="V792" s="125"/>
      <c r="W792" s="125"/>
    </row>
    <row r="793" spans="17:23">
      <c r="Q793" s="125"/>
      <c r="R793" s="125"/>
      <c r="S793" s="125"/>
      <c r="T793" s="125"/>
      <c r="U793" s="125"/>
      <c r="V793" s="125"/>
      <c r="W793" s="125"/>
    </row>
    <row r="794" spans="17:23">
      <c r="Q794" s="125"/>
      <c r="R794" s="125"/>
      <c r="S794" s="125"/>
      <c r="T794" s="125"/>
      <c r="U794" s="125"/>
      <c r="V794" s="125"/>
      <c r="W794" s="125"/>
    </row>
    <row r="795" spans="17:23">
      <c r="Q795" s="125"/>
      <c r="R795" s="125"/>
      <c r="S795" s="125"/>
      <c r="T795" s="125"/>
      <c r="U795" s="125"/>
      <c r="V795" s="125"/>
      <c r="W795" s="125"/>
    </row>
    <row r="796" spans="17:23">
      <c r="Q796" s="125"/>
      <c r="R796" s="125"/>
      <c r="S796" s="125"/>
      <c r="T796" s="125"/>
      <c r="U796" s="125"/>
      <c r="V796" s="125"/>
      <c r="W796" s="125"/>
    </row>
    <row r="797" spans="17:23">
      <c r="Q797" s="125"/>
      <c r="R797" s="125"/>
      <c r="S797" s="125"/>
      <c r="T797" s="125"/>
      <c r="U797" s="125"/>
      <c r="V797" s="125"/>
      <c r="W797" s="125"/>
    </row>
    <row r="798" spans="17:23">
      <c r="Q798" s="125"/>
      <c r="R798" s="125"/>
      <c r="S798" s="125"/>
      <c r="T798" s="125"/>
      <c r="U798" s="125"/>
      <c r="V798" s="125"/>
      <c r="W798" s="125"/>
    </row>
    <row r="799" spans="17:23">
      <c r="Q799" s="125"/>
      <c r="R799" s="125"/>
      <c r="S799" s="125"/>
      <c r="T799" s="125"/>
      <c r="U799" s="125"/>
      <c r="V799" s="125"/>
      <c r="W799" s="125"/>
    </row>
    <row r="800" spans="17:23">
      <c r="Q800" s="125"/>
      <c r="R800" s="125"/>
      <c r="S800" s="125"/>
      <c r="T800" s="125"/>
      <c r="U800" s="125"/>
      <c r="V800" s="125"/>
      <c r="W800" s="125"/>
    </row>
    <row r="801" spans="17:23">
      <c r="Q801" s="125"/>
      <c r="R801" s="125"/>
      <c r="S801" s="125"/>
      <c r="T801" s="125"/>
      <c r="U801" s="125"/>
      <c r="V801" s="125"/>
      <c r="W801" s="125"/>
    </row>
    <row r="802" spans="17:23">
      <c r="Q802" s="125"/>
      <c r="R802" s="125"/>
      <c r="S802" s="125"/>
      <c r="T802" s="125"/>
      <c r="U802" s="125"/>
      <c r="V802" s="125"/>
      <c r="W802" s="125"/>
    </row>
    <row r="803" spans="17:23">
      <c r="Q803" s="125"/>
      <c r="R803" s="125"/>
      <c r="S803" s="125"/>
      <c r="T803" s="125"/>
      <c r="U803" s="125"/>
      <c r="V803" s="125"/>
      <c r="W803" s="125"/>
    </row>
    <row r="804" spans="17:23">
      <c r="Q804" s="125"/>
      <c r="R804" s="125"/>
      <c r="S804" s="125"/>
      <c r="T804" s="125"/>
      <c r="U804" s="125"/>
      <c r="V804" s="125"/>
      <c r="W804" s="125"/>
    </row>
    <row r="805" spans="17:23">
      <c r="Q805" s="125"/>
      <c r="R805" s="125"/>
      <c r="S805" s="125"/>
      <c r="T805" s="125"/>
      <c r="U805" s="125"/>
      <c r="V805" s="125"/>
      <c r="W805" s="125"/>
    </row>
    <row r="806" spans="17:23">
      <c r="Q806" s="125"/>
      <c r="R806" s="125"/>
      <c r="S806" s="125"/>
      <c r="T806" s="125"/>
      <c r="U806" s="125"/>
      <c r="V806" s="125"/>
      <c r="W806" s="125"/>
    </row>
    <row r="807" spans="17:23">
      <c r="Q807" s="125"/>
      <c r="R807" s="125"/>
      <c r="S807" s="125"/>
      <c r="T807" s="125"/>
      <c r="U807" s="125"/>
      <c r="V807" s="125"/>
      <c r="W807" s="125"/>
    </row>
    <row r="808" spans="17:23">
      <c r="Q808" s="125"/>
      <c r="R808" s="125"/>
      <c r="S808" s="125"/>
      <c r="T808" s="125"/>
      <c r="U808" s="125"/>
      <c r="V808" s="125"/>
      <c r="W808" s="125"/>
    </row>
    <row r="809" spans="17:23">
      <c r="Q809" s="125"/>
      <c r="R809" s="125"/>
      <c r="S809" s="125"/>
      <c r="T809" s="125"/>
      <c r="U809" s="125"/>
      <c r="V809" s="125"/>
      <c r="W809" s="125"/>
    </row>
    <row r="810" spans="17:23">
      <c r="Q810" s="125"/>
      <c r="R810" s="125"/>
      <c r="S810" s="125"/>
      <c r="T810" s="125"/>
      <c r="U810" s="125"/>
      <c r="V810" s="125"/>
      <c r="W810" s="125"/>
    </row>
    <row r="811" spans="17:23">
      <c r="Q811" s="125"/>
      <c r="R811" s="125"/>
      <c r="S811" s="125"/>
      <c r="T811" s="125"/>
      <c r="U811" s="125"/>
      <c r="V811" s="125"/>
      <c r="W811" s="125"/>
    </row>
    <row r="812" spans="17:23">
      <c r="Q812" s="125"/>
      <c r="R812" s="125"/>
      <c r="S812" s="125"/>
      <c r="T812" s="125"/>
      <c r="U812" s="125"/>
      <c r="V812" s="125"/>
      <c r="W812" s="125"/>
    </row>
    <row r="813" spans="17:23">
      <c r="Q813" s="125"/>
      <c r="R813" s="125"/>
      <c r="S813" s="125"/>
      <c r="T813" s="125"/>
      <c r="U813" s="125"/>
      <c r="V813" s="125"/>
      <c r="W813" s="125"/>
    </row>
    <row r="814" spans="17:23">
      <c r="Q814" s="125"/>
      <c r="R814" s="125"/>
      <c r="S814" s="125"/>
      <c r="T814" s="125"/>
      <c r="U814" s="125"/>
      <c r="V814" s="125"/>
      <c r="W814" s="125"/>
    </row>
    <row r="815" spans="17:23">
      <c r="Q815" s="125"/>
      <c r="R815" s="125"/>
      <c r="S815" s="125"/>
      <c r="T815" s="125"/>
      <c r="U815" s="125"/>
      <c r="V815" s="125"/>
      <c r="W815" s="125"/>
    </row>
    <row r="816" spans="17:23">
      <c r="Q816" s="125"/>
      <c r="R816" s="125"/>
      <c r="S816" s="125"/>
      <c r="T816" s="125"/>
      <c r="U816" s="125"/>
      <c r="V816" s="125"/>
      <c r="W816" s="125"/>
    </row>
    <row r="817" spans="17:23">
      <c r="Q817" s="125"/>
      <c r="R817" s="125"/>
      <c r="S817" s="125"/>
      <c r="T817" s="125"/>
      <c r="U817" s="125"/>
      <c r="V817" s="125"/>
      <c r="W817" s="125"/>
    </row>
    <row r="818" spans="17:23">
      <c r="Q818" s="125"/>
      <c r="R818" s="125"/>
      <c r="S818" s="125"/>
      <c r="T818" s="125"/>
      <c r="U818" s="125"/>
      <c r="V818" s="125"/>
      <c r="W818" s="125"/>
    </row>
  </sheetData>
  <mergeCells count="4">
    <mergeCell ref="A1:P1"/>
    <mergeCell ref="Q1:W1"/>
    <mergeCell ref="E3:P3"/>
    <mergeCell ref="E19:P19"/>
  </mergeCells>
  <pageMargins left="0.7" right="0.7" top="0.75" bottom="0.75" header="0.3" footer="0.3"/>
  <pageSetup paperSize="9" orientation="portrait" r:id="rId1"/>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2137-7524-45F0-897B-BDE33580C414}">
  <sheetPr codeName="Sheet4">
    <pageSetUpPr fitToPage="1"/>
  </sheetPr>
  <dimension ref="A1:AX247"/>
  <sheetViews>
    <sheetView tabSelected="1" topLeftCell="A80" zoomScale="55" zoomScaleNormal="55" workbookViewId="0">
      <selection activeCell="AG22" sqref="AG22"/>
    </sheetView>
  </sheetViews>
  <sheetFormatPr defaultColWidth="9.140625" defaultRowHeight="15"/>
  <cols>
    <col min="1" max="5" width="9.140625" style="32"/>
    <col min="6" max="6" width="9.140625" style="32" customWidth="1"/>
    <col min="7" max="7" width="11.140625" style="32" customWidth="1"/>
    <col min="8" max="8" width="13" style="32" customWidth="1"/>
    <col min="9" max="9" width="8.85546875" style="32" customWidth="1"/>
    <col min="10" max="42" width="9.140625" style="32"/>
    <col min="43" max="44" width="11" style="32" customWidth="1"/>
    <col min="45" max="51" width="9.140625" style="32"/>
    <col min="52" max="52" width="13.140625" style="32" customWidth="1"/>
    <col min="53" max="16384" width="9.140625" style="32"/>
  </cols>
  <sheetData>
    <row r="1" spans="1:48" ht="49.5" customHeight="1">
      <c r="A1" s="364" t="s">
        <v>621</v>
      </c>
      <c r="B1" s="364"/>
      <c r="C1" s="364"/>
      <c r="D1" s="364"/>
      <c r="E1" s="364"/>
      <c r="F1" s="364"/>
      <c r="G1" s="364"/>
      <c r="H1" s="364"/>
      <c r="I1" s="364"/>
      <c r="J1" s="364"/>
      <c r="K1" s="364"/>
      <c r="L1" s="364"/>
      <c r="M1" s="364"/>
      <c r="N1" s="364"/>
      <c r="O1" s="364"/>
      <c r="P1" s="364"/>
      <c r="Q1" s="364"/>
      <c r="R1" s="364"/>
      <c r="S1" s="364"/>
      <c r="T1" s="364"/>
      <c r="U1" s="364"/>
      <c r="V1" s="364"/>
      <c r="W1" s="364"/>
      <c r="X1" s="364"/>
      <c r="Y1" s="364"/>
      <c r="Z1" s="364"/>
      <c r="AA1" s="364"/>
      <c r="AB1" s="364"/>
      <c r="AC1" s="364"/>
      <c r="AD1" s="364"/>
      <c r="AE1" s="364"/>
      <c r="AF1" s="364"/>
      <c r="AG1" s="364"/>
      <c r="AH1" s="364"/>
      <c r="AI1" s="364"/>
      <c r="AJ1" s="364"/>
      <c r="AK1" s="364"/>
      <c r="AL1" s="364"/>
      <c r="AM1" s="364"/>
      <c r="AN1" s="364"/>
      <c r="AO1" s="364"/>
      <c r="AP1" s="364"/>
      <c r="AQ1" s="364"/>
      <c r="AR1" s="364"/>
      <c r="AS1" s="364"/>
      <c r="AT1" s="364"/>
      <c r="AU1" s="364"/>
      <c r="AV1" s="364"/>
    </row>
    <row r="2" spans="1:48" ht="20.25" customHeight="1">
      <c r="A2" s="363" t="s">
        <v>207</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3"/>
      <c r="AV2" s="363"/>
    </row>
    <row r="3" spans="1:48" ht="42.75" customHeight="1">
      <c r="A3" s="73"/>
      <c r="B3" s="73"/>
      <c r="C3" s="73"/>
      <c r="D3" s="73"/>
      <c r="E3" s="73"/>
      <c r="F3" s="73"/>
      <c r="G3" s="73"/>
      <c r="H3" s="72"/>
      <c r="I3" s="72"/>
      <c r="J3" s="73"/>
      <c r="K3" s="73"/>
      <c r="L3" s="73"/>
      <c r="M3" s="73"/>
      <c r="N3" s="73"/>
      <c r="O3" s="73"/>
      <c r="P3" s="73"/>
      <c r="Q3" s="368" t="s">
        <v>626</v>
      </c>
      <c r="R3" s="368"/>
      <c r="S3" s="368"/>
      <c r="T3" s="368"/>
      <c r="U3" s="368"/>
      <c r="V3" s="368"/>
      <c r="W3" s="368"/>
      <c r="X3" s="368"/>
      <c r="Y3" s="368"/>
      <c r="Z3" s="368"/>
      <c r="AA3" s="368"/>
      <c r="AB3" s="368"/>
      <c r="AC3" s="368"/>
      <c r="AD3" s="368"/>
      <c r="AE3" s="368"/>
      <c r="AF3" s="73"/>
      <c r="AG3" s="73"/>
      <c r="AH3" s="73"/>
      <c r="AI3" s="73"/>
      <c r="AJ3" s="73"/>
      <c r="AK3" s="73"/>
      <c r="AL3" s="73"/>
      <c r="AM3" s="73"/>
      <c r="AN3" s="73"/>
      <c r="AO3" s="73"/>
      <c r="AP3" s="73"/>
      <c r="AQ3" s="74"/>
      <c r="AR3" s="73"/>
      <c r="AS3" s="73"/>
      <c r="AT3" s="73"/>
      <c r="AU3" s="73"/>
      <c r="AV3" s="73"/>
    </row>
    <row r="4" spans="1:48" ht="24.75" customHeight="1">
      <c r="A4" s="73"/>
      <c r="B4" s="365" t="s">
        <v>210</v>
      </c>
      <c r="C4" s="365"/>
      <c r="D4" s="366" t="s">
        <v>208</v>
      </c>
      <c r="E4" s="366"/>
      <c r="F4" s="367" t="s">
        <v>209</v>
      </c>
      <c r="G4" s="367"/>
      <c r="H4" s="72"/>
      <c r="I4" s="72"/>
      <c r="J4" s="73"/>
      <c r="K4" s="73"/>
      <c r="L4" s="73"/>
      <c r="M4" s="73"/>
      <c r="N4" s="73"/>
      <c r="O4" s="73"/>
      <c r="P4" s="73"/>
      <c r="Q4" s="124"/>
      <c r="R4" s="124"/>
      <c r="S4" s="124"/>
      <c r="T4" s="124"/>
      <c r="U4" s="124"/>
      <c r="V4" s="124"/>
      <c r="W4" s="124"/>
      <c r="X4" s="124"/>
      <c r="Y4" s="124"/>
      <c r="Z4" s="124"/>
      <c r="AA4" s="124"/>
      <c r="AB4" s="124"/>
      <c r="AC4" s="124"/>
      <c r="AD4" s="124"/>
      <c r="AE4" s="73"/>
      <c r="AF4" s="73"/>
      <c r="AG4" s="73"/>
      <c r="AH4" s="73"/>
      <c r="AI4" s="73"/>
      <c r="AJ4" s="73"/>
      <c r="AK4" s="73"/>
      <c r="AL4" s="73"/>
      <c r="AM4" s="73"/>
      <c r="AN4" s="73"/>
      <c r="AO4" s="73"/>
      <c r="AP4" s="73"/>
      <c r="AQ4" s="74"/>
      <c r="AR4" s="73"/>
      <c r="AS4" s="73"/>
      <c r="AT4" s="73"/>
      <c r="AU4" s="73"/>
      <c r="AV4" s="73"/>
    </row>
    <row r="5" spans="1:48" ht="20.25" customHeight="1">
      <c r="A5" s="75" t="s">
        <v>62</v>
      </c>
      <c r="B5" s="361">
        <v>6</v>
      </c>
      <c r="C5" s="361"/>
      <c r="D5" s="361">
        <f>J15</f>
        <v>0</v>
      </c>
      <c r="E5" s="361"/>
      <c r="F5" s="347">
        <f>B5-D5</f>
        <v>6</v>
      </c>
      <c r="G5" s="347"/>
      <c r="H5" s="72"/>
      <c r="I5" s="72"/>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row>
    <row r="6" spans="1:48" ht="20.25" customHeight="1">
      <c r="A6" s="75" t="s">
        <v>61</v>
      </c>
      <c r="B6" s="361">
        <v>2</v>
      </c>
      <c r="C6" s="361"/>
      <c r="D6" s="361">
        <f>K15</f>
        <v>0</v>
      </c>
      <c r="E6" s="361"/>
      <c r="F6" s="347">
        <f>B6-D6</f>
        <v>2</v>
      </c>
      <c r="G6" s="347"/>
      <c r="H6" s="348"/>
      <c r="I6" s="348"/>
      <c r="J6" s="362" t="s">
        <v>224</v>
      </c>
      <c r="K6" s="362"/>
      <c r="L6" s="341" t="s">
        <v>601</v>
      </c>
      <c r="M6" s="341"/>
      <c r="N6" s="341"/>
      <c r="O6" s="341" t="s">
        <v>605</v>
      </c>
      <c r="P6" s="341"/>
      <c r="Q6" s="341"/>
      <c r="R6" s="341"/>
      <c r="S6" s="341"/>
      <c r="T6" s="341"/>
      <c r="U6" s="342" t="s">
        <v>606</v>
      </c>
      <c r="V6" s="343"/>
      <c r="W6" s="344"/>
      <c r="X6" s="341" t="s">
        <v>607</v>
      </c>
      <c r="Y6" s="341"/>
      <c r="Z6" s="341"/>
      <c r="AA6" s="341"/>
      <c r="AB6" s="341"/>
      <c r="AC6" s="341"/>
      <c r="AD6" s="341" t="s">
        <v>611</v>
      </c>
      <c r="AE6" s="341"/>
      <c r="AF6" s="341"/>
      <c r="AG6" s="341"/>
      <c r="AH6" s="341"/>
      <c r="AI6" s="341"/>
      <c r="AJ6" s="341"/>
      <c r="AK6" s="341"/>
      <c r="AL6" s="341"/>
      <c r="AM6" s="341"/>
      <c r="AN6" s="341"/>
      <c r="AO6" s="341"/>
      <c r="AP6" s="341"/>
      <c r="AQ6" s="341"/>
      <c r="AR6" s="341"/>
      <c r="AS6" s="341" t="s">
        <v>622</v>
      </c>
      <c r="AT6" s="341"/>
      <c r="AU6" s="341"/>
      <c r="AV6" s="341"/>
    </row>
    <row r="7" spans="1:48" ht="24.75" customHeight="1">
      <c r="A7" s="215"/>
      <c r="B7" s="215"/>
      <c r="C7" s="215"/>
      <c r="D7" s="215"/>
      <c r="E7" s="215"/>
      <c r="F7" s="215"/>
      <c r="G7" s="215"/>
      <c r="H7" s="348" t="s">
        <v>206</v>
      </c>
      <c r="I7" s="348"/>
      <c r="J7" s="75" t="s">
        <v>62</v>
      </c>
      <c r="K7" s="75" t="s">
        <v>61</v>
      </c>
      <c r="L7" s="207" t="s">
        <v>602</v>
      </c>
      <c r="M7" s="207" t="s">
        <v>603</v>
      </c>
      <c r="N7" s="207" t="s">
        <v>604</v>
      </c>
      <c r="O7" s="207" t="s">
        <v>602</v>
      </c>
      <c r="P7" s="207" t="s">
        <v>603</v>
      </c>
      <c r="Q7" s="207" t="s">
        <v>604</v>
      </c>
      <c r="R7" s="207" t="s">
        <v>608</v>
      </c>
      <c r="S7" s="207" t="s">
        <v>609</v>
      </c>
      <c r="T7" s="207" t="s">
        <v>610</v>
      </c>
      <c r="U7" s="207" t="s">
        <v>602</v>
      </c>
      <c r="V7" s="207" t="s">
        <v>603</v>
      </c>
      <c r="W7" s="207" t="s">
        <v>604</v>
      </c>
      <c r="X7" s="207" t="s">
        <v>602</v>
      </c>
      <c r="Y7" s="207" t="s">
        <v>603</v>
      </c>
      <c r="Z7" s="207" t="s">
        <v>604</v>
      </c>
      <c r="AA7" s="207" t="s">
        <v>608</v>
      </c>
      <c r="AB7" s="207" t="s">
        <v>609</v>
      </c>
      <c r="AC7" s="207" t="s">
        <v>610</v>
      </c>
      <c r="AD7" s="207" t="s">
        <v>602</v>
      </c>
      <c r="AE7" s="77" t="s">
        <v>603</v>
      </c>
      <c r="AF7" s="207" t="s">
        <v>604</v>
      </c>
      <c r="AG7" s="77" t="s">
        <v>608</v>
      </c>
      <c r="AH7" s="207" t="s">
        <v>609</v>
      </c>
      <c r="AI7" s="77" t="s">
        <v>610</v>
      </c>
      <c r="AJ7" s="207" t="s">
        <v>612</v>
      </c>
      <c r="AK7" s="77" t="s">
        <v>613</v>
      </c>
      <c r="AL7" s="207" t="s">
        <v>614</v>
      </c>
      <c r="AM7" s="77" t="s">
        <v>615</v>
      </c>
      <c r="AN7" s="207" t="s">
        <v>616</v>
      </c>
      <c r="AO7" s="77" t="s">
        <v>617</v>
      </c>
      <c r="AP7" s="207" t="s">
        <v>618</v>
      </c>
      <c r="AQ7" s="77" t="s">
        <v>619</v>
      </c>
      <c r="AR7" s="207" t="s">
        <v>620</v>
      </c>
      <c r="AS7" s="207" t="s">
        <v>602</v>
      </c>
      <c r="AT7" s="78" t="s">
        <v>603</v>
      </c>
      <c r="AU7" s="207" t="s">
        <v>604</v>
      </c>
      <c r="AV7" s="78" t="s">
        <v>608</v>
      </c>
    </row>
    <row r="8" spans="1:48" ht="24.75" customHeight="1">
      <c r="A8" s="354" t="s">
        <v>56</v>
      </c>
      <c r="B8" s="354"/>
      <c r="C8" s="354"/>
      <c r="D8" s="354"/>
      <c r="E8" s="354"/>
      <c r="F8" s="355">
        <v>14</v>
      </c>
      <c r="G8" s="355"/>
      <c r="H8" s="369" t="s">
        <v>225</v>
      </c>
      <c r="I8" s="369"/>
      <c r="J8" s="76"/>
      <c r="K8" s="76"/>
      <c r="L8" s="79" t="e">
        <v>#N/A</v>
      </c>
      <c r="M8" s="79" t="s">
        <v>204</v>
      </c>
      <c r="N8" s="79" t="s">
        <v>204</v>
      </c>
      <c r="O8" s="79" t="s">
        <v>204</v>
      </c>
      <c r="P8" s="79" t="s">
        <v>204</v>
      </c>
      <c r="Q8" s="79" t="s">
        <v>204</v>
      </c>
      <c r="R8" s="79" t="e">
        <v>#N/A</v>
      </c>
      <c r="S8" s="79" t="s">
        <v>204</v>
      </c>
      <c r="T8" s="79" t="e">
        <v>#N/A</v>
      </c>
      <c r="U8" s="79" t="s">
        <v>204</v>
      </c>
      <c r="V8" s="80" t="s">
        <v>205</v>
      </c>
      <c r="W8" s="80" t="s">
        <v>204</v>
      </c>
      <c r="X8" s="80" t="e">
        <v>#N/A</v>
      </c>
      <c r="Y8" s="80" t="s">
        <v>204</v>
      </c>
      <c r="Z8" s="80" t="s">
        <v>204</v>
      </c>
      <c r="AA8" s="80" t="s">
        <v>204</v>
      </c>
      <c r="AB8" s="80" t="s">
        <v>204</v>
      </c>
      <c r="AC8" s="80" t="s">
        <v>204</v>
      </c>
      <c r="AD8" s="79" t="s">
        <v>204</v>
      </c>
      <c r="AE8" s="79" t="s">
        <v>204</v>
      </c>
      <c r="AF8" s="79" t="s">
        <v>204</v>
      </c>
      <c r="AG8" s="79" t="s">
        <v>204</v>
      </c>
      <c r="AH8" s="79" t="s">
        <v>204</v>
      </c>
      <c r="AI8" s="79" t="s">
        <v>204</v>
      </c>
      <c r="AJ8" s="79" t="s">
        <v>204</v>
      </c>
      <c r="AK8" s="79" t="s">
        <v>204</v>
      </c>
      <c r="AL8" s="79" t="s">
        <v>204</v>
      </c>
      <c r="AM8" s="79" t="s">
        <v>204</v>
      </c>
      <c r="AN8" s="79" t="s">
        <v>204</v>
      </c>
      <c r="AO8" s="79" t="s">
        <v>204</v>
      </c>
      <c r="AP8" s="79" t="s">
        <v>205</v>
      </c>
      <c r="AQ8" s="79" t="s">
        <v>204</v>
      </c>
      <c r="AR8" s="79" t="s">
        <v>204</v>
      </c>
      <c r="AS8" s="79" t="s">
        <v>205</v>
      </c>
      <c r="AT8" s="79" t="s">
        <v>204</v>
      </c>
      <c r="AU8" s="79" t="s">
        <v>204</v>
      </c>
      <c r="AV8" s="79" t="s">
        <v>204</v>
      </c>
    </row>
    <row r="9" spans="1:48" ht="24.75" customHeight="1">
      <c r="A9" s="354" t="s">
        <v>57</v>
      </c>
      <c r="B9" s="354"/>
      <c r="C9" s="354"/>
      <c r="D9" s="354"/>
      <c r="E9" s="354"/>
      <c r="F9" s="355">
        <v>10</v>
      </c>
      <c r="G9" s="355"/>
      <c r="H9" s="369" t="s">
        <v>226</v>
      </c>
      <c r="I9" s="369"/>
      <c r="J9" s="76"/>
      <c r="K9" s="76"/>
      <c r="L9" s="79" t="s">
        <v>204</v>
      </c>
      <c r="M9" s="79" t="s">
        <v>204</v>
      </c>
      <c r="N9" s="79" t="s">
        <v>204</v>
      </c>
      <c r="O9" s="79" t="s">
        <v>204</v>
      </c>
      <c r="P9" s="79" t="s">
        <v>204</v>
      </c>
      <c r="Q9" s="79" t="e">
        <v>#N/A</v>
      </c>
      <c r="R9" s="79" t="s">
        <v>204</v>
      </c>
      <c r="S9" s="79" t="s">
        <v>204</v>
      </c>
      <c r="T9" s="79" t="s">
        <v>204</v>
      </c>
      <c r="U9" s="79" t="s">
        <v>204</v>
      </c>
      <c r="V9" s="79" t="s">
        <v>205</v>
      </c>
      <c r="W9" s="79" t="s">
        <v>204</v>
      </c>
      <c r="X9" s="79" t="s">
        <v>204</v>
      </c>
      <c r="Y9" s="79" t="e">
        <v>#N/A</v>
      </c>
      <c r="Z9" s="79" t="e">
        <v>#N/A</v>
      </c>
      <c r="AA9" s="79" t="s">
        <v>204</v>
      </c>
      <c r="AB9" s="79" t="s">
        <v>204</v>
      </c>
      <c r="AC9" s="79" t="e">
        <v>#N/A</v>
      </c>
      <c r="AD9" s="79" t="s">
        <v>204</v>
      </c>
      <c r="AE9" s="79" t="s">
        <v>204</v>
      </c>
      <c r="AF9" s="79" t="s">
        <v>204</v>
      </c>
      <c r="AG9" s="79" t="s">
        <v>204</v>
      </c>
      <c r="AH9" s="79" t="s">
        <v>204</v>
      </c>
      <c r="AI9" s="79" t="s">
        <v>204</v>
      </c>
      <c r="AJ9" s="79" t="s">
        <v>204</v>
      </c>
      <c r="AK9" s="79" t="s">
        <v>204</v>
      </c>
      <c r="AL9" s="79" t="s">
        <v>204</v>
      </c>
      <c r="AM9" s="79" t="s">
        <v>204</v>
      </c>
      <c r="AN9" s="79" t="s">
        <v>204</v>
      </c>
      <c r="AO9" s="79" t="s">
        <v>204</v>
      </c>
      <c r="AP9" s="79" t="s">
        <v>204</v>
      </c>
      <c r="AQ9" s="79" t="s">
        <v>204</v>
      </c>
      <c r="AR9" s="79" t="s">
        <v>204</v>
      </c>
      <c r="AS9" s="79" t="s">
        <v>204</v>
      </c>
      <c r="AT9" s="79" t="s">
        <v>204</v>
      </c>
      <c r="AU9" s="79" t="s">
        <v>204</v>
      </c>
      <c r="AV9" s="79" t="s">
        <v>204</v>
      </c>
    </row>
    <row r="10" spans="1:48" ht="24.75" customHeight="1">
      <c r="A10" s="354" t="s">
        <v>58</v>
      </c>
      <c r="B10" s="354"/>
      <c r="C10" s="354"/>
      <c r="D10" s="354"/>
      <c r="E10" s="354"/>
      <c r="F10" s="355">
        <v>12</v>
      </c>
      <c r="G10" s="355"/>
      <c r="H10" s="369" t="s">
        <v>225</v>
      </c>
      <c r="I10" s="369"/>
      <c r="J10" s="76"/>
      <c r="K10" s="76"/>
      <c r="L10" s="79" t="s">
        <v>204</v>
      </c>
      <c r="M10" s="79" t="s">
        <v>204</v>
      </c>
      <c r="N10" s="79" t="s">
        <v>204</v>
      </c>
      <c r="O10" s="79" t="s">
        <v>204</v>
      </c>
      <c r="P10" s="79" t="s">
        <v>204</v>
      </c>
      <c r="Q10" s="79" t="e">
        <v>#N/A</v>
      </c>
      <c r="R10" s="79" t="s">
        <v>204</v>
      </c>
      <c r="S10" s="79" t="s">
        <v>204</v>
      </c>
      <c r="T10" s="79" t="s">
        <v>204</v>
      </c>
      <c r="U10" s="79" t="s">
        <v>204</v>
      </c>
      <c r="V10" s="79" t="s">
        <v>205</v>
      </c>
      <c r="W10" s="79" t="s">
        <v>204</v>
      </c>
      <c r="X10" s="79" t="s">
        <v>204</v>
      </c>
      <c r="Y10" s="79" t="e">
        <v>#N/A</v>
      </c>
      <c r="Z10" s="79" t="e">
        <v>#N/A</v>
      </c>
      <c r="AA10" s="79" t="e">
        <v>#N/A</v>
      </c>
      <c r="AB10" s="79" t="s">
        <v>204</v>
      </c>
      <c r="AC10" s="79" t="e">
        <v>#N/A</v>
      </c>
      <c r="AD10" s="79" t="s">
        <v>204</v>
      </c>
      <c r="AE10" s="79" t="s">
        <v>204</v>
      </c>
      <c r="AF10" s="79" t="s">
        <v>204</v>
      </c>
      <c r="AG10" s="79" t="s">
        <v>204</v>
      </c>
      <c r="AH10" s="79" t="e">
        <v>#N/A</v>
      </c>
      <c r="AI10" s="79" t="s">
        <v>204</v>
      </c>
      <c r="AJ10" s="79" t="s">
        <v>204</v>
      </c>
      <c r="AK10" s="79" t="s">
        <v>204</v>
      </c>
      <c r="AL10" s="79" t="s">
        <v>204</v>
      </c>
      <c r="AM10" s="79" t="s">
        <v>204</v>
      </c>
      <c r="AN10" s="79" t="s">
        <v>204</v>
      </c>
      <c r="AO10" s="79" t="s">
        <v>204</v>
      </c>
      <c r="AP10" s="79" t="s">
        <v>205</v>
      </c>
      <c r="AQ10" s="79" t="s">
        <v>204</v>
      </c>
      <c r="AR10" s="79" t="s">
        <v>204</v>
      </c>
      <c r="AS10" s="79" t="s">
        <v>205</v>
      </c>
      <c r="AT10" s="79" t="s">
        <v>204</v>
      </c>
      <c r="AU10" s="79" t="s">
        <v>204</v>
      </c>
      <c r="AV10" s="79" t="s">
        <v>204</v>
      </c>
    </row>
    <row r="11" spans="1:48" ht="24.75" customHeight="1">
      <c r="A11" s="354" t="s">
        <v>59</v>
      </c>
      <c r="B11" s="354"/>
      <c r="C11" s="354"/>
      <c r="D11" s="354"/>
      <c r="E11" s="354"/>
      <c r="F11" s="355">
        <v>14</v>
      </c>
      <c r="G11" s="355"/>
      <c r="H11" s="369" t="s">
        <v>226</v>
      </c>
      <c r="I11" s="369"/>
      <c r="J11" s="76"/>
      <c r="K11" s="76"/>
      <c r="L11" s="79" t="s">
        <v>204</v>
      </c>
      <c r="M11" s="79" t="s">
        <v>204</v>
      </c>
      <c r="N11" s="79" t="s">
        <v>204</v>
      </c>
      <c r="O11" s="79" t="s">
        <v>204</v>
      </c>
      <c r="P11" s="79" t="s">
        <v>204</v>
      </c>
      <c r="Q11" s="79" t="e">
        <v>#N/A</v>
      </c>
      <c r="R11" s="79" t="s">
        <v>204</v>
      </c>
      <c r="S11" s="79" t="s">
        <v>204</v>
      </c>
      <c r="T11" s="79" t="s">
        <v>204</v>
      </c>
      <c r="U11" s="79" t="s">
        <v>204</v>
      </c>
      <c r="V11" s="79" t="s">
        <v>205</v>
      </c>
      <c r="W11" s="79" t="s">
        <v>204</v>
      </c>
      <c r="X11" s="79" t="s">
        <v>204</v>
      </c>
      <c r="Y11" s="79" t="s">
        <v>204</v>
      </c>
      <c r="Z11" s="79" t="s">
        <v>204</v>
      </c>
      <c r="AA11" s="79" t="s">
        <v>204</v>
      </c>
      <c r="AB11" s="79" t="s">
        <v>204</v>
      </c>
      <c r="AC11" s="79" t="s">
        <v>204</v>
      </c>
      <c r="AD11" s="79" t="s">
        <v>204</v>
      </c>
      <c r="AE11" s="79" t="s">
        <v>204</v>
      </c>
      <c r="AF11" s="79" t="s">
        <v>204</v>
      </c>
      <c r="AG11" s="79" t="s">
        <v>204</v>
      </c>
      <c r="AH11" s="79" t="s">
        <v>204</v>
      </c>
      <c r="AI11" s="79" t="s">
        <v>204</v>
      </c>
      <c r="AJ11" s="79" t="s">
        <v>204</v>
      </c>
      <c r="AK11" s="79" t="s">
        <v>204</v>
      </c>
      <c r="AL11" s="79" t="s">
        <v>204</v>
      </c>
      <c r="AM11" s="79" t="s">
        <v>204</v>
      </c>
      <c r="AN11" s="79" t="s">
        <v>204</v>
      </c>
      <c r="AO11" s="79" t="s">
        <v>204</v>
      </c>
      <c r="AP11" s="79" t="s">
        <v>204</v>
      </c>
      <c r="AQ11" s="79" t="s">
        <v>204</v>
      </c>
      <c r="AR11" s="79" t="s">
        <v>204</v>
      </c>
      <c r="AS11" s="79" t="s">
        <v>205</v>
      </c>
      <c r="AT11" s="79" t="s">
        <v>204</v>
      </c>
      <c r="AU11" s="79" t="s">
        <v>204</v>
      </c>
      <c r="AV11" s="79" t="s">
        <v>204</v>
      </c>
    </row>
    <row r="12" spans="1:48" ht="24.75" customHeight="1">
      <c r="A12" s="370" t="s">
        <v>184</v>
      </c>
      <c r="B12" s="370"/>
      <c r="C12" s="370"/>
      <c r="D12" s="370"/>
      <c r="E12" s="370"/>
      <c r="F12" s="346">
        <v>1</v>
      </c>
      <c r="G12" s="346"/>
      <c r="H12" s="213"/>
      <c r="I12" s="213"/>
      <c r="J12" s="76"/>
      <c r="K12" s="76"/>
      <c r="L12" s="214"/>
      <c r="M12" s="214"/>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row>
    <row r="13" spans="1:48" ht="24.75" customHeight="1">
      <c r="A13" s="370" t="s">
        <v>429</v>
      </c>
      <c r="B13" s="370"/>
      <c r="C13" s="370"/>
      <c r="D13" s="370"/>
      <c r="E13" s="370"/>
      <c r="F13" s="346">
        <v>1</v>
      </c>
      <c r="G13" s="346"/>
      <c r="H13" s="213"/>
      <c r="I13" s="213"/>
      <c r="J13" s="76"/>
      <c r="K13" s="76"/>
      <c r="L13" s="214"/>
      <c r="M13" s="214"/>
      <c r="N13" s="214"/>
      <c r="O13" s="214"/>
      <c r="P13" s="214"/>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row>
    <row r="14" spans="1:48" ht="24.75" customHeight="1">
      <c r="A14" s="354" t="s">
        <v>625</v>
      </c>
      <c r="B14" s="354"/>
      <c r="C14" s="354"/>
      <c r="D14" s="354"/>
      <c r="E14" s="354"/>
      <c r="F14" s="355">
        <v>2</v>
      </c>
      <c r="G14" s="355"/>
      <c r="H14" s="213"/>
      <c r="I14" s="213"/>
      <c r="J14" s="76"/>
      <c r="K14" s="76"/>
      <c r="L14" s="214"/>
      <c r="M14" s="214"/>
      <c r="N14" s="214"/>
      <c r="O14" s="214"/>
      <c r="P14" s="214"/>
      <c r="Q14" s="214"/>
      <c r="R14" s="214"/>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c r="AR14" s="214"/>
      <c r="AS14" s="214"/>
      <c r="AT14" s="214"/>
      <c r="AU14" s="214"/>
      <c r="AV14" s="214"/>
    </row>
    <row r="15" spans="1:48" ht="24.75" customHeight="1">
      <c r="A15" s="351" t="s">
        <v>60</v>
      </c>
      <c r="B15" s="352"/>
      <c r="C15" s="352"/>
      <c r="D15" s="352"/>
      <c r="E15" s="353"/>
      <c r="F15" s="349">
        <f>SUM(F7:G14)</f>
        <v>54</v>
      </c>
      <c r="G15" s="350"/>
      <c r="H15" s="73"/>
      <c r="I15" s="73"/>
      <c r="J15" s="84">
        <f>SUM(J8:J14)</f>
        <v>0</v>
      </c>
      <c r="K15" s="84">
        <f>SUM(K8:K14)</f>
        <v>0</v>
      </c>
      <c r="L15" s="73"/>
      <c r="M15" s="12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85"/>
      <c r="AS15" s="73"/>
      <c r="AT15" s="73"/>
      <c r="AU15" s="73"/>
      <c r="AV15" s="73"/>
    </row>
    <row r="16" spans="1:48" ht="24.75" customHeight="1">
      <c r="A16" s="90"/>
      <c r="B16" s="90"/>
      <c r="C16" s="90"/>
      <c r="D16" s="90"/>
      <c r="E16" s="91"/>
      <c r="F16" s="92"/>
      <c r="G16" s="92"/>
      <c r="H16" s="93"/>
      <c r="I16" s="93"/>
      <c r="J16" s="94"/>
      <c r="K16" s="94"/>
      <c r="L16" s="9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85"/>
      <c r="AS16" s="73"/>
      <c r="AT16" s="73"/>
      <c r="AU16" s="73"/>
      <c r="AV16" s="73"/>
    </row>
    <row r="17" spans="1:48" ht="24.75" customHeight="1">
      <c r="A17" s="85"/>
      <c r="B17" s="85"/>
      <c r="C17" s="85"/>
      <c r="D17" s="85"/>
      <c r="E17" s="85"/>
      <c r="F17" s="85"/>
      <c r="G17" s="85"/>
      <c r="H17" s="85"/>
      <c r="I17" s="85"/>
      <c r="J17" s="85"/>
      <c r="K17" s="85"/>
      <c r="L17" s="85"/>
      <c r="M17" s="358" t="s">
        <v>230</v>
      </c>
      <c r="N17" s="358"/>
      <c r="O17" s="358"/>
      <c r="P17" s="358"/>
      <c r="Q17" s="85"/>
      <c r="R17" s="360" t="s">
        <v>227</v>
      </c>
      <c r="S17" s="85"/>
      <c r="T17" s="85"/>
      <c r="U17" s="85"/>
      <c r="V17" s="85"/>
      <c r="W17" s="358" t="s">
        <v>230</v>
      </c>
      <c r="X17" s="358"/>
      <c r="Y17" s="358"/>
      <c r="Z17" s="358"/>
      <c r="AA17" s="85"/>
      <c r="AB17" s="357" t="s">
        <v>227</v>
      </c>
      <c r="AC17" s="87"/>
      <c r="AD17" s="356" t="s">
        <v>226</v>
      </c>
      <c r="AE17" s="356"/>
      <c r="AF17" s="356"/>
      <c r="AG17" s="358" t="s">
        <v>231</v>
      </c>
      <c r="AH17" s="358"/>
      <c r="AI17" s="358"/>
      <c r="AJ17" s="358"/>
      <c r="AK17" s="85"/>
      <c r="AL17" s="357" t="s">
        <v>228</v>
      </c>
      <c r="AM17" s="87"/>
      <c r="AN17" s="356" t="s">
        <v>229</v>
      </c>
      <c r="AO17" s="356"/>
      <c r="AP17" s="356"/>
      <c r="AQ17" s="356"/>
      <c r="AR17" s="85"/>
      <c r="AS17" s="85"/>
      <c r="AT17" s="85"/>
      <c r="AU17" s="85"/>
      <c r="AV17" s="85"/>
    </row>
    <row r="18" spans="1:48" ht="24.75" customHeight="1">
      <c r="A18" s="85"/>
      <c r="B18" s="85"/>
      <c r="C18" s="85"/>
      <c r="D18" s="85"/>
      <c r="E18" s="85"/>
      <c r="F18" s="85"/>
      <c r="G18" s="85"/>
      <c r="H18" s="85"/>
      <c r="I18" s="85"/>
      <c r="J18" s="85"/>
      <c r="K18" s="85"/>
      <c r="L18" s="85"/>
      <c r="M18" s="359" t="s">
        <v>623</v>
      </c>
      <c r="N18" s="359"/>
      <c r="O18" s="359"/>
      <c r="P18" s="359"/>
      <c r="Q18" s="85"/>
      <c r="R18" s="360"/>
      <c r="S18" s="85"/>
      <c r="T18" s="356" t="s">
        <v>225</v>
      </c>
      <c r="U18" s="356"/>
      <c r="V18" s="356"/>
      <c r="W18" s="359" t="s">
        <v>623</v>
      </c>
      <c r="X18" s="359"/>
      <c r="Y18" s="359"/>
      <c r="Z18" s="359"/>
      <c r="AA18" s="85"/>
      <c r="AB18" s="357"/>
      <c r="AC18" s="85"/>
      <c r="AD18" s="356"/>
      <c r="AE18" s="356"/>
      <c r="AF18" s="356"/>
      <c r="AG18" s="359" t="s">
        <v>624</v>
      </c>
      <c r="AH18" s="359"/>
      <c r="AI18" s="359"/>
      <c r="AJ18" s="359"/>
      <c r="AK18" s="85"/>
      <c r="AL18" s="357"/>
      <c r="AM18" s="85"/>
      <c r="AN18" s="356"/>
      <c r="AO18" s="356"/>
      <c r="AP18" s="356"/>
      <c r="AQ18" s="356"/>
      <c r="AR18" s="85"/>
      <c r="AS18" s="85"/>
      <c r="AT18" s="85"/>
      <c r="AU18" s="85"/>
      <c r="AV18" s="85"/>
    </row>
    <row r="19" spans="1:48" ht="24.75" customHeight="1">
      <c r="A19" s="85"/>
      <c r="B19" s="85"/>
      <c r="C19" s="85"/>
      <c r="D19" s="85"/>
      <c r="E19" s="85"/>
      <c r="F19" s="85"/>
      <c r="G19" s="85"/>
      <c r="H19" s="359" t="s">
        <v>1014</v>
      </c>
      <c r="I19" s="359"/>
      <c r="J19" s="359"/>
      <c r="K19" s="359"/>
      <c r="L19" s="359"/>
      <c r="M19" s="359"/>
      <c r="N19" s="359"/>
      <c r="O19" s="359"/>
      <c r="P19" s="359"/>
      <c r="Q19" s="85"/>
      <c r="R19" s="360"/>
      <c r="S19" s="85"/>
      <c r="T19" s="356"/>
      <c r="U19" s="356"/>
      <c r="V19" s="356"/>
      <c r="W19" s="85"/>
      <c r="X19" s="85"/>
      <c r="Y19" s="85"/>
      <c r="Z19" s="85"/>
      <c r="AA19" s="85"/>
      <c r="AB19" s="85"/>
      <c r="AC19" s="85"/>
      <c r="AD19" s="85"/>
      <c r="AE19" s="85"/>
      <c r="AF19" s="73"/>
      <c r="AG19" s="73"/>
      <c r="AH19" s="73"/>
      <c r="AI19" s="73"/>
      <c r="AJ19" s="73"/>
      <c r="AK19" s="73"/>
      <c r="AL19" s="73"/>
      <c r="AM19" s="73"/>
      <c r="AN19" s="73"/>
      <c r="AO19" s="73"/>
      <c r="AP19" s="73"/>
      <c r="AQ19" s="73"/>
      <c r="AR19" s="85"/>
      <c r="AS19" s="85"/>
      <c r="AT19" s="85"/>
      <c r="AU19" s="85"/>
      <c r="AV19" s="85"/>
    </row>
    <row r="20" spans="1:48" ht="24.75" customHeight="1">
      <c r="A20" s="85"/>
      <c r="B20" s="85"/>
      <c r="C20" s="85"/>
      <c r="D20" s="85"/>
      <c r="E20" s="85"/>
      <c r="F20" s="85"/>
      <c r="G20" s="85"/>
      <c r="H20" s="85"/>
      <c r="I20" s="85"/>
      <c r="J20" s="85"/>
      <c r="K20" s="86"/>
      <c r="L20" s="359" t="s">
        <v>1015</v>
      </c>
      <c r="M20" s="359"/>
      <c r="N20" s="359"/>
      <c r="O20" s="359"/>
      <c r="P20" s="359"/>
      <c r="Q20" s="85"/>
      <c r="R20" s="360"/>
      <c r="S20" s="85"/>
      <c r="T20" s="85"/>
      <c r="U20" s="85"/>
      <c r="V20" s="85"/>
      <c r="W20" s="85"/>
      <c r="X20" s="85"/>
      <c r="Y20" s="85"/>
      <c r="Z20" s="85"/>
      <c r="AA20" s="85"/>
      <c r="AB20" s="85"/>
      <c r="AC20" s="85"/>
      <c r="AD20" s="85"/>
      <c r="AE20" s="85"/>
      <c r="AF20" s="73"/>
      <c r="AG20" s="73"/>
      <c r="AH20" s="73"/>
      <c r="AI20" s="73"/>
      <c r="AJ20" s="73"/>
      <c r="AK20" s="73"/>
      <c r="AL20" s="73"/>
      <c r="AM20" s="73"/>
      <c r="AN20" s="73"/>
      <c r="AO20" s="73"/>
      <c r="AP20" s="73"/>
      <c r="AQ20" s="73"/>
      <c r="AR20" s="85"/>
      <c r="AS20" s="85"/>
      <c r="AT20" s="85"/>
      <c r="AU20" s="85"/>
      <c r="AV20" s="85"/>
    </row>
    <row r="21" spans="1:48" ht="24.75" customHeight="1">
      <c r="A21" s="85"/>
      <c r="B21" s="85"/>
      <c r="C21" s="85"/>
      <c r="D21" s="85"/>
      <c r="E21" s="85"/>
      <c r="F21" s="85"/>
      <c r="G21" s="85"/>
      <c r="H21" s="85"/>
      <c r="I21" s="85"/>
      <c r="J21" s="85"/>
      <c r="K21" s="86"/>
      <c r="L21" s="86"/>
      <c r="M21" s="86"/>
      <c r="N21" s="86"/>
      <c r="O21" s="86"/>
      <c r="P21" s="86"/>
      <c r="Q21" s="85"/>
      <c r="R21" s="89"/>
      <c r="S21" s="85"/>
      <c r="T21" s="85"/>
      <c r="U21" s="85"/>
      <c r="V21" s="85"/>
      <c r="W21" s="85"/>
      <c r="X21" s="85"/>
      <c r="Y21" s="85"/>
      <c r="Z21" s="85"/>
      <c r="AA21" s="85"/>
      <c r="AB21" s="85"/>
      <c r="AC21" s="85"/>
      <c r="AD21" s="85"/>
      <c r="AE21" s="85"/>
      <c r="AF21" s="73"/>
      <c r="AG21" s="73"/>
      <c r="AH21" s="73"/>
      <c r="AI21" s="73"/>
      <c r="AJ21" s="73"/>
      <c r="AK21" s="73"/>
      <c r="AL21" s="73"/>
      <c r="AM21" s="73"/>
      <c r="AN21" s="73"/>
      <c r="AO21" s="73"/>
      <c r="AP21" s="73"/>
      <c r="AQ21" s="73"/>
      <c r="AR21" s="85"/>
      <c r="AS21" s="85"/>
      <c r="AT21" s="85"/>
      <c r="AU21" s="85"/>
      <c r="AV21" s="85"/>
    </row>
    <row r="22" spans="1:48" ht="24.75" customHeight="1">
      <c r="A22" s="345" t="s">
        <v>431</v>
      </c>
      <c r="B22" s="345"/>
      <c r="C22" s="345"/>
      <c r="D22" s="345"/>
      <c r="E22" s="345"/>
      <c r="F22" s="345"/>
      <c r="G22" s="345"/>
      <c r="H22" s="345"/>
      <c r="I22" s="345"/>
      <c r="J22" s="345"/>
      <c r="K22" s="345"/>
      <c r="L22" s="345"/>
      <c r="M22" s="345"/>
      <c r="N22" s="345"/>
      <c r="O22" s="345"/>
      <c r="P22" s="345"/>
      <c r="Q22" s="345"/>
      <c r="R22" s="345"/>
      <c r="S22" s="345"/>
      <c r="T22" s="345"/>
      <c r="U22" s="345"/>
      <c r="V22" s="345"/>
      <c r="W22" s="345"/>
      <c r="X22" s="345"/>
      <c r="Y22" s="345"/>
      <c r="Z22" s="345"/>
      <c r="AA22" s="345"/>
      <c r="AB22" s="345"/>
      <c r="AC22" s="345"/>
      <c r="AD22" s="85"/>
      <c r="AE22" s="85"/>
      <c r="AF22" s="73"/>
      <c r="AG22" s="73"/>
      <c r="AH22" s="73"/>
      <c r="AI22" s="73"/>
      <c r="AJ22" s="73"/>
      <c r="AK22" s="73"/>
      <c r="AL22" s="73"/>
      <c r="AM22" s="73"/>
      <c r="AN22" s="73"/>
      <c r="AO22" s="73"/>
      <c r="AP22" s="73"/>
      <c r="AQ22" s="73"/>
      <c r="AR22" s="85"/>
      <c r="AS22" s="85"/>
      <c r="AT22" s="85"/>
      <c r="AU22" s="85"/>
      <c r="AV22" s="85"/>
    </row>
    <row r="23" spans="1:48" ht="24.75" customHeight="1">
      <c r="A23" s="338" t="s">
        <v>238</v>
      </c>
      <c r="B23" s="338"/>
      <c r="C23" s="338"/>
      <c r="D23" s="338"/>
      <c r="E23" s="338"/>
      <c r="F23" s="338" t="s">
        <v>430</v>
      </c>
      <c r="G23" s="338"/>
      <c r="H23" s="338" t="s">
        <v>54</v>
      </c>
      <c r="I23" s="338"/>
      <c r="J23" s="338" t="s">
        <v>55</v>
      </c>
      <c r="K23" s="338"/>
      <c r="L23" s="338" t="s">
        <v>32</v>
      </c>
      <c r="M23" s="338"/>
      <c r="N23" s="338" t="s">
        <v>34</v>
      </c>
      <c r="O23" s="338"/>
      <c r="P23" s="338" t="s">
        <v>35</v>
      </c>
      <c r="Q23" s="338"/>
      <c r="R23" s="338" t="s">
        <v>36</v>
      </c>
      <c r="S23" s="338"/>
      <c r="T23" s="338" t="s">
        <v>37</v>
      </c>
      <c r="U23" s="338"/>
      <c r="V23" s="338" t="s">
        <v>38</v>
      </c>
      <c r="W23" s="338"/>
      <c r="X23" s="338" t="s">
        <v>39</v>
      </c>
      <c r="Y23" s="338"/>
      <c r="Z23" s="338" t="s">
        <v>40</v>
      </c>
      <c r="AA23" s="338"/>
      <c r="AB23" s="338" t="s">
        <v>41</v>
      </c>
      <c r="AC23" s="338"/>
      <c r="AD23" s="122"/>
      <c r="AE23" s="122"/>
      <c r="AF23" s="122"/>
      <c r="AG23" s="122"/>
      <c r="AH23" s="73"/>
      <c r="AI23" s="73"/>
      <c r="AJ23" s="73"/>
      <c r="AK23" s="73"/>
      <c r="AL23" s="73"/>
      <c r="AM23" s="73"/>
      <c r="AN23" s="73"/>
      <c r="AO23" s="73"/>
      <c r="AP23" s="73"/>
      <c r="AQ23" s="73"/>
      <c r="AR23" s="85"/>
      <c r="AS23" s="85"/>
      <c r="AT23" s="85"/>
      <c r="AU23" s="85"/>
      <c r="AV23" s="85"/>
    </row>
    <row r="24" spans="1:48" ht="24.75" customHeight="1">
      <c r="A24" s="354" t="s">
        <v>56</v>
      </c>
      <c r="B24" s="354"/>
      <c r="C24" s="354"/>
      <c r="D24" s="354"/>
      <c r="E24" s="354"/>
      <c r="F24" s="339" t="s">
        <v>236</v>
      </c>
      <c r="G24" s="340"/>
      <c r="H24" s="339"/>
      <c r="I24" s="340"/>
      <c r="J24" s="339"/>
      <c r="K24" s="340"/>
      <c r="L24" s="339"/>
      <c r="M24" s="340"/>
      <c r="N24" s="339"/>
      <c r="O24" s="340"/>
      <c r="P24" s="339"/>
      <c r="Q24" s="340"/>
      <c r="R24" s="339"/>
      <c r="S24" s="340"/>
      <c r="T24" s="339"/>
      <c r="U24" s="340"/>
      <c r="V24" s="339"/>
      <c r="W24" s="340"/>
      <c r="X24" s="339"/>
      <c r="Y24" s="340"/>
      <c r="Z24" s="339"/>
      <c r="AA24" s="340"/>
      <c r="AB24" s="339"/>
      <c r="AC24" s="340"/>
      <c r="AD24" s="85"/>
      <c r="AE24" s="85"/>
      <c r="AF24" s="73"/>
      <c r="AG24" s="73"/>
      <c r="AH24" s="73"/>
      <c r="AI24" s="73"/>
      <c r="AJ24" s="73"/>
      <c r="AK24" s="73"/>
      <c r="AL24" s="73"/>
      <c r="AM24" s="73"/>
      <c r="AN24" s="73"/>
      <c r="AO24" s="73"/>
      <c r="AP24" s="73"/>
      <c r="AQ24" s="73"/>
      <c r="AR24" s="85"/>
      <c r="AS24" s="85"/>
      <c r="AT24" s="85"/>
      <c r="AU24" s="85"/>
      <c r="AV24" s="85"/>
    </row>
    <row r="25" spans="1:48" ht="24.75" customHeight="1">
      <c r="A25" s="354" t="s">
        <v>57</v>
      </c>
      <c r="B25" s="354"/>
      <c r="C25" s="354"/>
      <c r="D25" s="354"/>
      <c r="E25" s="354"/>
      <c r="F25" s="339" t="s">
        <v>237</v>
      </c>
      <c r="G25" s="340"/>
      <c r="H25" s="339"/>
      <c r="I25" s="340"/>
      <c r="J25" s="339"/>
      <c r="K25" s="340"/>
      <c r="L25" s="339"/>
      <c r="M25" s="340"/>
      <c r="N25" s="339"/>
      <c r="O25" s="340"/>
      <c r="P25" s="339"/>
      <c r="Q25" s="340"/>
      <c r="R25" s="339"/>
      <c r="S25" s="340"/>
      <c r="T25" s="339"/>
      <c r="U25" s="340"/>
      <c r="V25" s="339"/>
      <c r="W25" s="340"/>
      <c r="X25" s="339"/>
      <c r="Y25" s="340"/>
      <c r="Z25" s="339"/>
      <c r="AA25" s="340"/>
      <c r="AB25" s="339"/>
      <c r="AC25" s="340"/>
      <c r="AD25" s="122"/>
      <c r="AE25" s="122"/>
      <c r="AF25" s="122"/>
      <c r="AG25" s="122"/>
      <c r="AH25" s="122"/>
      <c r="AI25" s="122"/>
      <c r="AJ25" s="122"/>
      <c r="AK25" s="122"/>
      <c r="AL25" s="73"/>
      <c r="AM25" s="73"/>
      <c r="AN25" s="73"/>
      <c r="AO25" s="73"/>
      <c r="AP25" s="73"/>
      <c r="AQ25" s="73"/>
      <c r="AR25" s="85"/>
      <c r="AS25" s="85"/>
      <c r="AT25" s="85"/>
      <c r="AU25" s="85"/>
      <c r="AV25" s="85"/>
    </row>
    <row r="26" spans="1:48" ht="24.75" customHeight="1">
      <c r="A26" s="354" t="s">
        <v>58</v>
      </c>
      <c r="B26" s="354"/>
      <c r="C26" s="354"/>
      <c r="D26" s="354"/>
      <c r="E26" s="354"/>
      <c r="F26" s="339" t="s">
        <v>236</v>
      </c>
      <c r="G26" s="340"/>
      <c r="H26" s="339"/>
      <c r="I26" s="340"/>
      <c r="J26" s="339"/>
      <c r="K26" s="340"/>
      <c r="L26" s="339"/>
      <c r="M26" s="340"/>
      <c r="N26" s="339"/>
      <c r="O26" s="340"/>
      <c r="P26" s="339"/>
      <c r="Q26" s="340"/>
      <c r="R26" s="339"/>
      <c r="S26" s="340"/>
      <c r="T26" s="339"/>
      <c r="U26" s="340"/>
      <c r="V26" s="339"/>
      <c r="W26" s="340"/>
      <c r="X26" s="339"/>
      <c r="Y26" s="340"/>
      <c r="Z26" s="339"/>
      <c r="AA26" s="340"/>
      <c r="AB26" s="339"/>
      <c r="AC26" s="340"/>
      <c r="AD26" s="122"/>
      <c r="AE26" s="85"/>
      <c r="AF26" s="73"/>
      <c r="AG26" s="73"/>
      <c r="AH26" s="73"/>
      <c r="AI26" s="73"/>
      <c r="AJ26" s="73"/>
      <c r="AK26" s="73"/>
      <c r="AL26" s="73"/>
      <c r="AM26" s="73"/>
      <c r="AN26" s="73"/>
      <c r="AO26" s="73"/>
      <c r="AP26" s="73"/>
      <c r="AQ26" s="73"/>
      <c r="AR26" s="85"/>
      <c r="AS26" s="85"/>
      <c r="AT26" s="85"/>
      <c r="AU26" s="85"/>
      <c r="AV26" s="85"/>
    </row>
    <row r="27" spans="1:48" ht="24.75" customHeight="1">
      <c r="A27" s="354" t="s">
        <v>59</v>
      </c>
      <c r="B27" s="354"/>
      <c r="C27" s="354"/>
      <c r="D27" s="354"/>
      <c r="E27" s="354"/>
      <c r="F27" s="339" t="s">
        <v>237</v>
      </c>
      <c r="G27" s="340"/>
      <c r="H27" s="339"/>
      <c r="I27" s="340"/>
      <c r="J27" s="339"/>
      <c r="K27" s="340"/>
      <c r="L27" s="339"/>
      <c r="M27" s="340"/>
      <c r="N27" s="339"/>
      <c r="O27" s="340"/>
      <c r="P27" s="339"/>
      <c r="Q27" s="340"/>
      <c r="R27" s="339"/>
      <c r="S27" s="340"/>
      <c r="T27" s="339"/>
      <c r="U27" s="340"/>
      <c r="V27" s="339"/>
      <c r="W27" s="340"/>
      <c r="X27" s="339"/>
      <c r="Y27" s="340"/>
      <c r="Z27" s="339"/>
      <c r="AA27" s="340"/>
      <c r="AB27" s="339"/>
      <c r="AC27" s="340"/>
      <c r="AD27" s="122"/>
      <c r="AE27" s="122"/>
      <c r="AF27" s="122"/>
      <c r="AG27" s="122"/>
      <c r="AH27" s="122"/>
      <c r="AI27" s="73"/>
      <c r="AJ27" s="73"/>
      <c r="AK27" s="73"/>
      <c r="AL27" s="73"/>
      <c r="AM27" s="73"/>
      <c r="AN27" s="73"/>
      <c r="AO27" s="73"/>
      <c r="AP27" s="73"/>
      <c r="AQ27" s="73"/>
      <c r="AR27" s="85"/>
      <c r="AS27" s="85"/>
      <c r="AT27" s="85"/>
      <c r="AU27" s="85"/>
      <c r="AV27" s="85"/>
    </row>
    <row r="28" spans="1:48" ht="24.75" customHeight="1">
      <c r="A28" s="213"/>
      <c r="B28" s="213"/>
      <c r="C28" s="213"/>
      <c r="D28" s="213"/>
      <c r="E28" s="213"/>
      <c r="F28" s="85"/>
      <c r="G28" s="85"/>
      <c r="H28" s="85"/>
      <c r="I28" s="85"/>
      <c r="J28" s="85"/>
      <c r="K28" s="85"/>
      <c r="L28" s="85"/>
      <c r="M28" s="85"/>
      <c r="N28" s="85"/>
      <c r="O28" s="85"/>
      <c r="P28" s="85"/>
      <c r="Q28" s="85"/>
      <c r="R28" s="85"/>
      <c r="S28" s="85"/>
      <c r="T28" s="85"/>
      <c r="U28" s="85"/>
      <c r="V28" s="85"/>
      <c r="W28" s="85"/>
      <c r="X28" s="85"/>
      <c r="Y28" s="85"/>
      <c r="Z28" s="85"/>
      <c r="AA28" s="85"/>
      <c r="AB28" s="85"/>
      <c r="AC28" s="85"/>
      <c r="AD28" s="122"/>
      <c r="AE28" s="122"/>
      <c r="AF28" s="122"/>
      <c r="AG28" s="122"/>
      <c r="AH28" s="122"/>
      <c r="AI28" s="73"/>
      <c r="AJ28" s="73"/>
      <c r="AK28" s="73"/>
      <c r="AL28" s="73"/>
      <c r="AM28" s="73"/>
      <c r="AN28" s="73"/>
      <c r="AO28" s="73"/>
      <c r="AP28" s="73"/>
      <c r="AQ28" s="73"/>
      <c r="AR28" s="85"/>
      <c r="AS28" s="85"/>
      <c r="AT28" s="85"/>
      <c r="AU28" s="85"/>
      <c r="AV28" s="85"/>
    </row>
    <row r="29" spans="1:48" ht="24.75" customHeight="1">
      <c r="A29" s="213"/>
      <c r="B29" s="213"/>
      <c r="C29" s="213"/>
      <c r="D29" s="213"/>
      <c r="E29" s="213"/>
      <c r="F29" s="85"/>
      <c r="G29" s="85"/>
      <c r="H29" s="85"/>
      <c r="I29" s="85"/>
      <c r="J29" s="85"/>
      <c r="K29" s="85"/>
      <c r="L29" s="85"/>
      <c r="M29" s="85"/>
      <c r="N29" s="85"/>
      <c r="O29" s="85"/>
      <c r="P29" s="85"/>
      <c r="Q29" s="85"/>
      <c r="R29" s="85"/>
      <c r="S29" s="85"/>
      <c r="T29" s="85"/>
      <c r="U29" s="85"/>
      <c r="V29" s="85"/>
      <c r="W29" s="85"/>
      <c r="X29" s="85"/>
      <c r="Y29" s="85"/>
      <c r="Z29" s="85"/>
      <c r="AA29" s="85"/>
      <c r="AB29" s="85"/>
      <c r="AC29" s="85"/>
      <c r="AD29" s="122"/>
      <c r="AE29" s="122"/>
      <c r="AF29" s="122"/>
      <c r="AG29" s="122"/>
      <c r="AH29" s="122"/>
      <c r="AI29" s="73"/>
      <c r="AJ29" s="73"/>
      <c r="AK29" s="73"/>
      <c r="AL29" s="73"/>
      <c r="AM29" s="73"/>
      <c r="AN29" s="73"/>
      <c r="AO29" s="73"/>
      <c r="AP29" s="73"/>
      <c r="AQ29" s="73"/>
      <c r="AR29" s="85"/>
      <c r="AS29" s="85"/>
      <c r="AT29" s="85"/>
      <c r="AU29" s="85"/>
      <c r="AV29" s="85"/>
    </row>
    <row r="30" spans="1:48" ht="24.75" customHeight="1">
      <c r="A30" s="213"/>
      <c r="B30" s="213"/>
      <c r="C30" s="213"/>
      <c r="D30" s="213"/>
      <c r="E30" s="213"/>
      <c r="F30" s="85"/>
      <c r="G30" s="85"/>
      <c r="H30" s="85"/>
      <c r="I30" s="85"/>
      <c r="J30" s="85"/>
      <c r="K30" s="85"/>
      <c r="L30" s="85"/>
      <c r="M30" s="85"/>
      <c r="N30" s="85"/>
      <c r="O30" s="85"/>
      <c r="P30" s="85"/>
      <c r="Q30" s="85"/>
      <c r="R30" s="85"/>
      <c r="S30" s="85"/>
      <c r="T30" s="85"/>
      <c r="U30" s="85"/>
      <c r="V30" s="85"/>
      <c r="W30" s="85"/>
      <c r="X30" s="85"/>
      <c r="Y30" s="85"/>
      <c r="Z30" s="85"/>
      <c r="AA30" s="85"/>
      <c r="AB30" s="85"/>
      <c r="AC30" s="85"/>
      <c r="AD30" s="122"/>
      <c r="AE30" s="122"/>
      <c r="AF30" s="122"/>
      <c r="AG30" s="122"/>
      <c r="AH30" s="122"/>
      <c r="AI30" s="73"/>
      <c r="AJ30" s="73"/>
      <c r="AK30" s="73"/>
      <c r="AL30" s="73"/>
      <c r="AM30" s="73"/>
      <c r="AN30" s="73"/>
      <c r="AO30" s="73"/>
      <c r="AP30" s="73"/>
      <c r="AQ30" s="73"/>
      <c r="AR30" s="85"/>
      <c r="AS30" s="85"/>
      <c r="AT30" s="85"/>
      <c r="AU30" s="85"/>
      <c r="AV30" s="85"/>
    </row>
    <row r="31" spans="1:48" ht="24.75" customHeight="1">
      <c r="A31" s="213"/>
      <c r="B31" s="213"/>
      <c r="C31" s="213"/>
      <c r="D31" s="213"/>
      <c r="E31" s="213"/>
      <c r="F31" s="85"/>
      <c r="G31" s="85"/>
      <c r="H31" s="85"/>
      <c r="I31" s="85"/>
      <c r="J31" s="85"/>
      <c r="K31" s="85"/>
      <c r="L31" s="85"/>
      <c r="M31" s="85"/>
      <c r="N31" s="85"/>
      <c r="O31" s="85"/>
      <c r="P31" s="85"/>
      <c r="Q31" s="85"/>
      <c r="R31" s="85"/>
      <c r="S31" s="85"/>
      <c r="T31" s="85"/>
      <c r="U31" s="85"/>
      <c r="V31" s="85"/>
      <c r="W31" s="85"/>
      <c r="X31" s="85"/>
      <c r="Y31" s="85"/>
      <c r="Z31" s="85"/>
      <c r="AA31" s="85"/>
      <c r="AB31" s="85"/>
      <c r="AC31" s="85"/>
      <c r="AD31" s="122"/>
      <c r="AE31" s="122"/>
      <c r="AF31" s="122"/>
      <c r="AG31" s="122"/>
      <c r="AH31" s="122"/>
      <c r="AI31" s="73"/>
      <c r="AJ31" s="73"/>
      <c r="AK31" s="73"/>
      <c r="AL31" s="73"/>
      <c r="AM31" s="73"/>
      <c r="AN31" s="73"/>
      <c r="AO31" s="73"/>
      <c r="AP31" s="73"/>
      <c r="AQ31" s="73"/>
      <c r="AR31" s="85"/>
      <c r="AS31" s="85"/>
      <c r="AT31" s="85"/>
      <c r="AU31" s="85"/>
      <c r="AV31" s="85"/>
    </row>
    <row r="32" spans="1:48" ht="24.75" customHeight="1">
      <c r="A32" s="213"/>
      <c r="B32" s="213"/>
      <c r="C32" s="213"/>
      <c r="D32" s="213"/>
      <c r="E32" s="213"/>
      <c r="F32" s="85"/>
      <c r="G32" s="85"/>
      <c r="H32" s="85"/>
      <c r="I32" s="85"/>
      <c r="J32" s="85"/>
      <c r="K32" s="85"/>
      <c r="L32" s="85"/>
      <c r="M32" s="85"/>
      <c r="N32" s="85"/>
      <c r="O32" s="85"/>
      <c r="P32" s="85"/>
      <c r="Q32" s="85"/>
      <c r="R32" s="85"/>
      <c r="S32" s="85"/>
      <c r="T32" s="85"/>
      <c r="U32" s="85"/>
      <c r="V32" s="85"/>
      <c r="W32" s="85"/>
      <c r="X32" s="85"/>
      <c r="Y32" s="85"/>
      <c r="Z32" s="85"/>
      <c r="AA32" s="85"/>
      <c r="AB32" s="85"/>
      <c r="AC32" s="85"/>
      <c r="AD32" s="122"/>
      <c r="AE32" s="122"/>
      <c r="AF32" s="122"/>
      <c r="AG32" s="122"/>
      <c r="AH32" s="122"/>
      <c r="AI32" s="73"/>
      <c r="AJ32" s="73"/>
      <c r="AK32" s="73"/>
      <c r="AL32" s="73"/>
      <c r="AM32" s="73"/>
      <c r="AN32" s="73"/>
      <c r="AO32" s="73"/>
      <c r="AP32" s="73"/>
      <c r="AQ32" s="73"/>
      <c r="AR32" s="85"/>
      <c r="AS32" s="85"/>
      <c r="AT32" s="85"/>
      <c r="AU32" s="85"/>
      <c r="AV32" s="85"/>
    </row>
    <row r="33" spans="1:48" ht="24.75" customHeight="1">
      <c r="A33" s="213"/>
      <c r="B33" s="213"/>
      <c r="C33" s="213"/>
      <c r="D33" s="213"/>
      <c r="E33" s="213"/>
      <c r="F33" s="85"/>
      <c r="G33" s="85"/>
      <c r="H33" s="85"/>
      <c r="I33" s="85"/>
      <c r="J33" s="85"/>
      <c r="K33" s="85"/>
      <c r="L33" s="85"/>
      <c r="M33" s="85"/>
      <c r="N33" s="85"/>
      <c r="O33" s="85"/>
      <c r="P33" s="85"/>
      <c r="Q33" s="85"/>
      <c r="R33" s="85"/>
      <c r="S33" s="85"/>
      <c r="T33" s="85"/>
      <c r="U33" s="85"/>
      <c r="V33" s="85"/>
      <c r="W33" s="85"/>
      <c r="X33" s="85"/>
      <c r="Y33" s="85"/>
      <c r="Z33" s="85"/>
      <c r="AA33" s="85"/>
      <c r="AB33" s="85"/>
      <c r="AC33" s="85"/>
      <c r="AD33" s="122"/>
      <c r="AE33" s="122"/>
      <c r="AF33" s="122"/>
      <c r="AG33" s="122"/>
      <c r="AH33" s="122"/>
      <c r="AI33" s="73"/>
      <c r="AJ33" s="73"/>
      <c r="AK33" s="73"/>
      <c r="AL33" s="73"/>
      <c r="AM33" s="73"/>
      <c r="AN33" s="73"/>
      <c r="AO33" s="73"/>
      <c r="AP33" s="73"/>
      <c r="AQ33" s="73"/>
      <c r="AR33" s="85"/>
      <c r="AS33" s="85"/>
      <c r="AT33" s="85"/>
      <c r="AU33" s="85"/>
      <c r="AV33" s="85"/>
    </row>
    <row r="34" spans="1:48" ht="15" customHeight="1">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5"/>
      <c r="AB34" s="81"/>
      <c r="AC34" s="81"/>
      <c r="AD34" s="81"/>
      <c r="AE34" s="81"/>
      <c r="AF34" s="81"/>
      <c r="AG34" s="81"/>
      <c r="AH34" s="81"/>
      <c r="AI34" s="81"/>
      <c r="AJ34" s="81"/>
      <c r="AK34" s="81"/>
      <c r="AL34" s="81"/>
      <c r="AM34" s="81"/>
      <c r="AN34" s="81"/>
      <c r="AO34" s="81"/>
      <c r="AP34" s="81"/>
      <c r="AQ34" s="81"/>
      <c r="AR34" s="81"/>
      <c r="AS34" s="81"/>
      <c r="AT34" s="81"/>
      <c r="AU34" s="81"/>
      <c r="AV34" s="81"/>
    </row>
    <row r="35" spans="1:48">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row>
    <row r="36" spans="1:48">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row>
    <row r="37" spans="1:48">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row>
    <row r="38" spans="1:4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row>
    <row r="39" spans="1:48">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row>
    <row r="40" spans="1:48">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row>
    <row r="41" spans="1:48">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row>
    <row r="42" spans="1:48">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row>
    <row r="43" spans="1:48">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row>
    <row r="44" spans="1:48">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row>
    <row r="45" spans="1:48">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row>
    <row r="46" spans="1:48">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row>
    <row r="47" spans="1:48">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row>
    <row r="48" spans="1: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row>
    <row r="49" spans="1:48">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row>
    <row r="50" spans="1:48">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row>
    <row r="51" spans="1:48">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row>
    <row r="52" spans="1:48">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row>
    <row r="53" spans="1:48">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row>
    <row r="54" spans="1:48">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row>
    <row r="55" spans="1:48">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row>
    <row r="56" spans="1:48">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row>
    <row r="57" spans="1:48">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row>
    <row r="58" spans="1:4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row>
    <row r="59" spans="1:48">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row>
    <row r="60" spans="1:48">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row>
    <row r="61" spans="1:48">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row>
    <row r="62" spans="1:48">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row>
    <row r="63" spans="1:48">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row>
    <row r="64" spans="1:48">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row>
    <row r="65" spans="1:48">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row>
    <row r="66" spans="1:48">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row>
    <row r="67" spans="1:48">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row>
    <row r="68" spans="1:4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row>
    <row r="69" spans="1:48">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row>
    <row r="70" spans="1:48">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row>
    <row r="71" spans="1:48">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row>
    <row r="72" spans="1:48">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row>
    <row r="73" spans="1:48">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row>
    <row r="74" spans="1:48">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row>
    <row r="75" spans="1:48">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row>
    <row r="76" spans="1:48">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row>
    <row r="77" spans="1:48">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row>
    <row r="78" spans="1:4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row>
    <row r="79" spans="1:48">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row>
    <row r="80" spans="1:48">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row>
    <row r="81" spans="1:48">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row>
    <row r="82" spans="1:48">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row>
    <row r="83" spans="1:48">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row>
    <row r="84" spans="1:48">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row>
    <row r="85" spans="1:48">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row>
    <row r="86" spans="1:48">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row>
    <row r="87" spans="1:48">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row>
    <row r="88" spans="1:4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row>
    <row r="89" spans="1:48">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row>
    <row r="90" spans="1:48">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row>
    <row r="91" spans="1:48">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c r="AU91" s="81"/>
      <c r="AV91" s="81"/>
    </row>
    <row r="92" spans="1:48">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c r="AU92" s="81"/>
      <c r="AV92" s="81"/>
    </row>
    <row r="93" spans="1:48">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row>
    <row r="94" spans="1:48">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row>
    <row r="95" spans="1:48">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row>
    <row r="96" spans="1:48">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row>
    <row r="97" spans="1:48">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c r="AU97" s="81"/>
      <c r="AV97" s="81"/>
    </row>
    <row r="98" spans="1:4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row>
    <row r="99" spans="1:48">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row>
    <row r="100" spans="1:48">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row>
    <row r="101" spans="1:48">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row>
    <row r="102" spans="1:48">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row>
    <row r="103" spans="1:48">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row>
    <row r="104" spans="1:48">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row>
    <row r="105" spans="1:48">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row>
    <row r="106" spans="1:48">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row>
    <row r="107" spans="1:48">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row>
    <row r="108" spans="1:4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row>
    <row r="109" spans="1:48">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row>
    <row r="110" spans="1:48">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row>
    <row r="111" spans="1:48">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row>
    <row r="112" spans="1:48">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row>
    <row r="113" spans="1:50">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row>
    <row r="114" spans="1:50">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row>
    <row r="115" spans="1:50">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row>
    <row r="116" spans="1:50">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81"/>
      <c r="AV116" s="81"/>
    </row>
    <row r="117" spans="1:50">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row>
    <row r="118" spans="1:50">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row>
    <row r="119" spans="1:50">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row>
    <row r="120" spans="1:5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c r="AS120" s="81"/>
      <c r="AT120" s="81"/>
      <c r="AU120" s="81"/>
      <c r="AV120" s="81"/>
    </row>
    <row r="121" spans="1:50">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c r="AX121" s="32">
        <v>12</v>
      </c>
    </row>
    <row r="122" spans="1:50">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row>
    <row r="123" spans="1:50">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row>
    <row r="124" spans="1:50">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row>
    <row r="125" spans="1:50">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row>
    <row r="126" spans="1:50">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row>
    <row r="127" spans="1:50">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c r="AS127" s="81"/>
      <c r="AT127" s="81"/>
      <c r="AU127" s="81"/>
      <c r="AV127" s="81"/>
    </row>
    <row r="128" spans="1:50">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row>
    <row r="129" spans="1:48">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row>
    <row r="130" spans="1:48">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row>
    <row r="131" spans="1:48">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c r="AS131" s="81"/>
      <c r="AT131" s="81"/>
      <c r="AU131" s="81"/>
      <c r="AV131" s="81"/>
    </row>
    <row r="132" spans="1:48">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c r="AS132" s="81"/>
      <c r="AT132" s="81"/>
      <c r="AU132" s="81"/>
      <c r="AV132" s="81"/>
    </row>
    <row r="133" spans="1:48">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c r="AS133" s="81"/>
      <c r="AT133" s="81"/>
      <c r="AU133" s="81"/>
      <c r="AV133" s="81"/>
    </row>
    <row r="134" spans="1:48">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row>
    <row r="135" spans="1:48">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row>
    <row r="136" spans="1:48">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c r="AS136" s="81"/>
      <c r="AT136" s="81"/>
      <c r="AU136" s="81"/>
      <c r="AV136" s="81"/>
    </row>
    <row r="137" spans="1:48">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row>
    <row r="138" spans="1:4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c r="AS138" s="81"/>
      <c r="AT138" s="81"/>
      <c r="AU138" s="81"/>
      <c r="AV138" s="81"/>
    </row>
    <row r="139" spans="1:48">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c r="AU139" s="81"/>
      <c r="AV139" s="81"/>
    </row>
    <row r="140" spans="1:48">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c r="AU140" s="81"/>
      <c r="AV140" s="81"/>
    </row>
    <row r="141" spans="1:48">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c r="AS141" s="81"/>
      <c r="AT141" s="81"/>
      <c r="AU141" s="81"/>
      <c r="AV141" s="81"/>
    </row>
    <row r="142" spans="1:48">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row>
    <row r="143" spans="1:48">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c r="AS143" s="81"/>
      <c r="AT143" s="81"/>
      <c r="AU143" s="81"/>
      <c r="AV143" s="81"/>
    </row>
    <row r="144" spans="1:48">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c r="AS144" s="81"/>
      <c r="AT144" s="81"/>
      <c r="AU144" s="81"/>
      <c r="AV144" s="81"/>
    </row>
    <row r="145" spans="1:48">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c r="AS145" s="81"/>
      <c r="AT145" s="81"/>
      <c r="AU145" s="81"/>
      <c r="AV145" s="81"/>
    </row>
    <row r="146" spans="1:48">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c r="AS146" s="81"/>
      <c r="AT146" s="81"/>
      <c r="AU146" s="81"/>
      <c r="AV146" s="81"/>
    </row>
    <row r="147" spans="1:48">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row>
    <row r="148" spans="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c r="AU148" s="81"/>
      <c r="AV148" s="81"/>
    </row>
    <row r="149" spans="1:48">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row>
    <row r="150" spans="1:48">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row>
    <row r="151" spans="1:48">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row>
    <row r="152" spans="1:48">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row>
    <row r="153" spans="1:48">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row>
    <row r="154" spans="1:48">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row>
    <row r="155" spans="1:48">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row>
    <row r="156" spans="1:48">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row>
    <row r="157" spans="1:48">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row>
    <row r="158" spans="1:4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row>
    <row r="159" spans="1:48">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row>
    <row r="160" spans="1:48">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row>
    <row r="161" spans="1:48">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row>
    <row r="162" spans="1:48">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row>
    <row r="163" spans="1:48">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row>
    <row r="164" spans="1:48">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c r="AU164" s="81"/>
      <c r="AV164" s="81"/>
    </row>
    <row r="165" spans="1:48">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row>
    <row r="166" spans="1:48">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row>
    <row r="167" spans="1:48">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row>
    <row r="168" spans="1:4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row>
    <row r="169" spans="1:48">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row>
    <row r="170" spans="1:48">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row>
    <row r="171" spans="1:48">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c r="AU171" s="81"/>
      <c r="AV171" s="81"/>
    </row>
    <row r="172" spans="1:48">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row>
    <row r="173" spans="1:48">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row>
    <row r="174" spans="1:48">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row>
    <row r="175" spans="1:48">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row>
    <row r="176" spans="1:48">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c r="AU176" s="81"/>
      <c r="AV176" s="81"/>
    </row>
    <row r="177" spans="1:48">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c r="AU177" s="81"/>
      <c r="AV177" s="81"/>
    </row>
    <row r="178" spans="1:4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row>
    <row r="179" spans="1:48">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row>
    <row r="180" spans="1:48">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row>
    <row r="181" spans="1:48">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row>
    <row r="182" spans="1:48">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row>
    <row r="183" spans="1:48">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row>
    <row r="184" spans="1:48">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row>
    <row r="185" spans="1:48">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row>
    <row r="186" spans="1:48">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row>
    <row r="187" spans="1:48">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row>
    <row r="188" spans="1:4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row>
    <row r="189" spans="1:48">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c r="AU189" s="81"/>
      <c r="AV189" s="81"/>
    </row>
    <row r="190" spans="1:48">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c r="AU190" s="81"/>
      <c r="AV190" s="81"/>
    </row>
    <row r="191" spans="1:48">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row>
    <row r="192" spans="1:48">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c r="AU192" s="81"/>
      <c r="AV192" s="81"/>
    </row>
    <row r="193" spans="1:48">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c r="AU193" s="81"/>
      <c r="AV193" s="81"/>
    </row>
    <row r="194" spans="1:48">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row>
    <row r="195" spans="1:48">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c r="AU195" s="81"/>
      <c r="AV195" s="81"/>
    </row>
    <row r="196" spans="1:48">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c r="AU196" s="81"/>
      <c r="AV196" s="81"/>
    </row>
    <row r="197" spans="1:48">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c r="AU197" s="81"/>
      <c r="AV197" s="81"/>
    </row>
    <row r="198" spans="1:4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row>
    <row r="199" spans="1:48">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row>
    <row r="200" spans="1:48">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row>
    <row r="201" spans="1:48">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c r="AU201" s="81"/>
      <c r="AV201" s="81"/>
    </row>
    <row r="202" spans="1:48">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c r="AU202" s="81"/>
      <c r="AV202" s="81"/>
    </row>
    <row r="203" spans="1:48">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row>
    <row r="204" spans="1:48">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c r="AU204" s="81"/>
      <c r="AV204" s="81"/>
    </row>
    <row r="205" spans="1:48">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c r="AS205" s="81"/>
      <c r="AT205" s="81"/>
      <c r="AU205" s="81"/>
      <c r="AV205" s="81"/>
    </row>
    <row r="206" spans="1:48">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c r="AU206" s="81"/>
      <c r="AV206" s="81"/>
    </row>
    <row r="207" spans="1:48">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row>
    <row r="208" spans="1:4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row>
    <row r="209" spans="1:48">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c r="AS209" s="81"/>
      <c r="AT209" s="81"/>
      <c r="AU209" s="81"/>
      <c r="AV209" s="81"/>
    </row>
    <row r="210" spans="1:48">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c r="AS210" s="81"/>
      <c r="AT210" s="81"/>
      <c r="AU210" s="81"/>
      <c r="AV210" s="81"/>
    </row>
    <row r="211" spans="1:48">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row>
    <row r="212" spans="1:48">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row>
    <row r="213" spans="1:48">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row>
    <row r="214" spans="1:48">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row>
    <row r="215" spans="1:48">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row>
    <row r="216" spans="1:48">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c r="AS216" s="81"/>
      <c r="AT216" s="81"/>
      <c r="AU216" s="81"/>
      <c r="AV216" s="81"/>
    </row>
    <row r="217" spans="1:48">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c r="AS217" s="81"/>
      <c r="AT217" s="81"/>
      <c r="AU217" s="81"/>
      <c r="AV217" s="81"/>
    </row>
    <row r="218" spans="1:4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c r="AU218" s="81"/>
      <c r="AV218" s="81"/>
    </row>
    <row r="219" spans="1:48">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1"/>
      <c r="AV219" s="81"/>
    </row>
    <row r="220" spans="1:48">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c r="AS220" s="81"/>
      <c r="AT220" s="81"/>
      <c r="AU220" s="81"/>
      <c r="AV220" s="81"/>
    </row>
    <row r="221" spans="1:48">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c r="AS221" s="81"/>
      <c r="AT221" s="81"/>
      <c r="AU221" s="81"/>
      <c r="AV221" s="81"/>
    </row>
    <row r="222" spans="1:48">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c r="AS222" s="81"/>
      <c r="AT222" s="81"/>
      <c r="AU222" s="81"/>
      <c r="AV222" s="81"/>
    </row>
    <row r="223" spans="1:48">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c r="AS223" s="81"/>
      <c r="AT223" s="81"/>
      <c r="AU223" s="81"/>
      <c r="AV223" s="81"/>
    </row>
    <row r="224" spans="1:48">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c r="AU224" s="81"/>
      <c r="AV224" s="81"/>
    </row>
    <row r="225" spans="1:48">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1"/>
      <c r="AV225" s="81"/>
    </row>
    <row r="226" spans="1:48">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c r="AS226" s="81"/>
      <c r="AT226" s="81"/>
      <c r="AU226" s="81"/>
      <c r="AV226" s="81"/>
    </row>
    <row r="227" spans="1:48">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c r="AS227" s="81"/>
      <c r="AT227" s="81"/>
      <c r="AU227" s="81"/>
      <c r="AV227" s="81"/>
    </row>
    <row r="228" spans="1:4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c r="AS228" s="81"/>
      <c r="AT228" s="81"/>
      <c r="AU228" s="81"/>
      <c r="AV228" s="81"/>
    </row>
    <row r="229" spans="1:48">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c r="AS229" s="81"/>
      <c r="AT229" s="81"/>
      <c r="AU229" s="81"/>
      <c r="AV229" s="81"/>
    </row>
    <row r="230" spans="1:48">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c r="AS230" s="81"/>
      <c r="AT230" s="81"/>
      <c r="AU230" s="81"/>
      <c r="AV230" s="81"/>
    </row>
    <row r="231" spans="1:48">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row>
    <row r="232" spans="1:48">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c r="AS232" s="81"/>
      <c r="AT232" s="81"/>
      <c r="AU232" s="81"/>
      <c r="AV232" s="81"/>
    </row>
    <row r="233" spans="1:48">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c r="AS233" s="81"/>
      <c r="AT233" s="81"/>
      <c r="AU233" s="81"/>
      <c r="AV233" s="81"/>
    </row>
    <row r="234" spans="1:48">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row>
    <row r="235" spans="1:48">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c r="AS235" s="81"/>
      <c r="AT235" s="81"/>
      <c r="AU235" s="81"/>
      <c r="AV235" s="81"/>
    </row>
    <row r="236" spans="1:48">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c r="AS236" s="81"/>
      <c r="AT236" s="81"/>
      <c r="AU236" s="81"/>
      <c r="AV236" s="81"/>
    </row>
    <row r="237" spans="1:48">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c r="AS237" s="81"/>
      <c r="AT237" s="81"/>
      <c r="AU237" s="81"/>
      <c r="AV237" s="81"/>
    </row>
    <row r="238" spans="1:4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c r="AS238" s="81"/>
      <c r="AT238" s="81"/>
      <c r="AU238" s="81"/>
      <c r="AV238" s="81"/>
    </row>
    <row r="239" spans="1:48">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c r="AS239" s="81"/>
      <c r="AT239" s="81"/>
      <c r="AU239" s="81"/>
      <c r="AV239" s="81"/>
    </row>
    <row r="240" spans="1:48">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c r="AS240" s="81"/>
      <c r="AT240" s="81"/>
      <c r="AU240" s="81"/>
      <c r="AV240" s="81"/>
    </row>
    <row r="241" spans="1:48">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c r="AS241" s="81"/>
      <c r="AT241" s="81"/>
      <c r="AU241" s="81"/>
      <c r="AV241" s="81"/>
    </row>
    <row r="242" spans="1:48">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c r="AS242" s="81"/>
      <c r="AT242" s="81"/>
      <c r="AU242" s="81"/>
      <c r="AV242" s="81"/>
    </row>
    <row r="243" spans="1:48">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c r="AS243" s="81"/>
      <c r="AT243" s="81"/>
      <c r="AU243" s="81"/>
      <c r="AV243" s="81"/>
    </row>
    <row r="244" spans="1:48">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81"/>
      <c r="AV244" s="81"/>
    </row>
    <row r="245" spans="1:48">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c r="AS245" s="81"/>
      <c r="AT245" s="81"/>
      <c r="AU245" s="81"/>
      <c r="AV245" s="81"/>
    </row>
    <row r="246" spans="1:48">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c r="AS246" s="81"/>
      <c r="AT246" s="81"/>
      <c r="AU246" s="81"/>
      <c r="AV246" s="81"/>
    </row>
    <row r="247" spans="1:48">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row>
  </sheetData>
  <mergeCells count="121">
    <mergeCell ref="X26:Y26"/>
    <mergeCell ref="Z26:AA26"/>
    <mergeCell ref="H26:I26"/>
    <mergeCell ref="R27:S27"/>
    <mergeCell ref="T27:U27"/>
    <mergeCell ref="V27:W27"/>
    <mergeCell ref="X27:Y27"/>
    <mergeCell ref="Z27:AA27"/>
    <mergeCell ref="H27:I27"/>
    <mergeCell ref="J27:K27"/>
    <mergeCell ref="L27:M27"/>
    <mergeCell ref="N27:O27"/>
    <mergeCell ref="P27:Q27"/>
    <mergeCell ref="J26:K26"/>
    <mergeCell ref="N26:O26"/>
    <mergeCell ref="P26:Q26"/>
    <mergeCell ref="X25:Y25"/>
    <mergeCell ref="Z25:AA25"/>
    <mergeCell ref="V23:W23"/>
    <mergeCell ref="X23:Y23"/>
    <mergeCell ref="Z23:AA23"/>
    <mergeCell ref="H23:I23"/>
    <mergeCell ref="J23:K23"/>
    <mergeCell ref="L23:M23"/>
    <mergeCell ref="N23:O23"/>
    <mergeCell ref="P23:Q23"/>
    <mergeCell ref="Z24:AA24"/>
    <mergeCell ref="H24:I24"/>
    <mergeCell ref="J24:K24"/>
    <mergeCell ref="L24:M24"/>
    <mergeCell ref="N24:O24"/>
    <mergeCell ref="P24:Q24"/>
    <mergeCell ref="T24:U24"/>
    <mergeCell ref="V24:W24"/>
    <mergeCell ref="X24:Y24"/>
    <mergeCell ref="T25:U25"/>
    <mergeCell ref="J25:K25"/>
    <mergeCell ref="N25:O25"/>
    <mergeCell ref="P25:Q25"/>
    <mergeCell ref="R24:S24"/>
    <mergeCell ref="R25:S25"/>
    <mergeCell ref="R26:S26"/>
    <mergeCell ref="A27:E27"/>
    <mergeCell ref="V25:W25"/>
    <mergeCell ref="L26:M26"/>
    <mergeCell ref="T26:U26"/>
    <mergeCell ref="V26:W26"/>
    <mergeCell ref="F24:G24"/>
    <mergeCell ref="F25:G25"/>
    <mergeCell ref="F26:G26"/>
    <mergeCell ref="F27:G27"/>
    <mergeCell ref="A23:E23"/>
    <mergeCell ref="H8:I8"/>
    <mergeCell ref="H9:I9"/>
    <mergeCell ref="H10:I10"/>
    <mergeCell ref="H11:I11"/>
    <mergeCell ref="A24:E24"/>
    <mergeCell ref="A25:E25"/>
    <mergeCell ref="A26:E26"/>
    <mergeCell ref="H25:I25"/>
    <mergeCell ref="A10:E10"/>
    <mergeCell ref="A11:E11"/>
    <mergeCell ref="F8:G8"/>
    <mergeCell ref="F9:G9"/>
    <mergeCell ref="F10:G10"/>
    <mergeCell ref="F11:G11"/>
    <mergeCell ref="A12:E12"/>
    <mergeCell ref="A13:E13"/>
    <mergeCell ref="F23:G23"/>
    <mergeCell ref="B5:C5"/>
    <mergeCell ref="B6:C6"/>
    <mergeCell ref="D5:E5"/>
    <mergeCell ref="D6:E6"/>
    <mergeCell ref="F5:G5"/>
    <mergeCell ref="J6:K6"/>
    <mergeCell ref="AD6:AR6"/>
    <mergeCell ref="A2:AV2"/>
    <mergeCell ref="A1:AV1"/>
    <mergeCell ref="AS6:AV6"/>
    <mergeCell ref="B4:C4"/>
    <mergeCell ref="D4:E4"/>
    <mergeCell ref="F4:G4"/>
    <mergeCell ref="Q3:AE3"/>
    <mergeCell ref="AN17:AQ18"/>
    <mergeCell ref="AB17:AB18"/>
    <mergeCell ref="W17:Z17"/>
    <mergeCell ref="AD17:AF18"/>
    <mergeCell ref="W18:Z18"/>
    <mergeCell ref="T18:V19"/>
    <mergeCell ref="H19:P19"/>
    <mergeCell ref="AG17:AJ17"/>
    <mergeCell ref="AL17:AL18"/>
    <mergeCell ref="AG18:AJ18"/>
    <mergeCell ref="R17:R20"/>
    <mergeCell ref="M17:P17"/>
    <mergeCell ref="M18:P18"/>
    <mergeCell ref="L20:P20"/>
    <mergeCell ref="AB23:AC23"/>
    <mergeCell ref="AB24:AC24"/>
    <mergeCell ref="AB25:AC25"/>
    <mergeCell ref="AB26:AC26"/>
    <mergeCell ref="AB27:AC27"/>
    <mergeCell ref="L6:N6"/>
    <mergeCell ref="O6:T6"/>
    <mergeCell ref="U6:W6"/>
    <mergeCell ref="X6:AC6"/>
    <mergeCell ref="A22:AC22"/>
    <mergeCell ref="L25:M25"/>
    <mergeCell ref="F12:G12"/>
    <mergeCell ref="F13:G13"/>
    <mergeCell ref="R23:S23"/>
    <mergeCell ref="T23:U23"/>
    <mergeCell ref="F6:G6"/>
    <mergeCell ref="H6:I6"/>
    <mergeCell ref="H7:I7"/>
    <mergeCell ref="F15:G15"/>
    <mergeCell ref="A15:E15"/>
    <mergeCell ref="A8:E8"/>
    <mergeCell ref="A9:E9"/>
    <mergeCell ref="A14:E14"/>
    <mergeCell ref="F14:G14"/>
  </mergeCells>
  <phoneticPr fontId="12" type="noConversion"/>
  <conditionalFormatting sqref="F24:AC33">
    <cfRule type="containsText" dxfId="4" priority="33" operator="containsText" text="HT tốt">
      <formula>NOT(ISERROR(SEARCH("HT tốt",F24)))</formula>
    </cfRule>
  </conditionalFormatting>
  <conditionalFormatting sqref="H8:I14">
    <cfRule type="containsText" dxfId="3" priority="34" operator="containsText" text="Hoàn thành tốt">
      <formula>NOT(ISERROR(SEARCH("Hoàn thành tốt",H8)))</formula>
    </cfRule>
  </conditionalFormatting>
  <conditionalFormatting sqref="L8:AV14">
    <cfRule type="containsText" dxfId="2" priority="1" operator="containsText" text="NG">
      <formula>NOT(ISERROR(SEARCH("NG",L8)))</formula>
    </cfRule>
    <cfRule type="containsText" dxfId="1" priority="2" operator="containsText" text="Good">
      <formula>NOT(ISERROR(SEARCH("Good",L8)))</formula>
    </cfRule>
    <cfRule type="containsText" dxfId="0" priority="3" operator="containsText" text="OK">
      <formula>NOT(ISERROR(SEARCH("OK",L8)))</formula>
    </cfRule>
  </conditionalFormatting>
  <conditionalFormatting sqref="AD26">
    <cfRule type="iconSet" priority="21">
      <iconSet iconSet="3Flags" showValue="0">
        <cfvo type="percent" val="0"/>
        <cfvo type="percent" val="33"/>
        <cfvo type="percent" val="67"/>
      </iconSet>
    </cfRule>
    <cfRule type="iconSet" priority="22">
      <iconSet showValue="0">
        <cfvo type="percent" val="0"/>
        <cfvo type="percent" val="33"/>
        <cfvo type="percent" val="67"/>
      </iconSet>
    </cfRule>
    <cfRule type="iconSet" priority="23">
      <iconSet iconSet="3Flags">
        <cfvo type="percent" val="0"/>
        <cfvo type="percent" val="33"/>
        <cfvo type="percent" val="67"/>
      </iconSet>
    </cfRule>
  </conditionalFormatting>
  <conditionalFormatting sqref="AD23:AG23">
    <cfRule type="iconSet" priority="4">
      <iconSet iconSet="3Flags" showValue="0">
        <cfvo type="percent" val="0"/>
        <cfvo type="percent" val="33"/>
        <cfvo type="percent" val="67"/>
      </iconSet>
    </cfRule>
    <cfRule type="iconSet" priority="5">
      <iconSet showValue="0">
        <cfvo type="percent" val="0"/>
        <cfvo type="percent" val="33"/>
        <cfvo type="percent" val="67"/>
      </iconSet>
    </cfRule>
    <cfRule type="iconSet" priority="6">
      <iconSet iconSet="3Flags">
        <cfvo type="percent" val="0"/>
        <cfvo type="percent" val="33"/>
        <cfvo type="percent" val="67"/>
      </iconSet>
    </cfRule>
  </conditionalFormatting>
  <conditionalFormatting sqref="AD27:AH33">
    <cfRule type="iconSet" priority="17">
      <iconSet iconSet="3Flags" showValue="0">
        <cfvo type="percent" val="0"/>
        <cfvo type="percent" val="33"/>
        <cfvo type="percent" val="67"/>
      </iconSet>
    </cfRule>
    <cfRule type="iconSet" priority="18">
      <iconSet showValue="0">
        <cfvo type="percent" val="0"/>
        <cfvo type="percent" val="33"/>
        <cfvo type="percent" val="67"/>
      </iconSet>
    </cfRule>
    <cfRule type="iconSet" priority="19">
      <iconSet iconSet="3Flags">
        <cfvo type="percent" val="0"/>
        <cfvo type="percent" val="33"/>
        <cfvo type="percent" val="67"/>
      </iconSet>
    </cfRule>
  </conditionalFormatting>
  <conditionalFormatting sqref="AD25:AK25">
    <cfRule type="iconSet" priority="25">
      <iconSet iconSet="3Flags" showValue="0">
        <cfvo type="percent" val="0"/>
        <cfvo type="percent" val="33"/>
        <cfvo type="percent" val="67"/>
      </iconSet>
    </cfRule>
    <cfRule type="iconSet" priority="26">
      <iconSet showValue="0">
        <cfvo type="percent" val="0"/>
        <cfvo type="percent" val="33"/>
        <cfvo type="percent" val="67"/>
      </iconSet>
    </cfRule>
    <cfRule type="iconSet" priority="27">
      <iconSet iconSet="3Flags">
        <cfvo type="percent" val="0"/>
        <cfvo type="percent" val="33"/>
        <cfvo type="percent" val="67"/>
      </iconSet>
    </cfRule>
  </conditionalFormatting>
  <dataValidations count="2">
    <dataValidation type="list" allowBlank="1" showInputMessage="1" showErrorMessage="1" sqref="L9:L10 AR8:AV14 AF8:AG11 AA12:AC14 AD8:AE10 AH8:AQ10 Z8:AC11 X8:X11 Y8:Y10 M8:O10 R8:W10 P8:Q11" xr:uid="{86B21C20-0AEC-4B80-AA7E-490C41B8B33C}">
      <formula1>"#N/A,OK, GOOD"</formula1>
    </dataValidation>
    <dataValidation type="list" allowBlank="1" showInputMessage="1" showErrorMessage="1" sqref="L8 Z12:Z14 AF12:AG14 AD11:AE14 AH11:AQ14 X12:X14 Y11:Y14 L11:O14 R11:W14 P12:Q14" xr:uid="{9EC0F441-7E1E-418A-94C3-70437E4C1476}">
      <formula1>"#N/A,OK, GOOD, NG"</formula1>
    </dataValidation>
  </dataValidations>
  <pageMargins left="0.7" right="0.7" top="0.75" bottom="0.75" header="0.3" footer="0.3"/>
  <pageSetup paperSize="9" scale="1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 id="{8EE59F09-AC95-4AFC-B889-BEFD9813113C}">
            <x14:iconSet iconSet="3Stars">
              <x14:cfvo type="percent">
                <xm:f>0</xm:f>
              </x14:cfvo>
              <x14:cfvo type="percent">
                <xm:f>33</xm:f>
              </x14:cfvo>
              <x14:cfvo type="percent">
                <xm:f>67</xm:f>
              </x14:cfvo>
            </x14:iconSet>
          </x14:cfRule>
          <xm:sqref>AD26</xm:sqref>
        </x14:conditionalFormatting>
        <x14:conditionalFormatting xmlns:xm="http://schemas.microsoft.com/office/excel/2006/main">
          <x14:cfRule type="iconSet" priority="7" id="{625776CD-B2F6-49A6-92B8-90CDC77DC37C}">
            <x14:iconSet iconSet="3Stars">
              <x14:cfvo type="percent">
                <xm:f>0</xm:f>
              </x14:cfvo>
              <x14:cfvo type="percent">
                <xm:f>33</xm:f>
              </x14:cfvo>
              <x14:cfvo type="percent">
                <xm:f>67</xm:f>
              </x14:cfvo>
            </x14:iconSet>
          </x14:cfRule>
          <xm:sqref>AD23:AG23</xm:sqref>
        </x14:conditionalFormatting>
        <x14:conditionalFormatting xmlns:xm="http://schemas.microsoft.com/office/excel/2006/main">
          <x14:cfRule type="iconSet" priority="20" id="{F7E57BCC-72C4-4F15-9279-272F4F4AD682}">
            <x14:iconSet iconSet="3Stars">
              <x14:cfvo type="percent">
                <xm:f>0</xm:f>
              </x14:cfvo>
              <x14:cfvo type="percent">
                <xm:f>33</xm:f>
              </x14:cfvo>
              <x14:cfvo type="percent">
                <xm:f>67</xm:f>
              </x14:cfvo>
            </x14:iconSet>
          </x14:cfRule>
          <xm:sqref>AD27:AH33</xm:sqref>
        </x14:conditionalFormatting>
        <x14:conditionalFormatting xmlns:xm="http://schemas.microsoft.com/office/excel/2006/main">
          <x14:cfRule type="iconSet" priority="28" id="{D2B7DDB2-597E-48CA-8C33-37B67E8E3D0E}">
            <x14:iconSet iconSet="3Stars">
              <x14:cfvo type="percent">
                <xm:f>0</xm:f>
              </x14:cfvo>
              <x14:cfvo type="percent">
                <xm:f>33</xm:f>
              </x14:cfvo>
              <x14:cfvo type="percent">
                <xm:f>67</xm:f>
              </x14:cfvo>
            </x14:iconSet>
          </x14:cfRule>
          <xm:sqref>AD25:AK25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AA6B-7741-4DD0-8B0E-74F5F15AAB6D}">
  <sheetPr codeName="Sheet2"/>
  <dimension ref="A1:P130"/>
  <sheetViews>
    <sheetView workbookViewId="0">
      <selection activeCell="M101" sqref="M101"/>
    </sheetView>
  </sheetViews>
  <sheetFormatPr defaultRowHeight="15"/>
  <cols>
    <col min="1" max="1" width="29.85546875" bestFit="1" customWidth="1"/>
    <col min="2" max="2" width="10.28515625" customWidth="1"/>
    <col min="3" max="3" width="12.140625" customWidth="1"/>
    <col min="4" max="4" width="17.140625" customWidth="1"/>
    <col min="10" max="10" width="11" bestFit="1" customWidth="1"/>
    <col min="13" max="13" width="11" bestFit="1" customWidth="1"/>
    <col min="16" max="16" width="11" bestFit="1" customWidth="1"/>
  </cols>
  <sheetData>
    <row r="1" spans="1:16">
      <c r="B1" s="407" t="s">
        <v>33</v>
      </c>
      <c r="C1" s="407"/>
      <c r="D1" s="407"/>
      <c r="E1" s="407"/>
      <c r="F1" s="407"/>
      <c r="G1" s="407"/>
      <c r="H1" s="407"/>
      <c r="I1" s="407"/>
      <c r="J1" s="407"/>
      <c r="K1" s="407"/>
      <c r="L1" s="407"/>
      <c r="M1" s="407"/>
    </row>
    <row r="2" spans="1:16">
      <c r="B2" t="s">
        <v>33</v>
      </c>
      <c r="E2" s="407"/>
      <c r="F2" s="407"/>
      <c r="G2" s="407"/>
      <c r="H2" s="407"/>
      <c r="I2" s="407"/>
      <c r="J2" s="407"/>
      <c r="K2" s="407"/>
      <c r="L2" s="407"/>
      <c r="M2" s="407"/>
      <c r="N2" s="407"/>
      <c r="O2" s="407"/>
      <c r="P2" s="407"/>
    </row>
    <row r="3" spans="1:16">
      <c r="A3" t="s">
        <v>223</v>
      </c>
      <c r="B3">
        <f>SUM(B16:B18)</f>
        <v>1302</v>
      </c>
      <c r="C3">
        <f>SUM(C16:C18)</f>
        <v>1495</v>
      </c>
      <c r="D3" s="211">
        <f t="shared" ref="D3" si="0">B3/C3</f>
        <v>0.87090301003344484</v>
      </c>
      <c r="E3" s="36">
        <v>0.98</v>
      </c>
      <c r="F3" s="34"/>
      <c r="G3" s="34"/>
      <c r="H3" s="34"/>
      <c r="I3" s="34"/>
      <c r="J3" s="34"/>
      <c r="K3" s="34"/>
      <c r="L3" s="34"/>
      <c r="M3" s="34"/>
      <c r="N3" s="34"/>
      <c r="O3" s="34"/>
      <c r="P3" s="34"/>
    </row>
    <row r="4" spans="1:16">
      <c r="A4" t="s">
        <v>212</v>
      </c>
      <c r="D4" s="211"/>
      <c r="E4" s="36">
        <v>0.98</v>
      </c>
      <c r="F4" s="34"/>
      <c r="G4" s="34"/>
      <c r="H4" s="34"/>
      <c r="I4" s="34"/>
      <c r="J4" s="34"/>
      <c r="K4" s="34"/>
      <c r="L4" s="34"/>
      <c r="M4" s="34"/>
      <c r="N4" s="34"/>
      <c r="O4" s="34"/>
      <c r="P4" s="34"/>
    </row>
    <row r="5" spans="1:16">
      <c r="A5" t="s">
        <v>213</v>
      </c>
      <c r="D5" s="211"/>
      <c r="E5" s="36">
        <v>0.98</v>
      </c>
      <c r="F5" s="34"/>
      <c r="G5" s="34"/>
      <c r="H5" s="34"/>
      <c r="I5" s="34"/>
      <c r="J5" s="34"/>
      <c r="K5" s="34"/>
      <c r="L5" s="34"/>
      <c r="M5" s="34"/>
      <c r="N5" s="34"/>
      <c r="O5" s="34"/>
      <c r="P5" s="34"/>
    </row>
    <row r="6" spans="1:16">
      <c r="A6" t="s">
        <v>214</v>
      </c>
      <c r="D6" s="211"/>
      <c r="E6" s="36">
        <v>0.98</v>
      </c>
      <c r="G6" s="30"/>
    </row>
    <row r="7" spans="1:16">
      <c r="A7" t="s">
        <v>215</v>
      </c>
      <c r="D7" s="211"/>
      <c r="E7" s="36">
        <v>0.98</v>
      </c>
      <c r="G7" s="30"/>
      <c r="J7">
        <v>11214</v>
      </c>
      <c r="K7">
        <f>J7/0.981</f>
        <v>11431.19266055046</v>
      </c>
    </row>
    <row r="8" spans="1:16">
      <c r="A8" t="s">
        <v>216</v>
      </c>
      <c r="D8" s="211"/>
      <c r="E8" s="36">
        <v>0.98</v>
      </c>
      <c r="G8" s="30"/>
    </row>
    <row r="9" spans="1:16">
      <c r="A9" t="s">
        <v>217</v>
      </c>
      <c r="D9" s="211"/>
      <c r="E9" s="36">
        <v>0.98</v>
      </c>
      <c r="G9" s="30"/>
    </row>
    <row r="10" spans="1:16">
      <c r="A10" t="s">
        <v>218</v>
      </c>
      <c r="D10" s="211"/>
      <c r="E10" s="36">
        <v>0.98</v>
      </c>
      <c r="G10" s="30"/>
    </row>
    <row r="11" spans="1:16">
      <c r="A11" t="s">
        <v>219</v>
      </c>
      <c r="D11" s="211"/>
      <c r="E11" s="36">
        <v>0.98</v>
      </c>
      <c r="G11" s="30"/>
    </row>
    <row r="12" spans="1:16">
      <c r="A12" t="s">
        <v>220</v>
      </c>
      <c r="D12" s="211"/>
      <c r="E12" s="36">
        <v>0.98</v>
      </c>
    </row>
    <row r="13" spans="1:16">
      <c r="A13" t="s">
        <v>221</v>
      </c>
      <c r="D13" s="211"/>
      <c r="E13" s="36">
        <v>0.98</v>
      </c>
      <c r="G13" s="30"/>
    </row>
    <row r="14" spans="1:16">
      <c r="A14" t="s">
        <v>222</v>
      </c>
      <c r="D14" s="211"/>
      <c r="E14" s="36">
        <v>0.98</v>
      </c>
      <c r="G14" s="30"/>
    </row>
    <row r="15" spans="1:16">
      <c r="A15" s="108" t="s">
        <v>428</v>
      </c>
      <c r="B15" s="108">
        <f>SUM(B3:B14)</f>
        <v>1302</v>
      </c>
      <c r="C15" s="108">
        <f>SUM(C3:C14)</f>
        <v>1495</v>
      </c>
      <c r="D15" s="212">
        <f>B15/C15</f>
        <v>0.87090301003344484</v>
      </c>
      <c r="E15" s="121">
        <v>0.98</v>
      </c>
    </row>
    <row r="16" spans="1:16">
      <c r="A16" t="s">
        <v>42</v>
      </c>
      <c r="B16">
        <v>254</v>
      </c>
      <c r="C16">
        <v>254</v>
      </c>
      <c r="D16" s="31">
        <f>B16/C16</f>
        <v>1</v>
      </c>
      <c r="E16" s="30">
        <v>0.98</v>
      </c>
    </row>
    <row r="17" spans="1:11">
      <c r="A17" t="s">
        <v>45</v>
      </c>
      <c r="B17">
        <v>682</v>
      </c>
      <c r="C17">
        <v>801</v>
      </c>
      <c r="D17" s="31">
        <f>B17/C17</f>
        <v>0.85143570536828961</v>
      </c>
      <c r="E17" s="30">
        <v>0.98</v>
      </c>
    </row>
    <row r="18" spans="1:11">
      <c r="A18" t="s">
        <v>44</v>
      </c>
      <c r="B18">
        <v>366</v>
      </c>
      <c r="C18">
        <v>440</v>
      </c>
      <c r="D18" s="31">
        <f>B18/C18</f>
        <v>0.83181818181818179</v>
      </c>
      <c r="E18" s="30">
        <v>0.98</v>
      </c>
    </row>
    <row r="19" spans="1:11">
      <c r="D19" s="88"/>
    </row>
    <row r="20" spans="1:11">
      <c r="D20" s="88"/>
    </row>
    <row r="21" spans="1:11">
      <c r="A21" t="s">
        <v>46</v>
      </c>
      <c r="B21">
        <v>224</v>
      </c>
      <c r="C21">
        <v>230</v>
      </c>
      <c r="D21" s="31">
        <f>B21/C21</f>
        <v>0.97391304347826091</v>
      </c>
      <c r="E21" s="30">
        <v>0.99</v>
      </c>
    </row>
    <row r="22" spans="1:11">
      <c r="D22" s="88"/>
    </row>
    <row r="23" spans="1:11">
      <c r="A23" t="s">
        <v>223</v>
      </c>
      <c r="B23">
        <v>224</v>
      </c>
      <c r="C23">
        <v>230</v>
      </c>
      <c r="D23" s="211">
        <f>B23/C23</f>
        <v>0.97391304347826091</v>
      </c>
      <c r="E23" s="36">
        <v>0.99</v>
      </c>
      <c r="J23">
        <v>2990</v>
      </c>
      <c r="K23">
        <f>J23/0.982</f>
        <v>3044.8065173116088</v>
      </c>
    </row>
    <row r="24" spans="1:11">
      <c r="A24" t="s">
        <v>212</v>
      </c>
      <c r="D24" s="35"/>
      <c r="E24" s="36">
        <v>0.99</v>
      </c>
    </row>
    <row r="25" spans="1:11">
      <c r="A25" t="s">
        <v>213</v>
      </c>
      <c r="D25" s="35"/>
      <c r="E25" s="36">
        <v>0.99</v>
      </c>
      <c r="J25">
        <f>3044-2990</f>
        <v>54</v>
      </c>
    </row>
    <row r="26" spans="1:11">
      <c r="A26" t="s">
        <v>214</v>
      </c>
      <c r="D26" s="35"/>
      <c r="E26" s="36">
        <v>0.99</v>
      </c>
    </row>
    <row r="27" spans="1:11">
      <c r="A27" t="s">
        <v>215</v>
      </c>
      <c r="D27" s="35"/>
      <c r="E27" s="36">
        <v>0.99</v>
      </c>
    </row>
    <row r="28" spans="1:11">
      <c r="A28" t="s">
        <v>216</v>
      </c>
      <c r="D28" s="35"/>
      <c r="E28" s="36">
        <v>0.99</v>
      </c>
    </row>
    <row r="29" spans="1:11">
      <c r="A29" t="s">
        <v>217</v>
      </c>
      <c r="D29" s="35"/>
      <c r="E29" s="36">
        <v>0.99</v>
      </c>
    </row>
    <row r="30" spans="1:11">
      <c r="A30" t="s">
        <v>218</v>
      </c>
      <c r="D30" s="35"/>
      <c r="E30" s="36">
        <v>0.99</v>
      </c>
    </row>
    <row r="31" spans="1:11">
      <c r="A31" t="s">
        <v>219</v>
      </c>
      <c r="D31" s="35"/>
      <c r="E31" s="36">
        <v>0.99</v>
      </c>
    </row>
    <row r="32" spans="1:11">
      <c r="A32" t="s">
        <v>220</v>
      </c>
      <c r="D32" s="35"/>
      <c r="E32" s="36">
        <v>0.99</v>
      </c>
    </row>
    <row r="33" spans="1:5">
      <c r="A33" t="s">
        <v>221</v>
      </c>
      <c r="D33" s="35"/>
      <c r="E33" s="36">
        <v>0.99</v>
      </c>
    </row>
    <row r="34" spans="1:5">
      <c r="A34" t="s">
        <v>222</v>
      </c>
      <c r="D34" s="35"/>
      <c r="E34" s="36">
        <v>0.99</v>
      </c>
    </row>
    <row r="35" spans="1:5">
      <c r="A35" s="108" t="s">
        <v>428</v>
      </c>
      <c r="B35" s="108">
        <f>SUM(B23:B34)</f>
        <v>224</v>
      </c>
      <c r="C35" s="108">
        <f>SUM(C23:C34)</f>
        <v>230</v>
      </c>
      <c r="D35" s="120">
        <f>B35/C35</f>
        <v>0.97391304347826091</v>
      </c>
      <c r="E35" s="108"/>
    </row>
    <row r="37" spans="1:5">
      <c r="A37" t="s">
        <v>47</v>
      </c>
      <c r="B37">
        <v>38</v>
      </c>
      <c r="C37">
        <v>38</v>
      </c>
      <c r="D37" s="31">
        <f>B37/C37</f>
        <v>1</v>
      </c>
      <c r="E37" s="30">
        <v>0.95</v>
      </c>
    </row>
    <row r="38" spans="1:5">
      <c r="A38" t="s">
        <v>48</v>
      </c>
      <c r="B38">
        <v>14</v>
      </c>
      <c r="C38">
        <v>14</v>
      </c>
      <c r="D38" s="31">
        <f>B38/C38</f>
        <v>1</v>
      </c>
      <c r="E38" s="30">
        <v>0.95</v>
      </c>
    </row>
    <row r="39" spans="1:5">
      <c r="A39" t="s">
        <v>232</v>
      </c>
      <c r="B39">
        <v>12</v>
      </c>
      <c r="C39">
        <v>12</v>
      </c>
      <c r="D39" s="31">
        <v>1</v>
      </c>
      <c r="E39" s="30">
        <v>0.95</v>
      </c>
    </row>
    <row r="40" spans="1:5">
      <c r="A40" t="s">
        <v>50</v>
      </c>
      <c r="B40">
        <v>230</v>
      </c>
      <c r="C40">
        <v>230</v>
      </c>
      <c r="D40" s="31">
        <f t="shared" ref="D40:D41" si="1">B40/C40</f>
        <v>1</v>
      </c>
      <c r="E40" s="30">
        <v>0.95</v>
      </c>
    </row>
    <row r="41" spans="1:5">
      <c r="A41" t="s">
        <v>49</v>
      </c>
      <c r="B41">
        <v>1</v>
      </c>
      <c r="C41">
        <v>1</v>
      </c>
      <c r="D41" s="31">
        <f t="shared" si="1"/>
        <v>1</v>
      </c>
      <c r="E41" s="30">
        <v>0.95</v>
      </c>
    </row>
    <row r="43" spans="1:5" s="33" customFormat="1">
      <c r="A43" s="33" t="s">
        <v>51</v>
      </c>
    </row>
    <row r="45" spans="1:5">
      <c r="A45" t="s">
        <v>42</v>
      </c>
      <c r="B45">
        <v>0</v>
      </c>
      <c r="C45">
        <v>0</v>
      </c>
      <c r="D45" s="88"/>
      <c r="E45" s="36">
        <v>0.98</v>
      </c>
    </row>
    <row r="46" spans="1:5">
      <c r="A46" t="s">
        <v>52</v>
      </c>
      <c r="B46">
        <v>0</v>
      </c>
      <c r="C46">
        <v>0</v>
      </c>
      <c r="D46" s="88"/>
      <c r="E46" s="30">
        <v>0.98</v>
      </c>
    </row>
    <row r="47" spans="1:5">
      <c r="A47" t="s">
        <v>43</v>
      </c>
      <c r="B47">
        <v>30</v>
      </c>
      <c r="C47">
        <v>30</v>
      </c>
      <c r="D47" s="88">
        <f t="shared" ref="D47" si="2">B47/C47</f>
        <v>1</v>
      </c>
      <c r="E47" s="30">
        <v>0.98</v>
      </c>
    </row>
    <row r="51" spans="1:5">
      <c r="A51" t="s">
        <v>223</v>
      </c>
      <c r="B51">
        <v>102</v>
      </c>
      <c r="C51">
        <v>102</v>
      </c>
      <c r="D51" s="31">
        <f t="shared" ref="D51:D62" si="3">B51/C51</f>
        <v>1</v>
      </c>
      <c r="E51" s="31">
        <v>0.98</v>
      </c>
    </row>
    <row r="52" spans="1:5">
      <c r="A52" t="s">
        <v>212</v>
      </c>
      <c r="B52">
        <v>23</v>
      </c>
      <c r="C52">
        <v>23</v>
      </c>
      <c r="D52" s="31">
        <f t="shared" si="3"/>
        <v>1</v>
      </c>
      <c r="E52" s="31">
        <v>0.98</v>
      </c>
    </row>
    <row r="53" spans="1:5">
      <c r="A53" t="s">
        <v>213</v>
      </c>
      <c r="B53">
        <v>76</v>
      </c>
      <c r="C53">
        <v>76</v>
      </c>
      <c r="D53" s="31">
        <f t="shared" si="3"/>
        <v>1</v>
      </c>
      <c r="E53" s="31">
        <v>0.98</v>
      </c>
    </row>
    <row r="54" spans="1:5">
      <c r="A54" t="s">
        <v>214</v>
      </c>
      <c r="B54">
        <v>221</v>
      </c>
      <c r="C54">
        <v>221</v>
      </c>
      <c r="D54" s="31">
        <f t="shared" si="3"/>
        <v>1</v>
      </c>
      <c r="E54" s="31">
        <v>0.98</v>
      </c>
    </row>
    <row r="55" spans="1:5">
      <c r="A55" t="s">
        <v>215</v>
      </c>
      <c r="B55">
        <v>28</v>
      </c>
      <c r="C55">
        <v>28</v>
      </c>
      <c r="D55" s="31">
        <f t="shared" si="3"/>
        <v>1</v>
      </c>
      <c r="E55" s="31">
        <v>0.98</v>
      </c>
    </row>
    <row r="56" spans="1:5">
      <c r="A56" t="s">
        <v>216</v>
      </c>
      <c r="B56">
        <v>74</v>
      </c>
      <c r="C56">
        <v>74</v>
      </c>
      <c r="D56" s="31">
        <f t="shared" si="3"/>
        <v>1</v>
      </c>
      <c r="E56" s="31">
        <v>0.98</v>
      </c>
    </row>
    <row r="57" spans="1:5">
      <c r="A57" t="s">
        <v>217</v>
      </c>
      <c r="B57">
        <v>120</v>
      </c>
      <c r="C57">
        <v>120</v>
      </c>
      <c r="D57" s="31">
        <f t="shared" si="3"/>
        <v>1</v>
      </c>
      <c r="E57" s="31">
        <v>0.98</v>
      </c>
    </row>
    <row r="58" spans="1:5">
      <c r="A58" t="s">
        <v>218</v>
      </c>
      <c r="B58">
        <v>87</v>
      </c>
      <c r="C58">
        <v>87</v>
      </c>
      <c r="D58" s="31">
        <f t="shared" si="3"/>
        <v>1</v>
      </c>
      <c r="E58" s="31">
        <v>0.98</v>
      </c>
    </row>
    <row r="59" spans="1:5">
      <c r="A59" t="s">
        <v>219</v>
      </c>
      <c r="D59" s="31"/>
      <c r="E59" s="31">
        <v>0.98</v>
      </c>
    </row>
    <row r="60" spans="1:5">
      <c r="A60" t="s">
        <v>220</v>
      </c>
      <c r="B60">
        <v>186</v>
      </c>
      <c r="C60">
        <v>186</v>
      </c>
      <c r="D60" s="31">
        <f t="shared" si="3"/>
        <v>1</v>
      </c>
      <c r="E60" s="31">
        <v>0.98</v>
      </c>
    </row>
    <row r="61" spans="1:5">
      <c r="A61" t="s">
        <v>221</v>
      </c>
      <c r="B61">
        <v>30</v>
      </c>
      <c r="C61">
        <v>30</v>
      </c>
      <c r="D61" s="31">
        <f t="shared" si="3"/>
        <v>1</v>
      </c>
      <c r="E61" s="31">
        <v>0.98</v>
      </c>
    </row>
    <row r="62" spans="1:5">
      <c r="A62" t="s">
        <v>222</v>
      </c>
      <c r="B62">
        <v>30</v>
      </c>
      <c r="C62">
        <v>30</v>
      </c>
      <c r="D62" s="31">
        <f t="shared" si="3"/>
        <v>1</v>
      </c>
      <c r="E62" s="31">
        <v>0.98</v>
      </c>
    </row>
    <row r="63" spans="1:5">
      <c r="B63">
        <f>SUM(B51:B62)</f>
        <v>977</v>
      </c>
    </row>
    <row r="65" spans="1:5" s="33" customFormat="1">
      <c r="A65" s="33" t="s">
        <v>53</v>
      </c>
    </row>
    <row r="67" spans="1:5">
      <c r="A67" t="s">
        <v>42</v>
      </c>
      <c r="B67">
        <v>17</v>
      </c>
      <c r="C67">
        <v>10</v>
      </c>
      <c r="D67" s="31">
        <f>B67/C67</f>
        <v>1.7</v>
      </c>
      <c r="E67" s="30">
        <v>0.5</v>
      </c>
    </row>
    <row r="68" spans="1:5">
      <c r="A68" t="s">
        <v>45</v>
      </c>
      <c r="B68">
        <v>14</v>
      </c>
      <c r="C68">
        <v>14</v>
      </c>
      <c r="D68" s="31">
        <f>B68/C68</f>
        <v>1</v>
      </c>
      <c r="E68" s="30">
        <v>0.5</v>
      </c>
    </row>
    <row r="69" spans="1:5">
      <c r="A69" t="s">
        <v>44</v>
      </c>
      <c r="B69">
        <v>10</v>
      </c>
      <c r="C69">
        <v>12</v>
      </c>
      <c r="D69" s="31">
        <f>B69/C69</f>
        <v>0.83333333333333337</v>
      </c>
      <c r="E69" s="30">
        <v>0.5</v>
      </c>
    </row>
    <row r="70" spans="1:5">
      <c r="A70" t="s">
        <v>46</v>
      </c>
      <c r="B70">
        <v>10</v>
      </c>
      <c r="C70">
        <v>14</v>
      </c>
      <c r="D70" s="31">
        <f>B70/C70</f>
        <v>0.7142857142857143</v>
      </c>
      <c r="E70" s="30">
        <v>0.5</v>
      </c>
    </row>
    <row r="72" spans="1:5">
      <c r="A72" t="s">
        <v>223</v>
      </c>
      <c r="B72">
        <f>SUM(B67:B70)</f>
        <v>51</v>
      </c>
    </row>
    <row r="73" spans="1:5">
      <c r="A73" t="s">
        <v>212</v>
      </c>
    </row>
    <row r="74" spans="1:5">
      <c r="A74" t="s">
        <v>213</v>
      </c>
    </row>
    <row r="75" spans="1:5">
      <c r="A75" t="s">
        <v>214</v>
      </c>
    </row>
    <row r="76" spans="1:5">
      <c r="A76" t="s">
        <v>215</v>
      </c>
    </row>
    <row r="77" spans="1:5">
      <c r="A77" t="s">
        <v>216</v>
      </c>
    </row>
    <row r="78" spans="1:5">
      <c r="A78" t="s">
        <v>217</v>
      </c>
    </row>
    <row r="79" spans="1:5">
      <c r="A79" t="s">
        <v>218</v>
      </c>
    </row>
    <row r="80" spans="1:5">
      <c r="A80" t="s">
        <v>219</v>
      </c>
    </row>
    <row r="81" spans="1:9">
      <c r="A81" t="s">
        <v>220</v>
      </c>
    </row>
    <row r="82" spans="1:9">
      <c r="A82" t="s">
        <v>221</v>
      </c>
    </row>
    <row r="83" spans="1:9">
      <c r="A83" t="s">
        <v>222</v>
      </c>
    </row>
    <row r="84" spans="1:9">
      <c r="B84">
        <f>SUM(B72:B83)</f>
        <v>51</v>
      </c>
      <c r="C84">
        <v>200</v>
      </c>
      <c r="D84" s="88">
        <f>B84/C84</f>
        <v>0.255</v>
      </c>
    </row>
    <row r="85" spans="1:9" s="33" customFormat="1">
      <c r="A85" s="33" t="s">
        <v>30</v>
      </c>
    </row>
    <row r="86" spans="1:9">
      <c r="A86" t="s">
        <v>42</v>
      </c>
      <c r="B86">
        <v>4</v>
      </c>
      <c r="C86">
        <v>8</v>
      </c>
      <c r="D86" s="31">
        <f>B86/C86</f>
        <v>0.5</v>
      </c>
      <c r="E86" s="30">
        <v>0.5</v>
      </c>
    </row>
    <row r="87" spans="1:9">
      <c r="A87" t="s">
        <v>45</v>
      </c>
      <c r="B87">
        <v>5</v>
      </c>
      <c r="C87">
        <v>8</v>
      </c>
      <c r="D87" s="31">
        <f>B87/C87</f>
        <v>0.625</v>
      </c>
      <c r="E87" s="30">
        <v>0.5</v>
      </c>
      <c r="H87">
        <v>1</v>
      </c>
      <c r="I87">
        <v>20</v>
      </c>
    </row>
    <row r="88" spans="1:9">
      <c r="A88" t="s">
        <v>44</v>
      </c>
      <c r="B88">
        <v>6</v>
      </c>
      <c r="C88">
        <v>8</v>
      </c>
      <c r="D88" s="31">
        <f>B88/C88</f>
        <v>0.75</v>
      </c>
      <c r="E88" s="30">
        <v>0.5</v>
      </c>
    </row>
    <row r="89" spans="1:9">
      <c r="A89" t="s">
        <v>46</v>
      </c>
      <c r="B89">
        <v>5</v>
      </c>
      <c r="C89">
        <v>7</v>
      </c>
      <c r="D89" s="31">
        <f>B89/C89</f>
        <v>0.7142857142857143</v>
      </c>
      <c r="E89" s="30">
        <v>0.5</v>
      </c>
    </row>
    <row r="90" spans="1:9">
      <c r="D90" s="31"/>
      <c r="E90" s="30"/>
    </row>
    <row r="91" spans="1:9">
      <c r="A91" t="s">
        <v>42</v>
      </c>
      <c r="B91">
        <v>6</v>
      </c>
      <c r="C91">
        <v>9</v>
      </c>
      <c r="D91" s="31">
        <f>B91/C91</f>
        <v>0.66666666666666663</v>
      </c>
      <c r="E91" s="30">
        <v>0.5</v>
      </c>
      <c r="H91">
        <v>0</v>
      </c>
      <c r="I91">
        <v>4</v>
      </c>
    </row>
    <row r="92" spans="1:9">
      <c r="A92" t="s">
        <v>45</v>
      </c>
      <c r="B92">
        <v>5</v>
      </c>
      <c r="C92">
        <v>8</v>
      </c>
      <c r="D92" s="31">
        <f>B92/C92</f>
        <v>0.625</v>
      </c>
      <c r="E92" s="30">
        <v>0.5</v>
      </c>
    </row>
    <row r="93" spans="1:9">
      <c r="A93" t="s">
        <v>44</v>
      </c>
      <c r="B93">
        <v>6</v>
      </c>
      <c r="C93">
        <v>12</v>
      </c>
      <c r="D93" s="31">
        <f>B93/C93</f>
        <v>0.5</v>
      </c>
      <c r="E93" s="30">
        <v>0.5</v>
      </c>
    </row>
    <row r="94" spans="1:9">
      <c r="A94" t="s">
        <v>46</v>
      </c>
      <c r="B94">
        <v>6</v>
      </c>
      <c r="C94">
        <v>7</v>
      </c>
      <c r="D94" s="31">
        <f>B94/C94</f>
        <v>0.8571428571428571</v>
      </c>
      <c r="E94" s="30">
        <v>0.5</v>
      </c>
    </row>
    <row r="95" spans="1:9">
      <c r="D95" s="31"/>
      <c r="E95" s="30"/>
    </row>
    <row r="98" spans="1:14" s="33" customFormat="1">
      <c r="A98" s="33" t="s">
        <v>211</v>
      </c>
      <c r="B98" s="33" t="s">
        <v>223</v>
      </c>
      <c r="C98" s="82" t="s">
        <v>212</v>
      </c>
      <c r="D98" s="82" t="s">
        <v>213</v>
      </c>
      <c r="E98" s="82" t="s">
        <v>214</v>
      </c>
      <c r="F98" s="82" t="s">
        <v>215</v>
      </c>
      <c r="G98" s="82" t="s">
        <v>216</v>
      </c>
      <c r="H98" s="82" t="s">
        <v>217</v>
      </c>
      <c r="I98" s="82" t="s">
        <v>218</v>
      </c>
      <c r="J98" s="82" t="s">
        <v>219</v>
      </c>
      <c r="K98" s="82" t="s">
        <v>220</v>
      </c>
      <c r="L98" s="82" t="s">
        <v>221</v>
      </c>
      <c r="M98"/>
    </row>
    <row r="99" spans="1:14">
      <c r="A99" t="s">
        <v>42</v>
      </c>
      <c r="B99" s="210">
        <v>0</v>
      </c>
      <c r="C99" s="210">
        <v>32</v>
      </c>
      <c r="D99" s="210">
        <v>32</v>
      </c>
      <c r="E99" s="210">
        <v>32</v>
      </c>
      <c r="F99" s="210">
        <v>24</v>
      </c>
      <c r="G99" s="210">
        <v>24</v>
      </c>
      <c r="H99" s="210">
        <v>40</v>
      </c>
      <c r="I99" s="210"/>
      <c r="J99" s="210">
        <v>0</v>
      </c>
      <c r="K99" s="210">
        <v>48</v>
      </c>
      <c r="L99" s="210">
        <v>48</v>
      </c>
    </row>
    <row r="100" spans="1:14">
      <c r="A100" t="s">
        <v>45</v>
      </c>
      <c r="B100" s="210">
        <v>0</v>
      </c>
      <c r="C100" s="210">
        <v>15</v>
      </c>
      <c r="D100" s="210">
        <v>30</v>
      </c>
      <c r="E100" s="210">
        <v>30</v>
      </c>
      <c r="F100" s="210">
        <v>30</v>
      </c>
      <c r="G100" s="210">
        <v>27</v>
      </c>
      <c r="H100" s="210">
        <v>30</v>
      </c>
      <c r="I100" s="210"/>
      <c r="J100" s="210">
        <v>42</v>
      </c>
      <c r="K100" s="210">
        <v>33</v>
      </c>
      <c r="L100" s="210">
        <v>45</v>
      </c>
    </row>
    <row r="101" spans="1:14">
      <c r="A101" t="s">
        <v>44</v>
      </c>
      <c r="B101" s="119">
        <v>24</v>
      </c>
      <c r="C101" s="210">
        <v>0</v>
      </c>
      <c r="D101" s="210">
        <v>44</v>
      </c>
      <c r="E101" s="210"/>
      <c r="F101" s="210">
        <v>80</v>
      </c>
      <c r="G101" s="210">
        <v>0</v>
      </c>
      <c r="H101" s="210">
        <v>40</v>
      </c>
      <c r="I101" s="210"/>
      <c r="J101" s="210">
        <v>0</v>
      </c>
      <c r="K101" s="210">
        <v>80</v>
      </c>
      <c r="L101" s="210">
        <v>0</v>
      </c>
    </row>
    <row r="102" spans="1:14">
      <c r="A102" t="s">
        <v>46</v>
      </c>
      <c r="B102" s="210">
        <v>0</v>
      </c>
      <c r="C102" s="210">
        <v>0</v>
      </c>
      <c r="D102" s="210">
        <v>0</v>
      </c>
      <c r="E102" s="210">
        <v>104</v>
      </c>
      <c r="F102" s="210">
        <v>0</v>
      </c>
      <c r="G102" s="210">
        <v>0</v>
      </c>
      <c r="H102" s="210">
        <v>96</v>
      </c>
      <c r="I102" s="210"/>
      <c r="J102" s="210">
        <v>0</v>
      </c>
      <c r="K102" s="210">
        <v>96</v>
      </c>
      <c r="L102" s="210">
        <v>0</v>
      </c>
    </row>
    <row r="103" spans="1:14">
      <c r="A103" s="208" t="s">
        <v>234</v>
      </c>
      <c r="B103" s="209">
        <f>SUM(B99:B102)</f>
        <v>24</v>
      </c>
      <c r="C103" s="209">
        <f t="shared" ref="C103:L103" si="4">SUM(C99:C102)</f>
        <v>47</v>
      </c>
      <c r="D103" s="209">
        <f t="shared" si="4"/>
        <v>106</v>
      </c>
      <c r="E103" s="209">
        <f t="shared" si="4"/>
        <v>166</v>
      </c>
      <c r="F103" s="209">
        <f t="shared" si="4"/>
        <v>134</v>
      </c>
      <c r="G103" s="209">
        <f t="shared" si="4"/>
        <v>51</v>
      </c>
      <c r="H103" s="209">
        <f t="shared" si="4"/>
        <v>206</v>
      </c>
      <c r="I103" s="209">
        <f t="shared" si="4"/>
        <v>0</v>
      </c>
      <c r="J103" s="209">
        <f t="shared" si="4"/>
        <v>42</v>
      </c>
      <c r="K103" s="209">
        <f t="shared" si="4"/>
        <v>257</v>
      </c>
      <c r="L103" s="209">
        <f t="shared" si="4"/>
        <v>93</v>
      </c>
      <c r="N103">
        <f>SUM(B103:M103)</f>
        <v>1126</v>
      </c>
    </row>
    <row r="104" spans="1:14">
      <c r="A104" s="208" t="s">
        <v>235</v>
      </c>
      <c r="B104" s="209">
        <v>0</v>
      </c>
      <c r="C104" s="209">
        <v>0</v>
      </c>
      <c r="D104" s="209">
        <v>0</v>
      </c>
      <c r="E104" s="209">
        <v>0</v>
      </c>
      <c r="F104" s="209">
        <v>0</v>
      </c>
      <c r="G104" s="209">
        <v>0</v>
      </c>
      <c r="H104" s="209">
        <v>0</v>
      </c>
      <c r="I104" s="209">
        <v>0</v>
      </c>
      <c r="J104" s="209">
        <v>0</v>
      </c>
      <c r="K104" s="209">
        <v>0</v>
      </c>
      <c r="L104" s="209">
        <v>0</v>
      </c>
      <c r="N104">
        <f>SUM(B104:M104)</f>
        <v>0</v>
      </c>
    </row>
    <row r="106" spans="1:14">
      <c r="D106" t="s">
        <v>141</v>
      </c>
    </row>
    <row r="107" spans="1:14">
      <c r="D107" s="83">
        <f>SUM(B104:M104)/SUM(B103:M103)</f>
        <v>0</v>
      </c>
    </row>
    <row r="110" spans="1:14" s="33" customFormat="1">
      <c r="A110" s="33" t="s">
        <v>233</v>
      </c>
    </row>
    <row r="111" spans="1:14">
      <c r="A111" t="s">
        <v>42</v>
      </c>
      <c r="B111">
        <v>1</v>
      </c>
      <c r="D111" s="31"/>
      <c r="E111" s="30"/>
    </row>
    <row r="112" spans="1:14">
      <c r="A112" t="s">
        <v>45</v>
      </c>
      <c r="B112">
        <v>1</v>
      </c>
      <c r="D112" s="31"/>
      <c r="E112" s="30"/>
    </row>
    <row r="113" spans="1:5">
      <c r="A113" t="s">
        <v>44</v>
      </c>
      <c r="B113">
        <v>3</v>
      </c>
      <c r="D113" s="31"/>
      <c r="E113" s="30"/>
    </row>
    <row r="114" spans="1:5">
      <c r="A114" t="s">
        <v>46</v>
      </c>
      <c r="B114">
        <v>3</v>
      </c>
      <c r="D114" s="31"/>
      <c r="E114" s="30"/>
    </row>
    <row r="117" spans="1:5">
      <c r="A117" s="16"/>
      <c r="B117" s="16"/>
      <c r="C117" s="16" t="s">
        <v>226</v>
      </c>
      <c r="D117" s="16" t="s">
        <v>419</v>
      </c>
    </row>
    <row r="118" spans="1:5">
      <c r="A118" s="16" t="s">
        <v>418</v>
      </c>
      <c r="B118" s="16">
        <v>19</v>
      </c>
      <c r="C118" s="16">
        <v>8</v>
      </c>
      <c r="D118" s="16">
        <f>B118-C118</f>
        <v>11</v>
      </c>
    </row>
    <row r="119" spans="1:5">
      <c r="A119" s="16" t="s">
        <v>420</v>
      </c>
      <c r="B119" s="16">
        <v>25</v>
      </c>
      <c r="C119" s="16">
        <v>17</v>
      </c>
      <c r="D119" s="16">
        <f t="shared" ref="D119:D126" si="5">B119-C119</f>
        <v>8</v>
      </c>
    </row>
    <row r="120" spans="1:5">
      <c r="A120" s="16" t="s">
        <v>421</v>
      </c>
      <c r="B120" s="16">
        <v>25</v>
      </c>
      <c r="C120" s="16">
        <v>17</v>
      </c>
      <c r="D120" s="16">
        <f t="shared" si="5"/>
        <v>8</v>
      </c>
    </row>
    <row r="121" spans="1:5">
      <c r="A121" s="16" t="s">
        <v>422</v>
      </c>
      <c r="B121" s="16">
        <v>32</v>
      </c>
      <c r="C121" s="16">
        <v>19</v>
      </c>
      <c r="D121" s="16">
        <f t="shared" si="5"/>
        <v>13</v>
      </c>
    </row>
    <row r="122" spans="1:5">
      <c r="A122" s="16" t="s">
        <v>423</v>
      </c>
      <c r="B122" s="16">
        <v>41</v>
      </c>
      <c r="C122" s="16">
        <v>28</v>
      </c>
      <c r="D122" s="16">
        <f t="shared" si="5"/>
        <v>13</v>
      </c>
    </row>
    <row r="123" spans="1:5">
      <c r="A123" s="16" t="s">
        <v>424</v>
      </c>
      <c r="B123" s="16">
        <v>41</v>
      </c>
      <c r="C123" s="16">
        <v>29</v>
      </c>
      <c r="D123" s="16">
        <f t="shared" si="5"/>
        <v>12</v>
      </c>
    </row>
    <row r="124" spans="1:5">
      <c r="A124" s="16" t="s">
        <v>425</v>
      </c>
      <c r="B124" s="16">
        <v>41</v>
      </c>
      <c r="C124" s="16">
        <v>29</v>
      </c>
      <c r="D124" s="16">
        <f t="shared" si="5"/>
        <v>12</v>
      </c>
    </row>
    <row r="125" spans="1:5">
      <c r="A125" s="16" t="s">
        <v>426</v>
      </c>
      <c r="B125" s="16">
        <v>42</v>
      </c>
      <c r="C125" s="16">
        <v>29</v>
      </c>
      <c r="D125" s="16">
        <f t="shared" si="5"/>
        <v>13</v>
      </c>
    </row>
    <row r="126" spans="1:5">
      <c r="A126" s="16" t="s">
        <v>427</v>
      </c>
      <c r="B126" s="16">
        <v>42</v>
      </c>
      <c r="C126" s="16">
        <v>34</v>
      </c>
      <c r="D126" s="16">
        <f t="shared" si="5"/>
        <v>8</v>
      </c>
    </row>
    <row r="127" spans="1:5">
      <c r="A127" s="16"/>
      <c r="B127" s="16">
        <f>SUM(B118:B126)</f>
        <v>308</v>
      </c>
      <c r="C127" s="16">
        <f t="shared" ref="C127:D127" si="6">SUM(C118:C126)</f>
        <v>210</v>
      </c>
      <c r="D127" s="16">
        <f t="shared" si="6"/>
        <v>98</v>
      </c>
    </row>
    <row r="128" spans="1:5">
      <c r="A128" s="16"/>
      <c r="B128" s="16"/>
      <c r="C128" s="16"/>
      <c r="D128" s="16"/>
    </row>
    <row r="129" spans="1:4">
      <c r="A129" s="16"/>
      <c r="B129" s="16"/>
      <c r="C129" s="16"/>
      <c r="D129" s="16"/>
    </row>
    <row r="130" spans="1:4">
      <c r="A130" s="16"/>
      <c r="B130" s="16"/>
      <c r="C130" s="16"/>
      <c r="D130" s="16"/>
    </row>
  </sheetData>
  <mergeCells count="5">
    <mergeCell ref="N2:P2"/>
    <mergeCell ref="B1:M1"/>
    <mergeCell ref="E2:G2"/>
    <mergeCell ref="H2:J2"/>
    <mergeCell ref="K2:M2"/>
  </mergeCells>
  <phoneticPr fontId="12"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D8AF1-9F78-47E4-AEA5-0FD70EC1DA0A}">
  <sheetPr>
    <tabColor rgb="FF92D050"/>
  </sheetPr>
  <dimension ref="A1:O807"/>
  <sheetViews>
    <sheetView view="pageBreakPreview" zoomScale="85" zoomScaleNormal="55" zoomScaleSheetLayoutView="85" workbookViewId="0">
      <pane xSplit="7" ySplit="2" topLeftCell="H14" activePane="bottomRight" state="frozen"/>
      <selection pane="topRight" activeCell="H1" sqref="H1"/>
      <selection pane="bottomLeft" activeCell="A3" sqref="A3"/>
      <selection pane="bottomRight" activeCell="C18" sqref="C18:C20"/>
    </sheetView>
  </sheetViews>
  <sheetFormatPr defaultColWidth="9" defaultRowHeight="18.75"/>
  <cols>
    <col min="1" max="1" width="7.85546875" style="125" customWidth="1"/>
    <col min="2" max="2" width="32.28515625" style="125" customWidth="1"/>
    <col min="3" max="3" width="36.42578125" style="202" customWidth="1"/>
    <col min="4" max="4" width="29.28515625" style="201" customWidth="1"/>
    <col min="5" max="5" width="13" style="201" customWidth="1"/>
    <col min="6" max="6" width="14.28515625" style="201" customWidth="1"/>
    <col min="7" max="7" width="9.7109375" style="200" bestFit="1" customWidth="1"/>
    <col min="8" max="8" width="73.42578125" style="200" customWidth="1"/>
    <col min="9" max="10" width="13.5703125" style="125" customWidth="1"/>
    <col min="11" max="11" width="12.140625" style="125" customWidth="1"/>
    <col min="12" max="12" width="9.5703125" style="125" customWidth="1"/>
    <col min="13" max="13" width="35.28515625" style="249" customWidth="1"/>
    <col min="14" max="14" width="17.85546875" style="250" customWidth="1"/>
    <col min="15" max="15" width="15.42578125" style="251" customWidth="1"/>
    <col min="16" max="16" width="9.42578125" style="125" customWidth="1"/>
    <col min="17" max="17" width="9" style="125" customWidth="1"/>
    <col min="18" max="16384" width="9" style="125"/>
  </cols>
  <sheetData>
    <row r="1" spans="1:15" s="216" customFormat="1" ht="43.9" customHeight="1">
      <c r="A1" s="408" t="s">
        <v>627</v>
      </c>
      <c r="B1" s="408"/>
      <c r="C1" s="408"/>
      <c r="D1" s="408"/>
      <c r="E1" s="408"/>
      <c r="F1" s="408"/>
      <c r="G1" s="408"/>
      <c r="H1" s="408"/>
      <c r="I1" s="408"/>
      <c r="J1" s="408"/>
      <c r="K1" s="408"/>
      <c r="L1" s="408"/>
      <c r="M1" s="408"/>
      <c r="N1" s="408"/>
      <c r="O1" s="408"/>
    </row>
    <row r="2" spans="1:15" ht="75">
      <c r="A2" s="217" t="s">
        <v>0</v>
      </c>
      <c r="B2" s="126" t="s">
        <v>628</v>
      </c>
      <c r="C2" s="126" t="s">
        <v>242</v>
      </c>
      <c r="D2" s="126" t="s">
        <v>75</v>
      </c>
      <c r="E2" s="126" t="s">
        <v>244</v>
      </c>
      <c r="F2" s="126" t="s">
        <v>77</v>
      </c>
      <c r="G2" s="127" t="s">
        <v>436</v>
      </c>
      <c r="H2" s="127" t="s">
        <v>78</v>
      </c>
      <c r="I2" s="126" t="s">
        <v>1</v>
      </c>
      <c r="J2" s="126" t="s">
        <v>2</v>
      </c>
      <c r="K2" s="126" t="s">
        <v>437</v>
      </c>
      <c r="L2" s="126" t="s">
        <v>438</v>
      </c>
      <c r="M2" s="409" t="s">
        <v>629</v>
      </c>
      <c r="N2" s="409"/>
      <c r="O2" s="409"/>
    </row>
    <row r="3" spans="1:15" s="135" customFormat="1" ht="60.6" customHeight="1">
      <c r="A3" s="219">
        <v>1</v>
      </c>
      <c r="B3" s="136" t="s">
        <v>630</v>
      </c>
      <c r="C3" s="137" t="s">
        <v>442</v>
      </c>
      <c r="D3" s="139" t="s">
        <v>444</v>
      </c>
      <c r="E3" s="139">
        <v>0</v>
      </c>
      <c r="F3" s="139" t="s">
        <v>201</v>
      </c>
      <c r="G3" s="140">
        <v>0.15</v>
      </c>
      <c r="H3" s="141"/>
      <c r="I3" s="142"/>
      <c r="J3" s="142"/>
      <c r="K3" s="136"/>
      <c r="L3" s="136"/>
      <c r="M3" s="220" t="s">
        <v>250</v>
      </c>
      <c r="N3" s="220" t="s">
        <v>206</v>
      </c>
      <c r="O3" s="218" t="s">
        <v>31</v>
      </c>
    </row>
    <row r="4" spans="1:15" ht="118.9" customHeight="1">
      <c r="A4" s="221">
        <v>2</v>
      </c>
      <c r="B4" s="148" t="s">
        <v>631</v>
      </c>
      <c r="C4" s="149" t="s">
        <v>632</v>
      </c>
      <c r="D4" s="149" t="s">
        <v>447</v>
      </c>
      <c r="E4" s="151">
        <v>1</v>
      </c>
      <c r="F4" s="150" t="s">
        <v>91</v>
      </c>
      <c r="G4" s="151">
        <v>0.1</v>
      </c>
      <c r="H4" s="152" t="s">
        <v>633</v>
      </c>
      <c r="I4" s="153">
        <v>46023</v>
      </c>
      <c r="J4" s="154" t="s">
        <v>634</v>
      </c>
      <c r="K4" s="157" t="s">
        <v>635</v>
      </c>
      <c r="L4" s="222" t="s">
        <v>377</v>
      </c>
      <c r="M4" s="152" t="s">
        <v>636</v>
      </c>
      <c r="N4" s="152" t="s">
        <v>226</v>
      </c>
      <c r="O4" s="152"/>
    </row>
    <row r="5" spans="1:15" ht="93" customHeight="1">
      <c r="A5" s="223">
        <v>3</v>
      </c>
      <c r="B5" s="148" t="s">
        <v>637</v>
      </c>
      <c r="C5" s="149" t="s">
        <v>638</v>
      </c>
      <c r="D5" s="149" t="s">
        <v>451</v>
      </c>
      <c r="E5" s="151">
        <v>1</v>
      </c>
      <c r="F5" s="150" t="s">
        <v>91</v>
      </c>
      <c r="G5" s="151">
        <v>0.03</v>
      </c>
      <c r="H5" s="152" t="s">
        <v>639</v>
      </c>
      <c r="I5" s="153">
        <v>46023</v>
      </c>
      <c r="J5" s="154" t="s">
        <v>634</v>
      </c>
      <c r="K5" s="157" t="s">
        <v>635</v>
      </c>
      <c r="L5" s="222" t="s">
        <v>377</v>
      </c>
      <c r="M5" s="152" t="s">
        <v>640</v>
      </c>
      <c r="N5" s="152" t="s">
        <v>226</v>
      </c>
      <c r="O5" s="152"/>
    </row>
    <row r="6" spans="1:15" ht="80.45" customHeight="1">
      <c r="A6" s="221">
        <v>4</v>
      </c>
      <c r="B6" s="148" t="s">
        <v>641</v>
      </c>
      <c r="C6" s="149" t="s">
        <v>642</v>
      </c>
      <c r="D6" s="149" t="s">
        <v>451</v>
      </c>
      <c r="E6" s="151">
        <v>1</v>
      </c>
      <c r="F6" s="150" t="s">
        <v>91</v>
      </c>
      <c r="G6" s="151">
        <v>0.02</v>
      </c>
      <c r="H6" s="152" t="s">
        <v>643</v>
      </c>
      <c r="I6" s="153">
        <v>46023</v>
      </c>
      <c r="J6" s="154" t="s">
        <v>634</v>
      </c>
      <c r="K6" s="222" t="s">
        <v>635</v>
      </c>
      <c r="L6" s="222" t="s">
        <v>377</v>
      </c>
      <c r="M6" s="152" t="s">
        <v>640</v>
      </c>
      <c r="N6" s="152" t="s">
        <v>226</v>
      </c>
      <c r="O6" s="7"/>
    </row>
    <row r="7" spans="1:15" s="135" customFormat="1" ht="75">
      <c r="A7" s="219">
        <v>5</v>
      </c>
      <c r="B7" s="136" t="s">
        <v>644</v>
      </c>
      <c r="C7" s="161" t="s">
        <v>84</v>
      </c>
      <c r="D7" s="139" t="s">
        <v>459</v>
      </c>
      <c r="E7" s="139" t="s">
        <v>460</v>
      </c>
      <c r="F7" s="139" t="s">
        <v>87</v>
      </c>
      <c r="G7" s="140">
        <v>0.2</v>
      </c>
      <c r="H7" s="140"/>
      <c r="I7" s="142"/>
      <c r="J7" s="142"/>
      <c r="K7" s="136"/>
      <c r="L7" s="136"/>
      <c r="M7" s="28"/>
      <c r="N7" s="224"/>
      <c r="O7" s="7"/>
    </row>
    <row r="8" spans="1:15" s="168" customFormat="1" ht="81" customHeight="1">
      <c r="A8" s="223">
        <v>6</v>
      </c>
      <c r="B8" s="225" t="s">
        <v>645</v>
      </c>
      <c r="C8" s="149" t="s">
        <v>462</v>
      </c>
      <c r="D8" s="149" t="s">
        <v>646</v>
      </c>
      <c r="E8" s="151">
        <v>1</v>
      </c>
      <c r="F8" s="150" t="s">
        <v>201</v>
      </c>
      <c r="G8" s="162">
        <v>0.03</v>
      </c>
      <c r="H8" s="152" t="s">
        <v>647</v>
      </c>
      <c r="I8" s="153">
        <v>46023</v>
      </c>
      <c r="J8" s="154">
        <v>46387</v>
      </c>
      <c r="K8" s="222" t="s">
        <v>464</v>
      </c>
      <c r="L8" s="222" t="s">
        <v>269</v>
      </c>
      <c r="M8" s="152" t="s">
        <v>648</v>
      </c>
      <c r="N8" s="152" t="s">
        <v>226</v>
      </c>
      <c r="O8" s="7"/>
    </row>
    <row r="9" spans="1:15" ht="153" customHeight="1">
      <c r="A9" s="223">
        <v>7</v>
      </c>
      <c r="B9" s="225" t="s">
        <v>649</v>
      </c>
      <c r="C9" s="226" t="s">
        <v>650</v>
      </c>
      <c r="D9" s="227" t="s">
        <v>651</v>
      </c>
      <c r="E9" s="228" t="s">
        <v>652</v>
      </c>
      <c r="F9" s="229" t="s">
        <v>91</v>
      </c>
      <c r="G9" s="169">
        <v>0.1</v>
      </c>
      <c r="H9" s="230" t="s">
        <v>653</v>
      </c>
      <c r="I9" s="153">
        <v>46023</v>
      </c>
      <c r="J9" s="154" t="s">
        <v>634</v>
      </c>
      <c r="K9" s="222" t="s">
        <v>635</v>
      </c>
      <c r="L9" s="222" t="s">
        <v>377</v>
      </c>
      <c r="M9" s="152" t="s">
        <v>654</v>
      </c>
      <c r="N9" s="152" t="s">
        <v>226</v>
      </c>
      <c r="O9" s="7"/>
    </row>
    <row r="10" spans="1:15" ht="177" customHeight="1">
      <c r="A10" s="221">
        <v>8</v>
      </c>
      <c r="B10" s="225" t="s">
        <v>655</v>
      </c>
      <c r="C10" s="226" t="s">
        <v>656</v>
      </c>
      <c r="D10" s="231" t="s">
        <v>657</v>
      </c>
      <c r="E10" s="232" t="s">
        <v>658</v>
      </c>
      <c r="F10" s="233" t="s">
        <v>659</v>
      </c>
      <c r="G10" s="234">
        <v>0.05</v>
      </c>
      <c r="H10" s="235" t="s">
        <v>660</v>
      </c>
      <c r="I10" s="233" t="s">
        <v>659</v>
      </c>
      <c r="J10" s="233" t="s">
        <v>659</v>
      </c>
      <c r="K10" s="236" t="s">
        <v>102</v>
      </c>
      <c r="L10" s="222" t="s">
        <v>377</v>
      </c>
      <c r="M10" s="152" t="s">
        <v>640</v>
      </c>
      <c r="N10" s="152" t="s">
        <v>226</v>
      </c>
      <c r="O10" s="7"/>
    </row>
    <row r="11" spans="1:15" s="168" customFormat="1" ht="162" customHeight="1">
      <c r="A11" s="223">
        <v>9</v>
      </c>
      <c r="B11" s="225" t="s">
        <v>661</v>
      </c>
      <c r="C11" s="149" t="s">
        <v>478</v>
      </c>
      <c r="D11" s="150" t="s">
        <v>479</v>
      </c>
      <c r="E11" s="151">
        <v>1</v>
      </c>
      <c r="F11" s="233" t="s">
        <v>659</v>
      </c>
      <c r="G11" s="169">
        <v>0.01</v>
      </c>
      <c r="H11" s="235" t="s">
        <v>662</v>
      </c>
      <c r="I11" s="233" t="s">
        <v>659</v>
      </c>
      <c r="J11" s="233" t="s">
        <v>659</v>
      </c>
      <c r="K11" s="236" t="s">
        <v>102</v>
      </c>
      <c r="L11" s="222" t="s">
        <v>377</v>
      </c>
      <c r="M11" s="152" t="s">
        <v>640</v>
      </c>
      <c r="N11" s="152" t="s">
        <v>226</v>
      </c>
      <c r="O11" s="237"/>
    </row>
    <row r="12" spans="1:15" s="168" customFormat="1" ht="63" customHeight="1">
      <c r="A12" s="223">
        <v>10</v>
      </c>
      <c r="B12" s="225" t="s">
        <v>663</v>
      </c>
      <c r="C12" s="149" t="s">
        <v>112</v>
      </c>
      <c r="D12" s="149" t="s">
        <v>664</v>
      </c>
      <c r="E12" s="151" t="s">
        <v>114</v>
      </c>
      <c r="F12" s="150" t="s">
        <v>91</v>
      </c>
      <c r="G12" s="169">
        <v>0.01</v>
      </c>
      <c r="H12" s="230" t="s">
        <v>665</v>
      </c>
      <c r="I12" s="153">
        <v>46023</v>
      </c>
      <c r="J12" s="154" t="s">
        <v>634</v>
      </c>
      <c r="K12" s="227" t="s">
        <v>635</v>
      </c>
      <c r="L12" s="222" t="s">
        <v>377</v>
      </c>
      <c r="M12" s="152" t="s">
        <v>666</v>
      </c>
      <c r="N12" s="152" t="s">
        <v>226</v>
      </c>
      <c r="O12" s="237"/>
    </row>
    <row r="13" spans="1:15" s="135" customFormat="1" ht="61.9" customHeight="1">
      <c r="A13" s="219">
        <v>11</v>
      </c>
      <c r="B13" s="136" t="s">
        <v>667</v>
      </c>
      <c r="C13" s="179" t="s">
        <v>16</v>
      </c>
      <c r="D13" s="139" t="s">
        <v>117</v>
      </c>
      <c r="E13" s="139">
        <v>0</v>
      </c>
      <c r="F13" s="139"/>
      <c r="G13" s="140">
        <v>0.15</v>
      </c>
      <c r="H13" s="140"/>
      <c r="I13" s="180"/>
      <c r="J13" s="180"/>
      <c r="K13" s="136"/>
      <c r="L13" s="136"/>
      <c r="M13" s="152"/>
      <c r="N13" s="152"/>
      <c r="O13" s="29"/>
    </row>
    <row r="14" spans="1:15" s="168" customFormat="1" ht="75">
      <c r="A14" s="223">
        <v>12</v>
      </c>
      <c r="B14" s="148" t="s">
        <v>668</v>
      </c>
      <c r="C14" s="149" t="s">
        <v>118</v>
      </c>
      <c r="D14" s="238" t="s">
        <v>669</v>
      </c>
      <c r="E14" s="169" t="s">
        <v>670</v>
      </c>
      <c r="F14" s="229" t="s">
        <v>91</v>
      </c>
      <c r="G14" s="239">
        <v>0.05</v>
      </c>
      <c r="H14" s="230" t="s">
        <v>671</v>
      </c>
      <c r="I14" s="153">
        <v>46023</v>
      </c>
      <c r="J14" s="154" t="s">
        <v>634</v>
      </c>
      <c r="K14" s="167" t="s">
        <v>518</v>
      </c>
      <c r="L14" s="222" t="s">
        <v>377</v>
      </c>
      <c r="M14" s="152" t="s">
        <v>672</v>
      </c>
      <c r="N14" s="152" t="s">
        <v>226</v>
      </c>
      <c r="O14" s="7"/>
    </row>
    <row r="15" spans="1:15" s="168" customFormat="1" ht="57.6" customHeight="1">
      <c r="A15" s="221">
        <v>13</v>
      </c>
      <c r="B15" s="148" t="s">
        <v>673</v>
      </c>
      <c r="C15" s="149" t="s">
        <v>122</v>
      </c>
      <c r="D15" s="235" t="s">
        <v>674</v>
      </c>
      <c r="E15" s="234" t="s">
        <v>675</v>
      </c>
      <c r="F15" s="233" t="s">
        <v>91</v>
      </c>
      <c r="G15" s="234">
        <v>0.08</v>
      </c>
      <c r="H15" s="235" t="s">
        <v>676</v>
      </c>
      <c r="I15" s="153">
        <v>46023</v>
      </c>
      <c r="J15" s="154" t="s">
        <v>634</v>
      </c>
      <c r="K15" s="167" t="s">
        <v>518</v>
      </c>
      <c r="L15" s="222" t="s">
        <v>377</v>
      </c>
      <c r="M15" s="152" t="s">
        <v>677</v>
      </c>
      <c r="N15" s="152" t="s">
        <v>225</v>
      </c>
      <c r="O15" s="7"/>
    </row>
    <row r="16" spans="1:15" s="168" customFormat="1" ht="52.15" customHeight="1">
      <c r="A16" s="223">
        <v>14</v>
      </c>
      <c r="B16" s="148" t="s">
        <v>678</v>
      </c>
      <c r="C16" s="149" t="s">
        <v>125</v>
      </c>
      <c r="D16" s="230" t="s">
        <v>679</v>
      </c>
      <c r="E16" s="169">
        <v>1</v>
      </c>
      <c r="F16" s="229" t="s">
        <v>91</v>
      </c>
      <c r="G16" s="234">
        <v>0.02</v>
      </c>
      <c r="H16" s="230" t="s">
        <v>680</v>
      </c>
      <c r="I16" s="153">
        <v>46023</v>
      </c>
      <c r="J16" s="154" t="s">
        <v>634</v>
      </c>
      <c r="K16" s="167" t="s">
        <v>518</v>
      </c>
      <c r="L16" s="222" t="s">
        <v>377</v>
      </c>
      <c r="M16" s="152" t="s">
        <v>681</v>
      </c>
      <c r="N16" s="152" t="s">
        <v>226</v>
      </c>
      <c r="O16" s="7"/>
    </row>
    <row r="17" spans="1:15" s="135" customFormat="1" ht="56.45" customHeight="1">
      <c r="A17" s="219">
        <v>15</v>
      </c>
      <c r="B17" s="136" t="s">
        <v>682</v>
      </c>
      <c r="C17" s="179" t="s">
        <v>135</v>
      </c>
      <c r="D17" s="139"/>
      <c r="E17" s="139"/>
      <c r="F17" s="139"/>
      <c r="G17" s="140">
        <v>0.2</v>
      </c>
      <c r="H17" s="140"/>
      <c r="I17" s="142"/>
      <c r="J17" s="142"/>
      <c r="K17" s="136"/>
      <c r="L17" s="136"/>
      <c r="M17" s="152"/>
      <c r="N17" s="152"/>
      <c r="O17" s="7"/>
    </row>
    <row r="18" spans="1:15" s="135" customFormat="1" ht="75">
      <c r="A18" s="221">
        <v>16</v>
      </c>
      <c r="B18" s="148" t="s">
        <v>683</v>
      </c>
      <c r="C18" s="149" t="s">
        <v>499</v>
      </c>
      <c r="D18" s="149" t="s">
        <v>138</v>
      </c>
      <c r="E18" s="151">
        <v>1</v>
      </c>
      <c r="F18" s="150" t="s">
        <v>91</v>
      </c>
      <c r="G18" s="234">
        <v>0.05</v>
      </c>
      <c r="H18" s="152" t="s">
        <v>684</v>
      </c>
      <c r="I18" s="153">
        <v>46023</v>
      </c>
      <c r="J18" s="154" t="s">
        <v>634</v>
      </c>
      <c r="K18" s="167" t="s">
        <v>635</v>
      </c>
      <c r="L18" s="222" t="s">
        <v>377</v>
      </c>
      <c r="M18" s="152" t="s">
        <v>685</v>
      </c>
      <c r="N18" s="152" t="s">
        <v>226</v>
      </c>
      <c r="O18" s="7"/>
    </row>
    <row r="19" spans="1:15" s="135" customFormat="1" ht="97.9" customHeight="1">
      <c r="A19" s="223">
        <v>17</v>
      </c>
      <c r="B19" s="148" t="s">
        <v>686</v>
      </c>
      <c r="C19" s="149" t="s">
        <v>509</v>
      </c>
      <c r="D19" s="149" t="s">
        <v>138</v>
      </c>
      <c r="E19" s="151">
        <v>1</v>
      </c>
      <c r="F19" s="150" t="s">
        <v>91</v>
      </c>
      <c r="G19" s="234">
        <v>0.05</v>
      </c>
      <c r="H19" s="152" t="s">
        <v>687</v>
      </c>
      <c r="I19" s="153">
        <v>46023</v>
      </c>
      <c r="J19" s="154" t="s">
        <v>634</v>
      </c>
      <c r="K19" s="167" t="s">
        <v>635</v>
      </c>
      <c r="L19" s="222" t="s">
        <v>377</v>
      </c>
      <c r="M19" s="152" t="s">
        <v>688</v>
      </c>
      <c r="N19" s="152" t="s">
        <v>226</v>
      </c>
      <c r="O19" s="7"/>
    </row>
    <row r="20" spans="1:15" s="135" customFormat="1" ht="115.9" customHeight="1">
      <c r="A20" s="221">
        <v>18</v>
      </c>
      <c r="B20" s="148" t="s">
        <v>689</v>
      </c>
      <c r="C20" s="149" t="s">
        <v>690</v>
      </c>
      <c r="D20" s="149" t="s">
        <v>141</v>
      </c>
      <c r="E20" s="151">
        <v>1</v>
      </c>
      <c r="F20" s="233" t="s">
        <v>659</v>
      </c>
      <c r="G20" s="169">
        <v>0.1</v>
      </c>
      <c r="H20" s="230" t="s">
        <v>691</v>
      </c>
      <c r="I20" s="233" t="s">
        <v>659</v>
      </c>
      <c r="J20" s="233" t="s">
        <v>659</v>
      </c>
      <c r="K20" s="167" t="s">
        <v>635</v>
      </c>
      <c r="L20" s="222" t="s">
        <v>377</v>
      </c>
      <c r="M20" s="152" t="s">
        <v>692</v>
      </c>
      <c r="N20" s="152" t="s">
        <v>226</v>
      </c>
      <c r="O20" s="7"/>
    </row>
    <row r="21" spans="1:15" s="191" customFormat="1" ht="46.9" customHeight="1">
      <c r="A21" s="240">
        <v>19</v>
      </c>
      <c r="B21" s="136" t="s">
        <v>693</v>
      </c>
      <c r="C21" s="179" t="s">
        <v>522</v>
      </c>
      <c r="D21" s="139"/>
      <c r="E21" s="139"/>
      <c r="F21" s="139"/>
      <c r="G21" s="140">
        <v>0.25</v>
      </c>
      <c r="H21" s="188"/>
      <c r="I21" s="188"/>
      <c r="J21" s="188"/>
      <c r="K21" s="188"/>
      <c r="L21" s="188"/>
      <c r="M21" s="152"/>
      <c r="N21" s="152"/>
      <c r="O21" s="7"/>
    </row>
    <row r="22" spans="1:15" s="135" customFormat="1" ht="43.9" customHeight="1">
      <c r="A22" s="221">
        <v>20</v>
      </c>
      <c r="B22" s="148" t="s">
        <v>694</v>
      </c>
      <c r="C22" s="149" t="s">
        <v>149</v>
      </c>
      <c r="D22" s="230" t="s">
        <v>695</v>
      </c>
      <c r="E22" s="234">
        <v>1</v>
      </c>
      <c r="F22" s="233" t="s">
        <v>91</v>
      </c>
      <c r="G22" s="234">
        <v>0.01</v>
      </c>
      <c r="H22" s="230" t="s">
        <v>696</v>
      </c>
      <c r="I22" s="153">
        <v>46023</v>
      </c>
      <c r="J22" s="154" t="s">
        <v>634</v>
      </c>
      <c r="K22" s="155" t="s">
        <v>464</v>
      </c>
      <c r="L22" s="167" t="s">
        <v>269</v>
      </c>
      <c r="M22" s="152" t="s">
        <v>697</v>
      </c>
      <c r="N22" s="152" t="s">
        <v>226</v>
      </c>
      <c r="O22" s="7"/>
    </row>
    <row r="23" spans="1:15" s="135" customFormat="1" ht="51" customHeight="1">
      <c r="A23" s="221">
        <v>21</v>
      </c>
      <c r="B23" s="148" t="s">
        <v>698</v>
      </c>
      <c r="C23" s="149" t="s">
        <v>154</v>
      </c>
      <c r="D23" s="230" t="s">
        <v>695</v>
      </c>
      <c r="E23" s="234">
        <v>1</v>
      </c>
      <c r="F23" s="233" t="s">
        <v>91</v>
      </c>
      <c r="G23" s="234">
        <v>0.01</v>
      </c>
      <c r="H23" s="230" t="s">
        <v>699</v>
      </c>
      <c r="I23" s="153">
        <v>46023</v>
      </c>
      <c r="J23" s="154" t="s">
        <v>634</v>
      </c>
      <c r="K23" s="155" t="s">
        <v>464</v>
      </c>
      <c r="L23" s="167" t="s">
        <v>269</v>
      </c>
      <c r="M23" s="152" t="s">
        <v>697</v>
      </c>
      <c r="N23" s="152" t="s">
        <v>226</v>
      </c>
      <c r="O23" s="7"/>
    </row>
    <row r="24" spans="1:15" s="135" customFormat="1" ht="86.45" customHeight="1">
      <c r="A24" s="221">
        <v>22</v>
      </c>
      <c r="B24" s="148" t="s">
        <v>700</v>
      </c>
      <c r="C24" s="149" t="s">
        <v>529</v>
      </c>
      <c r="D24" s="231" t="s">
        <v>701</v>
      </c>
      <c r="E24" s="234">
        <v>1</v>
      </c>
      <c r="F24" s="233" t="s">
        <v>702</v>
      </c>
      <c r="G24" s="234">
        <v>0.08</v>
      </c>
      <c r="H24" s="235" t="s">
        <v>703</v>
      </c>
      <c r="I24" s="153">
        <v>46023</v>
      </c>
      <c r="J24" s="154" t="s">
        <v>634</v>
      </c>
      <c r="K24" s="155" t="s">
        <v>635</v>
      </c>
      <c r="L24" s="167" t="s">
        <v>377</v>
      </c>
      <c r="M24" s="152" t="s">
        <v>704</v>
      </c>
      <c r="N24" s="152" t="s">
        <v>226</v>
      </c>
      <c r="O24" s="7"/>
    </row>
    <row r="25" spans="1:15" s="135" customFormat="1" ht="75">
      <c r="A25" s="221">
        <v>23</v>
      </c>
      <c r="B25" s="148" t="s">
        <v>705</v>
      </c>
      <c r="C25" s="149" t="s">
        <v>706</v>
      </c>
      <c r="D25" s="231" t="s">
        <v>707</v>
      </c>
      <c r="E25" s="151">
        <v>1</v>
      </c>
      <c r="F25" s="233" t="s">
        <v>91</v>
      </c>
      <c r="G25" s="234">
        <v>0.03</v>
      </c>
      <c r="H25" s="235" t="s">
        <v>708</v>
      </c>
      <c r="I25" s="153">
        <v>46023</v>
      </c>
      <c r="J25" s="154" t="s">
        <v>634</v>
      </c>
      <c r="K25" s="155" t="s">
        <v>635</v>
      </c>
      <c r="L25" s="167" t="s">
        <v>377</v>
      </c>
      <c r="M25" s="152" t="s">
        <v>709</v>
      </c>
      <c r="N25" s="152" t="s">
        <v>226</v>
      </c>
      <c r="O25" s="7"/>
    </row>
    <row r="26" spans="1:15" s="135" customFormat="1" ht="75">
      <c r="A26" s="221">
        <v>24</v>
      </c>
      <c r="B26" s="225" t="s">
        <v>710</v>
      </c>
      <c r="C26" s="226" t="s">
        <v>537</v>
      </c>
      <c r="D26" s="231" t="s">
        <v>711</v>
      </c>
      <c r="E26" s="234">
        <v>1</v>
      </c>
      <c r="F26" s="233" t="s">
        <v>702</v>
      </c>
      <c r="G26" s="234">
        <v>0.01</v>
      </c>
      <c r="H26" s="230" t="s">
        <v>712</v>
      </c>
      <c r="I26" s="166">
        <v>46023</v>
      </c>
      <c r="J26" s="241" t="s">
        <v>634</v>
      </c>
      <c r="K26" s="167" t="s">
        <v>635</v>
      </c>
      <c r="L26" s="167" t="s">
        <v>377</v>
      </c>
      <c r="M26" s="152" t="s">
        <v>713</v>
      </c>
      <c r="N26" s="152" t="s">
        <v>226</v>
      </c>
      <c r="O26" s="7"/>
    </row>
    <row r="27" spans="1:15" s="135" customFormat="1" ht="63" customHeight="1">
      <c r="A27" s="221">
        <v>25</v>
      </c>
      <c r="B27" s="225" t="s">
        <v>714</v>
      </c>
      <c r="C27" s="226" t="s">
        <v>540</v>
      </c>
      <c r="D27" s="231" t="s">
        <v>715</v>
      </c>
      <c r="E27" s="234">
        <v>1</v>
      </c>
      <c r="F27" s="233" t="s">
        <v>702</v>
      </c>
      <c r="G27" s="234">
        <v>0.01</v>
      </c>
      <c r="H27" s="235" t="s">
        <v>716</v>
      </c>
      <c r="I27" s="166">
        <v>46023</v>
      </c>
      <c r="J27" s="241" t="s">
        <v>634</v>
      </c>
      <c r="K27" s="167" t="s">
        <v>635</v>
      </c>
      <c r="L27" s="167" t="s">
        <v>377</v>
      </c>
      <c r="M27" s="152" t="s">
        <v>704</v>
      </c>
      <c r="N27" s="152" t="s">
        <v>226</v>
      </c>
      <c r="O27" s="7"/>
    </row>
    <row r="28" spans="1:15" s="135" customFormat="1" ht="103.15" customHeight="1">
      <c r="A28" s="221">
        <v>26</v>
      </c>
      <c r="B28" s="148" t="s">
        <v>717</v>
      </c>
      <c r="C28" s="242" t="s">
        <v>718</v>
      </c>
      <c r="D28" s="149" t="s">
        <v>719</v>
      </c>
      <c r="E28" s="151">
        <v>1</v>
      </c>
      <c r="F28" s="233" t="s">
        <v>91</v>
      </c>
      <c r="G28" s="234">
        <v>0.02</v>
      </c>
      <c r="H28" s="235" t="s">
        <v>720</v>
      </c>
      <c r="I28" s="166">
        <v>46023</v>
      </c>
      <c r="J28" s="241" t="s">
        <v>634</v>
      </c>
      <c r="K28" s="167" t="s">
        <v>635</v>
      </c>
      <c r="L28" s="167" t="s">
        <v>377</v>
      </c>
      <c r="M28" s="152" t="s">
        <v>692</v>
      </c>
      <c r="N28" s="152" t="s">
        <v>226</v>
      </c>
      <c r="O28" s="7"/>
    </row>
    <row r="29" spans="1:15" s="135" customFormat="1" ht="52.15" customHeight="1">
      <c r="A29" s="221">
        <v>27</v>
      </c>
      <c r="B29" s="148" t="s">
        <v>721</v>
      </c>
      <c r="C29" s="149" t="s">
        <v>555</v>
      </c>
      <c r="D29" s="226" t="s">
        <v>722</v>
      </c>
      <c r="E29" s="164">
        <v>1</v>
      </c>
      <c r="F29" s="233" t="s">
        <v>91</v>
      </c>
      <c r="G29" s="234">
        <v>0.01</v>
      </c>
      <c r="H29" s="235" t="s">
        <v>723</v>
      </c>
      <c r="I29" s="153">
        <v>46023</v>
      </c>
      <c r="J29" s="154" t="s">
        <v>634</v>
      </c>
      <c r="K29" s="155" t="s">
        <v>635</v>
      </c>
      <c r="L29" s="167" t="s">
        <v>377</v>
      </c>
      <c r="M29" s="152" t="s">
        <v>688</v>
      </c>
      <c r="N29" s="152" t="s">
        <v>226</v>
      </c>
      <c r="O29" s="7"/>
    </row>
    <row r="30" spans="1:15" s="135" customFormat="1" ht="120" customHeight="1">
      <c r="A30" s="221">
        <v>28</v>
      </c>
      <c r="B30" s="148" t="s">
        <v>724</v>
      </c>
      <c r="C30" s="231" t="s">
        <v>725</v>
      </c>
      <c r="D30" s="242" t="s">
        <v>726</v>
      </c>
      <c r="E30" s="243">
        <v>1</v>
      </c>
      <c r="F30" s="233" t="s">
        <v>39</v>
      </c>
      <c r="G30" s="234">
        <v>0.02</v>
      </c>
      <c r="H30" s="235" t="s">
        <v>727</v>
      </c>
      <c r="I30" s="153">
        <v>46023</v>
      </c>
      <c r="J30" s="154" t="s">
        <v>728</v>
      </c>
      <c r="K30" s="155" t="s">
        <v>635</v>
      </c>
      <c r="L30" s="167" t="s">
        <v>377</v>
      </c>
      <c r="M30" s="152" t="s">
        <v>692</v>
      </c>
      <c r="N30" s="152" t="s">
        <v>226</v>
      </c>
      <c r="O30" s="7"/>
    </row>
    <row r="31" spans="1:15" s="135" customFormat="1" ht="63.6" customHeight="1">
      <c r="A31" s="221">
        <v>29</v>
      </c>
      <c r="B31" s="148" t="s">
        <v>729</v>
      </c>
      <c r="C31" s="149" t="s">
        <v>562</v>
      </c>
      <c r="D31" s="244" t="s">
        <v>730</v>
      </c>
      <c r="E31" s="233">
        <v>2</v>
      </c>
      <c r="F31" s="233" t="s">
        <v>87</v>
      </c>
      <c r="G31" s="234">
        <v>0.01</v>
      </c>
      <c r="H31" s="235" t="s">
        <v>731</v>
      </c>
      <c r="I31" s="153">
        <v>46023</v>
      </c>
      <c r="J31" s="154" t="s">
        <v>634</v>
      </c>
      <c r="K31" s="155" t="s">
        <v>635</v>
      </c>
      <c r="L31" s="167" t="s">
        <v>377</v>
      </c>
      <c r="M31" s="152" t="s">
        <v>732</v>
      </c>
      <c r="N31" s="152" t="s">
        <v>226</v>
      </c>
      <c r="O31" s="7"/>
    </row>
    <row r="32" spans="1:15" s="135" customFormat="1" ht="56.25">
      <c r="A32" s="221">
        <v>30</v>
      </c>
      <c r="B32" s="148" t="s">
        <v>733</v>
      </c>
      <c r="C32" s="149" t="s">
        <v>566</v>
      </c>
      <c r="D32" s="244" t="s">
        <v>734</v>
      </c>
      <c r="E32" s="233" t="s">
        <v>735</v>
      </c>
      <c r="F32" s="233" t="s">
        <v>702</v>
      </c>
      <c r="G32" s="234">
        <v>0.02</v>
      </c>
      <c r="H32" s="235" t="s">
        <v>736</v>
      </c>
      <c r="I32" s="153">
        <v>46023</v>
      </c>
      <c r="J32" s="154" t="s">
        <v>634</v>
      </c>
      <c r="K32" s="155" t="s">
        <v>635</v>
      </c>
      <c r="L32" s="167" t="s">
        <v>377</v>
      </c>
      <c r="M32" s="152" t="s">
        <v>737</v>
      </c>
      <c r="N32" s="152" t="s">
        <v>226</v>
      </c>
      <c r="O32" s="7"/>
    </row>
    <row r="33" spans="1:15" s="135" customFormat="1" ht="53.45" customHeight="1">
      <c r="A33" s="221">
        <v>31</v>
      </c>
      <c r="B33" s="148" t="s">
        <v>738</v>
      </c>
      <c r="C33" s="149" t="s">
        <v>569</v>
      </c>
      <c r="D33" s="245" t="s">
        <v>722</v>
      </c>
      <c r="E33" s="239">
        <v>1</v>
      </c>
      <c r="F33" s="233" t="s">
        <v>702</v>
      </c>
      <c r="G33" s="234">
        <v>0.01</v>
      </c>
      <c r="H33" s="235" t="s">
        <v>739</v>
      </c>
      <c r="I33" s="153">
        <v>46023</v>
      </c>
      <c r="J33" s="154" t="s">
        <v>634</v>
      </c>
      <c r="K33" s="155" t="s">
        <v>635</v>
      </c>
      <c r="L33" s="167" t="s">
        <v>377</v>
      </c>
      <c r="M33" s="152" t="s">
        <v>688</v>
      </c>
      <c r="N33" s="152" t="s">
        <v>226</v>
      </c>
      <c r="O33" s="7"/>
    </row>
    <row r="34" spans="1:15" s="135" customFormat="1" ht="84" customHeight="1">
      <c r="A34" s="221">
        <v>32</v>
      </c>
      <c r="B34" s="148" t="s">
        <v>740</v>
      </c>
      <c r="C34" s="149" t="s">
        <v>574</v>
      </c>
      <c r="D34" s="149" t="s">
        <v>570</v>
      </c>
      <c r="E34" s="151">
        <v>1</v>
      </c>
      <c r="F34" s="150" t="s">
        <v>87</v>
      </c>
      <c r="G34" s="151">
        <v>0.01</v>
      </c>
      <c r="H34" s="152" t="s">
        <v>575</v>
      </c>
      <c r="I34" s="153">
        <v>46023</v>
      </c>
      <c r="J34" s="154">
        <v>46387</v>
      </c>
      <c r="K34" s="155" t="s">
        <v>635</v>
      </c>
      <c r="L34" s="167" t="s">
        <v>377</v>
      </c>
      <c r="M34" s="152" t="s">
        <v>688</v>
      </c>
      <c r="N34" s="152" t="s">
        <v>226</v>
      </c>
      <c r="O34" s="7"/>
    </row>
    <row r="35" spans="1:15" s="135" customFormat="1" ht="40.9" customHeight="1">
      <c r="A35" s="219">
        <v>33</v>
      </c>
      <c r="B35" s="136" t="s">
        <v>741</v>
      </c>
      <c r="C35" s="137" t="s">
        <v>30</v>
      </c>
      <c r="D35" s="194"/>
      <c r="E35" s="194"/>
      <c r="F35" s="194"/>
      <c r="G35" s="195">
        <v>0.05</v>
      </c>
      <c r="H35" s="196"/>
      <c r="I35" s="180"/>
      <c r="J35" s="180"/>
      <c r="K35" s="136"/>
      <c r="L35" s="136"/>
      <c r="M35" s="152"/>
      <c r="N35" s="152"/>
      <c r="O35" s="7"/>
    </row>
    <row r="36" spans="1:15" s="135" customFormat="1" ht="57.6" customHeight="1">
      <c r="A36" s="221">
        <v>34</v>
      </c>
      <c r="B36" s="148" t="s">
        <v>742</v>
      </c>
      <c r="C36" s="227" t="s">
        <v>743</v>
      </c>
      <c r="D36" s="230" t="s">
        <v>744</v>
      </c>
      <c r="E36" s="246" t="s">
        <v>745</v>
      </c>
      <c r="F36" s="229" t="s">
        <v>91</v>
      </c>
      <c r="G36" s="234">
        <v>0.02</v>
      </c>
      <c r="H36" s="230" t="s">
        <v>746</v>
      </c>
      <c r="I36" s="153">
        <v>46023</v>
      </c>
      <c r="J36" s="154" t="s">
        <v>634</v>
      </c>
      <c r="K36" s="155" t="s">
        <v>747</v>
      </c>
      <c r="L36" s="167" t="s">
        <v>269</v>
      </c>
      <c r="M36" s="152" t="s">
        <v>748</v>
      </c>
      <c r="N36" s="152" t="s">
        <v>226</v>
      </c>
      <c r="O36" s="152" t="s">
        <v>749</v>
      </c>
    </row>
    <row r="37" spans="1:15" s="168" customFormat="1" ht="43.9" customHeight="1">
      <c r="A37" s="221">
        <v>35</v>
      </c>
      <c r="B37" s="148" t="s">
        <v>750</v>
      </c>
      <c r="C37" s="227" t="s">
        <v>751</v>
      </c>
      <c r="D37" s="178" t="s">
        <v>744</v>
      </c>
      <c r="E37" s="246" t="s">
        <v>745</v>
      </c>
      <c r="F37" s="229" t="s">
        <v>91</v>
      </c>
      <c r="G37" s="234">
        <v>0.01</v>
      </c>
      <c r="H37" s="230" t="s">
        <v>746</v>
      </c>
      <c r="I37" s="153">
        <v>46023</v>
      </c>
      <c r="J37" s="154" t="s">
        <v>634</v>
      </c>
      <c r="K37" s="155" t="s">
        <v>747</v>
      </c>
      <c r="L37" s="167" t="s">
        <v>269</v>
      </c>
      <c r="M37" s="152" t="s">
        <v>752</v>
      </c>
      <c r="N37" s="152" t="s">
        <v>226</v>
      </c>
      <c r="O37" s="152" t="s">
        <v>749</v>
      </c>
    </row>
    <row r="38" spans="1:15" s="168" customFormat="1" ht="145.15" customHeight="1">
      <c r="A38" s="221">
        <v>36</v>
      </c>
      <c r="B38" s="148" t="s">
        <v>753</v>
      </c>
      <c r="C38" s="226" t="s">
        <v>754</v>
      </c>
      <c r="D38" s="245" t="s">
        <v>755</v>
      </c>
      <c r="E38" s="169">
        <v>1</v>
      </c>
      <c r="F38" s="229" t="s">
        <v>91</v>
      </c>
      <c r="G38" s="164">
        <v>0.02</v>
      </c>
      <c r="H38" s="165" t="s">
        <v>756</v>
      </c>
      <c r="I38" s="153">
        <v>46023</v>
      </c>
      <c r="J38" s="154" t="s">
        <v>634</v>
      </c>
      <c r="K38" s="167" t="s">
        <v>747</v>
      </c>
      <c r="L38" s="167" t="s">
        <v>269</v>
      </c>
      <c r="M38" s="152" t="s">
        <v>757</v>
      </c>
      <c r="N38" s="152" t="s">
        <v>226</v>
      </c>
      <c r="O38" s="29"/>
    </row>
    <row r="39" spans="1:15" ht="40.9" customHeight="1">
      <c r="A39" s="410" t="s">
        <v>758</v>
      </c>
      <c r="B39" s="410"/>
      <c r="C39" s="410"/>
      <c r="D39" s="410"/>
      <c r="E39" s="410"/>
      <c r="F39" s="410"/>
      <c r="G39" s="410"/>
      <c r="H39" s="410"/>
      <c r="I39" s="410"/>
      <c r="J39" s="410"/>
      <c r="K39" s="410"/>
      <c r="L39" s="410"/>
      <c r="M39" s="410"/>
      <c r="N39" s="247" t="s">
        <v>226</v>
      </c>
      <c r="O39" s="7"/>
    </row>
    <row r="40" spans="1:15" s="201" customFormat="1">
      <c r="A40" s="125"/>
      <c r="B40" s="125"/>
      <c r="C40" s="203"/>
      <c r="G40" s="200"/>
      <c r="H40" s="200"/>
      <c r="I40" s="125"/>
      <c r="J40" s="125"/>
      <c r="K40" s="125"/>
      <c r="L40" s="125"/>
      <c r="M40" s="4"/>
      <c r="N40" s="248"/>
      <c r="O40" s="4"/>
    </row>
    <row r="41" spans="1:15">
      <c r="M41" s="4"/>
      <c r="N41" s="248"/>
      <c r="O41" s="4"/>
    </row>
    <row r="42" spans="1:15">
      <c r="M42" s="4"/>
      <c r="N42" s="248"/>
      <c r="O42" s="4"/>
    </row>
    <row r="43" spans="1:15">
      <c r="M43" s="4"/>
      <c r="N43" s="248"/>
      <c r="O43" s="4"/>
    </row>
    <row r="44" spans="1:15">
      <c r="M44" s="4"/>
      <c r="N44" s="248"/>
      <c r="O44" s="4"/>
    </row>
    <row r="45" spans="1:15">
      <c r="M45" s="4"/>
      <c r="N45" s="248"/>
      <c r="O45" s="4"/>
    </row>
    <row r="46" spans="1:15">
      <c r="M46" s="4"/>
      <c r="N46" s="248"/>
      <c r="O46" s="4"/>
    </row>
    <row r="47" spans="1:15">
      <c r="M47" s="4"/>
      <c r="N47" s="248"/>
      <c r="O47" s="4"/>
    </row>
    <row r="48" spans="1:15">
      <c r="M48" s="4"/>
      <c r="N48" s="248"/>
      <c r="O48" s="4"/>
    </row>
    <row r="49" spans="13:15">
      <c r="M49" s="4"/>
      <c r="N49" s="248"/>
      <c r="O49" s="4"/>
    </row>
    <row r="50" spans="13:15">
      <c r="M50" s="4"/>
      <c r="N50" s="248"/>
      <c r="O50" s="4"/>
    </row>
    <row r="51" spans="13:15">
      <c r="M51" s="4"/>
      <c r="N51" s="248"/>
      <c r="O51" s="4"/>
    </row>
    <row r="52" spans="13:15">
      <c r="M52" s="4"/>
      <c r="N52" s="248"/>
      <c r="O52" s="4"/>
    </row>
    <row r="53" spans="13:15">
      <c r="M53" s="4"/>
      <c r="N53" s="248"/>
      <c r="O53" s="4"/>
    </row>
    <row r="54" spans="13:15">
      <c r="M54" s="4"/>
      <c r="N54" s="248"/>
      <c r="O54" s="4"/>
    </row>
    <row r="55" spans="13:15">
      <c r="M55" s="4"/>
      <c r="N55" s="248"/>
      <c r="O55" s="4"/>
    </row>
    <row r="56" spans="13:15">
      <c r="M56" s="4"/>
      <c r="N56" s="248"/>
      <c r="O56" s="4"/>
    </row>
    <row r="57" spans="13:15">
      <c r="M57" s="4"/>
      <c r="N57" s="248"/>
      <c r="O57" s="4"/>
    </row>
    <row r="58" spans="13:15">
      <c r="M58" s="4"/>
      <c r="N58" s="248"/>
      <c r="O58" s="4"/>
    </row>
    <row r="59" spans="13:15">
      <c r="M59" s="4"/>
      <c r="N59" s="248"/>
      <c r="O59" s="4"/>
    </row>
    <row r="60" spans="13:15">
      <c r="M60" s="4"/>
      <c r="N60" s="248"/>
      <c r="O60" s="4"/>
    </row>
    <row r="61" spans="13:15">
      <c r="M61" s="4"/>
      <c r="N61" s="248"/>
      <c r="O61" s="4"/>
    </row>
    <row r="62" spans="13:15">
      <c r="M62" s="4"/>
      <c r="N62" s="248"/>
      <c r="O62" s="4"/>
    </row>
    <row r="63" spans="13:15">
      <c r="M63" s="4"/>
      <c r="N63" s="248"/>
      <c r="O63" s="4"/>
    </row>
    <row r="64" spans="13:15">
      <c r="M64" s="4"/>
      <c r="N64" s="248"/>
      <c r="O64" s="4"/>
    </row>
    <row r="65" spans="13:15">
      <c r="M65" s="4"/>
      <c r="N65" s="248"/>
      <c r="O65" s="4"/>
    </row>
    <row r="66" spans="13:15">
      <c r="M66" s="4"/>
      <c r="N66" s="248"/>
      <c r="O66" s="4"/>
    </row>
    <row r="67" spans="13:15">
      <c r="M67" s="4"/>
      <c r="N67" s="248"/>
      <c r="O67" s="4"/>
    </row>
    <row r="68" spans="13:15">
      <c r="M68" s="4"/>
      <c r="N68" s="248"/>
      <c r="O68" s="4"/>
    </row>
    <row r="69" spans="13:15">
      <c r="M69" s="4"/>
      <c r="N69" s="248"/>
      <c r="O69" s="4"/>
    </row>
    <row r="70" spans="13:15">
      <c r="M70" s="4"/>
      <c r="N70" s="248"/>
      <c r="O70" s="4"/>
    </row>
    <row r="71" spans="13:15">
      <c r="M71" s="4"/>
      <c r="N71" s="248"/>
      <c r="O71" s="4"/>
    </row>
    <row r="72" spans="13:15">
      <c r="M72" s="4"/>
      <c r="N72" s="248"/>
      <c r="O72" s="4"/>
    </row>
    <row r="73" spans="13:15">
      <c r="M73" s="4"/>
      <c r="N73" s="248"/>
      <c r="O73" s="4"/>
    </row>
    <row r="74" spans="13:15">
      <c r="M74" s="4"/>
      <c r="N74" s="248"/>
      <c r="O74" s="4"/>
    </row>
    <row r="75" spans="13:15">
      <c r="M75" s="4"/>
      <c r="N75" s="248"/>
      <c r="O75" s="4"/>
    </row>
    <row r="76" spans="13:15">
      <c r="M76" s="4"/>
      <c r="N76" s="248"/>
      <c r="O76" s="4"/>
    </row>
    <row r="77" spans="13:15">
      <c r="M77" s="4"/>
      <c r="N77" s="248"/>
      <c r="O77" s="4"/>
    </row>
    <row r="78" spans="13:15">
      <c r="M78" s="4"/>
      <c r="N78" s="248"/>
      <c r="O78" s="4"/>
    </row>
    <row r="79" spans="13:15">
      <c r="M79" s="4"/>
      <c r="N79" s="248"/>
      <c r="O79" s="4"/>
    </row>
    <row r="80" spans="13:15">
      <c r="M80" s="4"/>
      <c r="N80" s="248"/>
      <c r="O80" s="4"/>
    </row>
    <row r="81" spans="13:15">
      <c r="M81" s="4"/>
      <c r="N81" s="248"/>
      <c r="O81" s="4"/>
    </row>
    <row r="82" spans="13:15">
      <c r="M82" s="4"/>
      <c r="N82" s="248"/>
      <c r="O82" s="4"/>
    </row>
    <row r="83" spans="13:15">
      <c r="M83" s="4"/>
      <c r="N83" s="248"/>
      <c r="O83" s="4"/>
    </row>
    <row r="84" spans="13:15">
      <c r="M84" s="4"/>
      <c r="N84" s="248"/>
      <c r="O84" s="4"/>
    </row>
    <row r="85" spans="13:15">
      <c r="M85" s="4"/>
      <c r="N85" s="248"/>
      <c r="O85" s="4"/>
    </row>
    <row r="86" spans="13:15">
      <c r="M86" s="4"/>
      <c r="N86" s="248"/>
      <c r="O86" s="4"/>
    </row>
    <row r="87" spans="13:15">
      <c r="M87" s="4"/>
      <c r="N87" s="248"/>
      <c r="O87" s="4"/>
    </row>
    <row r="88" spans="13:15">
      <c r="M88" s="4"/>
      <c r="N88" s="248"/>
      <c r="O88" s="4"/>
    </row>
    <row r="89" spans="13:15">
      <c r="M89" s="4"/>
      <c r="N89" s="248"/>
      <c r="O89" s="4"/>
    </row>
    <row r="90" spans="13:15">
      <c r="M90" s="4"/>
      <c r="N90" s="248"/>
      <c r="O90" s="4"/>
    </row>
    <row r="91" spans="13:15">
      <c r="M91" s="4"/>
      <c r="N91" s="248"/>
      <c r="O91" s="4"/>
    </row>
    <row r="92" spans="13:15">
      <c r="M92" s="4"/>
      <c r="N92" s="248"/>
      <c r="O92" s="4"/>
    </row>
    <row r="93" spans="13:15">
      <c r="M93" s="4"/>
      <c r="N93" s="248"/>
      <c r="O93" s="4"/>
    </row>
    <row r="94" spans="13:15">
      <c r="M94" s="4"/>
      <c r="N94" s="248"/>
      <c r="O94" s="4"/>
    </row>
    <row r="95" spans="13:15">
      <c r="M95" s="4"/>
      <c r="N95" s="248"/>
      <c r="O95" s="4"/>
    </row>
    <row r="96" spans="13:15">
      <c r="M96" s="4"/>
      <c r="N96" s="248"/>
      <c r="O96" s="4"/>
    </row>
    <row r="97" spans="13:15">
      <c r="M97" s="4"/>
      <c r="N97" s="248"/>
      <c r="O97" s="4"/>
    </row>
    <row r="98" spans="13:15">
      <c r="M98" s="4"/>
      <c r="N98" s="248"/>
      <c r="O98" s="4"/>
    </row>
    <row r="99" spans="13:15">
      <c r="M99" s="4"/>
      <c r="N99" s="248"/>
      <c r="O99" s="4"/>
    </row>
    <row r="100" spans="13:15">
      <c r="M100" s="4"/>
      <c r="N100" s="248"/>
      <c r="O100" s="4"/>
    </row>
    <row r="101" spans="13:15">
      <c r="M101" s="4"/>
      <c r="N101" s="248"/>
      <c r="O101" s="4"/>
    </row>
    <row r="102" spans="13:15">
      <c r="M102" s="4"/>
      <c r="N102" s="248"/>
      <c r="O102" s="4"/>
    </row>
    <row r="103" spans="13:15">
      <c r="M103" s="4"/>
      <c r="N103" s="248"/>
      <c r="O103" s="4"/>
    </row>
    <row r="104" spans="13:15">
      <c r="M104" s="4"/>
      <c r="N104" s="248"/>
      <c r="O104" s="4"/>
    </row>
    <row r="105" spans="13:15">
      <c r="M105" s="4"/>
      <c r="N105" s="248"/>
      <c r="O105" s="4"/>
    </row>
    <row r="106" spans="13:15">
      <c r="M106" s="4"/>
      <c r="N106" s="248"/>
      <c r="O106" s="4"/>
    </row>
    <row r="107" spans="13:15">
      <c r="M107" s="4"/>
      <c r="N107" s="248"/>
      <c r="O107" s="4"/>
    </row>
    <row r="108" spans="13:15">
      <c r="M108" s="4"/>
      <c r="N108" s="248"/>
      <c r="O108" s="4"/>
    </row>
    <row r="109" spans="13:15">
      <c r="M109" s="4"/>
      <c r="N109" s="248"/>
      <c r="O109" s="4"/>
    </row>
    <row r="110" spans="13:15">
      <c r="M110" s="4"/>
      <c r="N110" s="248"/>
      <c r="O110" s="4"/>
    </row>
    <row r="111" spans="13:15">
      <c r="M111" s="4"/>
      <c r="N111" s="248"/>
      <c r="O111" s="4"/>
    </row>
    <row r="112" spans="13:15">
      <c r="M112" s="4"/>
      <c r="N112" s="248"/>
      <c r="O112" s="4"/>
    </row>
    <row r="113" spans="13:15">
      <c r="M113" s="4"/>
      <c r="N113" s="248"/>
      <c r="O113" s="4"/>
    </row>
    <row r="114" spans="13:15">
      <c r="M114" s="4"/>
      <c r="N114" s="248"/>
      <c r="O114" s="4"/>
    </row>
    <row r="115" spans="13:15">
      <c r="M115" s="4"/>
      <c r="N115" s="248"/>
      <c r="O115" s="4"/>
    </row>
    <row r="116" spans="13:15">
      <c r="M116" s="4"/>
      <c r="N116" s="248"/>
      <c r="O116" s="4"/>
    </row>
    <row r="117" spans="13:15">
      <c r="M117" s="4"/>
      <c r="N117" s="248"/>
      <c r="O117" s="4"/>
    </row>
    <row r="118" spans="13:15">
      <c r="M118" s="4"/>
      <c r="N118" s="248"/>
      <c r="O118" s="4"/>
    </row>
    <row r="119" spans="13:15">
      <c r="M119" s="4"/>
      <c r="N119" s="248"/>
      <c r="O119" s="4"/>
    </row>
    <row r="120" spans="13:15">
      <c r="M120" s="4"/>
      <c r="N120" s="248"/>
      <c r="O120" s="4"/>
    </row>
    <row r="121" spans="13:15">
      <c r="M121" s="4"/>
      <c r="N121" s="248"/>
      <c r="O121" s="4"/>
    </row>
    <row r="122" spans="13:15">
      <c r="M122" s="4"/>
      <c r="N122" s="248"/>
      <c r="O122" s="4"/>
    </row>
    <row r="123" spans="13:15">
      <c r="M123" s="4"/>
      <c r="N123" s="248"/>
      <c r="O123" s="4"/>
    </row>
    <row r="124" spans="13:15">
      <c r="M124" s="4"/>
      <c r="N124" s="248"/>
      <c r="O124" s="4"/>
    </row>
    <row r="125" spans="13:15">
      <c r="M125" s="4"/>
      <c r="N125" s="248"/>
      <c r="O125" s="4"/>
    </row>
    <row r="126" spans="13:15">
      <c r="M126" s="4"/>
      <c r="N126" s="248"/>
      <c r="O126" s="4"/>
    </row>
    <row r="127" spans="13:15">
      <c r="M127" s="4"/>
      <c r="N127" s="248"/>
      <c r="O127" s="4"/>
    </row>
    <row r="128" spans="13:15">
      <c r="M128" s="4"/>
      <c r="N128" s="248"/>
      <c r="O128" s="4"/>
    </row>
    <row r="129" spans="13:15">
      <c r="M129" s="4"/>
      <c r="N129" s="248"/>
      <c r="O129" s="4"/>
    </row>
    <row r="130" spans="13:15">
      <c r="M130" s="4"/>
      <c r="N130" s="248"/>
      <c r="O130" s="4"/>
    </row>
    <row r="131" spans="13:15">
      <c r="M131" s="4"/>
      <c r="N131" s="248"/>
      <c r="O131" s="4"/>
    </row>
    <row r="132" spans="13:15">
      <c r="M132" s="4"/>
      <c r="N132" s="248"/>
      <c r="O132" s="4"/>
    </row>
    <row r="133" spans="13:15">
      <c r="M133" s="4"/>
      <c r="N133" s="248"/>
      <c r="O133" s="4"/>
    </row>
    <row r="134" spans="13:15">
      <c r="M134" s="4"/>
      <c r="N134" s="248"/>
      <c r="O134" s="4"/>
    </row>
    <row r="135" spans="13:15">
      <c r="M135" s="4"/>
      <c r="N135" s="248"/>
      <c r="O135" s="4"/>
    </row>
    <row r="136" spans="13:15">
      <c r="M136" s="4"/>
      <c r="N136" s="248"/>
      <c r="O136" s="4"/>
    </row>
    <row r="137" spans="13:15">
      <c r="M137" s="4"/>
      <c r="N137" s="248"/>
      <c r="O137" s="4"/>
    </row>
    <row r="138" spans="13:15">
      <c r="M138" s="4"/>
      <c r="N138" s="248"/>
      <c r="O138" s="4"/>
    </row>
    <row r="139" spans="13:15">
      <c r="M139" s="4"/>
      <c r="N139" s="248"/>
      <c r="O139" s="4"/>
    </row>
    <row r="140" spans="13:15">
      <c r="M140" s="4"/>
      <c r="N140" s="248"/>
      <c r="O140" s="4"/>
    </row>
    <row r="141" spans="13:15">
      <c r="M141" s="4"/>
      <c r="N141" s="248"/>
      <c r="O141" s="4"/>
    </row>
    <row r="142" spans="13:15">
      <c r="M142" s="4"/>
      <c r="N142" s="248"/>
      <c r="O142" s="4"/>
    </row>
    <row r="143" spans="13:15">
      <c r="M143" s="4"/>
      <c r="N143" s="248"/>
      <c r="O143" s="4"/>
    </row>
    <row r="144" spans="13:15">
      <c r="M144" s="4"/>
      <c r="N144" s="248"/>
      <c r="O144" s="4"/>
    </row>
    <row r="145" spans="13:15">
      <c r="M145" s="4"/>
      <c r="N145" s="248"/>
      <c r="O145" s="4"/>
    </row>
    <row r="146" spans="13:15">
      <c r="M146" s="4"/>
      <c r="N146" s="248"/>
      <c r="O146" s="4"/>
    </row>
    <row r="147" spans="13:15">
      <c r="M147" s="4"/>
      <c r="N147" s="248"/>
      <c r="O147" s="4"/>
    </row>
    <row r="148" spans="13:15">
      <c r="M148" s="4"/>
      <c r="N148" s="248"/>
      <c r="O148" s="4"/>
    </row>
    <row r="149" spans="13:15">
      <c r="M149" s="4"/>
      <c r="N149" s="248"/>
      <c r="O149" s="4"/>
    </row>
    <row r="150" spans="13:15">
      <c r="M150" s="4"/>
      <c r="N150" s="248"/>
      <c r="O150" s="4"/>
    </row>
    <row r="151" spans="13:15">
      <c r="M151" s="4"/>
      <c r="N151" s="248"/>
      <c r="O151" s="4"/>
    </row>
    <row r="152" spans="13:15">
      <c r="M152" s="4"/>
      <c r="N152" s="248"/>
      <c r="O152" s="4"/>
    </row>
    <row r="153" spans="13:15">
      <c r="M153" s="4"/>
      <c r="N153" s="248"/>
      <c r="O153" s="4"/>
    </row>
    <row r="154" spans="13:15">
      <c r="M154" s="4"/>
      <c r="N154" s="248"/>
      <c r="O154" s="4"/>
    </row>
    <row r="155" spans="13:15">
      <c r="M155" s="4"/>
      <c r="N155" s="248"/>
      <c r="O155" s="4"/>
    </row>
    <row r="156" spans="13:15">
      <c r="M156" s="4"/>
      <c r="N156" s="248"/>
      <c r="O156" s="4"/>
    </row>
    <row r="157" spans="13:15">
      <c r="M157" s="4"/>
      <c r="N157" s="248"/>
      <c r="O157" s="4"/>
    </row>
    <row r="158" spans="13:15">
      <c r="M158" s="4"/>
      <c r="N158" s="248"/>
      <c r="O158" s="4"/>
    </row>
    <row r="159" spans="13:15">
      <c r="M159" s="4"/>
      <c r="N159" s="248"/>
      <c r="O159" s="4"/>
    </row>
    <row r="160" spans="13:15">
      <c r="M160" s="4"/>
      <c r="N160" s="248"/>
      <c r="O160" s="4"/>
    </row>
    <row r="161" spans="13:15">
      <c r="M161" s="4"/>
      <c r="N161" s="248"/>
      <c r="O161" s="4"/>
    </row>
    <row r="162" spans="13:15">
      <c r="M162" s="4"/>
      <c r="N162" s="248"/>
      <c r="O162" s="4"/>
    </row>
    <row r="163" spans="13:15">
      <c r="M163" s="4"/>
      <c r="N163" s="248"/>
      <c r="O163" s="4"/>
    </row>
    <row r="164" spans="13:15">
      <c r="M164" s="4"/>
      <c r="N164" s="248"/>
      <c r="O164" s="4"/>
    </row>
    <row r="165" spans="13:15">
      <c r="M165" s="4"/>
      <c r="N165" s="248"/>
      <c r="O165" s="4"/>
    </row>
    <row r="166" spans="13:15">
      <c r="M166" s="4"/>
      <c r="N166" s="248"/>
      <c r="O166" s="4"/>
    </row>
    <row r="167" spans="13:15">
      <c r="M167" s="4"/>
      <c r="N167" s="248"/>
      <c r="O167" s="4"/>
    </row>
    <row r="168" spans="13:15">
      <c r="M168" s="4"/>
      <c r="N168" s="248"/>
      <c r="O168" s="4"/>
    </row>
    <row r="169" spans="13:15">
      <c r="M169" s="4"/>
      <c r="N169" s="248"/>
      <c r="O169" s="4"/>
    </row>
    <row r="170" spans="13:15">
      <c r="M170" s="4"/>
      <c r="N170" s="248"/>
      <c r="O170" s="4"/>
    </row>
    <row r="171" spans="13:15">
      <c r="M171" s="4"/>
      <c r="N171" s="248"/>
      <c r="O171" s="4"/>
    </row>
    <row r="172" spans="13:15">
      <c r="M172" s="4"/>
      <c r="N172" s="248"/>
      <c r="O172" s="4"/>
    </row>
    <row r="173" spans="13:15">
      <c r="M173" s="4"/>
      <c r="N173" s="248"/>
      <c r="O173" s="4"/>
    </row>
    <row r="174" spans="13:15">
      <c r="M174" s="4"/>
      <c r="N174" s="248"/>
      <c r="O174" s="4"/>
    </row>
    <row r="175" spans="13:15">
      <c r="M175" s="4"/>
      <c r="N175" s="248"/>
      <c r="O175" s="4"/>
    </row>
    <row r="176" spans="13:15">
      <c r="M176" s="4"/>
      <c r="N176" s="248"/>
      <c r="O176" s="4"/>
    </row>
    <row r="177" spans="13:15">
      <c r="M177" s="4"/>
      <c r="N177" s="248"/>
      <c r="O177" s="4"/>
    </row>
    <row r="178" spans="13:15">
      <c r="M178" s="4"/>
      <c r="N178" s="248"/>
      <c r="O178" s="4"/>
    </row>
    <row r="179" spans="13:15">
      <c r="M179" s="4"/>
      <c r="N179" s="248"/>
      <c r="O179" s="4"/>
    </row>
    <row r="180" spans="13:15">
      <c r="M180" s="4"/>
      <c r="N180" s="248"/>
      <c r="O180" s="4"/>
    </row>
    <row r="181" spans="13:15">
      <c r="M181" s="4"/>
      <c r="N181" s="248"/>
      <c r="O181" s="4"/>
    </row>
    <row r="182" spans="13:15">
      <c r="M182" s="4"/>
      <c r="N182" s="248"/>
      <c r="O182" s="4"/>
    </row>
    <row r="183" spans="13:15">
      <c r="M183" s="4"/>
      <c r="N183" s="248"/>
      <c r="O183" s="4"/>
    </row>
    <row r="184" spans="13:15">
      <c r="M184" s="4"/>
      <c r="N184" s="248"/>
      <c r="O184" s="4"/>
    </row>
    <row r="185" spans="13:15">
      <c r="M185" s="4"/>
      <c r="N185" s="248"/>
      <c r="O185" s="4"/>
    </row>
    <row r="186" spans="13:15">
      <c r="M186" s="4"/>
      <c r="N186" s="248"/>
      <c r="O186" s="4"/>
    </row>
    <row r="187" spans="13:15">
      <c r="M187" s="4"/>
      <c r="N187" s="248"/>
      <c r="O187" s="4"/>
    </row>
    <row r="188" spans="13:15">
      <c r="M188" s="4"/>
      <c r="N188" s="248"/>
      <c r="O188" s="4"/>
    </row>
    <row r="189" spans="13:15">
      <c r="M189" s="4"/>
      <c r="N189" s="248"/>
      <c r="O189" s="4"/>
    </row>
    <row r="190" spans="13:15">
      <c r="M190" s="4"/>
      <c r="N190" s="248"/>
      <c r="O190" s="4"/>
    </row>
    <row r="191" spans="13:15">
      <c r="M191" s="4"/>
      <c r="N191" s="248"/>
      <c r="O191" s="4"/>
    </row>
    <row r="192" spans="13:15">
      <c r="M192" s="4"/>
      <c r="N192" s="248"/>
      <c r="O192" s="4"/>
    </row>
    <row r="193" spans="13:15">
      <c r="M193" s="4"/>
      <c r="N193" s="248"/>
      <c r="O193" s="4"/>
    </row>
    <row r="194" spans="13:15">
      <c r="M194" s="4"/>
      <c r="N194" s="248"/>
      <c r="O194" s="4"/>
    </row>
    <row r="195" spans="13:15">
      <c r="M195" s="4"/>
      <c r="N195" s="248"/>
      <c r="O195" s="4"/>
    </row>
    <row r="196" spans="13:15">
      <c r="M196" s="4"/>
      <c r="N196" s="248"/>
      <c r="O196" s="4"/>
    </row>
    <row r="197" spans="13:15">
      <c r="M197" s="4"/>
      <c r="N197" s="248"/>
      <c r="O197" s="4"/>
    </row>
    <row r="198" spans="13:15">
      <c r="M198" s="4"/>
      <c r="N198" s="248"/>
      <c r="O198" s="4"/>
    </row>
    <row r="199" spans="13:15">
      <c r="M199" s="4"/>
      <c r="N199" s="248"/>
      <c r="O199" s="4"/>
    </row>
    <row r="200" spans="13:15">
      <c r="M200" s="4"/>
      <c r="N200" s="248"/>
      <c r="O200" s="4"/>
    </row>
    <row r="201" spans="13:15">
      <c r="M201" s="4"/>
      <c r="N201" s="248"/>
      <c r="O201" s="4"/>
    </row>
    <row r="202" spans="13:15">
      <c r="M202" s="4"/>
      <c r="N202" s="248"/>
      <c r="O202" s="4"/>
    </row>
    <row r="203" spans="13:15">
      <c r="M203" s="4"/>
      <c r="N203" s="248"/>
      <c r="O203" s="4"/>
    </row>
    <row r="204" spans="13:15">
      <c r="M204" s="4"/>
      <c r="N204" s="248"/>
      <c r="O204" s="4"/>
    </row>
    <row r="205" spans="13:15">
      <c r="M205" s="4"/>
      <c r="N205" s="248"/>
      <c r="O205" s="4"/>
    </row>
    <row r="206" spans="13:15">
      <c r="M206" s="4"/>
      <c r="N206" s="248"/>
      <c r="O206" s="4"/>
    </row>
    <row r="207" spans="13:15">
      <c r="M207" s="4"/>
      <c r="N207" s="248"/>
      <c r="O207" s="4"/>
    </row>
    <row r="208" spans="13:15">
      <c r="M208" s="4"/>
      <c r="N208" s="248"/>
      <c r="O208" s="4"/>
    </row>
    <row r="209" spans="13:15">
      <c r="M209" s="4"/>
      <c r="N209" s="248"/>
      <c r="O209" s="4"/>
    </row>
    <row r="210" spans="13:15">
      <c r="M210" s="4"/>
      <c r="N210" s="248"/>
      <c r="O210" s="4"/>
    </row>
    <row r="211" spans="13:15">
      <c r="M211" s="4"/>
      <c r="N211" s="248"/>
      <c r="O211" s="4"/>
    </row>
    <row r="212" spans="13:15">
      <c r="M212" s="4"/>
      <c r="N212" s="248"/>
      <c r="O212" s="4"/>
    </row>
    <row r="213" spans="13:15">
      <c r="M213" s="4"/>
      <c r="N213" s="248"/>
      <c r="O213" s="4"/>
    </row>
    <row r="214" spans="13:15">
      <c r="M214" s="4"/>
      <c r="N214" s="248"/>
      <c r="O214" s="4"/>
    </row>
    <row r="215" spans="13:15">
      <c r="M215" s="4"/>
      <c r="N215" s="248"/>
      <c r="O215" s="4"/>
    </row>
    <row r="216" spans="13:15">
      <c r="M216" s="4"/>
      <c r="N216" s="248"/>
      <c r="O216" s="4"/>
    </row>
    <row r="217" spans="13:15">
      <c r="M217" s="4"/>
      <c r="N217" s="248"/>
      <c r="O217" s="4"/>
    </row>
    <row r="218" spans="13:15">
      <c r="M218" s="4"/>
      <c r="N218" s="248"/>
      <c r="O218" s="4"/>
    </row>
    <row r="219" spans="13:15">
      <c r="M219" s="4"/>
      <c r="N219" s="248"/>
      <c r="O219" s="4"/>
    </row>
    <row r="220" spans="13:15">
      <c r="M220" s="4"/>
      <c r="N220" s="248"/>
      <c r="O220" s="4"/>
    </row>
    <row r="221" spans="13:15">
      <c r="M221" s="4"/>
      <c r="N221" s="248"/>
      <c r="O221" s="4"/>
    </row>
    <row r="222" spans="13:15">
      <c r="M222" s="4"/>
      <c r="N222" s="248"/>
      <c r="O222" s="4"/>
    </row>
    <row r="223" spans="13:15">
      <c r="M223" s="4"/>
      <c r="N223" s="248"/>
      <c r="O223" s="4"/>
    </row>
    <row r="224" spans="13:15">
      <c r="M224" s="4"/>
      <c r="N224" s="248"/>
      <c r="O224" s="4"/>
    </row>
    <row r="225" spans="13:15">
      <c r="M225" s="4"/>
      <c r="N225" s="248"/>
      <c r="O225" s="4"/>
    </row>
    <row r="226" spans="13:15">
      <c r="M226" s="4"/>
      <c r="N226" s="248"/>
      <c r="O226" s="4"/>
    </row>
    <row r="227" spans="13:15">
      <c r="M227" s="4"/>
      <c r="N227" s="248"/>
      <c r="O227" s="4"/>
    </row>
    <row r="228" spans="13:15">
      <c r="M228" s="4"/>
      <c r="N228" s="248"/>
      <c r="O228" s="4"/>
    </row>
    <row r="229" spans="13:15">
      <c r="M229" s="4"/>
      <c r="N229" s="248"/>
      <c r="O229" s="4"/>
    </row>
    <row r="230" spans="13:15">
      <c r="M230" s="4"/>
      <c r="N230" s="248"/>
      <c r="O230" s="4"/>
    </row>
    <row r="231" spans="13:15">
      <c r="M231" s="4"/>
      <c r="N231" s="248"/>
      <c r="O231" s="4"/>
    </row>
    <row r="232" spans="13:15">
      <c r="M232" s="4"/>
      <c r="N232" s="248"/>
      <c r="O232" s="4"/>
    </row>
    <row r="233" spans="13:15">
      <c r="M233" s="4"/>
      <c r="N233" s="248"/>
      <c r="O233" s="4"/>
    </row>
    <row r="234" spans="13:15">
      <c r="M234" s="4"/>
      <c r="N234" s="248"/>
      <c r="O234" s="4"/>
    </row>
    <row r="235" spans="13:15">
      <c r="M235" s="4"/>
      <c r="N235" s="248"/>
      <c r="O235" s="4"/>
    </row>
    <row r="236" spans="13:15">
      <c r="M236" s="4"/>
      <c r="N236" s="248"/>
      <c r="O236" s="4"/>
    </row>
    <row r="237" spans="13:15">
      <c r="M237" s="4"/>
      <c r="N237" s="248"/>
      <c r="O237" s="4"/>
    </row>
    <row r="238" spans="13:15">
      <c r="M238" s="4"/>
      <c r="N238" s="248"/>
      <c r="O238" s="4"/>
    </row>
    <row r="239" spans="13:15">
      <c r="M239" s="4"/>
      <c r="N239" s="248"/>
      <c r="O239" s="4"/>
    </row>
    <row r="240" spans="13:15">
      <c r="M240" s="4"/>
      <c r="N240" s="248"/>
      <c r="O240" s="4"/>
    </row>
    <row r="241" spans="13:15">
      <c r="M241" s="4"/>
      <c r="N241" s="248"/>
      <c r="O241" s="4"/>
    </row>
    <row r="242" spans="13:15">
      <c r="M242" s="4"/>
      <c r="N242" s="248"/>
      <c r="O242" s="4"/>
    </row>
    <row r="243" spans="13:15">
      <c r="M243" s="4"/>
      <c r="N243" s="248"/>
      <c r="O243" s="4"/>
    </row>
    <row r="244" spans="13:15">
      <c r="M244" s="4"/>
      <c r="N244" s="248"/>
      <c r="O244" s="4"/>
    </row>
    <row r="245" spans="13:15">
      <c r="M245" s="4"/>
      <c r="N245" s="248"/>
      <c r="O245" s="4"/>
    </row>
    <row r="246" spans="13:15">
      <c r="M246" s="4"/>
      <c r="N246" s="248"/>
      <c r="O246" s="4"/>
    </row>
    <row r="247" spans="13:15">
      <c r="M247" s="4"/>
      <c r="N247" s="248"/>
      <c r="O247" s="4"/>
    </row>
    <row r="248" spans="13:15">
      <c r="M248" s="4"/>
      <c r="N248" s="248"/>
      <c r="O248" s="4"/>
    </row>
    <row r="249" spans="13:15">
      <c r="M249" s="4"/>
      <c r="N249" s="248"/>
      <c r="O249" s="4"/>
    </row>
    <row r="250" spans="13:15">
      <c r="M250" s="4"/>
      <c r="N250" s="248"/>
      <c r="O250" s="4"/>
    </row>
    <row r="251" spans="13:15">
      <c r="M251" s="4"/>
      <c r="N251" s="248"/>
      <c r="O251" s="4"/>
    </row>
    <row r="252" spans="13:15">
      <c r="M252" s="4"/>
      <c r="N252" s="248"/>
      <c r="O252" s="4"/>
    </row>
    <row r="253" spans="13:15">
      <c r="M253" s="4"/>
      <c r="N253" s="248"/>
      <c r="O253" s="4"/>
    </row>
    <row r="254" spans="13:15">
      <c r="M254" s="4"/>
      <c r="N254" s="248"/>
      <c r="O254" s="4"/>
    </row>
    <row r="255" spans="13:15">
      <c r="M255" s="4"/>
      <c r="N255" s="248"/>
      <c r="O255" s="4"/>
    </row>
    <row r="256" spans="13:15">
      <c r="M256" s="4"/>
      <c r="N256" s="248"/>
      <c r="O256" s="4"/>
    </row>
    <row r="257" spans="13:15">
      <c r="M257" s="4"/>
      <c r="N257" s="248"/>
      <c r="O257" s="4"/>
    </row>
    <row r="258" spans="13:15">
      <c r="M258" s="4"/>
      <c r="N258" s="248"/>
      <c r="O258" s="4"/>
    </row>
    <row r="259" spans="13:15">
      <c r="M259" s="4"/>
      <c r="N259" s="248"/>
      <c r="O259" s="4"/>
    </row>
    <row r="260" spans="13:15">
      <c r="M260" s="4"/>
      <c r="N260" s="248"/>
      <c r="O260" s="4"/>
    </row>
    <row r="261" spans="13:15">
      <c r="M261" s="4"/>
      <c r="N261" s="248"/>
      <c r="O261" s="4"/>
    </row>
    <row r="262" spans="13:15">
      <c r="M262" s="4"/>
      <c r="N262" s="248"/>
      <c r="O262" s="4"/>
    </row>
    <row r="263" spans="13:15">
      <c r="M263" s="4"/>
      <c r="N263" s="248"/>
      <c r="O263" s="4"/>
    </row>
    <row r="264" spans="13:15">
      <c r="M264" s="4"/>
      <c r="N264" s="248"/>
      <c r="O264" s="4"/>
    </row>
    <row r="265" spans="13:15">
      <c r="M265" s="4"/>
      <c r="N265" s="248"/>
      <c r="O265" s="4"/>
    </row>
    <row r="266" spans="13:15">
      <c r="M266" s="4"/>
      <c r="N266" s="248"/>
      <c r="O266" s="4"/>
    </row>
    <row r="267" spans="13:15">
      <c r="M267" s="4"/>
      <c r="N267" s="248"/>
      <c r="O267" s="4"/>
    </row>
    <row r="268" spans="13:15">
      <c r="M268" s="4"/>
      <c r="N268" s="248"/>
      <c r="O268" s="4"/>
    </row>
    <row r="269" spans="13:15">
      <c r="M269" s="4"/>
      <c r="N269" s="248"/>
      <c r="O269" s="4"/>
    </row>
    <row r="270" spans="13:15">
      <c r="M270" s="4"/>
      <c r="N270" s="248"/>
      <c r="O270" s="4"/>
    </row>
    <row r="271" spans="13:15">
      <c r="M271" s="4"/>
      <c r="N271" s="248"/>
      <c r="O271" s="4"/>
    </row>
    <row r="272" spans="13:15">
      <c r="M272" s="4"/>
      <c r="N272" s="248"/>
      <c r="O272" s="4"/>
    </row>
    <row r="273" spans="13:15">
      <c r="M273" s="4"/>
      <c r="N273" s="248"/>
      <c r="O273" s="4"/>
    </row>
    <row r="274" spans="13:15">
      <c r="M274" s="4"/>
      <c r="N274" s="248"/>
      <c r="O274" s="4"/>
    </row>
    <row r="275" spans="13:15">
      <c r="M275" s="4"/>
      <c r="N275" s="248"/>
      <c r="O275" s="4"/>
    </row>
    <row r="276" spans="13:15">
      <c r="M276" s="4"/>
      <c r="N276" s="248"/>
      <c r="O276" s="4"/>
    </row>
    <row r="277" spans="13:15">
      <c r="M277" s="4"/>
      <c r="N277" s="248"/>
      <c r="O277" s="4"/>
    </row>
    <row r="278" spans="13:15">
      <c r="M278" s="4"/>
      <c r="N278" s="248"/>
      <c r="O278" s="4"/>
    </row>
    <row r="279" spans="13:15">
      <c r="M279" s="4"/>
      <c r="N279" s="248"/>
      <c r="O279" s="4"/>
    </row>
    <row r="280" spans="13:15">
      <c r="M280" s="4"/>
      <c r="N280" s="248"/>
      <c r="O280" s="4"/>
    </row>
    <row r="281" spans="13:15">
      <c r="M281" s="4"/>
      <c r="N281" s="248"/>
      <c r="O281" s="4"/>
    </row>
    <row r="282" spans="13:15">
      <c r="M282" s="4"/>
      <c r="N282" s="248"/>
      <c r="O282" s="4"/>
    </row>
    <row r="283" spans="13:15">
      <c r="M283" s="4"/>
      <c r="N283" s="248"/>
      <c r="O283" s="4"/>
    </row>
    <row r="284" spans="13:15">
      <c r="M284" s="4"/>
      <c r="N284" s="248"/>
      <c r="O284" s="4"/>
    </row>
    <row r="285" spans="13:15">
      <c r="M285" s="4"/>
      <c r="N285" s="248"/>
      <c r="O285" s="4"/>
    </row>
    <row r="286" spans="13:15">
      <c r="M286" s="4"/>
      <c r="N286" s="248"/>
      <c r="O286" s="4"/>
    </row>
    <row r="287" spans="13:15">
      <c r="M287" s="4"/>
      <c r="N287" s="248"/>
      <c r="O287" s="4"/>
    </row>
    <row r="288" spans="13:15">
      <c r="M288" s="4"/>
      <c r="N288" s="248"/>
      <c r="O288" s="4"/>
    </row>
    <row r="289" spans="13:15">
      <c r="M289" s="4"/>
      <c r="N289" s="248"/>
      <c r="O289" s="4"/>
    </row>
    <row r="290" spans="13:15">
      <c r="M290" s="4"/>
      <c r="N290" s="248"/>
      <c r="O290" s="4"/>
    </row>
    <row r="291" spans="13:15">
      <c r="M291" s="4"/>
      <c r="N291" s="248"/>
      <c r="O291" s="4"/>
    </row>
    <row r="292" spans="13:15">
      <c r="M292" s="4"/>
      <c r="N292" s="248"/>
      <c r="O292" s="4"/>
    </row>
    <row r="293" spans="13:15">
      <c r="M293" s="4"/>
      <c r="N293" s="248"/>
      <c r="O293" s="4"/>
    </row>
    <row r="294" spans="13:15">
      <c r="M294" s="4"/>
      <c r="N294" s="248"/>
      <c r="O294" s="4"/>
    </row>
    <row r="295" spans="13:15">
      <c r="M295" s="4"/>
      <c r="N295" s="248"/>
      <c r="O295" s="4"/>
    </row>
    <row r="296" spans="13:15">
      <c r="M296" s="4"/>
      <c r="N296" s="248"/>
      <c r="O296" s="4"/>
    </row>
    <row r="297" spans="13:15">
      <c r="M297" s="4"/>
      <c r="N297" s="248"/>
      <c r="O297" s="4"/>
    </row>
    <row r="298" spans="13:15">
      <c r="M298" s="4"/>
      <c r="N298" s="248"/>
      <c r="O298" s="4"/>
    </row>
    <row r="299" spans="13:15">
      <c r="M299" s="4"/>
      <c r="N299" s="248"/>
      <c r="O299" s="4"/>
    </row>
    <row r="300" spans="13:15">
      <c r="M300" s="4"/>
      <c r="N300" s="248"/>
      <c r="O300" s="4"/>
    </row>
    <row r="301" spans="13:15">
      <c r="M301" s="4"/>
      <c r="N301" s="248"/>
      <c r="O301" s="4"/>
    </row>
    <row r="302" spans="13:15">
      <c r="M302" s="4"/>
      <c r="N302" s="248"/>
      <c r="O302" s="4"/>
    </row>
    <row r="303" spans="13:15">
      <c r="M303" s="4"/>
      <c r="N303" s="248"/>
      <c r="O303" s="4"/>
    </row>
    <row r="304" spans="13:15">
      <c r="M304" s="4"/>
      <c r="N304" s="248"/>
      <c r="O304" s="4"/>
    </row>
    <row r="305" spans="13:15">
      <c r="M305" s="4"/>
      <c r="N305" s="248"/>
      <c r="O305" s="4"/>
    </row>
    <row r="306" spans="13:15">
      <c r="M306" s="4"/>
      <c r="N306" s="248"/>
      <c r="O306" s="4"/>
    </row>
    <row r="307" spans="13:15">
      <c r="M307" s="4"/>
      <c r="N307" s="248"/>
      <c r="O307" s="4"/>
    </row>
    <row r="308" spans="13:15">
      <c r="M308" s="4"/>
      <c r="N308" s="248"/>
      <c r="O308" s="4"/>
    </row>
    <row r="309" spans="13:15">
      <c r="M309" s="4"/>
      <c r="N309" s="248"/>
      <c r="O309" s="4"/>
    </row>
    <row r="310" spans="13:15">
      <c r="M310" s="4"/>
      <c r="N310" s="248"/>
      <c r="O310" s="4"/>
    </row>
    <row r="311" spans="13:15">
      <c r="M311" s="4"/>
      <c r="N311" s="248"/>
      <c r="O311" s="4"/>
    </row>
    <row r="312" spans="13:15">
      <c r="M312" s="4"/>
      <c r="N312" s="248"/>
      <c r="O312" s="4"/>
    </row>
    <row r="313" spans="13:15">
      <c r="M313" s="4"/>
      <c r="N313" s="248"/>
      <c r="O313" s="4"/>
    </row>
    <row r="314" spans="13:15">
      <c r="M314" s="4"/>
      <c r="N314" s="248"/>
      <c r="O314" s="4"/>
    </row>
    <row r="315" spans="13:15">
      <c r="M315" s="4"/>
      <c r="N315" s="248"/>
      <c r="O315" s="4"/>
    </row>
    <row r="316" spans="13:15">
      <c r="M316" s="4"/>
      <c r="N316" s="248"/>
      <c r="O316" s="4"/>
    </row>
    <row r="317" spans="13:15">
      <c r="M317" s="4"/>
      <c r="N317" s="248"/>
      <c r="O317" s="4"/>
    </row>
    <row r="318" spans="13:15">
      <c r="M318" s="4"/>
      <c r="N318" s="248"/>
      <c r="O318" s="4"/>
    </row>
    <row r="319" spans="13:15">
      <c r="M319" s="4"/>
      <c r="N319" s="248"/>
      <c r="O319" s="4"/>
    </row>
    <row r="320" spans="13:15">
      <c r="M320" s="4"/>
      <c r="N320" s="248"/>
      <c r="O320" s="4"/>
    </row>
    <row r="321" spans="13:15">
      <c r="M321" s="4"/>
      <c r="N321" s="248"/>
      <c r="O321" s="4"/>
    </row>
    <row r="322" spans="13:15">
      <c r="M322" s="4"/>
      <c r="N322" s="248"/>
      <c r="O322" s="4"/>
    </row>
    <row r="323" spans="13:15">
      <c r="M323" s="4"/>
      <c r="N323" s="248"/>
      <c r="O323" s="4"/>
    </row>
    <row r="324" spans="13:15">
      <c r="M324" s="4"/>
      <c r="N324" s="248"/>
      <c r="O324" s="4"/>
    </row>
    <row r="325" spans="13:15">
      <c r="M325" s="4"/>
      <c r="N325" s="248"/>
      <c r="O325" s="4"/>
    </row>
    <row r="326" spans="13:15">
      <c r="M326" s="4"/>
      <c r="N326" s="248"/>
      <c r="O326" s="4"/>
    </row>
    <row r="327" spans="13:15">
      <c r="M327" s="4"/>
      <c r="N327" s="248"/>
      <c r="O327" s="4"/>
    </row>
    <row r="328" spans="13:15">
      <c r="M328" s="4"/>
      <c r="N328" s="248"/>
      <c r="O328" s="4"/>
    </row>
    <row r="329" spans="13:15">
      <c r="M329" s="4"/>
      <c r="N329" s="248"/>
      <c r="O329" s="4"/>
    </row>
    <row r="330" spans="13:15">
      <c r="M330" s="4"/>
      <c r="N330" s="248"/>
      <c r="O330" s="4"/>
    </row>
    <row r="331" spans="13:15">
      <c r="M331" s="4"/>
      <c r="N331" s="248"/>
      <c r="O331" s="4"/>
    </row>
    <row r="332" spans="13:15">
      <c r="M332" s="4"/>
      <c r="N332" s="248"/>
      <c r="O332" s="4"/>
    </row>
    <row r="333" spans="13:15">
      <c r="M333" s="4"/>
      <c r="N333" s="248"/>
      <c r="O333" s="4"/>
    </row>
    <row r="334" spans="13:15">
      <c r="M334" s="4"/>
      <c r="N334" s="248"/>
      <c r="O334" s="4"/>
    </row>
    <row r="335" spans="13:15">
      <c r="M335" s="4"/>
      <c r="N335" s="248"/>
      <c r="O335" s="4"/>
    </row>
    <row r="336" spans="13:15">
      <c r="M336" s="4"/>
      <c r="N336" s="248"/>
      <c r="O336" s="4"/>
    </row>
    <row r="337" spans="13:15">
      <c r="M337" s="4"/>
      <c r="N337" s="248"/>
      <c r="O337" s="4"/>
    </row>
    <row r="338" spans="13:15">
      <c r="M338" s="4"/>
      <c r="N338" s="248"/>
      <c r="O338" s="4"/>
    </row>
    <row r="339" spans="13:15">
      <c r="M339" s="4"/>
      <c r="N339" s="248"/>
      <c r="O339" s="4"/>
    </row>
    <row r="340" spans="13:15">
      <c r="M340" s="4"/>
      <c r="N340" s="248"/>
      <c r="O340" s="4"/>
    </row>
    <row r="341" spans="13:15">
      <c r="M341" s="4"/>
      <c r="N341" s="248"/>
      <c r="O341" s="4"/>
    </row>
    <row r="342" spans="13:15">
      <c r="M342" s="4"/>
      <c r="N342" s="248"/>
      <c r="O342" s="4"/>
    </row>
    <row r="343" spans="13:15">
      <c r="M343" s="4"/>
      <c r="N343" s="248"/>
      <c r="O343" s="4"/>
    </row>
    <row r="344" spans="13:15">
      <c r="M344" s="4"/>
      <c r="N344" s="248"/>
      <c r="O344" s="4"/>
    </row>
    <row r="345" spans="13:15">
      <c r="M345" s="4"/>
      <c r="N345" s="248"/>
      <c r="O345" s="4"/>
    </row>
    <row r="346" spans="13:15">
      <c r="M346" s="4"/>
      <c r="N346" s="248"/>
      <c r="O346" s="4"/>
    </row>
    <row r="347" spans="13:15">
      <c r="M347" s="4"/>
      <c r="N347" s="248"/>
      <c r="O347" s="4"/>
    </row>
    <row r="348" spans="13:15">
      <c r="M348" s="4"/>
      <c r="N348" s="248"/>
      <c r="O348" s="4"/>
    </row>
    <row r="349" spans="13:15">
      <c r="M349" s="4"/>
      <c r="N349" s="248"/>
      <c r="O349" s="4"/>
    </row>
    <row r="350" spans="13:15">
      <c r="M350" s="4"/>
      <c r="N350" s="248"/>
      <c r="O350" s="4"/>
    </row>
    <row r="351" spans="13:15">
      <c r="M351" s="4"/>
      <c r="N351" s="248"/>
      <c r="O351" s="4"/>
    </row>
    <row r="352" spans="13:15">
      <c r="M352" s="4"/>
      <c r="N352" s="248"/>
      <c r="O352" s="4"/>
    </row>
    <row r="353" spans="13:15">
      <c r="M353" s="4"/>
      <c r="N353" s="248"/>
      <c r="O353" s="4"/>
    </row>
    <row r="354" spans="13:15">
      <c r="M354" s="4"/>
      <c r="N354" s="248"/>
      <c r="O354" s="4"/>
    </row>
    <row r="355" spans="13:15">
      <c r="M355" s="4"/>
      <c r="N355" s="248"/>
      <c r="O355" s="4"/>
    </row>
    <row r="356" spans="13:15">
      <c r="M356" s="4"/>
      <c r="N356" s="248"/>
      <c r="O356" s="4"/>
    </row>
    <row r="357" spans="13:15">
      <c r="M357" s="4"/>
      <c r="N357" s="248"/>
      <c r="O357" s="4"/>
    </row>
    <row r="358" spans="13:15">
      <c r="M358" s="4"/>
      <c r="N358" s="248"/>
      <c r="O358" s="4"/>
    </row>
    <row r="359" spans="13:15">
      <c r="M359" s="4"/>
      <c r="N359" s="248"/>
      <c r="O359" s="4"/>
    </row>
    <row r="360" spans="13:15">
      <c r="M360" s="4"/>
      <c r="N360" s="248"/>
      <c r="O360" s="4"/>
    </row>
    <row r="361" spans="13:15">
      <c r="M361" s="4"/>
      <c r="N361" s="248"/>
      <c r="O361" s="4"/>
    </row>
    <row r="362" spans="13:15">
      <c r="M362" s="4"/>
      <c r="N362" s="248"/>
      <c r="O362" s="4"/>
    </row>
    <row r="363" spans="13:15">
      <c r="M363" s="4"/>
      <c r="N363" s="248"/>
      <c r="O363" s="4"/>
    </row>
    <row r="364" spans="13:15">
      <c r="M364" s="4"/>
      <c r="N364" s="248"/>
      <c r="O364" s="4"/>
    </row>
    <row r="365" spans="13:15">
      <c r="M365" s="4"/>
      <c r="N365" s="248"/>
      <c r="O365" s="4"/>
    </row>
    <row r="366" spans="13:15">
      <c r="M366" s="4"/>
      <c r="N366" s="248"/>
      <c r="O366" s="4"/>
    </row>
    <row r="367" spans="13:15">
      <c r="M367" s="4"/>
      <c r="N367" s="248"/>
      <c r="O367" s="4"/>
    </row>
    <row r="368" spans="13:15">
      <c r="M368" s="4"/>
      <c r="N368" s="248"/>
      <c r="O368" s="4"/>
    </row>
    <row r="369" spans="13:15">
      <c r="M369" s="4"/>
      <c r="N369" s="248"/>
      <c r="O369" s="4"/>
    </row>
    <row r="370" spans="13:15">
      <c r="M370" s="4"/>
      <c r="N370" s="248"/>
      <c r="O370" s="4"/>
    </row>
    <row r="371" spans="13:15">
      <c r="M371" s="4"/>
      <c r="N371" s="248"/>
      <c r="O371" s="4"/>
    </row>
    <row r="372" spans="13:15">
      <c r="M372" s="4"/>
      <c r="N372" s="248"/>
      <c r="O372" s="4"/>
    </row>
    <row r="373" spans="13:15">
      <c r="M373" s="4"/>
      <c r="N373" s="248"/>
      <c r="O373" s="4"/>
    </row>
    <row r="374" spans="13:15">
      <c r="M374" s="4"/>
      <c r="N374" s="248"/>
      <c r="O374" s="4"/>
    </row>
    <row r="375" spans="13:15">
      <c r="M375" s="4"/>
      <c r="N375" s="248"/>
      <c r="O375" s="4"/>
    </row>
    <row r="376" spans="13:15">
      <c r="M376" s="4"/>
      <c r="N376" s="248"/>
      <c r="O376" s="4"/>
    </row>
    <row r="377" spans="13:15">
      <c r="M377" s="4"/>
      <c r="N377" s="248"/>
      <c r="O377" s="4"/>
    </row>
    <row r="378" spans="13:15">
      <c r="M378" s="4"/>
      <c r="N378" s="248"/>
      <c r="O378" s="4"/>
    </row>
    <row r="379" spans="13:15">
      <c r="M379" s="4"/>
      <c r="N379" s="248"/>
      <c r="O379" s="4"/>
    </row>
    <row r="380" spans="13:15">
      <c r="M380" s="4"/>
      <c r="N380" s="248"/>
      <c r="O380" s="4"/>
    </row>
    <row r="381" spans="13:15">
      <c r="M381" s="4"/>
      <c r="N381" s="248"/>
      <c r="O381" s="4"/>
    </row>
    <row r="382" spans="13:15">
      <c r="M382" s="4"/>
      <c r="N382" s="248"/>
      <c r="O382" s="4"/>
    </row>
    <row r="383" spans="13:15">
      <c r="M383" s="4"/>
      <c r="N383" s="248"/>
      <c r="O383" s="4"/>
    </row>
    <row r="384" spans="13:15">
      <c r="M384" s="4"/>
      <c r="N384" s="248"/>
      <c r="O384" s="4"/>
    </row>
    <row r="385" spans="13:15">
      <c r="M385" s="4"/>
      <c r="N385" s="248"/>
      <c r="O385" s="4"/>
    </row>
    <row r="386" spans="13:15">
      <c r="M386" s="4"/>
      <c r="N386" s="248"/>
      <c r="O386" s="4"/>
    </row>
    <row r="387" spans="13:15">
      <c r="M387" s="4"/>
      <c r="N387" s="248"/>
      <c r="O387" s="4"/>
    </row>
    <row r="388" spans="13:15">
      <c r="M388" s="4"/>
      <c r="N388" s="248"/>
      <c r="O388" s="4"/>
    </row>
    <row r="389" spans="13:15">
      <c r="M389" s="4"/>
      <c r="N389" s="248"/>
      <c r="O389" s="4"/>
    </row>
    <row r="390" spans="13:15">
      <c r="M390" s="4"/>
      <c r="N390" s="248"/>
      <c r="O390" s="4"/>
    </row>
    <row r="391" spans="13:15">
      <c r="M391" s="4"/>
      <c r="N391" s="248"/>
      <c r="O391" s="4"/>
    </row>
    <row r="392" spans="13:15">
      <c r="M392" s="4"/>
      <c r="N392" s="248"/>
      <c r="O392" s="4"/>
    </row>
    <row r="393" spans="13:15">
      <c r="M393" s="4"/>
      <c r="N393" s="248"/>
      <c r="O393" s="4"/>
    </row>
    <row r="394" spans="13:15">
      <c r="M394" s="4"/>
      <c r="N394" s="248"/>
      <c r="O394" s="4"/>
    </row>
    <row r="395" spans="13:15">
      <c r="M395" s="4"/>
      <c r="N395" s="248"/>
      <c r="O395" s="4"/>
    </row>
    <row r="396" spans="13:15">
      <c r="M396" s="4"/>
      <c r="N396" s="248"/>
      <c r="O396" s="4"/>
    </row>
    <row r="397" spans="13:15">
      <c r="M397" s="4"/>
      <c r="N397" s="248"/>
      <c r="O397" s="4"/>
    </row>
    <row r="398" spans="13:15">
      <c r="M398" s="4"/>
      <c r="N398" s="248"/>
      <c r="O398" s="4"/>
    </row>
    <row r="399" spans="13:15">
      <c r="M399" s="4"/>
      <c r="N399" s="248"/>
      <c r="O399" s="4"/>
    </row>
    <row r="400" spans="13:15">
      <c r="M400" s="4"/>
      <c r="N400" s="248"/>
      <c r="O400" s="4"/>
    </row>
    <row r="401" spans="13:15">
      <c r="M401" s="4"/>
      <c r="N401" s="248"/>
      <c r="O401" s="4"/>
    </row>
    <row r="402" spans="13:15">
      <c r="M402" s="4"/>
      <c r="N402" s="248"/>
      <c r="O402" s="4"/>
    </row>
    <row r="403" spans="13:15">
      <c r="M403" s="4"/>
      <c r="N403" s="248"/>
      <c r="O403" s="4"/>
    </row>
    <row r="404" spans="13:15">
      <c r="M404" s="4"/>
      <c r="N404" s="248"/>
      <c r="O404" s="4"/>
    </row>
    <row r="405" spans="13:15">
      <c r="M405" s="4"/>
      <c r="N405" s="248"/>
      <c r="O405" s="4"/>
    </row>
    <row r="406" spans="13:15">
      <c r="M406" s="4"/>
      <c r="N406" s="248"/>
      <c r="O406" s="4"/>
    </row>
    <row r="407" spans="13:15">
      <c r="M407" s="4"/>
      <c r="N407" s="248"/>
      <c r="O407" s="4"/>
    </row>
    <row r="408" spans="13:15">
      <c r="M408" s="4"/>
      <c r="N408" s="248"/>
      <c r="O408" s="4"/>
    </row>
    <row r="409" spans="13:15">
      <c r="M409" s="4"/>
      <c r="N409" s="248"/>
      <c r="O409" s="4"/>
    </row>
    <row r="410" spans="13:15">
      <c r="M410" s="4"/>
      <c r="N410" s="248"/>
      <c r="O410" s="4"/>
    </row>
    <row r="411" spans="13:15">
      <c r="M411" s="4"/>
      <c r="N411" s="248"/>
      <c r="O411" s="4"/>
    </row>
    <row r="412" spans="13:15">
      <c r="M412" s="4"/>
      <c r="N412" s="248"/>
      <c r="O412" s="4"/>
    </row>
    <row r="413" spans="13:15">
      <c r="M413" s="4"/>
      <c r="N413" s="248"/>
      <c r="O413" s="4"/>
    </row>
    <row r="414" spans="13:15">
      <c r="M414" s="4"/>
      <c r="N414" s="248"/>
      <c r="O414" s="4"/>
    </row>
    <row r="415" spans="13:15">
      <c r="M415" s="4"/>
      <c r="N415" s="248"/>
      <c r="O415" s="4"/>
    </row>
    <row r="416" spans="13:15">
      <c r="M416" s="4"/>
      <c r="N416" s="248"/>
      <c r="O416" s="4"/>
    </row>
    <row r="417" spans="13:15">
      <c r="M417" s="4"/>
      <c r="N417" s="248"/>
      <c r="O417" s="4"/>
    </row>
    <row r="418" spans="13:15">
      <c r="M418" s="4"/>
      <c r="N418" s="248"/>
      <c r="O418" s="4"/>
    </row>
    <row r="419" spans="13:15">
      <c r="M419" s="4"/>
      <c r="N419" s="248"/>
      <c r="O419" s="4"/>
    </row>
    <row r="420" spans="13:15">
      <c r="M420" s="4"/>
      <c r="N420" s="248"/>
      <c r="O420" s="4"/>
    </row>
    <row r="421" spans="13:15">
      <c r="M421" s="4"/>
      <c r="N421" s="248"/>
      <c r="O421" s="4"/>
    </row>
    <row r="422" spans="13:15">
      <c r="M422" s="4"/>
      <c r="N422" s="248"/>
      <c r="O422" s="4"/>
    </row>
    <row r="423" spans="13:15">
      <c r="M423" s="4"/>
      <c r="N423" s="248"/>
      <c r="O423" s="4"/>
    </row>
    <row r="424" spans="13:15">
      <c r="M424" s="4"/>
      <c r="N424" s="248"/>
      <c r="O424" s="4"/>
    </row>
    <row r="425" spans="13:15">
      <c r="M425" s="4"/>
      <c r="N425" s="248"/>
      <c r="O425" s="4"/>
    </row>
    <row r="426" spans="13:15">
      <c r="M426" s="4"/>
      <c r="N426" s="248"/>
      <c r="O426" s="4"/>
    </row>
    <row r="427" spans="13:15">
      <c r="M427" s="4"/>
      <c r="N427" s="248"/>
      <c r="O427" s="4"/>
    </row>
    <row r="428" spans="13:15">
      <c r="M428" s="4"/>
      <c r="N428" s="248"/>
      <c r="O428" s="4"/>
    </row>
    <row r="429" spans="13:15">
      <c r="M429" s="4"/>
      <c r="N429" s="248"/>
      <c r="O429" s="4"/>
    </row>
    <row r="430" spans="13:15">
      <c r="M430" s="4"/>
      <c r="N430" s="248"/>
      <c r="O430" s="4"/>
    </row>
    <row r="431" spans="13:15">
      <c r="M431" s="4"/>
      <c r="N431" s="248"/>
      <c r="O431" s="4"/>
    </row>
    <row r="432" spans="13:15">
      <c r="M432" s="4"/>
      <c r="N432" s="248"/>
      <c r="O432" s="4"/>
    </row>
    <row r="433" spans="13:15">
      <c r="M433" s="4"/>
      <c r="N433" s="248"/>
      <c r="O433" s="4"/>
    </row>
    <row r="434" spans="13:15">
      <c r="M434" s="4"/>
      <c r="N434" s="248"/>
      <c r="O434" s="4"/>
    </row>
    <row r="435" spans="13:15">
      <c r="M435" s="4"/>
      <c r="N435" s="248"/>
      <c r="O435" s="4"/>
    </row>
    <row r="436" spans="13:15">
      <c r="M436" s="4"/>
      <c r="N436" s="248"/>
      <c r="O436" s="4"/>
    </row>
    <row r="437" spans="13:15">
      <c r="M437" s="4"/>
      <c r="N437" s="248"/>
      <c r="O437" s="4"/>
    </row>
    <row r="438" spans="13:15">
      <c r="M438" s="4"/>
      <c r="N438" s="248"/>
      <c r="O438" s="4"/>
    </row>
    <row r="439" spans="13:15">
      <c r="M439" s="4"/>
      <c r="N439" s="248"/>
      <c r="O439" s="4"/>
    </row>
    <row r="440" spans="13:15">
      <c r="M440" s="4"/>
      <c r="N440" s="248"/>
      <c r="O440" s="4"/>
    </row>
    <row r="441" spans="13:15">
      <c r="M441" s="4"/>
      <c r="N441" s="248"/>
      <c r="O441" s="4"/>
    </row>
    <row r="442" spans="13:15">
      <c r="M442" s="4"/>
      <c r="N442" s="248"/>
      <c r="O442" s="4"/>
    </row>
    <row r="443" spans="13:15">
      <c r="M443" s="4"/>
      <c r="N443" s="248"/>
      <c r="O443" s="4"/>
    </row>
    <row r="444" spans="13:15">
      <c r="M444" s="4"/>
      <c r="N444" s="248"/>
      <c r="O444" s="4"/>
    </row>
    <row r="445" spans="13:15">
      <c r="M445" s="4"/>
      <c r="N445" s="248"/>
      <c r="O445" s="4"/>
    </row>
    <row r="446" spans="13:15">
      <c r="M446" s="4"/>
      <c r="N446" s="248"/>
      <c r="O446" s="4"/>
    </row>
    <row r="447" spans="13:15">
      <c r="M447" s="4"/>
      <c r="N447" s="248"/>
      <c r="O447" s="4"/>
    </row>
    <row r="448" spans="13:15">
      <c r="M448" s="4"/>
      <c r="N448" s="248"/>
      <c r="O448" s="4"/>
    </row>
    <row r="449" spans="13:15">
      <c r="M449" s="4"/>
      <c r="N449" s="248"/>
      <c r="O449" s="4"/>
    </row>
    <row r="450" spans="13:15">
      <c r="M450" s="4"/>
      <c r="N450" s="248"/>
      <c r="O450" s="4"/>
    </row>
    <row r="451" spans="13:15">
      <c r="M451" s="4"/>
      <c r="N451" s="248"/>
      <c r="O451" s="4"/>
    </row>
    <row r="452" spans="13:15">
      <c r="M452" s="4"/>
      <c r="N452" s="248"/>
      <c r="O452" s="4"/>
    </row>
    <row r="453" spans="13:15">
      <c r="M453" s="4"/>
      <c r="N453" s="248"/>
      <c r="O453" s="4"/>
    </row>
    <row r="454" spans="13:15">
      <c r="M454" s="4"/>
      <c r="N454" s="248"/>
      <c r="O454" s="4"/>
    </row>
    <row r="455" spans="13:15">
      <c r="M455" s="4"/>
      <c r="N455" s="248"/>
      <c r="O455" s="4"/>
    </row>
    <row r="456" spans="13:15">
      <c r="M456" s="4"/>
      <c r="N456" s="248"/>
      <c r="O456" s="4"/>
    </row>
    <row r="457" spans="13:15">
      <c r="M457" s="4"/>
      <c r="N457" s="248"/>
      <c r="O457" s="4"/>
    </row>
    <row r="458" spans="13:15">
      <c r="M458" s="4"/>
      <c r="N458" s="248"/>
      <c r="O458" s="4"/>
    </row>
    <row r="459" spans="13:15">
      <c r="M459" s="4"/>
      <c r="N459" s="248"/>
      <c r="O459" s="4"/>
    </row>
    <row r="460" spans="13:15">
      <c r="M460" s="4"/>
      <c r="N460" s="248"/>
      <c r="O460" s="4"/>
    </row>
    <row r="461" spans="13:15">
      <c r="M461" s="4"/>
      <c r="N461" s="248"/>
      <c r="O461" s="4"/>
    </row>
    <row r="462" spans="13:15">
      <c r="M462" s="4"/>
      <c r="N462" s="248"/>
      <c r="O462" s="4"/>
    </row>
    <row r="463" spans="13:15">
      <c r="M463" s="4"/>
      <c r="N463" s="248"/>
      <c r="O463" s="4"/>
    </row>
    <row r="464" spans="13:15">
      <c r="M464" s="4"/>
      <c r="N464" s="248"/>
      <c r="O464" s="4"/>
    </row>
    <row r="465" spans="13:15">
      <c r="M465" s="4"/>
      <c r="N465" s="248"/>
      <c r="O465" s="4"/>
    </row>
    <row r="466" spans="13:15">
      <c r="M466" s="4"/>
      <c r="N466" s="248"/>
      <c r="O466" s="4"/>
    </row>
    <row r="467" spans="13:15">
      <c r="M467" s="4"/>
      <c r="N467" s="248"/>
      <c r="O467" s="4"/>
    </row>
    <row r="468" spans="13:15">
      <c r="M468" s="4"/>
      <c r="N468" s="248"/>
      <c r="O468" s="4"/>
    </row>
    <row r="469" spans="13:15">
      <c r="M469" s="4"/>
      <c r="N469" s="248"/>
      <c r="O469" s="4"/>
    </row>
    <row r="470" spans="13:15">
      <c r="M470" s="4"/>
      <c r="N470" s="248"/>
      <c r="O470" s="4"/>
    </row>
    <row r="471" spans="13:15">
      <c r="M471" s="4"/>
      <c r="N471" s="248"/>
      <c r="O471" s="4"/>
    </row>
    <row r="472" spans="13:15">
      <c r="M472" s="4"/>
      <c r="N472" s="248"/>
      <c r="O472" s="4"/>
    </row>
    <row r="473" spans="13:15">
      <c r="M473" s="4"/>
      <c r="N473" s="248"/>
      <c r="O473" s="4"/>
    </row>
    <row r="474" spans="13:15">
      <c r="M474" s="4"/>
      <c r="N474" s="248"/>
      <c r="O474" s="4"/>
    </row>
    <row r="475" spans="13:15">
      <c r="M475" s="4"/>
      <c r="N475" s="248"/>
      <c r="O475" s="4"/>
    </row>
    <row r="476" spans="13:15">
      <c r="M476" s="4"/>
      <c r="N476" s="248"/>
      <c r="O476" s="4"/>
    </row>
    <row r="477" spans="13:15">
      <c r="M477" s="4"/>
      <c r="N477" s="248"/>
      <c r="O477" s="4"/>
    </row>
    <row r="478" spans="13:15">
      <c r="M478" s="4"/>
      <c r="N478" s="248"/>
      <c r="O478" s="4"/>
    </row>
    <row r="479" spans="13:15">
      <c r="M479" s="4"/>
      <c r="N479" s="248"/>
      <c r="O479" s="4"/>
    </row>
    <row r="480" spans="13:15">
      <c r="M480" s="4"/>
      <c r="N480" s="248"/>
      <c r="O480" s="4"/>
    </row>
    <row r="481" spans="13:15">
      <c r="M481" s="4"/>
      <c r="N481" s="248"/>
      <c r="O481" s="4"/>
    </row>
    <row r="482" spans="13:15">
      <c r="M482" s="4"/>
      <c r="N482" s="248"/>
      <c r="O482" s="4"/>
    </row>
    <row r="483" spans="13:15">
      <c r="M483" s="4"/>
      <c r="N483" s="248"/>
      <c r="O483" s="4"/>
    </row>
    <row r="484" spans="13:15">
      <c r="M484" s="4"/>
      <c r="N484" s="248"/>
      <c r="O484" s="4"/>
    </row>
    <row r="485" spans="13:15">
      <c r="M485" s="4"/>
      <c r="N485" s="248"/>
      <c r="O485" s="4"/>
    </row>
    <row r="486" spans="13:15">
      <c r="M486" s="4"/>
      <c r="N486" s="248"/>
      <c r="O486" s="4"/>
    </row>
    <row r="487" spans="13:15">
      <c r="M487" s="4"/>
      <c r="N487" s="248"/>
      <c r="O487" s="4"/>
    </row>
    <row r="488" spans="13:15">
      <c r="M488" s="4"/>
      <c r="N488" s="248"/>
      <c r="O488" s="4"/>
    </row>
    <row r="489" spans="13:15">
      <c r="M489" s="4"/>
      <c r="N489" s="248"/>
      <c r="O489" s="4"/>
    </row>
    <row r="490" spans="13:15">
      <c r="M490" s="4"/>
      <c r="N490" s="248"/>
      <c r="O490" s="4"/>
    </row>
    <row r="491" spans="13:15">
      <c r="M491" s="4"/>
      <c r="N491" s="248"/>
      <c r="O491" s="4"/>
    </row>
    <row r="492" spans="13:15">
      <c r="M492" s="4"/>
      <c r="N492" s="248"/>
      <c r="O492" s="4"/>
    </row>
    <row r="493" spans="13:15">
      <c r="M493" s="4"/>
      <c r="N493" s="248"/>
      <c r="O493" s="4"/>
    </row>
    <row r="494" spans="13:15">
      <c r="M494" s="4"/>
      <c r="N494" s="248"/>
      <c r="O494" s="4"/>
    </row>
    <row r="495" spans="13:15">
      <c r="M495" s="4"/>
      <c r="N495" s="248"/>
      <c r="O495" s="4"/>
    </row>
    <row r="496" spans="13:15">
      <c r="M496" s="4"/>
      <c r="N496" s="248"/>
      <c r="O496" s="4"/>
    </row>
    <row r="497" spans="13:15">
      <c r="M497" s="4"/>
      <c r="N497" s="248"/>
      <c r="O497" s="4"/>
    </row>
    <row r="498" spans="13:15">
      <c r="M498" s="4"/>
      <c r="N498" s="248"/>
      <c r="O498" s="4"/>
    </row>
    <row r="499" spans="13:15">
      <c r="M499" s="4"/>
      <c r="N499" s="248"/>
      <c r="O499" s="4"/>
    </row>
    <row r="500" spans="13:15">
      <c r="M500" s="4"/>
      <c r="N500" s="248"/>
      <c r="O500" s="4"/>
    </row>
    <row r="501" spans="13:15">
      <c r="M501" s="4"/>
      <c r="N501" s="248"/>
      <c r="O501" s="4"/>
    </row>
    <row r="502" spans="13:15">
      <c r="M502" s="4"/>
      <c r="N502" s="248"/>
      <c r="O502" s="4"/>
    </row>
    <row r="503" spans="13:15">
      <c r="M503" s="4"/>
      <c r="N503" s="248"/>
      <c r="O503" s="4"/>
    </row>
    <row r="504" spans="13:15">
      <c r="M504" s="4"/>
      <c r="N504" s="248"/>
      <c r="O504" s="4"/>
    </row>
    <row r="505" spans="13:15">
      <c r="M505" s="4"/>
      <c r="N505" s="248"/>
      <c r="O505" s="4"/>
    </row>
    <row r="506" spans="13:15">
      <c r="M506" s="4"/>
      <c r="N506" s="248"/>
      <c r="O506" s="4"/>
    </row>
    <row r="507" spans="13:15">
      <c r="M507" s="4"/>
      <c r="N507" s="248"/>
      <c r="O507" s="4"/>
    </row>
    <row r="508" spans="13:15">
      <c r="M508" s="4"/>
      <c r="N508" s="248"/>
      <c r="O508" s="4"/>
    </row>
    <row r="509" spans="13:15">
      <c r="M509" s="4"/>
      <c r="N509" s="248"/>
      <c r="O509" s="4"/>
    </row>
    <row r="510" spans="13:15">
      <c r="M510" s="4"/>
      <c r="N510" s="248"/>
      <c r="O510" s="4"/>
    </row>
    <row r="511" spans="13:15">
      <c r="M511" s="4"/>
      <c r="N511" s="248"/>
      <c r="O511" s="4"/>
    </row>
    <row r="512" spans="13:15">
      <c r="M512" s="4"/>
      <c r="N512" s="248"/>
      <c r="O512" s="4"/>
    </row>
    <row r="513" spans="13:15">
      <c r="M513" s="4"/>
      <c r="N513" s="248"/>
      <c r="O513" s="4"/>
    </row>
    <row r="514" spans="13:15">
      <c r="M514" s="4"/>
      <c r="N514" s="248"/>
      <c r="O514" s="4"/>
    </row>
    <row r="515" spans="13:15">
      <c r="M515" s="4"/>
      <c r="N515" s="248"/>
      <c r="O515" s="4"/>
    </row>
    <row r="516" spans="13:15">
      <c r="M516" s="4"/>
      <c r="N516" s="248"/>
      <c r="O516" s="4"/>
    </row>
    <row r="517" spans="13:15">
      <c r="M517" s="4"/>
      <c r="N517" s="248"/>
      <c r="O517" s="4"/>
    </row>
    <row r="518" spans="13:15">
      <c r="M518" s="4"/>
      <c r="N518" s="248"/>
      <c r="O518" s="4"/>
    </row>
    <row r="519" spans="13:15">
      <c r="M519" s="4"/>
      <c r="N519" s="248"/>
      <c r="O519" s="4"/>
    </row>
    <row r="520" spans="13:15">
      <c r="M520" s="4"/>
      <c r="N520" s="248"/>
      <c r="O520" s="4"/>
    </row>
    <row r="521" spans="13:15">
      <c r="M521" s="4"/>
      <c r="N521" s="248"/>
      <c r="O521" s="4"/>
    </row>
    <row r="522" spans="13:15">
      <c r="M522" s="4"/>
      <c r="N522" s="248"/>
      <c r="O522" s="4"/>
    </row>
    <row r="523" spans="13:15">
      <c r="M523" s="4"/>
      <c r="N523" s="248"/>
      <c r="O523" s="4"/>
    </row>
    <row r="524" spans="13:15">
      <c r="M524" s="4"/>
      <c r="N524" s="248"/>
      <c r="O524" s="4"/>
    </row>
    <row r="525" spans="13:15">
      <c r="M525" s="4"/>
      <c r="N525" s="248"/>
      <c r="O525" s="4"/>
    </row>
    <row r="526" spans="13:15">
      <c r="M526" s="4"/>
      <c r="N526" s="248"/>
      <c r="O526" s="4"/>
    </row>
    <row r="527" spans="13:15">
      <c r="M527" s="4"/>
      <c r="N527" s="248"/>
      <c r="O527" s="4"/>
    </row>
    <row r="528" spans="13:15">
      <c r="M528" s="4"/>
      <c r="N528" s="248"/>
      <c r="O528" s="4"/>
    </row>
    <row r="529" spans="13:15">
      <c r="M529" s="4"/>
      <c r="N529" s="248"/>
      <c r="O529" s="4"/>
    </row>
    <row r="530" spans="13:15">
      <c r="M530" s="4"/>
      <c r="N530" s="248"/>
      <c r="O530" s="4"/>
    </row>
    <row r="531" spans="13:15">
      <c r="M531" s="4"/>
      <c r="N531" s="248"/>
      <c r="O531" s="4"/>
    </row>
    <row r="532" spans="13:15">
      <c r="M532" s="4"/>
      <c r="N532" s="248"/>
      <c r="O532" s="4"/>
    </row>
    <row r="533" spans="13:15">
      <c r="M533" s="4"/>
      <c r="N533" s="248"/>
      <c r="O533" s="4"/>
    </row>
    <row r="534" spans="13:15">
      <c r="M534" s="4"/>
      <c r="N534" s="248"/>
      <c r="O534" s="4"/>
    </row>
    <row r="535" spans="13:15">
      <c r="M535" s="4"/>
      <c r="N535" s="248"/>
      <c r="O535" s="4"/>
    </row>
    <row r="536" spans="13:15">
      <c r="M536" s="4"/>
      <c r="N536" s="248"/>
      <c r="O536" s="4"/>
    </row>
    <row r="537" spans="13:15">
      <c r="M537" s="4"/>
      <c r="N537" s="248"/>
      <c r="O537" s="4"/>
    </row>
    <row r="538" spans="13:15">
      <c r="M538" s="4"/>
      <c r="N538" s="248"/>
      <c r="O538" s="4"/>
    </row>
    <row r="539" spans="13:15">
      <c r="M539" s="4"/>
      <c r="N539" s="248"/>
      <c r="O539" s="4"/>
    </row>
    <row r="540" spans="13:15">
      <c r="M540" s="4"/>
      <c r="N540" s="248"/>
      <c r="O540" s="4"/>
    </row>
    <row r="541" spans="13:15">
      <c r="M541" s="4"/>
      <c r="N541" s="248"/>
      <c r="O541" s="4"/>
    </row>
    <row r="542" spans="13:15">
      <c r="M542" s="4"/>
      <c r="N542" s="248"/>
      <c r="O542" s="4"/>
    </row>
    <row r="543" spans="13:15">
      <c r="M543" s="4"/>
      <c r="N543" s="248"/>
      <c r="O543" s="4"/>
    </row>
    <row r="544" spans="13:15">
      <c r="M544" s="4"/>
      <c r="N544" s="248"/>
      <c r="O544" s="4"/>
    </row>
    <row r="545" spans="13:15">
      <c r="M545" s="4"/>
      <c r="N545" s="248"/>
      <c r="O545" s="4"/>
    </row>
    <row r="546" spans="13:15">
      <c r="M546" s="4"/>
      <c r="N546" s="248"/>
      <c r="O546" s="4"/>
    </row>
    <row r="547" spans="13:15">
      <c r="M547" s="4"/>
      <c r="N547" s="248"/>
      <c r="O547" s="4"/>
    </row>
    <row r="548" spans="13:15">
      <c r="M548" s="4"/>
      <c r="N548" s="248"/>
      <c r="O548" s="4"/>
    </row>
    <row r="549" spans="13:15">
      <c r="M549" s="4"/>
      <c r="N549" s="248"/>
      <c r="O549" s="4"/>
    </row>
    <row r="550" spans="13:15">
      <c r="M550" s="4"/>
      <c r="N550" s="248"/>
      <c r="O550" s="4"/>
    </row>
    <row r="551" spans="13:15">
      <c r="M551" s="4"/>
      <c r="N551" s="248"/>
      <c r="O551" s="4"/>
    </row>
    <row r="552" spans="13:15">
      <c r="M552" s="4"/>
      <c r="N552" s="248"/>
      <c r="O552" s="4"/>
    </row>
    <row r="553" spans="13:15">
      <c r="M553" s="4"/>
      <c r="N553" s="248"/>
      <c r="O553" s="4"/>
    </row>
    <row r="554" spans="13:15">
      <c r="M554" s="4"/>
      <c r="N554" s="248"/>
      <c r="O554" s="4"/>
    </row>
    <row r="555" spans="13:15">
      <c r="M555" s="4"/>
      <c r="N555" s="248"/>
      <c r="O555" s="4"/>
    </row>
    <row r="556" spans="13:15">
      <c r="M556" s="4"/>
      <c r="N556" s="248"/>
      <c r="O556" s="4"/>
    </row>
    <row r="557" spans="13:15">
      <c r="M557" s="4"/>
      <c r="N557" s="248"/>
      <c r="O557" s="4"/>
    </row>
    <row r="558" spans="13:15">
      <c r="M558" s="4"/>
      <c r="N558" s="248"/>
      <c r="O558" s="4"/>
    </row>
    <row r="559" spans="13:15">
      <c r="M559" s="4"/>
      <c r="N559" s="248"/>
      <c r="O559" s="4"/>
    </row>
    <row r="560" spans="13:15">
      <c r="M560" s="4"/>
      <c r="N560" s="248"/>
      <c r="O560" s="4"/>
    </row>
    <row r="561" spans="13:15">
      <c r="M561" s="4"/>
      <c r="N561" s="248"/>
      <c r="O561" s="4"/>
    </row>
    <row r="562" spans="13:15">
      <c r="M562" s="4"/>
      <c r="N562" s="248"/>
      <c r="O562" s="4"/>
    </row>
    <row r="563" spans="13:15">
      <c r="M563" s="4"/>
      <c r="N563" s="248"/>
      <c r="O563" s="4"/>
    </row>
    <row r="564" spans="13:15">
      <c r="M564" s="4"/>
      <c r="N564" s="248"/>
      <c r="O564" s="4"/>
    </row>
    <row r="565" spans="13:15">
      <c r="M565" s="4"/>
      <c r="N565" s="248"/>
      <c r="O565" s="4"/>
    </row>
    <row r="566" spans="13:15">
      <c r="M566" s="4"/>
      <c r="N566" s="248"/>
      <c r="O566" s="4"/>
    </row>
    <row r="567" spans="13:15">
      <c r="M567" s="4"/>
      <c r="N567" s="248"/>
      <c r="O567" s="4"/>
    </row>
    <row r="568" spans="13:15">
      <c r="M568" s="4"/>
      <c r="N568" s="248"/>
      <c r="O568" s="4"/>
    </row>
    <row r="569" spans="13:15">
      <c r="M569" s="4"/>
      <c r="N569" s="248"/>
      <c r="O569" s="4"/>
    </row>
    <row r="570" spans="13:15">
      <c r="M570" s="4"/>
      <c r="N570" s="248"/>
      <c r="O570" s="4"/>
    </row>
    <row r="571" spans="13:15">
      <c r="M571" s="4"/>
      <c r="N571" s="248"/>
      <c r="O571" s="4"/>
    </row>
    <row r="572" spans="13:15">
      <c r="M572" s="4"/>
      <c r="N572" s="248"/>
      <c r="O572" s="4"/>
    </row>
    <row r="573" spans="13:15">
      <c r="M573" s="4"/>
      <c r="N573" s="248"/>
      <c r="O573" s="4"/>
    </row>
    <row r="574" spans="13:15">
      <c r="M574" s="4"/>
      <c r="N574" s="248"/>
      <c r="O574" s="4"/>
    </row>
    <row r="575" spans="13:15">
      <c r="M575" s="4"/>
      <c r="N575" s="248"/>
      <c r="O575" s="4"/>
    </row>
    <row r="576" spans="13:15">
      <c r="M576" s="4"/>
      <c r="N576" s="248"/>
      <c r="O576" s="4"/>
    </row>
    <row r="577" spans="13:15">
      <c r="M577" s="4"/>
      <c r="N577" s="248"/>
      <c r="O577" s="4"/>
    </row>
    <row r="578" spans="13:15">
      <c r="M578" s="4"/>
      <c r="N578" s="248"/>
      <c r="O578" s="4"/>
    </row>
    <row r="579" spans="13:15">
      <c r="M579" s="4"/>
      <c r="N579" s="248"/>
      <c r="O579" s="4"/>
    </row>
    <row r="580" spans="13:15">
      <c r="M580" s="4"/>
      <c r="N580" s="248"/>
      <c r="O580" s="4"/>
    </row>
    <row r="581" spans="13:15">
      <c r="M581" s="4"/>
      <c r="N581" s="248"/>
      <c r="O581" s="4"/>
    </row>
    <row r="582" spans="13:15">
      <c r="M582" s="4"/>
      <c r="N582" s="248"/>
      <c r="O582" s="4"/>
    </row>
    <row r="583" spans="13:15">
      <c r="M583" s="4"/>
      <c r="N583" s="248"/>
      <c r="O583" s="4"/>
    </row>
    <row r="584" spans="13:15">
      <c r="M584" s="4"/>
      <c r="N584" s="248"/>
      <c r="O584" s="4"/>
    </row>
    <row r="585" spans="13:15">
      <c r="M585" s="4"/>
      <c r="N585" s="248"/>
      <c r="O585" s="4"/>
    </row>
    <row r="586" spans="13:15">
      <c r="M586" s="4"/>
      <c r="N586" s="248"/>
      <c r="O586" s="4"/>
    </row>
    <row r="587" spans="13:15">
      <c r="M587" s="4"/>
      <c r="N587" s="248"/>
      <c r="O587" s="4"/>
    </row>
    <row r="588" spans="13:15">
      <c r="M588" s="4"/>
      <c r="N588" s="248"/>
      <c r="O588" s="4"/>
    </row>
    <row r="589" spans="13:15">
      <c r="M589" s="4"/>
      <c r="N589" s="248"/>
      <c r="O589" s="4"/>
    </row>
    <row r="590" spans="13:15">
      <c r="M590" s="4"/>
      <c r="N590" s="248"/>
      <c r="O590" s="4"/>
    </row>
    <row r="591" spans="13:15">
      <c r="M591" s="4"/>
      <c r="N591" s="248"/>
      <c r="O591" s="4"/>
    </row>
    <row r="592" spans="13:15">
      <c r="M592" s="4"/>
      <c r="N592" s="248"/>
      <c r="O592" s="4"/>
    </row>
    <row r="593" spans="13:15">
      <c r="M593" s="4"/>
      <c r="N593" s="248"/>
      <c r="O593" s="4"/>
    </row>
    <row r="594" spans="13:15">
      <c r="M594" s="4"/>
      <c r="N594" s="248"/>
      <c r="O594" s="4"/>
    </row>
    <row r="595" spans="13:15">
      <c r="M595" s="4"/>
      <c r="N595" s="248"/>
      <c r="O595" s="4"/>
    </row>
    <row r="596" spans="13:15">
      <c r="M596" s="4"/>
      <c r="N596" s="248"/>
      <c r="O596" s="4"/>
    </row>
    <row r="597" spans="13:15">
      <c r="M597" s="4"/>
      <c r="N597" s="248"/>
      <c r="O597" s="4"/>
    </row>
    <row r="598" spans="13:15">
      <c r="M598" s="4"/>
      <c r="N598" s="248"/>
      <c r="O598" s="4"/>
    </row>
    <row r="599" spans="13:15">
      <c r="M599" s="4"/>
      <c r="N599" s="248"/>
      <c r="O599" s="4"/>
    </row>
    <row r="600" spans="13:15">
      <c r="M600" s="4"/>
      <c r="N600" s="248"/>
      <c r="O600" s="4"/>
    </row>
    <row r="601" spans="13:15">
      <c r="M601" s="4"/>
      <c r="N601" s="248"/>
      <c r="O601" s="4"/>
    </row>
    <row r="602" spans="13:15">
      <c r="M602" s="4"/>
      <c r="N602" s="248"/>
      <c r="O602" s="4"/>
    </row>
    <row r="603" spans="13:15">
      <c r="M603" s="4"/>
      <c r="N603" s="248"/>
      <c r="O603" s="4"/>
    </row>
    <row r="604" spans="13:15">
      <c r="M604" s="4"/>
      <c r="N604" s="248"/>
      <c r="O604" s="4"/>
    </row>
    <row r="605" spans="13:15">
      <c r="M605" s="4"/>
      <c r="N605" s="248"/>
      <c r="O605" s="4"/>
    </row>
    <row r="606" spans="13:15">
      <c r="M606" s="4"/>
      <c r="N606" s="248"/>
      <c r="O606" s="4"/>
    </row>
    <row r="607" spans="13:15">
      <c r="M607" s="4"/>
      <c r="N607" s="248"/>
      <c r="O607" s="4"/>
    </row>
    <row r="608" spans="13:15">
      <c r="M608" s="4"/>
      <c r="N608" s="248"/>
      <c r="O608" s="4"/>
    </row>
    <row r="609" spans="13:15">
      <c r="M609" s="4"/>
      <c r="N609" s="248"/>
      <c r="O609" s="4"/>
    </row>
    <row r="610" spans="13:15">
      <c r="M610" s="4"/>
      <c r="N610" s="248"/>
      <c r="O610" s="4"/>
    </row>
    <row r="611" spans="13:15">
      <c r="M611" s="4"/>
      <c r="N611" s="248"/>
      <c r="O611" s="4"/>
    </row>
    <row r="612" spans="13:15">
      <c r="M612" s="4"/>
      <c r="N612" s="248"/>
      <c r="O612" s="4"/>
    </row>
    <row r="613" spans="13:15">
      <c r="M613" s="4"/>
      <c r="N613" s="248"/>
      <c r="O613" s="4"/>
    </row>
    <row r="614" spans="13:15">
      <c r="M614" s="4"/>
      <c r="N614" s="248"/>
      <c r="O614" s="4"/>
    </row>
    <row r="615" spans="13:15">
      <c r="M615" s="4"/>
      <c r="N615" s="248"/>
      <c r="O615" s="4"/>
    </row>
    <row r="616" spans="13:15">
      <c r="M616" s="4"/>
      <c r="N616" s="248"/>
      <c r="O616" s="4"/>
    </row>
    <row r="617" spans="13:15">
      <c r="M617" s="4"/>
      <c r="N617" s="248"/>
      <c r="O617" s="4"/>
    </row>
    <row r="618" spans="13:15">
      <c r="M618" s="4"/>
      <c r="N618" s="248"/>
      <c r="O618" s="4"/>
    </row>
    <row r="619" spans="13:15">
      <c r="M619" s="4"/>
      <c r="N619" s="248"/>
      <c r="O619" s="4"/>
    </row>
    <row r="620" spans="13:15">
      <c r="M620" s="4"/>
      <c r="N620" s="248"/>
      <c r="O620" s="4"/>
    </row>
    <row r="621" spans="13:15">
      <c r="M621" s="4"/>
      <c r="N621" s="248"/>
      <c r="O621" s="4"/>
    </row>
    <row r="622" spans="13:15">
      <c r="M622" s="4"/>
      <c r="N622" s="248"/>
      <c r="O622" s="4"/>
    </row>
    <row r="623" spans="13:15">
      <c r="M623" s="4"/>
      <c r="N623" s="248"/>
      <c r="O623" s="4"/>
    </row>
    <row r="624" spans="13:15">
      <c r="M624" s="4"/>
      <c r="N624" s="248"/>
      <c r="O624" s="4"/>
    </row>
    <row r="625" spans="13:15">
      <c r="M625" s="4"/>
      <c r="N625" s="248"/>
      <c r="O625" s="4"/>
    </row>
    <row r="626" spans="13:15">
      <c r="M626" s="4"/>
      <c r="N626" s="248"/>
      <c r="O626" s="4"/>
    </row>
    <row r="627" spans="13:15">
      <c r="M627" s="4"/>
      <c r="N627" s="248"/>
      <c r="O627" s="4"/>
    </row>
    <row r="628" spans="13:15">
      <c r="M628" s="4"/>
      <c r="N628" s="248"/>
      <c r="O628" s="4"/>
    </row>
    <row r="629" spans="13:15">
      <c r="M629" s="4"/>
      <c r="N629" s="248"/>
      <c r="O629" s="4"/>
    </row>
    <row r="630" spans="13:15">
      <c r="M630" s="4"/>
      <c r="N630" s="248"/>
      <c r="O630" s="4"/>
    </row>
    <row r="631" spans="13:15">
      <c r="M631" s="4"/>
      <c r="N631" s="248"/>
      <c r="O631" s="4"/>
    </row>
    <row r="632" spans="13:15">
      <c r="M632" s="4"/>
      <c r="N632" s="248"/>
      <c r="O632" s="4"/>
    </row>
    <row r="633" spans="13:15">
      <c r="M633" s="4"/>
      <c r="N633" s="248"/>
      <c r="O633" s="4"/>
    </row>
    <row r="634" spans="13:15">
      <c r="M634" s="4"/>
      <c r="N634" s="248"/>
      <c r="O634" s="4"/>
    </row>
    <row r="635" spans="13:15">
      <c r="M635" s="4"/>
      <c r="N635" s="248"/>
      <c r="O635" s="4"/>
    </row>
    <row r="636" spans="13:15">
      <c r="M636" s="4"/>
      <c r="N636" s="248"/>
      <c r="O636" s="4"/>
    </row>
    <row r="637" spans="13:15">
      <c r="M637" s="4"/>
      <c r="N637" s="248"/>
      <c r="O637" s="4"/>
    </row>
    <row r="638" spans="13:15">
      <c r="M638" s="4"/>
      <c r="N638" s="248"/>
      <c r="O638" s="4"/>
    </row>
    <row r="639" spans="13:15">
      <c r="M639" s="4"/>
      <c r="N639" s="248"/>
      <c r="O639" s="4"/>
    </row>
    <row r="640" spans="13:15">
      <c r="M640" s="4"/>
      <c r="N640" s="248"/>
      <c r="O640" s="4"/>
    </row>
    <row r="641" spans="13:15">
      <c r="M641" s="4"/>
      <c r="N641" s="248"/>
      <c r="O641" s="4"/>
    </row>
    <row r="642" spans="13:15">
      <c r="M642" s="4"/>
      <c r="N642" s="248"/>
      <c r="O642" s="4"/>
    </row>
    <row r="643" spans="13:15">
      <c r="M643" s="4"/>
      <c r="N643" s="248"/>
      <c r="O643" s="4"/>
    </row>
    <row r="644" spans="13:15">
      <c r="M644" s="4"/>
      <c r="N644" s="248"/>
      <c r="O644" s="4"/>
    </row>
    <row r="645" spans="13:15">
      <c r="M645" s="4"/>
      <c r="N645" s="248"/>
      <c r="O645" s="4"/>
    </row>
    <row r="646" spans="13:15">
      <c r="M646" s="4"/>
      <c r="N646" s="248"/>
      <c r="O646" s="4"/>
    </row>
    <row r="647" spans="13:15">
      <c r="M647" s="4"/>
      <c r="N647" s="248"/>
      <c r="O647" s="4"/>
    </row>
    <row r="648" spans="13:15">
      <c r="M648" s="4"/>
      <c r="N648" s="248"/>
      <c r="O648" s="4"/>
    </row>
    <row r="649" spans="13:15">
      <c r="M649" s="4"/>
      <c r="N649" s="248"/>
      <c r="O649" s="4"/>
    </row>
    <row r="650" spans="13:15">
      <c r="M650" s="4"/>
      <c r="N650" s="248"/>
      <c r="O650" s="4"/>
    </row>
    <row r="651" spans="13:15">
      <c r="M651" s="4"/>
      <c r="N651" s="248"/>
      <c r="O651" s="4"/>
    </row>
    <row r="652" spans="13:15">
      <c r="M652" s="4"/>
      <c r="N652" s="248"/>
      <c r="O652" s="4"/>
    </row>
    <row r="653" spans="13:15">
      <c r="M653" s="4"/>
      <c r="N653" s="248"/>
      <c r="O653" s="4"/>
    </row>
    <row r="654" spans="13:15">
      <c r="M654" s="4"/>
      <c r="N654" s="248"/>
      <c r="O654" s="4"/>
    </row>
    <row r="655" spans="13:15">
      <c r="M655" s="4"/>
      <c r="N655" s="248"/>
      <c r="O655" s="4"/>
    </row>
    <row r="656" spans="13:15">
      <c r="M656" s="4"/>
      <c r="N656" s="248"/>
      <c r="O656" s="4"/>
    </row>
    <row r="657" spans="13:15">
      <c r="M657" s="4"/>
      <c r="N657" s="248"/>
      <c r="O657" s="4"/>
    </row>
    <row r="658" spans="13:15">
      <c r="M658" s="4"/>
      <c r="N658" s="248"/>
      <c r="O658" s="4"/>
    </row>
    <row r="659" spans="13:15">
      <c r="M659" s="4"/>
      <c r="N659" s="248"/>
      <c r="O659" s="4"/>
    </row>
    <row r="660" spans="13:15">
      <c r="M660" s="4"/>
      <c r="N660" s="248"/>
      <c r="O660" s="4"/>
    </row>
    <row r="661" spans="13:15">
      <c r="M661" s="4"/>
      <c r="N661" s="248"/>
      <c r="O661" s="4"/>
    </row>
    <row r="662" spans="13:15">
      <c r="M662" s="4"/>
      <c r="N662" s="248"/>
      <c r="O662" s="4"/>
    </row>
    <row r="663" spans="13:15">
      <c r="M663" s="4"/>
      <c r="N663" s="248"/>
      <c r="O663" s="4"/>
    </row>
    <row r="664" spans="13:15">
      <c r="M664" s="4"/>
      <c r="N664" s="248"/>
      <c r="O664" s="4"/>
    </row>
    <row r="665" spans="13:15">
      <c r="M665" s="4"/>
      <c r="N665" s="248"/>
      <c r="O665" s="4"/>
    </row>
    <row r="666" spans="13:15">
      <c r="M666" s="4"/>
      <c r="N666" s="248"/>
      <c r="O666" s="4"/>
    </row>
    <row r="667" spans="13:15">
      <c r="M667" s="4"/>
      <c r="N667" s="248"/>
      <c r="O667" s="4"/>
    </row>
    <row r="668" spans="13:15">
      <c r="M668" s="4"/>
      <c r="N668" s="248"/>
      <c r="O668" s="4"/>
    </row>
    <row r="669" spans="13:15">
      <c r="M669" s="4"/>
      <c r="N669" s="248"/>
      <c r="O669" s="4"/>
    </row>
    <row r="670" spans="13:15">
      <c r="M670" s="4"/>
      <c r="N670" s="248"/>
      <c r="O670" s="4"/>
    </row>
    <row r="671" spans="13:15">
      <c r="M671" s="4"/>
      <c r="N671" s="248"/>
      <c r="O671" s="4"/>
    </row>
    <row r="672" spans="13:15">
      <c r="M672" s="4"/>
      <c r="N672" s="248"/>
      <c r="O672" s="4"/>
    </row>
    <row r="673" spans="13:15">
      <c r="M673" s="4"/>
      <c r="N673" s="248"/>
      <c r="O673" s="4"/>
    </row>
    <row r="674" spans="13:15">
      <c r="M674" s="4"/>
      <c r="N674" s="248"/>
      <c r="O674" s="4"/>
    </row>
    <row r="675" spans="13:15">
      <c r="M675" s="4"/>
      <c r="N675" s="248"/>
      <c r="O675" s="4"/>
    </row>
    <row r="676" spans="13:15">
      <c r="M676" s="4"/>
      <c r="N676" s="248"/>
      <c r="O676" s="4"/>
    </row>
    <row r="677" spans="13:15">
      <c r="M677" s="4"/>
      <c r="N677" s="248"/>
      <c r="O677" s="4"/>
    </row>
    <row r="678" spans="13:15">
      <c r="M678" s="4"/>
      <c r="N678" s="248"/>
      <c r="O678" s="4"/>
    </row>
    <row r="679" spans="13:15">
      <c r="M679" s="4"/>
      <c r="N679" s="248"/>
      <c r="O679" s="4"/>
    </row>
    <row r="680" spans="13:15">
      <c r="M680" s="4"/>
      <c r="N680" s="248"/>
      <c r="O680" s="4"/>
    </row>
    <row r="681" spans="13:15">
      <c r="M681" s="4"/>
      <c r="N681" s="248"/>
      <c r="O681" s="4"/>
    </row>
    <row r="682" spans="13:15">
      <c r="M682" s="4"/>
      <c r="N682" s="248"/>
      <c r="O682" s="4"/>
    </row>
    <row r="683" spans="13:15">
      <c r="M683" s="4"/>
      <c r="N683" s="248"/>
      <c r="O683" s="4"/>
    </row>
    <row r="684" spans="13:15">
      <c r="M684" s="4"/>
      <c r="N684" s="248"/>
      <c r="O684" s="4"/>
    </row>
    <row r="685" spans="13:15">
      <c r="M685" s="4"/>
      <c r="N685" s="248"/>
      <c r="O685" s="4"/>
    </row>
    <row r="686" spans="13:15">
      <c r="M686" s="4"/>
      <c r="N686" s="248"/>
      <c r="O686" s="4"/>
    </row>
    <row r="687" spans="13:15">
      <c r="M687" s="4"/>
      <c r="N687" s="248"/>
      <c r="O687" s="4"/>
    </row>
    <row r="688" spans="13:15">
      <c r="M688" s="4"/>
      <c r="N688" s="248"/>
      <c r="O688" s="4"/>
    </row>
    <row r="689" spans="13:15">
      <c r="M689" s="4"/>
      <c r="N689" s="248"/>
      <c r="O689" s="4"/>
    </row>
    <row r="690" spans="13:15">
      <c r="M690" s="4"/>
      <c r="N690" s="248"/>
      <c r="O690" s="4"/>
    </row>
    <row r="691" spans="13:15">
      <c r="M691" s="4"/>
      <c r="N691" s="248"/>
      <c r="O691" s="4"/>
    </row>
    <row r="692" spans="13:15">
      <c r="M692" s="4"/>
      <c r="N692" s="248"/>
      <c r="O692" s="4"/>
    </row>
    <row r="693" spans="13:15">
      <c r="M693" s="4"/>
      <c r="N693" s="248"/>
      <c r="O693" s="4"/>
    </row>
    <row r="694" spans="13:15">
      <c r="M694" s="4"/>
      <c r="N694" s="248"/>
      <c r="O694" s="4"/>
    </row>
    <row r="695" spans="13:15">
      <c r="M695" s="4"/>
      <c r="N695" s="248"/>
      <c r="O695" s="4"/>
    </row>
    <row r="696" spans="13:15">
      <c r="M696" s="4"/>
      <c r="N696" s="248"/>
      <c r="O696" s="4"/>
    </row>
    <row r="697" spans="13:15">
      <c r="M697" s="4"/>
      <c r="N697" s="248"/>
      <c r="O697" s="4"/>
    </row>
    <row r="698" spans="13:15">
      <c r="M698" s="4"/>
      <c r="N698" s="248"/>
      <c r="O698" s="4"/>
    </row>
    <row r="699" spans="13:15">
      <c r="M699" s="4"/>
      <c r="N699" s="248"/>
      <c r="O699" s="4"/>
    </row>
    <row r="700" spans="13:15">
      <c r="M700" s="4"/>
      <c r="N700" s="248"/>
      <c r="O700" s="4"/>
    </row>
    <row r="701" spans="13:15">
      <c r="M701" s="4"/>
      <c r="N701" s="248"/>
      <c r="O701" s="4"/>
    </row>
    <row r="702" spans="13:15">
      <c r="M702" s="4"/>
      <c r="N702" s="248"/>
      <c r="O702" s="4"/>
    </row>
    <row r="703" spans="13:15">
      <c r="M703" s="4"/>
      <c r="N703" s="248"/>
      <c r="O703" s="4"/>
    </row>
    <row r="704" spans="13:15">
      <c r="M704" s="4"/>
      <c r="N704" s="248"/>
      <c r="O704" s="4"/>
    </row>
    <row r="705" spans="13:15">
      <c r="M705" s="4"/>
      <c r="N705" s="248"/>
      <c r="O705" s="4"/>
    </row>
    <row r="706" spans="13:15">
      <c r="M706" s="4"/>
      <c r="N706" s="248"/>
      <c r="O706" s="4"/>
    </row>
    <row r="707" spans="13:15">
      <c r="M707" s="4"/>
      <c r="N707" s="248"/>
      <c r="O707" s="4"/>
    </row>
    <row r="708" spans="13:15">
      <c r="M708" s="4"/>
      <c r="N708" s="248"/>
      <c r="O708" s="4"/>
    </row>
    <row r="709" spans="13:15">
      <c r="M709" s="4"/>
      <c r="N709" s="248"/>
      <c r="O709" s="4"/>
    </row>
    <row r="710" spans="13:15">
      <c r="M710" s="4"/>
      <c r="N710" s="248"/>
      <c r="O710" s="4"/>
    </row>
    <row r="711" spans="13:15">
      <c r="M711" s="4"/>
      <c r="N711" s="248"/>
      <c r="O711" s="4"/>
    </row>
    <row r="712" spans="13:15">
      <c r="M712" s="4"/>
      <c r="N712" s="248"/>
      <c r="O712" s="4"/>
    </row>
    <row r="713" spans="13:15">
      <c r="M713" s="4"/>
      <c r="N713" s="248"/>
      <c r="O713" s="4"/>
    </row>
    <row r="714" spans="13:15">
      <c r="M714" s="4"/>
      <c r="N714" s="248"/>
      <c r="O714" s="4"/>
    </row>
    <row r="715" spans="13:15">
      <c r="M715" s="4"/>
      <c r="N715" s="248"/>
      <c r="O715" s="4"/>
    </row>
    <row r="716" spans="13:15">
      <c r="M716" s="4"/>
      <c r="N716" s="248"/>
      <c r="O716" s="4"/>
    </row>
    <row r="717" spans="13:15">
      <c r="M717" s="4"/>
      <c r="N717" s="248"/>
      <c r="O717" s="4"/>
    </row>
    <row r="718" spans="13:15">
      <c r="M718" s="4"/>
      <c r="N718" s="248"/>
      <c r="O718" s="4"/>
    </row>
    <row r="719" spans="13:15">
      <c r="M719" s="4"/>
      <c r="N719" s="248"/>
      <c r="O719" s="4"/>
    </row>
    <row r="720" spans="13:15">
      <c r="M720" s="4"/>
      <c r="N720" s="248"/>
      <c r="O720" s="4"/>
    </row>
    <row r="721" spans="13:15">
      <c r="M721" s="4"/>
      <c r="N721" s="248"/>
      <c r="O721" s="4"/>
    </row>
    <row r="722" spans="13:15">
      <c r="M722" s="4"/>
      <c r="N722" s="248"/>
      <c r="O722" s="4"/>
    </row>
    <row r="723" spans="13:15">
      <c r="M723" s="4"/>
      <c r="N723" s="248"/>
      <c r="O723" s="4"/>
    </row>
    <row r="724" spans="13:15">
      <c r="M724" s="4"/>
      <c r="N724" s="248"/>
      <c r="O724" s="4"/>
    </row>
    <row r="725" spans="13:15">
      <c r="M725" s="4"/>
      <c r="N725" s="248"/>
      <c r="O725" s="4"/>
    </row>
    <row r="726" spans="13:15">
      <c r="M726" s="4"/>
      <c r="N726" s="248"/>
      <c r="O726" s="4"/>
    </row>
    <row r="727" spans="13:15">
      <c r="M727" s="4"/>
      <c r="N727" s="248"/>
      <c r="O727" s="4"/>
    </row>
    <row r="728" spans="13:15">
      <c r="M728" s="4"/>
      <c r="N728" s="248"/>
      <c r="O728" s="4"/>
    </row>
    <row r="729" spans="13:15">
      <c r="M729" s="4"/>
      <c r="N729" s="248"/>
      <c r="O729" s="4"/>
    </row>
    <row r="730" spans="13:15">
      <c r="M730" s="4"/>
      <c r="N730" s="248"/>
      <c r="O730" s="4"/>
    </row>
    <row r="731" spans="13:15">
      <c r="M731" s="4"/>
      <c r="N731" s="248"/>
      <c r="O731" s="4"/>
    </row>
    <row r="732" spans="13:15">
      <c r="M732" s="4"/>
      <c r="N732" s="248"/>
      <c r="O732" s="4"/>
    </row>
    <row r="733" spans="13:15">
      <c r="M733" s="4"/>
      <c r="N733" s="248"/>
      <c r="O733" s="4"/>
    </row>
    <row r="734" spans="13:15">
      <c r="M734" s="4"/>
      <c r="N734" s="248"/>
      <c r="O734" s="4"/>
    </row>
    <row r="735" spans="13:15">
      <c r="M735" s="4"/>
      <c r="N735" s="248"/>
      <c r="O735" s="4"/>
    </row>
    <row r="736" spans="13:15">
      <c r="M736" s="4"/>
      <c r="N736" s="248"/>
      <c r="O736" s="4"/>
    </row>
    <row r="737" spans="13:15">
      <c r="M737" s="4"/>
      <c r="N737" s="248"/>
      <c r="O737" s="4"/>
    </row>
    <row r="738" spans="13:15">
      <c r="M738" s="4"/>
      <c r="N738" s="248"/>
      <c r="O738" s="4"/>
    </row>
    <row r="739" spans="13:15">
      <c r="M739" s="4"/>
      <c r="N739" s="248"/>
      <c r="O739" s="4"/>
    </row>
    <row r="740" spans="13:15">
      <c r="M740" s="4"/>
      <c r="N740" s="248"/>
      <c r="O740" s="4"/>
    </row>
    <row r="741" spans="13:15">
      <c r="M741" s="4"/>
      <c r="N741" s="248"/>
      <c r="O741" s="4"/>
    </row>
    <row r="742" spans="13:15">
      <c r="M742" s="4"/>
      <c r="N742" s="248"/>
      <c r="O742" s="4"/>
    </row>
    <row r="743" spans="13:15">
      <c r="M743" s="4"/>
      <c r="N743" s="248"/>
      <c r="O743" s="4"/>
    </row>
    <row r="744" spans="13:15">
      <c r="M744" s="4"/>
      <c r="N744" s="248"/>
      <c r="O744" s="4"/>
    </row>
    <row r="745" spans="13:15">
      <c r="M745" s="4"/>
      <c r="N745" s="248"/>
      <c r="O745" s="4"/>
    </row>
    <row r="746" spans="13:15">
      <c r="M746" s="4"/>
      <c r="N746" s="248"/>
      <c r="O746" s="4"/>
    </row>
    <row r="747" spans="13:15">
      <c r="M747" s="4"/>
      <c r="N747" s="248"/>
      <c r="O747" s="4"/>
    </row>
    <row r="748" spans="13:15">
      <c r="M748" s="4"/>
      <c r="N748" s="248"/>
      <c r="O748" s="4"/>
    </row>
    <row r="749" spans="13:15">
      <c r="M749" s="4"/>
      <c r="N749" s="248"/>
      <c r="O749" s="4"/>
    </row>
    <row r="750" spans="13:15">
      <c r="M750" s="4"/>
      <c r="N750" s="248"/>
      <c r="O750" s="4"/>
    </row>
    <row r="751" spans="13:15">
      <c r="M751" s="4"/>
      <c r="N751" s="248"/>
      <c r="O751" s="4"/>
    </row>
    <row r="752" spans="13:15">
      <c r="M752" s="4"/>
      <c r="N752" s="248"/>
      <c r="O752" s="4"/>
    </row>
    <row r="753" spans="13:15">
      <c r="M753" s="4"/>
      <c r="N753" s="248"/>
      <c r="O753" s="4"/>
    </row>
    <row r="754" spans="13:15">
      <c r="M754" s="4"/>
      <c r="N754" s="248"/>
      <c r="O754" s="4"/>
    </row>
    <row r="755" spans="13:15">
      <c r="M755" s="4"/>
      <c r="N755" s="248"/>
      <c r="O755" s="4"/>
    </row>
    <row r="756" spans="13:15">
      <c r="M756" s="4"/>
      <c r="N756" s="248"/>
      <c r="O756" s="4"/>
    </row>
    <row r="757" spans="13:15">
      <c r="M757" s="4"/>
      <c r="N757" s="248"/>
      <c r="O757" s="4"/>
    </row>
    <row r="758" spans="13:15">
      <c r="M758" s="4"/>
      <c r="N758" s="248"/>
      <c r="O758" s="4"/>
    </row>
    <row r="759" spans="13:15">
      <c r="M759" s="4"/>
      <c r="N759" s="248"/>
      <c r="O759" s="4"/>
    </row>
    <row r="760" spans="13:15">
      <c r="M760" s="4"/>
      <c r="N760" s="248"/>
      <c r="O760" s="4"/>
    </row>
    <row r="761" spans="13:15">
      <c r="M761" s="4"/>
      <c r="N761" s="248"/>
      <c r="O761" s="4"/>
    </row>
    <row r="762" spans="13:15">
      <c r="M762" s="4"/>
      <c r="N762" s="248"/>
      <c r="O762" s="4"/>
    </row>
    <row r="763" spans="13:15">
      <c r="M763" s="4"/>
      <c r="N763" s="248"/>
      <c r="O763" s="4"/>
    </row>
    <row r="764" spans="13:15">
      <c r="M764" s="4"/>
      <c r="N764" s="248"/>
      <c r="O764" s="4"/>
    </row>
    <row r="765" spans="13:15">
      <c r="M765" s="4"/>
      <c r="N765" s="248"/>
      <c r="O765" s="4"/>
    </row>
    <row r="766" spans="13:15">
      <c r="M766" s="4"/>
      <c r="N766" s="248"/>
      <c r="O766" s="4"/>
    </row>
    <row r="767" spans="13:15">
      <c r="M767" s="4"/>
      <c r="N767" s="248"/>
      <c r="O767" s="4"/>
    </row>
    <row r="768" spans="13:15">
      <c r="M768" s="4"/>
      <c r="N768" s="248"/>
      <c r="O768" s="4"/>
    </row>
    <row r="769" spans="13:15">
      <c r="M769" s="4"/>
      <c r="N769" s="248"/>
      <c r="O769" s="4"/>
    </row>
    <row r="770" spans="13:15">
      <c r="M770" s="4"/>
      <c r="N770" s="248"/>
      <c r="O770" s="4"/>
    </row>
    <row r="771" spans="13:15">
      <c r="M771" s="4"/>
      <c r="N771" s="248"/>
      <c r="O771" s="4"/>
    </row>
    <row r="772" spans="13:15">
      <c r="M772" s="4"/>
      <c r="N772" s="248"/>
      <c r="O772" s="4"/>
    </row>
    <row r="773" spans="13:15">
      <c r="M773" s="4"/>
      <c r="N773" s="248"/>
      <c r="O773" s="4"/>
    </row>
    <row r="774" spans="13:15">
      <c r="M774" s="4"/>
      <c r="N774" s="248"/>
      <c r="O774" s="4"/>
    </row>
    <row r="775" spans="13:15">
      <c r="M775" s="4"/>
      <c r="N775" s="248"/>
      <c r="O775" s="4"/>
    </row>
    <row r="776" spans="13:15">
      <c r="M776" s="4"/>
      <c r="N776" s="248"/>
      <c r="O776" s="4"/>
    </row>
    <row r="777" spans="13:15">
      <c r="M777" s="4"/>
      <c r="N777" s="248"/>
      <c r="O777" s="4"/>
    </row>
    <row r="778" spans="13:15">
      <c r="M778" s="4"/>
      <c r="N778" s="248"/>
      <c r="O778" s="4"/>
    </row>
    <row r="779" spans="13:15">
      <c r="M779" s="4"/>
      <c r="N779" s="248"/>
      <c r="O779" s="4"/>
    </row>
    <row r="780" spans="13:15">
      <c r="M780" s="4"/>
      <c r="N780" s="248"/>
      <c r="O780" s="4"/>
    </row>
    <row r="781" spans="13:15">
      <c r="M781" s="4"/>
      <c r="N781" s="248"/>
      <c r="O781" s="4"/>
    </row>
    <row r="782" spans="13:15">
      <c r="M782" s="4"/>
      <c r="N782" s="248"/>
      <c r="O782" s="4"/>
    </row>
    <row r="783" spans="13:15">
      <c r="M783" s="4"/>
      <c r="N783" s="248"/>
      <c r="O783" s="4"/>
    </row>
    <row r="784" spans="13:15">
      <c r="M784" s="4"/>
      <c r="N784" s="248"/>
      <c r="O784" s="4"/>
    </row>
    <row r="785" spans="13:15">
      <c r="M785" s="4"/>
      <c r="N785" s="248"/>
      <c r="O785" s="4"/>
    </row>
    <row r="786" spans="13:15">
      <c r="M786" s="4"/>
      <c r="N786" s="248"/>
      <c r="O786" s="4"/>
    </row>
    <row r="787" spans="13:15">
      <c r="M787" s="4"/>
      <c r="N787" s="248"/>
      <c r="O787" s="4"/>
    </row>
    <row r="788" spans="13:15">
      <c r="M788" s="4"/>
      <c r="N788" s="248"/>
      <c r="O788" s="4"/>
    </row>
    <row r="789" spans="13:15">
      <c r="M789" s="4"/>
      <c r="N789" s="248"/>
      <c r="O789" s="4"/>
    </row>
    <row r="790" spans="13:15">
      <c r="M790" s="4"/>
      <c r="N790" s="248"/>
      <c r="O790" s="4"/>
    </row>
    <row r="791" spans="13:15">
      <c r="M791" s="4"/>
      <c r="N791" s="248"/>
      <c r="O791" s="4"/>
    </row>
    <row r="792" spans="13:15">
      <c r="M792" s="4"/>
      <c r="N792" s="248"/>
      <c r="O792" s="4"/>
    </row>
    <row r="793" spans="13:15">
      <c r="M793" s="4"/>
      <c r="N793" s="248"/>
      <c r="O793" s="4"/>
    </row>
    <row r="794" spans="13:15">
      <c r="M794" s="4"/>
      <c r="N794" s="248"/>
      <c r="O794" s="4"/>
    </row>
    <row r="795" spans="13:15">
      <c r="M795" s="4"/>
      <c r="N795" s="248"/>
      <c r="O795" s="4"/>
    </row>
    <row r="796" spans="13:15">
      <c r="M796" s="4"/>
      <c r="N796" s="248"/>
      <c r="O796" s="4"/>
    </row>
    <row r="797" spans="13:15">
      <c r="M797" s="4"/>
      <c r="N797" s="248"/>
      <c r="O797" s="4"/>
    </row>
    <row r="798" spans="13:15">
      <c r="M798" s="4"/>
      <c r="N798" s="248"/>
      <c r="O798" s="4"/>
    </row>
    <row r="799" spans="13:15">
      <c r="M799" s="4"/>
      <c r="N799" s="248"/>
      <c r="O799" s="4"/>
    </row>
    <row r="800" spans="13:15">
      <c r="M800" s="4"/>
      <c r="N800" s="248"/>
      <c r="O800" s="4"/>
    </row>
    <row r="801" spans="13:15">
      <c r="M801" s="4"/>
      <c r="N801" s="248"/>
      <c r="O801" s="4"/>
    </row>
    <row r="802" spans="13:15">
      <c r="M802" s="4"/>
      <c r="N802" s="248"/>
      <c r="O802" s="4"/>
    </row>
    <row r="803" spans="13:15">
      <c r="M803" s="4"/>
      <c r="N803" s="248"/>
      <c r="O803" s="4"/>
    </row>
    <row r="804" spans="13:15">
      <c r="M804" s="4"/>
      <c r="N804" s="248"/>
      <c r="O804" s="4"/>
    </row>
    <row r="805" spans="13:15">
      <c r="M805" s="4"/>
      <c r="N805" s="248"/>
      <c r="O805" s="4"/>
    </row>
    <row r="806" spans="13:15">
      <c r="M806" s="4"/>
      <c r="N806" s="248"/>
      <c r="O806" s="4"/>
    </row>
    <row r="807" spans="13:15">
      <c r="M807" s="4"/>
      <c r="N807" s="248"/>
      <c r="O807" s="4"/>
    </row>
  </sheetData>
  <mergeCells count="3">
    <mergeCell ref="A1:O1"/>
    <mergeCell ref="M2:O2"/>
    <mergeCell ref="A39:M39"/>
  </mergeCells>
  <pageMargins left="0.2" right="0" top="0.25" bottom="0" header="0.3" footer="0.3"/>
  <pageSetup paperSize="9" scale="4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7303E-DF90-49BB-B8FF-912518EBA47E}">
  <sheetPr>
    <tabColor rgb="FF92D050"/>
  </sheetPr>
  <dimension ref="A1:X47"/>
  <sheetViews>
    <sheetView view="pageBreakPreview" zoomScale="55" zoomScaleNormal="70" zoomScaleSheetLayoutView="55" workbookViewId="0">
      <pane xSplit="1" ySplit="2" topLeftCell="B32" activePane="bottomRight" state="frozen"/>
      <selection activeCell="B1" sqref="B1"/>
      <selection pane="topRight" activeCell="C1" sqref="C1"/>
      <selection pane="bottomLeft" activeCell="B3" sqref="B3"/>
      <selection pane="bottomRight" activeCell="J34" sqref="J34"/>
    </sheetView>
  </sheetViews>
  <sheetFormatPr defaultColWidth="9" defaultRowHeight="18.75"/>
  <cols>
    <col min="1" max="1" width="7.85546875" style="125" customWidth="1"/>
    <col min="2" max="2" width="18.7109375" style="125" customWidth="1"/>
    <col min="3" max="3" width="18.42578125" style="125" customWidth="1"/>
    <col min="4" max="4" width="35.42578125" style="202" customWidth="1"/>
    <col min="5" max="5" width="26.42578125" style="201" customWidth="1"/>
    <col min="6" max="6" width="8.85546875" style="201" customWidth="1"/>
    <col min="7" max="7" width="15.5703125" style="201" customWidth="1"/>
    <col min="8" max="8" width="12" style="200" customWidth="1"/>
    <col min="9" max="9" width="47.28515625" style="200" hidden="1" customWidth="1"/>
    <col min="10" max="10" width="63.7109375" style="200" customWidth="1"/>
    <col min="11" max="11" width="13.5703125" style="125" customWidth="1"/>
    <col min="12" max="12" width="15.7109375" style="125" customWidth="1"/>
    <col min="13" max="13" width="20.28515625" style="125" hidden="1" customWidth="1"/>
    <col min="14" max="15" width="20.140625" style="125" customWidth="1"/>
    <col min="16" max="16" width="36.5703125" style="125" customWidth="1"/>
    <col min="17" max="17" width="26" style="270" customWidth="1"/>
    <col min="18" max="18" width="26" style="125" customWidth="1"/>
    <col min="19" max="19" width="9" style="125" customWidth="1"/>
    <col min="20" max="20" width="9.42578125" style="125" customWidth="1"/>
    <col min="21" max="21" width="9" style="125" customWidth="1"/>
    <col min="22" max="16384" width="9" style="125"/>
  </cols>
  <sheetData>
    <row r="1" spans="1:24" ht="49.15" customHeight="1">
      <c r="A1" s="411" t="s">
        <v>838</v>
      </c>
      <c r="B1" s="412"/>
      <c r="C1" s="412"/>
      <c r="D1" s="412"/>
      <c r="E1" s="412"/>
      <c r="F1" s="412"/>
      <c r="G1" s="412"/>
      <c r="H1" s="412"/>
      <c r="I1" s="412"/>
      <c r="J1" s="412"/>
      <c r="K1" s="412"/>
      <c r="L1" s="412"/>
      <c r="M1" s="412"/>
      <c r="N1" s="412"/>
      <c r="O1" s="412"/>
      <c r="P1" s="412"/>
      <c r="Q1" s="412"/>
      <c r="R1" s="412"/>
    </row>
    <row r="2" spans="1:24" ht="98.25" customHeight="1">
      <c r="A2" s="126" t="s">
        <v>0</v>
      </c>
      <c r="B2" s="126" t="s">
        <v>241</v>
      </c>
      <c r="C2" s="126" t="s">
        <v>628</v>
      </c>
      <c r="D2" s="126" t="s">
        <v>242</v>
      </c>
      <c r="E2" s="126" t="s">
        <v>75</v>
      </c>
      <c r="F2" s="126" t="s">
        <v>244</v>
      </c>
      <c r="G2" s="126" t="s">
        <v>77</v>
      </c>
      <c r="H2" s="127" t="s">
        <v>436</v>
      </c>
      <c r="I2" s="127" t="s">
        <v>839</v>
      </c>
      <c r="J2" s="127" t="s">
        <v>840</v>
      </c>
      <c r="K2" s="126" t="s">
        <v>1</v>
      </c>
      <c r="L2" s="126" t="s">
        <v>2</v>
      </c>
      <c r="M2" s="126" t="s">
        <v>247</v>
      </c>
      <c r="N2" s="126" t="s">
        <v>437</v>
      </c>
      <c r="O2" s="126" t="s">
        <v>438</v>
      </c>
      <c r="P2" s="413" t="s">
        <v>629</v>
      </c>
      <c r="Q2" s="413"/>
      <c r="R2" s="413"/>
    </row>
    <row r="3" spans="1:24" s="135" customFormat="1" ht="37.9" customHeight="1">
      <c r="A3" s="136">
        <v>1</v>
      </c>
      <c r="B3" s="180" t="s">
        <v>443</v>
      </c>
      <c r="C3" s="180" t="s">
        <v>841</v>
      </c>
      <c r="D3" s="137" t="s">
        <v>442</v>
      </c>
      <c r="E3" s="139" t="s">
        <v>444</v>
      </c>
      <c r="F3" s="139">
        <v>0</v>
      </c>
      <c r="G3" s="139" t="s">
        <v>201</v>
      </c>
      <c r="H3" s="140">
        <v>0.15</v>
      </c>
      <c r="I3" s="140"/>
      <c r="J3" s="141"/>
      <c r="K3" s="142"/>
      <c r="L3" s="142"/>
      <c r="M3" s="136"/>
      <c r="N3" s="136"/>
      <c r="O3" s="136"/>
      <c r="P3" s="258" t="s">
        <v>250</v>
      </c>
      <c r="Q3" s="258" t="s">
        <v>206</v>
      </c>
      <c r="R3" s="259" t="s">
        <v>31</v>
      </c>
    </row>
    <row r="4" spans="1:24" ht="235.9" customHeight="1">
      <c r="A4" s="223">
        <v>2</v>
      </c>
      <c r="B4" s="148" t="s">
        <v>445</v>
      </c>
      <c r="C4" s="148" t="s">
        <v>842</v>
      </c>
      <c r="D4" s="149" t="s">
        <v>446</v>
      </c>
      <c r="E4" s="150" t="s">
        <v>447</v>
      </c>
      <c r="F4" s="151">
        <v>1</v>
      </c>
      <c r="G4" s="150" t="s">
        <v>91</v>
      </c>
      <c r="H4" s="151">
        <v>0.1</v>
      </c>
      <c r="I4" s="152" t="s">
        <v>448</v>
      </c>
      <c r="J4" s="152" t="s">
        <v>843</v>
      </c>
      <c r="K4" s="153">
        <v>46023</v>
      </c>
      <c r="L4" s="154" t="s">
        <v>634</v>
      </c>
      <c r="M4" s="155"/>
      <c r="N4" s="155" t="s">
        <v>518</v>
      </c>
      <c r="O4" s="155" t="s">
        <v>258</v>
      </c>
      <c r="P4" s="254" t="s">
        <v>844</v>
      </c>
      <c r="Q4" s="163" t="s">
        <v>226</v>
      </c>
      <c r="R4" s="157"/>
    </row>
    <row r="5" spans="1:24" ht="213" customHeight="1">
      <c r="A5" s="223">
        <v>3</v>
      </c>
      <c r="B5" s="148" t="s">
        <v>449</v>
      </c>
      <c r="C5" s="148" t="s">
        <v>845</v>
      </c>
      <c r="D5" s="149" t="s">
        <v>450</v>
      </c>
      <c r="E5" s="150" t="s">
        <v>451</v>
      </c>
      <c r="F5" s="151">
        <v>1</v>
      </c>
      <c r="G5" s="150" t="s">
        <v>91</v>
      </c>
      <c r="H5" s="151">
        <v>0.03</v>
      </c>
      <c r="I5" s="159" t="s">
        <v>452</v>
      </c>
      <c r="J5" s="165" t="s">
        <v>452</v>
      </c>
      <c r="K5" s="153">
        <v>46023</v>
      </c>
      <c r="L5" s="154" t="s">
        <v>634</v>
      </c>
      <c r="M5" s="155"/>
      <c r="N5" s="155" t="s">
        <v>518</v>
      </c>
      <c r="O5" s="155" t="s">
        <v>258</v>
      </c>
      <c r="P5" s="157" t="s">
        <v>640</v>
      </c>
      <c r="Q5" s="163" t="s">
        <v>226</v>
      </c>
      <c r="R5" s="157"/>
    </row>
    <row r="6" spans="1:24" ht="195.6" customHeight="1">
      <c r="A6" s="223">
        <v>3</v>
      </c>
      <c r="B6" s="148" t="s">
        <v>454</v>
      </c>
      <c r="C6" s="148" t="s">
        <v>846</v>
      </c>
      <c r="D6" s="149" t="s">
        <v>455</v>
      </c>
      <c r="E6" s="150" t="s">
        <v>451</v>
      </c>
      <c r="F6" s="151">
        <v>1</v>
      </c>
      <c r="G6" s="150" t="s">
        <v>91</v>
      </c>
      <c r="H6" s="151">
        <v>0.02</v>
      </c>
      <c r="I6" s="159" t="s">
        <v>456</v>
      </c>
      <c r="J6" s="152" t="s">
        <v>456</v>
      </c>
      <c r="K6" s="153">
        <v>46023</v>
      </c>
      <c r="L6" s="154" t="s">
        <v>634</v>
      </c>
      <c r="M6" s="155"/>
      <c r="N6" s="155" t="s">
        <v>518</v>
      </c>
      <c r="O6" s="155" t="s">
        <v>258</v>
      </c>
      <c r="P6" s="157" t="s">
        <v>640</v>
      </c>
      <c r="Q6" s="163" t="s">
        <v>226</v>
      </c>
      <c r="R6" s="157"/>
    </row>
    <row r="7" spans="1:24" s="135" customFormat="1" ht="90" customHeight="1">
      <c r="A7" s="136">
        <v>4</v>
      </c>
      <c r="B7" s="180" t="s">
        <v>458</v>
      </c>
      <c r="C7" s="180" t="s">
        <v>847</v>
      </c>
      <c r="D7" s="161" t="s">
        <v>84</v>
      </c>
      <c r="E7" s="139" t="s">
        <v>459</v>
      </c>
      <c r="F7" s="139" t="s">
        <v>460</v>
      </c>
      <c r="G7" s="139" t="s">
        <v>87</v>
      </c>
      <c r="H7" s="140">
        <v>0.2</v>
      </c>
      <c r="I7" s="140"/>
      <c r="J7" s="140"/>
      <c r="K7" s="142"/>
      <c r="L7" s="142"/>
      <c r="M7" s="136"/>
      <c r="N7" s="136"/>
      <c r="O7" s="136"/>
      <c r="P7" s="260"/>
      <c r="Q7" s="261" t="s">
        <v>226</v>
      </c>
      <c r="R7" s="260"/>
    </row>
    <row r="8" spans="1:24" s="135" customFormat="1" ht="151.15" customHeight="1">
      <c r="A8" s="223">
        <v>5</v>
      </c>
      <c r="B8" s="148" t="s">
        <v>461</v>
      </c>
      <c r="C8" s="225" t="s">
        <v>848</v>
      </c>
      <c r="D8" s="149" t="s">
        <v>462</v>
      </c>
      <c r="E8" s="150" t="s">
        <v>119</v>
      </c>
      <c r="F8" s="150">
        <v>1</v>
      </c>
      <c r="G8" s="150" t="s">
        <v>201</v>
      </c>
      <c r="H8" s="162">
        <v>0.03</v>
      </c>
      <c r="I8" s="152" t="s">
        <v>463</v>
      </c>
      <c r="J8" s="152" t="s">
        <v>849</v>
      </c>
      <c r="K8" s="153">
        <v>46023</v>
      </c>
      <c r="L8" s="154">
        <v>46387</v>
      </c>
      <c r="M8" s="163"/>
      <c r="N8" s="155" t="s">
        <v>464</v>
      </c>
      <c r="O8" s="155" t="s">
        <v>465</v>
      </c>
      <c r="P8" s="178" t="s">
        <v>772</v>
      </c>
      <c r="Q8" s="163" t="s">
        <v>226</v>
      </c>
      <c r="R8" s="255"/>
    </row>
    <row r="9" spans="1:24" s="168" customFormat="1" ht="253.15" customHeight="1">
      <c r="A9" s="223">
        <v>6</v>
      </c>
      <c r="B9" s="148" t="s">
        <v>466</v>
      </c>
      <c r="C9" s="225" t="s">
        <v>850</v>
      </c>
      <c r="D9" s="149" t="s">
        <v>467</v>
      </c>
      <c r="E9" s="150" t="s">
        <v>89</v>
      </c>
      <c r="F9" s="151" t="s">
        <v>90</v>
      </c>
      <c r="G9" s="150" t="s">
        <v>91</v>
      </c>
      <c r="H9" s="164">
        <v>0.1</v>
      </c>
      <c r="I9" s="165" t="s">
        <v>468</v>
      </c>
      <c r="J9" s="165" t="s">
        <v>851</v>
      </c>
      <c r="K9" s="166">
        <v>46023</v>
      </c>
      <c r="L9" s="154" t="s">
        <v>634</v>
      </c>
      <c r="M9" s="167"/>
      <c r="N9" s="167" t="s">
        <v>518</v>
      </c>
      <c r="O9" s="155" t="s">
        <v>269</v>
      </c>
      <c r="P9" s="178" t="s">
        <v>852</v>
      </c>
      <c r="Q9" s="163" t="s">
        <v>226</v>
      </c>
      <c r="R9" s="178"/>
    </row>
    <row r="10" spans="1:24" ht="215.45" customHeight="1">
      <c r="A10" s="223">
        <v>7</v>
      </c>
      <c r="B10" s="148" t="s">
        <v>472</v>
      </c>
      <c r="C10" s="225" t="s">
        <v>853</v>
      </c>
      <c r="D10" s="172" t="s">
        <v>777</v>
      </c>
      <c r="E10" s="150" t="s">
        <v>474</v>
      </c>
      <c r="F10" s="151" t="s">
        <v>475</v>
      </c>
      <c r="G10" s="173" t="s">
        <v>87</v>
      </c>
      <c r="H10" s="174">
        <v>0.05</v>
      </c>
      <c r="I10" s="175" t="s">
        <v>476</v>
      </c>
      <c r="J10" s="175" t="s">
        <v>854</v>
      </c>
      <c r="K10" s="166">
        <v>46023</v>
      </c>
      <c r="L10" s="154" t="s">
        <v>634</v>
      </c>
      <c r="M10" s="170"/>
      <c r="N10" s="170" t="s">
        <v>102</v>
      </c>
      <c r="O10" s="155" t="s">
        <v>269</v>
      </c>
      <c r="P10" s="157" t="s">
        <v>640</v>
      </c>
      <c r="Q10" s="163" t="s">
        <v>226</v>
      </c>
      <c r="R10" s="157"/>
    </row>
    <row r="11" spans="1:24" ht="164.25" customHeight="1">
      <c r="A11" s="223">
        <v>8</v>
      </c>
      <c r="B11" s="148" t="s">
        <v>477</v>
      </c>
      <c r="C11" s="225" t="s">
        <v>855</v>
      </c>
      <c r="D11" s="149" t="s">
        <v>478</v>
      </c>
      <c r="E11" s="150" t="s">
        <v>479</v>
      </c>
      <c r="F11" s="151">
        <v>1</v>
      </c>
      <c r="G11" s="150" t="s">
        <v>87</v>
      </c>
      <c r="H11" s="162">
        <v>0.01</v>
      </c>
      <c r="I11" s="152" t="s">
        <v>480</v>
      </c>
      <c r="J11" s="152" t="s">
        <v>480</v>
      </c>
      <c r="K11" s="153">
        <v>46023</v>
      </c>
      <c r="L11" s="154">
        <v>46387</v>
      </c>
      <c r="M11" s="163"/>
      <c r="N11" s="155" t="s">
        <v>856</v>
      </c>
      <c r="O11" s="155" t="s">
        <v>258</v>
      </c>
      <c r="P11" s="157" t="s">
        <v>640</v>
      </c>
      <c r="Q11" s="163" t="s">
        <v>226</v>
      </c>
      <c r="R11" s="157"/>
    </row>
    <row r="12" spans="1:24" s="168" customFormat="1" ht="105" customHeight="1">
      <c r="A12" s="223">
        <v>9</v>
      </c>
      <c r="B12" s="148" t="s">
        <v>481</v>
      </c>
      <c r="C12" s="225" t="s">
        <v>857</v>
      </c>
      <c r="D12" s="149" t="s">
        <v>112</v>
      </c>
      <c r="E12" s="150" t="s">
        <v>113</v>
      </c>
      <c r="F12" s="151" t="s">
        <v>114</v>
      </c>
      <c r="G12" s="150" t="s">
        <v>87</v>
      </c>
      <c r="H12" s="162">
        <v>0.01</v>
      </c>
      <c r="I12" s="152" t="s">
        <v>482</v>
      </c>
      <c r="J12" s="152" t="s">
        <v>780</v>
      </c>
      <c r="K12" s="153">
        <v>46023</v>
      </c>
      <c r="L12" s="154" t="s">
        <v>634</v>
      </c>
      <c r="M12" s="155"/>
      <c r="N12" s="167" t="s">
        <v>518</v>
      </c>
      <c r="O12" s="155" t="s">
        <v>269</v>
      </c>
      <c r="P12" s="157" t="s">
        <v>858</v>
      </c>
      <c r="Q12" s="163" t="s">
        <v>226</v>
      </c>
      <c r="R12" s="178"/>
      <c r="S12" s="125"/>
      <c r="T12" s="125"/>
      <c r="U12" s="125"/>
      <c r="V12" s="125"/>
      <c r="W12" s="125"/>
      <c r="X12" s="125"/>
    </row>
    <row r="13" spans="1:24" s="135" customFormat="1" ht="70.5" customHeight="1">
      <c r="A13" s="136">
        <v>10</v>
      </c>
      <c r="B13" s="180" t="s">
        <v>485</v>
      </c>
      <c r="C13" s="180" t="s">
        <v>859</v>
      </c>
      <c r="D13" s="179" t="s">
        <v>16</v>
      </c>
      <c r="E13" s="139" t="s">
        <v>117</v>
      </c>
      <c r="F13" s="139">
        <v>0</v>
      </c>
      <c r="G13" s="139"/>
      <c r="H13" s="140">
        <v>0.15</v>
      </c>
      <c r="I13" s="140"/>
      <c r="J13" s="140"/>
      <c r="K13" s="180"/>
      <c r="L13" s="180"/>
      <c r="M13" s="136"/>
      <c r="N13" s="136"/>
      <c r="O13" s="136"/>
      <c r="P13" s="260"/>
      <c r="Q13" s="261" t="s">
        <v>226</v>
      </c>
      <c r="R13" s="260"/>
    </row>
    <row r="14" spans="1:24" s="168" customFormat="1" ht="252" customHeight="1">
      <c r="A14" s="223">
        <v>10</v>
      </c>
      <c r="B14" s="148" t="s">
        <v>486</v>
      </c>
      <c r="C14" s="148" t="s">
        <v>860</v>
      </c>
      <c r="D14" s="149" t="s">
        <v>118</v>
      </c>
      <c r="E14" s="150" t="s">
        <v>119</v>
      </c>
      <c r="F14" s="150">
        <v>1</v>
      </c>
      <c r="G14" s="150" t="s">
        <v>91</v>
      </c>
      <c r="H14" s="164">
        <v>0.05</v>
      </c>
      <c r="I14" s="165" t="s">
        <v>487</v>
      </c>
      <c r="J14" s="165" t="s">
        <v>861</v>
      </c>
      <c r="K14" s="166">
        <v>46023</v>
      </c>
      <c r="L14" s="154" t="s">
        <v>634</v>
      </c>
      <c r="M14" s="167"/>
      <c r="N14" s="167" t="s">
        <v>518</v>
      </c>
      <c r="O14" s="155" t="s">
        <v>269</v>
      </c>
      <c r="P14" s="178" t="s">
        <v>784</v>
      </c>
      <c r="Q14" s="163" t="s">
        <v>226</v>
      </c>
      <c r="R14" s="178"/>
    </row>
    <row r="15" spans="1:24" s="168" customFormat="1" ht="133.9" customHeight="1">
      <c r="A15" s="221">
        <v>11</v>
      </c>
      <c r="B15" s="148" t="s">
        <v>488</v>
      </c>
      <c r="C15" s="148" t="s">
        <v>862</v>
      </c>
      <c r="D15" s="226" t="s">
        <v>122</v>
      </c>
      <c r="E15" s="256" t="s">
        <v>123</v>
      </c>
      <c r="F15" s="256">
        <v>7</v>
      </c>
      <c r="G15" s="256" t="s">
        <v>786</v>
      </c>
      <c r="H15" s="164">
        <v>0.08</v>
      </c>
      <c r="I15" s="165" t="s">
        <v>490</v>
      </c>
      <c r="J15" s="165" t="s">
        <v>787</v>
      </c>
      <c r="K15" s="166">
        <v>46023</v>
      </c>
      <c r="L15" s="241" t="s">
        <v>634</v>
      </c>
      <c r="M15" s="160"/>
      <c r="N15" s="167" t="s">
        <v>518</v>
      </c>
      <c r="O15" s="155" t="s">
        <v>269</v>
      </c>
      <c r="P15" s="178" t="s">
        <v>863</v>
      </c>
      <c r="Q15" s="262" t="s">
        <v>225</v>
      </c>
      <c r="R15" s="178"/>
    </row>
    <row r="16" spans="1:24" s="168" customFormat="1" ht="89.25" customHeight="1">
      <c r="A16" s="223">
        <v>12</v>
      </c>
      <c r="B16" s="148" t="s">
        <v>491</v>
      </c>
      <c r="C16" s="148" t="s">
        <v>864</v>
      </c>
      <c r="D16" s="149" t="s">
        <v>125</v>
      </c>
      <c r="E16" s="150" t="s">
        <v>126</v>
      </c>
      <c r="F16" s="151">
        <v>1</v>
      </c>
      <c r="G16" s="150" t="s">
        <v>87</v>
      </c>
      <c r="H16" s="164">
        <v>0.02</v>
      </c>
      <c r="I16" s="165" t="s">
        <v>492</v>
      </c>
      <c r="J16" s="165" t="s">
        <v>790</v>
      </c>
      <c r="K16" s="166">
        <v>46023</v>
      </c>
      <c r="L16" s="154" t="s">
        <v>634</v>
      </c>
      <c r="M16" s="167"/>
      <c r="N16" s="167" t="s">
        <v>518</v>
      </c>
      <c r="O16" s="155" t="s">
        <v>269</v>
      </c>
      <c r="P16" s="178" t="s">
        <v>791</v>
      </c>
      <c r="Q16" s="229"/>
      <c r="R16" s="178"/>
    </row>
    <row r="17" spans="1:18" s="135" customFormat="1" ht="55.5" customHeight="1">
      <c r="A17" s="136">
        <v>13</v>
      </c>
      <c r="B17" s="180" t="s">
        <v>497</v>
      </c>
      <c r="C17" s="180" t="s">
        <v>865</v>
      </c>
      <c r="D17" s="179" t="s">
        <v>135</v>
      </c>
      <c r="E17" s="139"/>
      <c r="F17" s="139"/>
      <c r="G17" s="139"/>
      <c r="H17" s="140">
        <v>0.2</v>
      </c>
      <c r="I17" s="140"/>
      <c r="J17" s="140"/>
      <c r="K17" s="142"/>
      <c r="L17" s="142"/>
      <c r="M17" s="136"/>
      <c r="N17" s="136"/>
      <c r="O17" s="136"/>
      <c r="P17" s="263"/>
      <c r="Q17" s="261" t="s">
        <v>226</v>
      </c>
      <c r="R17" s="260"/>
    </row>
    <row r="18" spans="1:18" s="135" customFormat="1" ht="138.75" customHeight="1">
      <c r="A18" s="221">
        <v>14</v>
      </c>
      <c r="B18" s="146" t="s">
        <v>498</v>
      </c>
      <c r="C18" s="148" t="s">
        <v>866</v>
      </c>
      <c r="D18" s="149" t="s">
        <v>499</v>
      </c>
      <c r="E18" s="150" t="s">
        <v>138</v>
      </c>
      <c r="F18" s="151">
        <v>1</v>
      </c>
      <c r="G18" s="150" t="s">
        <v>87</v>
      </c>
      <c r="H18" s="151">
        <v>0.02</v>
      </c>
      <c r="I18" s="152" t="s">
        <v>500</v>
      </c>
      <c r="J18" s="152" t="s">
        <v>500</v>
      </c>
      <c r="K18" s="153">
        <v>46023</v>
      </c>
      <c r="L18" s="154" t="s">
        <v>634</v>
      </c>
      <c r="M18" s="155"/>
      <c r="N18" s="167" t="s">
        <v>518</v>
      </c>
      <c r="O18" s="155" t="s">
        <v>258</v>
      </c>
      <c r="P18" s="178" t="s">
        <v>794</v>
      </c>
      <c r="Q18" s="163" t="s">
        <v>226</v>
      </c>
      <c r="R18" s="255"/>
    </row>
    <row r="19" spans="1:18" s="135" customFormat="1" ht="138.75" customHeight="1">
      <c r="A19" s="221"/>
      <c r="B19" s="146" t="s">
        <v>501</v>
      </c>
      <c r="C19" s="148" t="s">
        <v>867</v>
      </c>
      <c r="D19" s="149" t="s">
        <v>502</v>
      </c>
      <c r="E19" s="150" t="s">
        <v>141</v>
      </c>
      <c r="F19" s="151">
        <v>1</v>
      </c>
      <c r="G19" s="150" t="s">
        <v>87</v>
      </c>
      <c r="H19" s="151">
        <v>0.02</v>
      </c>
      <c r="I19" s="152" t="s">
        <v>503</v>
      </c>
      <c r="J19" s="152" t="s">
        <v>503</v>
      </c>
      <c r="K19" s="153">
        <v>46023</v>
      </c>
      <c r="L19" s="154">
        <v>46387</v>
      </c>
      <c r="M19" s="155"/>
      <c r="N19" s="155" t="s">
        <v>504</v>
      </c>
      <c r="O19" s="155" t="s">
        <v>258</v>
      </c>
      <c r="P19" s="178" t="s">
        <v>794</v>
      </c>
      <c r="Q19" s="163" t="s">
        <v>226</v>
      </c>
      <c r="R19" s="255"/>
    </row>
    <row r="20" spans="1:18" s="135" customFormat="1" ht="157.15" customHeight="1">
      <c r="A20" s="221"/>
      <c r="B20" s="146" t="s">
        <v>505</v>
      </c>
      <c r="C20" s="148" t="s">
        <v>868</v>
      </c>
      <c r="D20" s="149" t="s">
        <v>506</v>
      </c>
      <c r="E20" s="150" t="s">
        <v>141</v>
      </c>
      <c r="F20" s="151">
        <v>1</v>
      </c>
      <c r="G20" s="150" t="s">
        <v>87</v>
      </c>
      <c r="H20" s="151">
        <v>0.01</v>
      </c>
      <c r="I20" s="152" t="s">
        <v>507</v>
      </c>
      <c r="J20" s="165" t="s">
        <v>869</v>
      </c>
      <c r="K20" s="153">
        <v>46023</v>
      </c>
      <c r="L20" s="154">
        <v>46387</v>
      </c>
      <c r="M20" s="155"/>
      <c r="N20" s="160" t="s">
        <v>464</v>
      </c>
      <c r="O20" s="155" t="s">
        <v>258</v>
      </c>
      <c r="P20" s="178" t="s">
        <v>794</v>
      </c>
      <c r="Q20" s="163" t="s">
        <v>226</v>
      </c>
      <c r="R20" s="255"/>
    </row>
    <row r="21" spans="1:18" s="135" customFormat="1" ht="174" customHeight="1">
      <c r="A21" s="221"/>
      <c r="B21" s="146" t="s">
        <v>508</v>
      </c>
      <c r="C21" s="148" t="s">
        <v>870</v>
      </c>
      <c r="D21" s="149" t="s">
        <v>509</v>
      </c>
      <c r="E21" s="150" t="s">
        <v>141</v>
      </c>
      <c r="F21" s="151">
        <v>1</v>
      </c>
      <c r="G21" s="150" t="s">
        <v>87</v>
      </c>
      <c r="H21" s="151">
        <v>0.01</v>
      </c>
      <c r="I21" s="152" t="s">
        <v>510</v>
      </c>
      <c r="J21" s="165" t="s">
        <v>869</v>
      </c>
      <c r="K21" s="153">
        <v>46023</v>
      </c>
      <c r="L21" s="154">
        <v>46387</v>
      </c>
      <c r="M21" s="155"/>
      <c r="N21" s="155" t="s">
        <v>464</v>
      </c>
      <c r="O21" s="155" t="s">
        <v>258</v>
      </c>
      <c r="P21" s="178" t="s">
        <v>794</v>
      </c>
      <c r="Q21" s="163" t="s">
        <v>226</v>
      </c>
      <c r="R21" s="255"/>
    </row>
    <row r="22" spans="1:18" s="135" customFormat="1" ht="133.5" customHeight="1">
      <c r="A22" s="221">
        <v>15</v>
      </c>
      <c r="B22" s="146" t="s">
        <v>511</v>
      </c>
      <c r="C22" s="148" t="s">
        <v>871</v>
      </c>
      <c r="D22" s="149" t="s">
        <v>512</v>
      </c>
      <c r="E22" s="150" t="s">
        <v>141</v>
      </c>
      <c r="F22" s="151">
        <v>1</v>
      </c>
      <c r="G22" s="150" t="s">
        <v>87</v>
      </c>
      <c r="H22" s="151">
        <v>0.05</v>
      </c>
      <c r="I22" s="152" t="s">
        <v>513</v>
      </c>
      <c r="J22" s="165" t="s">
        <v>869</v>
      </c>
      <c r="K22" s="153">
        <v>46023</v>
      </c>
      <c r="L22" s="154" t="s">
        <v>634</v>
      </c>
      <c r="M22" s="155"/>
      <c r="N22" s="155" t="s">
        <v>257</v>
      </c>
      <c r="O22" s="155" t="s">
        <v>258</v>
      </c>
      <c r="P22" s="178" t="s">
        <v>872</v>
      </c>
      <c r="Q22" s="163" t="s">
        <v>226</v>
      </c>
      <c r="R22" s="255"/>
    </row>
    <row r="23" spans="1:18" s="135" customFormat="1" ht="226.15" customHeight="1">
      <c r="A23" s="221"/>
      <c r="B23" s="146" t="s">
        <v>515</v>
      </c>
      <c r="C23" s="148" t="s">
        <v>873</v>
      </c>
      <c r="D23" s="149" t="s">
        <v>516</v>
      </c>
      <c r="E23" s="150" t="s">
        <v>517</v>
      </c>
      <c r="F23" s="151">
        <v>1</v>
      </c>
      <c r="G23" s="150" t="s">
        <v>87</v>
      </c>
      <c r="H23" s="151">
        <v>0.09</v>
      </c>
      <c r="I23" s="152" t="s">
        <v>507</v>
      </c>
      <c r="J23" s="152" t="s">
        <v>507</v>
      </c>
      <c r="K23" s="153">
        <v>46023</v>
      </c>
      <c r="L23" s="154">
        <v>46387</v>
      </c>
      <c r="M23" s="155"/>
      <c r="N23" s="160" t="s">
        <v>874</v>
      </c>
      <c r="O23" s="155" t="s">
        <v>258</v>
      </c>
      <c r="P23" s="178" t="s">
        <v>875</v>
      </c>
      <c r="Q23" s="163" t="s">
        <v>226</v>
      </c>
      <c r="R23" s="255"/>
    </row>
    <row r="24" spans="1:18" s="191" customFormat="1" ht="66" customHeight="1">
      <c r="A24" s="185">
        <v>16</v>
      </c>
      <c r="B24" s="180" t="s">
        <v>521</v>
      </c>
      <c r="C24" s="180" t="s">
        <v>876</v>
      </c>
      <c r="D24" s="179" t="s">
        <v>522</v>
      </c>
      <c r="E24" s="139"/>
      <c r="F24" s="139"/>
      <c r="G24" s="139"/>
      <c r="H24" s="140">
        <v>0.25</v>
      </c>
      <c r="I24" s="140"/>
      <c r="J24" s="188"/>
      <c r="K24" s="189"/>
      <c r="L24" s="189"/>
      <c r="M24" s="189"/>
      <c r="N24" s="189"/>
      <c r="O24" s="190"/>
      <c r="P24" s="263"/>
      <c r="Q24" s="261" t="s">
        <v>226</v>
      </c>
      <c r="R24" s="260"/>
    </row>
    <row r="25" spans="1:18" s="135" customFormat="1" ht="187.9" customHeight="1">
      <c r="A25" s="221">
        <v>17</v>
      </c>
      <c r="B25" s="148" t="s">
        <v>523</v>
      </c>
      <c r="C25" s="148" t="s">
        <v>877</v>
      </c>
      <c r="D25" s="149" t="s">
        <v>149</v>
      </c>
      <c r="E25" s="150" t="s">
        <v>150</v>
      </c>
      <c r="F25" s="150">
        <v>8</v>
      </c>
      <c r="G25" s="150" t="s">
        <v>87</v>
      </c>
      <c r="H25" s="164">
        <v>0.04</v>
      </c>
      <c r="I25" s="165" t="s">
        <v>524</v>
      </c>
      <c r="J25" s="165" t="s">
        <v>800</v>
      </c>
      <c r="K25" s="166">
        <v>46023</v>
      </c>
      <c r="L25" s="154" t="s">
        <v>634</v>
      </c>
      <c r="M25" s="167"/>
      <c r="N25" s="155" t="s">
        <v>464</v>
      </c>
      <c r="O25" s="155" t="s">
        <v>258</v>
      </c>
      <c r="P25" s="178" t="s">
        <v>794</v>
      </c>
      <c r="Q25" s="163" t="s">
        <v>226</v>
      </c>
      <c r="R25" s="255"/>
    </row>
    <row r="26" spans="1:18" s="135" customFormat="1" ht="130.9" customHeight="1">
      <c r="A26" s="223">
        <v>18</v>
      </c>
      <c r="B26" s="148" t="s">
        <v>525</v>
      </c>
      <c r="C26" s="148" t="s">
        <v>878</v>
      </c>
      <c r="D26" s="149" t="s">
        <v>154</v>
      </c>
      <c r="E26" s="150" t="s">
        <v>526</v>
      </c>
      <c r="F26" s="150">
        <v>33</v>
      </c>
      <c r="G26" s="150" t="s">
        <v>87</v>
      </c>
      <c r="H26" s="164">
        <v>0.04</v>
      </c>
      <c r="I26" s="165" t="s">
        <v>527</v>
      </c>
      <c r="J26" s="165" t="s">
        <v>802</v>
      </c>
      <c r="K26" s="166">
        <v>46023</v>
      </c>
      <c r="L26" s="154" t="s">
        <v>634</v>
      </c>
      <c r="M26" s="167"/>
      <c r="N26" s="155" t="s">
        <v>464</v>
      </c>
      <c r="O26" s="155" t="s">
        <v>258</v>
      </c>
      <c r="P26" s="178" t="s">
        <v>794</v>
      </c>
      <c r="Q26" s="163" t="s">
        <v>226</v>
      </c>
      <c r="R26" s="255"/>
    </row>
    <row r="27" spans="1:18" s="135" customFormat="1" ht="123.6" customHeight="1">
      <c r="A27" s="221">
        <v>19</v>
      </c>
      <c r="B27" s="148" t="s">
        <v>528</v>
      </c>
      <c r="C27" s="148" t="s">
        <v>879</v>
      </c>
      <c r="D27" s="149" t="s">
        <v>529</v>
      </c>
      <c r="E27" s="150" t="s">
        <v>530</v>
      </c>
      <c r="F27" s="151">
        <v>1</v>
      </c>
      <c r="G27" s="150" t="s">
        <v>87</v>
      </c>
      <c r="H27" s="164">
        <v>0.01</v>
      </c>
      <c r="I27" s="165" t="s">
        <v>531</v>
      </c>
      <c r="J27" s="165" t="s">
        <v>880</v>
      </c>
      <c r="K27" s="166">
        <v>46023</v>
      </c>
      <c r="L27" s="154" t="s">
        <v>634</v>
      </c>
      <c r="M27" s="167"/>
      <c r="N27" s="155" t="s">
        <v>532</v>
      </c>
      <c r="O27" s="155" t="s">
        <v>258</v>
      </c>
      <c r="P27" s="178" t="s">
        <v>794</v>
      </c>
      <c r="Q27" s="163" t="s">
        <v>226</v>
      </c>
      <c r="R27" s="255"/>
    </row>
    <row r="28" spans="1:18" s="135" customFormat="1" ht="120" customHeight="1">
      <c r="A28" s="223">
        <v>20</v>
      </c>
      <c r="B28" s="148" t="s">
        <v>533</v>
      </c>
      <c r="C28" s="148" t="s">
        <v>881</v>
      </c>
      <c r="D28" s="149" t="s">
        <v>534</v>
      </c>
      <c r="E28" s="150" t="s">
        <v>119</v>
      </c>
      <c r="F28" s="150">
        <v>15</v>
      </c>
      <c r="G28" s="150" t="s">
        <v>87</v>
      </c>
      <c r="H28" s="164">
        <v>0.01</v>
      </c>
      <c r="I28" s="165" t="s">
        <v>535</v>
      </c>
      <c r="J28" s="165" t="s">
        <v>882</v>
      </c>
      <c r="K28" s="166">
        <v>46023</v>
      </c>
      <c r="L28" s="154" t="s">
        <v>634</v>
      </c>
      <c r="M28" s="167"/>
      <c r="N28" s="155" t="s">
        <v>518</v>
      </c>
      <c r="O28" s="155" t="s">
        <v>258</v>
      </c>
      <c r="P28" s="178" t="s">
        <v>794</v>
      </c>
      <c r="Q28" s="163" t="s">
        <v>226</v>
      </c>
      <c r="R28" s="255"/>
    </row>
    <row r="29" spans="1:18" s="135" customFormat="1" ht="108.6" customHeight="1">
      <c r="A29" s="223">
        <v>21</v>
      </c>
      <c r="B29" s="148" t="s">
        <v>539</v>
      </c>
      <c r="C29" s="148" t="s">
        <v>883</v>
      </c>
      <c r="D29" s="149" t="s">
        <v>540</v>
      </c>
      <c r="E29" s="150" t="s">
        <v>479</v>
      </c>
      <c r="F29" s="151">
        <v>1</v>
      </c>
      <c r="G29" s="150" t="s">
        <v>87</v>
      </c>
      <c r="H29" s="164">
        <v>0.01</v>
      </c>
      <c r="I29" s="165" t="s">
        <v>541</v>
      </c>
      <c r="J29" s="165" t="s">
        <v>808</v>
      </c>
      <c r="K29" s="166">
        <v>46023</v>
      </c>
      <c r="L29" s="154" t="s">
        <v>634</v>
      </c>
      <c r="M29" s="167"/>
      <c r="N29" s="155" t="s">
        <v>532</v>
      </c>
      <c r="O29" s="155" t="s">
        <v>258</v>
      </c>
      <c r="P29" s="178" t="s">
        <v>884</v>
      </c>
      <c r="Q29" s="163" t="s">
        <v>226</v>
      </c>
      <c r="R29" s="255"/>
    </row>
    <row r="30" spans="1:18" s="135" customFormat="1" ht="144.75" customHeight="1">
      <c r="A30" s="221">
        <v>22</v>
      </c>
      <c r="B30" s="148" t="s">
        <v>542</v>
      </c>
      <c r="C30" s="148" t="s">
        <v>885</v>
      </c>
      <c r="D30" s="149" t="s">
        <v>543</v>
      </c>
      <c r="E30" s="150" t="s">
        <v>479</v>
      </c>
      <c r="F30" s="151">
        <v>1</v>
      </c>
      <c r="G30" s="150" t="s">
        <v>87</v>
      </c>
      <c r="H30" s="151">
        <v>0.03</v>
      </c>
      <c r="I30" s="152" t="s">
        <v>544</v>
      </c>
      <c r="J30" s="152" t="s">
        <v>544</v>
      </c>
      <c r="K30" s="153">
        <v>46023</v>
      </c>
      <c r="L30" s="154" t="s">
        <v>634</v>
      </c>
      <c r="M30" s="155"/>
      <c r="N30" s="155" t="s">
        <v>545</v>
      </c>
      <c r="O30" s="155" t="s">
        <v>258</v>
      </c>
      <c r="P30" s="178" t="s">
        <v>794</v>
      </c>
      <c r="Q30" s="163" t="s">
        <v>226</v>
      </c>
      <c r="R30" s="255"/>
    </row>
    <row r="31" spans="1:18" s="135" customFormat="1" ht="108" customHeight="1">
      <c r="A31" s="223">
        <v>23</v>
      </c>
      <c r="B31" s="148" t="s">
        <v>546</v>
      </c>
      <c r="C31" s="148" t="s">
        <v>886</v>
      </c>
      <c r="D31" s="149" t="s">
        <v>547</v>
      </c>
      <c r="E31" s="150" t="s">
        <v>479</v>
      </c>
      <c r="F31" s="151">
        <v>1</v>
      </c>
      <c r="G31" s="150" t="s">
        <v>87</v>
      </c>
      <c r="H31" s="151">
        <v>0.03</v>
      </c>
      <c r="I31" s="152" t="s">
        <v>548</v>
      </c>
      <c r="J31" s="152" t="s">
        <v>548</v>
      </c>
      <c r="K31" s="153">
        <v>46023</v>
      </c>
      <c r="L31" s="154" t="s">
        <v>634</v>
      </c>
      <c r="M31" s="155"/>
      <c r="N31" s="155" t="s">
        <v>549</v>
      </c>
      <c r="O31" s="155" t="s">
        <v>258</v>
      </c>
      <c r="P31" s="178" t="s">
        <v>794</v>
      </c>
      <c r="Q31" s="163" t="s">
        <v>226</v>
      </c>
      <c r="R31" s="255"/>
    </row>
    <row r="32" spans="1:18" s="135" customFormat="1" ht="109.5" customHeight="1">
      <c r="A32" s="221">
        <v>24</v>
      </c>
      <c r="B32" s="148" t="s">
        <v>550</v>
      </c>
      <c r="C32" s="148" t="s">
        <v>887</v>
      </c>
      <c r="D32" s="149" t="s">
        <v>551</v>
      </c>
      <c r="E32" s="150" t="s">
        <v>479</v>
      </c>
      <c r="F32" s="151">
        <v>1</v>
      </c>
      <c r="G32" s="150" t="s">
        <v>87</v>
      </c>
      <c r="H32" s="151">
        <v>0.01</v>
      </c>
      <c r="I32" s="152" t="s">
        <v>552</v>
      </c>
      <c r="J32" s="152" t="s">
        <v>552</v>
      </c>
      <c r="K32" s="153">
        <v>46023</v>
      </c>
      <c r="L32" s="154" t="s">
        <v>634</v>
      </c>
      <c r="M32" s="155"/>
      <c r="N32" s="155" t="s">
        <v>553</v>
      </c>
      <c r="O32" s="155" t="s">
        <v>258</v>
      </c>
      <c r="P32" s="178" t="s">
        <v>794</v>
      </c>
      <c r="Q32" s="163" t="s">
        <v>226</v>
      </c>
      <c r="R32" s="255"/>
    </row>
    <row r="33" spans="1:18" s="135" customFormat="1" ht="109.5" customHeight="1">
      <c r="A33" s="223">
        <v>25</v>
      </c>
      <c r="B33" s="148" t="s">
        <v>554</v>
      </c>
      <c r="C33" s="148" t="s">
        <v>888</v>
      </c>
      <c r="D33" s="149" t="s">
        <v>555</v>
      </c>
      <c r="E33" s="150" t="s">
        <v>479</v>
      </c>
      <c r="F33" s="151">
        <v>1</v>
      </c>
      <c r="G33" s="150" t="s">
        <v>87</v>
      </c>
      <c r="H33" s="151">
        <v>0.02</v>
      </c>
      <c r="I33" s="152" t="s">
        <v>556</v>
      </c>
      <c r="J33" s="152" t="s">
        <v>813</v>
      </c>
      <c r="K33" s="153">
        <v>46023</v>
      </c>
      <c r="L33" s="154" t="s">
        <v>634</v>
      </c>
      <c r="M33" s="155"/>
      <c r="N33" s="155" t="s">
        <v>557</v>
      </c>
      <c r="O33" s="155" t="s">
        <v>258</v>
      </c>
      <c r="P33" s="178" t="s">
        <v>794</v>
      </c>
      <c r="Q33" s="163" t="s">
        <v>226</v>
      </c>
      <c r="R33" s="255"/>
    </row>
    <row r="34" spans="1:18" s="135" customFormat="1" ht="183" customHeight="1">
      <c r="A34" s="221">
        <v>25</v>
      </c>
      <c r="B34" s="148" t="s">
        <v>558</v>
      </c>
      <c r="C34" s="148" t="s">
        <v>889</v>
      </c>
      <c r="D34" s="149" t="s">
        <v>890</v>
      </c>
      <c r="E34" s="150" t="s">
        <v>479</v>
      </c>
      <c r="F34" s="151">
        <v>1</v>
      </c>
      <c r="G34" s="150" t="s">
        <v>87</v>
      </c>
      <c r="H34" s="151">
        <v>0.01</v>
      </c>
      <c r="I34" s="152" t="s">
        <v>560</v>
      </c>
      <c r="J34" s="152" t="s">
        <v>891</v>
      </c>
      <c r="K34" s="153">
        <v>46023</v>
      </c>
      <c r="L34" s="154" t="s">
        <v>634</v>
      </c>
      <c r="M34" s="155"/>
      <c r="N34" s="160" t="s">
        <v>892</v>
      </c>
      <c r="O34" s="155" t="s">
        <v>258</v>
      </c>
      <c r="P34" s="178" t="s">
        <v>794</v>
      </c>
      <c r="Q34" s="163" t="s">
        <v>226</v>
      </c>
      <c r="R34" s="255"/>
    </row>
    <row r="35" spans="1:18" s="135" customFormat="1" ht="154.9" customHeight="1">
      <c r="A35" s="223">
        <v>27</v>
      </c>
      <c r="B35" s="148" t="s">
        <v>561</v>
      </c>
      <c r="C35" s="148" t="s">
        <v>893</v>
      </c>
      <c r="D35" s="149" t="s">
        <v>562</v>
      </c>
      <c r="E35" s="150" t="s">
        <v>563</v>
      </c>
      <c r="F35" s="150">
        <v>2</v>
      </c>
      <c r="G35" s="150" t="s">
        <v>87</v>
      </c>
      <c r="H35" s="151">
        <v>0.01</v>
      </c>
      <c r="I35" s="152" t="s">
        <v>564</v>
      </c>
      <c r="J35" s="152" t="s">
        <v>564</v>
      </c>
      <c r="K35" s="153">
        <v>46023</v>
      </c>
      <c r="L35" s="154" t="s">
        <v>634</v>
      </c>
      <c r="M35" s="155"/>
      <c r="N35" s="155" t="s">
        <v>464</v>
      </c>
      <c r="O35" s="155" t="s">
        <v>258</v>
      </c>
      <c r="P35" s="178" t="s">
        <v>819</v>
      </c>
      <c r="Q35" s="163" t="s">
        <v>226</v>
      </c>
      <c r="R35" s="255"/>
    </row>
    <row r="36" spans="1:18" s="135" customFormat="1" ht="111" customHeight="1">
      <c r="A36" s="221">
        <v>28</v>
      </c>
      <c r="B36" s="148" t="s">
        <v>565</v>
      </c>
      <c r="C36" s="148" t="s">
        <v>894</v>
      </c>
      <c r="D36" s="149" t="s">
        <v>566</v>
      </c>
      <c r="E36" s="150" t="s">
        <v>180</v>
      </c>
      <c r="F36" s="150">
        <v>1</v>
      </c>
      <c r="G36" s="150" t="s">
        <v>91</v>
      </c>
      <c r="H36" s="151">
        <v>0.01</v>
      </c>
      <c r="I36" s="152" t="s">
        <v>567</v>
      </c>
      <c r="J36" s="152" t="s">
        <v>821</v>
      </c>
      <c r="K36" s="153">
        <v>46023</v>
      </c>
      <c r="L36" s="154" t="s">
        <v>634</v>
      </c>
      <c r="M36" s="155"/>
      <c r="N36" s="155" t="s">
        <v>464</v>
      </c>
      <c r="O36" s="155" t="s">
        <v>258</v>
      </c>
      <c r="P36" s="230" t="s">
        <v>895</v>
      </c>
      <c r="Q36" s="163" t="s">
        <v>226</v>
      </c>
      <c r="R36" s="255"/>
    </row>
    <row r="37" spans="1:18" s="135" customFormat="1" ht="71.25" customHeight="1">
      <c r="A37" s="223">
        <v>29</v>
      </c>
      <c r="B37" s="148" t="s">
        <v>568</v>
      </c>
      <c r="C37" s="148" t="s">
        <v>896</v>
      </c>
      <c r="D37" s="149" t="s">
        <v>569</v>
      </c>
      <c r="E37" s="150" t="s">
        <v>570</v>
      </c>
      <c r="F37" s="151">
        <v>1</v>
      </c>
      <c r="G37" s="150" t="s">
        <v>87</v>
      </c>
      <c r="H37" s="151">
        <v>0.01</v>
      </c>
      <c r="I37" s="152" t="s">
        <v>571</v>
      </c>
      <c r="J37" s="152" t="s">
        <v>824</v>
      </c>
      <c r="K37" s="153">
        <v>46023</v>
      </c>
      <c r="L37" s="154" t="s">
        <v>634</v>
      </c>
      <c r="M37" s="155"/>
      <c r="N37" s="155" t="s">
        <v>572</v>
      </c>
      <c r="O37" s="155" t="s">
        <v>258</v>
      </c>
      <c r="P37" s="29" t="s">
        <v>794</v>
      </c>
      <c r="Q37" s="163" t="s">
        <v>226</v>
      </c>
      <c r="R37" s="255"/>
    </row>
    <row r="38" spans="1:18" s="135" customFormat="1" ht="56.25" customHeight="1">
      <c r="A38" s="221">
        <v>30</v>
      </c>
      <c r="B38" s="148" t="s">
        <v>573</v>
      </c>
      <c r="C38" s="148" t="s">
        <v>897</v>
      </c>
      <c r="D38" s="149" t="s">
        <v>574</v>
      </c>
      <c r="E38" s="150" t="s">
        <v>570</v>
      </c>
      <c r="F38" s="151">
        <v>1</v>
      </c>
      <c r="G38" s="150" t="s">
        <v>87</v>
      </c>
      <c r="H38" s="151">
        <v>0.01</v>
      </c>
      <c r="I38" s="152" t="s">
        <v>575</v>
      </c>
      <c r="J38" s="152" t="s">
        <v>826</v>
      </c>
      <c r="K38" s="153">
        <v>46023</v>
      </c>
      <c r="L38" s="154" t="s">
        <v>634</v>
      </c>
      <c r="M38" s="155"/>
      <c r="N38" s="155" t="s">
        <v>518</v>
      </c>
      <c r="O38" s="155" t="s">
        <v>258</v>
      </c>
      <c r="P38" s="29" t="s">
        <v>794</v>
      </c>
      <c r="Q38" s="163" t="s">
        <v>226</v>
      </c>
      <c r="R38" s="255"/>
    </row>
    <row r="39" spans="1:18" s="135" customFormat="1" ht="38.1" customHeight="1">
      <c r="A39" s="136">
        <v>31</v>
      </c>
      <c r="B39" s="180" t="s">
        <v>576</v>
      </c>
      <c r="C39" s="180" t="s">
        <v>898</v>
      </c>
      <c r="D39" s="137" t="s">
        <v>30</v>
      </c>
      <c r="E39" s="194"/>
      <c r="F39" s="194"/>
      <c r="G39" s="194"/>
      <c r="H39" s="195">
        <v>0.05</v>
      </c>
      <c r="I39" s="196"/>
      <c r="J39" s="196"/>
      <c r="K39" s="180"/>
      <c r="L39" s="180"/>
      <c r="M39" s="136"/>
      <c r="N39" s="136"/>
      <c r="O39" s="136"/>
      <c r="P39" s="260"/>
      <c r="Q39" s="261" t="s">
        <v>226</v>
      </c>
      <c r="R39" s="260"/>
    </row>
    <row r="40" spans="1:18" s="135" customFormat="1" ht="113.25" customHeight="1">
      <c r="A40" s="221">
        <v>32</v>
      </c>
      <c r="B40" s="148" t="s">
        <v>577</v>
      </c>
      <c r="C40" s="148" t="s">
        <v>899</v>
      </c>
      <c r="D40" s="149" t="s">
        <v>196</v>
      </c>
      <c r="E40" s="150" t="s">
        <v>900</v>
      </c>
      <c r="F40" s="150" t="s">
        <v>901</v>
      </c>
      <c r="G40" s="150" t="s">
        <v>578</v>
      </c>
      <c r="H40" s="151">
        <v>0.01</v>
      </c>
      <c r="I40" s="152" t="s">
        <v>579</v>
      </c>
      <c r="J40" s="152" t="s">
        <v>832</v>
      </c>
      <c r="K40" s="153">
        <v>46023</v>
      </c>
      <c r="L40" s="154" t="s">
        <v>634</v>
      </c>
      <c r="M40" s="155"/>
      <c r="N40" s="155" t="s">
        <v>198</v>
      </c>
      <c r="O40" s="155" t="s">
        <v>269</v>
      </c>
      <c r="P40" s="230" t="s">
        <v>902</v>
      </c>
      <c r="Q40" s="262" t="s">
        <v>225</v>
      </c>
      <c r="R40" s="255"/>
    </row>
    <row r="41" spans="1:18" s="168" customFormat="1" ht="91.5" customHeight="1">
      <c r="A41" s="221">
        <v>33</v>
      </c>
      <c r="B41" s="148" t="s">
        <v>580</v>
      </c>
      <c r="C41" s="148" t="s">
        <v>903</v>
      </c>
      <c r="D41" s="149" t="s">
        <v>200</v>
      </c>
      <c r="E41" s="150" t="s">
        <v>900</v>
      </c>
      <c r="F41" s="150" t="s">
        <v>901</v>
      </c>
      <c r="G41" s="163" t="s">
        <v>201</v>
      </c>
      <c r="H41" s="151">
        <v>0.01</v>
      </c>
      <c r="I41" s="152" t="s">
        <v>579</v>
      </c>
      <c r="J41" s="152" t="s">
        <v>832</v>
      </c>
      <c r="K41" s="153">
        <v>46023</v>
      </c>
      <c r="L41" s="154" t="s">
        <v>634</v>
      </c>
      <c r="M41" s="155"/>
      <c r="N41" s="155" t="s">
        <v>198</v>
      </c>
      <c r="O41" s="155" t="s">
        <v>269</v>
      </c>
      <c r="P41" s="29" t="s">
        <v>794</v>
      </c>
      <c r="Q41" s="163" t="s">
        <v>226</v>
      </c>
      <c r="R41" s="178"/>
    </row>
    <row r="42" spans="1:18" s="168" customFormat="1" ht="208.15" customHeight="1">
      <c r="A42" s="221">
        <v>34</v>
      </c>
      <c r="B42" s="148" t="s">
        <v>581</v>
      </c>
      <c r="C42" s="148" t="s">
        <v>904</v>
      </c>
      <c r="D42" s="149" t="s">
        <v>582</v>
      </c>
      <c r="E42" s="264" t="s">
        <v>517</v>
      </c>
      <c r="F42" s="265">
        <v>1</v>
      </c>
      <c r="G42" s="266" t="s">
        <v>91</v>
      </c>
      <c r="H42" s="151">
        <v>0.02</v>
      </c>
      <c r="I42" s="152" t="s">
        <v>583</v>
      </c>
      <c r="J42" s="159" t="s">
        <v>905</v>
      </c>
      <c r="K42" s="153">
        <v>46023</v>
      </c>
      <c r="L42" s="154" t="s">
        <v>634</v>
      </c>
      <c r="M42" s="155"/>
      <c r="N42" s="155" t="s">
        <v>198</v>
      </c>
      <c r="O42" s="155" t="s">
        <v>269</v>
      </c>
      <c r="P42" s="29" t="s">
        <v>794</v>
      </c>
      <c r="Q42" s="163" t="s">
        <v>226</v>
      </c>
      <c r="R42" s="178"/>
    </row>
    <row r="43" spans="1:18" s="168" customFormat="1" ht="112.9" customHeight="1">
      <c r="A43" s="221">
        <v>35</v>
      </c>
      <c r="B43" s="148" t="s">
        <v>584</v>
      </c>
      <c r="C43" s="148" t="s">
        <v>906</v>
      </c>
      <c r="D43" s="149" t="s">
        <v>585</v>
      </c>
      <c r="E43" s="150" t="s">
        <v>907</v>
      </c>
      <c r="F43" s="150" t="s">
        <v>908</v>
      </c>
      <c r="G43" s="163" t="s">
        <v>201</v>
      </c>
      <c r="H43" s="151">
        <v>0.01</v>
      </c>
      <c r="I43" s="152" t="s">
        <v>587</v>
      </c>
      <c r="J43" s="152" t="s">
        <v>909</v>
      </c>
      <c r="K43" s="153">
        <v>46023</v>
      </c>
      <c r="L43" s="154" t="s">
        <v>634</v>
      </c>
      <c r="M43" s="155"/>
      <c r="N43" s="155" t="s">
        <v>198</v>
      </c>
      <c r="O43" s="155" t="s">
        <v>269</v>
      </c>
      <c r="P43" s="29" t="s">
        <v>794</v>
      </c>
      <c r="Q43" s="163" t="s">
        <v>226</v>
      </c>
      <c r="R43" s="178"/>
    </row>
    <row r="44" spans="1:18" ht="49.5" customHeight="1">
      <c r="A44" s="414" t="s">
        <v>910</v>
      </c>
      <c r="B44" s="414"/>
      <c r="C44" s="414"/>
      <c r="D44" s="414"/>
      <c r="E44" s="414"/>
      <c r="F44" s="414"/>
      <c r="G44" s="414"/>
      <c r="H44" s="267">
        <f>SUM(H4+H5+H6+H8+H10+H9+H11+H12+H14+H15+H16+H18+H19+H20+H21+H22+H23+H25+H26+H27+H28+H29+H30+H31+H32+H34+H35+H36+H37+H38+H40+H42+H43+H41+H33)</f>
        <v>1.0000000000000002</v>
      </c>
      <c r="I44" s="268"/>
      <c r="J44" s="415" t="s">
        <v>911</v>
      </c>
      <c r="K44" s="415"/>
      <c r="L44" s="415"/>
      <c r="M44" s="415"/>
      <c r="N44" s="415"/>
      <c r="O44" s="415"/>
      <c r="P44" s="416" t="s">
        <v>391</v>
      </c>
      <c r="Q44" s="416"/>
      <c r="R44" s="416"/>
    </row>
    <row r="45" spans="1:18">
      <c r="C45" s="269"/>
      <c r="D45" s="198"/>
    </row>
    <row r="47" spans="1:18" s="201" customFormat="1">
      <c r="A47" s="125"/>
      <c r="B47" s="125"/>
      <c r="C47" s="125"/>
      <c r="D47" s="203"/>
      <c r="H47" s="200"/>
      <c r="I47" s="200"/>
      <c r="J47" s="200"/>
      <c r="K47" s="125"/>
      <c r="L47" s="125"/>
      <c r="M47" s="125"/>
      <c r="N47" s="125"/>
      <c r="O47" s="125"/>
    </row>
  </sheetData>
  <mergeCells count="5">
    <mergeCell ref="A1:R1"/>
    <mergeCell ref="P2:R2"/>
    <mergeCell ref="A44:G44"/>
    <mergeCell ref="J44:O44"/>
    <mergeCell ref="P44:R44"/>
  </mergeCells>
  <printOptions horizontalCentered="1"/>
  <pageMargins left="0.43307086614173229" right="0.43307086614173229" top="0.51181102362204722" bottom="0.51181102362204722" header="3.937007874015748E-2" footer="3.937007874015748E-2"/>
  <pageSetup paperSize="9" scale="3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71E12-0F3D-477B-92AA-11BC3A60684F}">
  <sheetPr>
    <tabColor rgb="FF92D050"/>
  </sheetPr>
  <dimension ref="A1:P42"/>
  <sheetViews>
    <sheetView view="pageBreakPreview" zoomScale="55" zoomScaleNormal="70" zoomScaleSheetLayoutView="55" workbookViewId="0">
      <pane xSplit="1" ySplit="2" topLeftCell="B18" activePane="bottomRight" state="frozen"/>
      <selection activeCell="B1" sqref="B1"/>
      <selection pane="topRight" activeCell="C1" sqref="C1"/>
      <selection pane="bottomLeft" activeCell="B3" sqref="B3"/>
      <selection pane="bottomRight" activeCell="C23" sqref="C23"/>
    </sheetView>
  </sheetViews>
  <sheetFormatPr defaultColWidth="9" defaultRowHeight="18.75"/>
  <cols>
    <col min="1" max="1" width="7.85546875" style="125" customWidth="1"/>
    <col min="2" max="2" width="31.5703125" style="125" customWidth="1"/>
    <col min="3" max="3" width="53.7109375" style="202" customWidth="1"/>
    <col min="4" max="4" width="29.28515625" style="201" customWidth="1"/>
    <col min="5" max="5" width="13" style="201" customWidth="1"/>
    <col min="6" max="6" width="15.5703125" style="201" customWidth="1"/>
    <col min="7" max="7" width="9.7109375" style="200" bestFit="1" customWidth="1"/>
    <col min="8" max="8" width="79.28515625" style="200" customWidth="1"/>
    <col min="9" max="10" width="15.42578125" style="125" customWidth="1"/>
    <col min="11" max="11" width="20.28515625" style="125" hidden="1" customWidth="1"/>
    <col min="12" max="13" width="20.140625" style="125" customWidth="1"/>
    <col min="14" max="14" width="40.28515625" style="125" customWidth="1"/>
    <col min="15" max="15" width="15.28515625" style="125" customWidth="1"/>
    <col min="16" max="16" width="13.7109375" style="125" customWidth="1"/>
    <col min="17" max="17" width="9" style="125" customWidth="1"/>
    <col min="18" max="18" width="9.42578125" style="125" customWidth="1"/>
    <col min="19" max="19" width="9" style="125" customWidth="1"/>
    <col min="20" max="16384" width="9" style="125"/>
  </cols>
  <sheetData>
    <row r="1" spans="1:16" ht="47.25" customHeight="1">
      <c r="A1" s="417" t="s">
        <v>759</v>
      </c>
      <c r="B1" s="418"/>
      <c r="C1" s="418"/>
      <c r="D1" s="418"/>
      <c r="E1" s="418"/>
      <c r="F1" s="418"/>
      <c r="G1" s="418"/>
      <c r="H1" s="418"/>
      <c r="I1" s="418"/>
      <c r="J1" s="418"/>
      <c r="K1" s="418"/>
      <c r="L1" s="418"/>
      <c r="M1" s="418"/>
      <c r="N1" s="418"/>
      <c r="O1" s="418"/>
      <c r="P1" s="418"/>
    </row>
    <row r="2" spans="1:16" ht="98.25" customHeight="1">
      <c r="A2" s="126" t="s">
        <v>0</v>
      </c>
      <c r="B2" s="126" t="s">
        <v>628</v>
      </c>
      <c r="C2" s="126" t="s">
        <v>242</v>
      </c>
      <c r="D2" s="126" t="s">
        <v>75</v>
      </c>
      <c r="E2" s="126" t="s">
        <v>244</v>
      </c>
      <c r="F2" s="126" t="s">
        <v>77</v>
      </c>
      <c r="G2" s="127" t="s">
        <v>436</v>
      </c>
      <c r="H2" s="127" t="s">
        <v>78</v>
      </c>
      <c r="I2" s="126" t="s">
        <v>1</v>
      </c>
      <c r="J2" s="126" t="s">
        <v>2</v>
      </c>
      <c r="K2" s="126" t="s">
        <v>247</v>
      </c>
      <c r="L2" s="126" t="s">
        <v>437</v>
      </c>
      <c r="M2" s="126" t="s">
        <v>438</v>
      </c>
      <c r="N2" s="419" t="s">
        <v>629</v>
      </c>
      <c r="O2" s="419"/>
      <c r="P2" s="419"/>
    </row>
    <row r="3" spans="1:16" s="135" customFormat="1" ht="73.5" customHeight="1">
      <c r="A3" s="136">
        <v>1</v>
      </c>
      <c r="B3" s="136" t="s">
        <v>760</v>
      </c>
      <c r="C3" s="137" t="s">
        <v>442</v>
      </c>
      <c r="D3" s="139" t="s">
        <v>444</v>
      </c>
      <c r="E3" s="139">
        <v>0</v>
      </c>
      <c r="F3" s="139" t="s">
        <v>201</v>
      </c>
      <c r="G3" s="140">
        <v>0.15</v>
      </c>
      <c r="H3" s="141"/>
      <c r="I3" s="142"/>
      <c r="J3" s="142"/>
      <c r="K3" s="136"/>
      <c r="L3" s="136"/>
      <c r="M3" s="136"/>
      <c r="N3" s="253" t="s">
        <v>250</v>
      </c>
      <c r="O3" s="253" t="s">
        <v>206</v>
      </c>
      <c r="P3" s="252" t="s">
        <v>31</v>
      </c>
    </row>
    <row r="4" spans="1:16" ht="190.5" customHeight="1">
      <c r="A4" s="223">
        <v>2</v>
      </c>
      <c r="B4" s="148" t="s">
        <v>761</v>
      </c>
      <c r="C4" s="149" t="s">
        <v>446</v>
      </c>
      <c r="D4" s="150" t="s">
        <v>447</v>
      </c>
      <c r="E4" s="151">
        <v>1</v>
      </c>
      <c r="F4" s="150" t="s">
        <v>91</v>
      </c>
      <c r="G4" s="151">
        <v>0.1</v>
      </c>
      <c r="H4" s="152" t="s">
        <v>762</v>
      </c>
      <c r="I4" s="153">
        <v>46023</v>
      </c>
      <c r="J4" s="154" t="s">
        <v>634</v>
      </c>
      <c r="K4" s="155"/>
      <c r="L4" s="155" t="s">
        <v>514</v>
      </c>
      <c r="M4" s="155" t="s">
        <v>269</v>
      </c>
      <c r="N4" s="254" t="s">
        <v>763</v>
      </c>
      <c r="O4" s="157" t="s">
        <v>226</v>
      </c>
      <c r="P4" s="157"/>
    </row>
    <row r="5" spans="1:16" ht="135.75" customHeight="1">
      <c r="A5" s="223">
        <v>3</v>
      </c>
      <c r="B5" s="148" t="s">
        <v>764</v>
      </c>
      <c r="C5" s="226" t="s">
        <v>765</v>
      </c>
      <c r="D5" s="150" t="s">
        <v>451</v>
      </c>
      <c r="E5" s="151">
        <v>1</v>
      </c>
      <c r="F5" s="150" t="s">
        <v>91</v>
      </c>
      <c r="G5" s="151">
        <v>0.03</v>
      </c>
      <c r="H5" s="152" t="s">
        <v>766</v>
      </c>
      <c r="I5" s="153">
        <v>46023</v>
      </c>
      <c r="J5" s="154" t="s">
        <v>634</v>
      </c>
      <c r="K5" s="155"/>
      <c r="L5" s="155" t="s">
        <v>514</v>
      </c>
      <c r="M5" s="155" t="s">
        <v>269</v>
      </c>
      <c r="N5" s="157" t="s">
        <v>767</v>
      </c>
      <c r="O5" s="157" t="s">
        <v>226</v>
      </c>
      <c r="P5" s="157"/>
    </row>
    <row r="6" spans="1:16" ht="135" customHeight="1">
      <c r="A6" s="223">
        <v>4</v>
      </c>
      <c r="B6" s="148" t="s">
        <v>768</v>
      </c>
      <c r="C6" s="149" t="s">
        <v>455</v>
      </c>
      <c r="D6" s="150" t="s">
        <v>451</v>
      </c>
      <c r="E6" s="151">
        <v>1</v>
      </c>
      <c r="F6" s="150" t="s">
        <v>91</v>
      </c>
      <c r="G6" s="151">
        <v>0.02</v>
      </c>
      <c r="H6" s="152" t="s">
        <v>456</v>
      </c>
      <c r="I6" s="153">
        <v>46023</v>
      </c>
      <c r="J6" s="154" t="s">
        <v>634</v>
      </c>
      <c r="K6" s="155"/>
      <c r="L6" s="155" t="s">
        <v>514</v>
      </c>
      <c r="M6" s="155" t="s">
        <v>269</v>
      </c>
      <c r="N6" s="157" t="s">
        <v>640</v>
      </c>
      <c r="O6" s="157" t="s">
        <v>226</v>
      </c>
      <c r="P6" s="157"/>
    </row>
    <row r="7" spans="1:16" s="135" customFormat="1" ht="90" customHeight="1">
      <c r="A7" s="136">
        <v>5</v>
      </c>
      <c r="B7" s="136" t="s">
        <v>769</v>
      </c>
      <c r="C7" s="161" t="s">
        <v>84</v>
      </c>
      <c r="D7" s="139" t="s">
        <v>459</v>
      </c>
      <c r="E7" s="139" t="s">
        <v>460</v>
      </c>
      <c r="F7" s="139" t="s">
        <v>87</v>
      </c>
      <c r="G7" s="140">
        <v>0.2</v>
      </c>
      <c r="H7" s="140"/>
      <c r="I7" s="142"/>
      <c r="J7" s="142"/>
      <c r="K7" s="136"/>
      <c r="L7" s="136"/>
      <c r="M7" s="136"/>
      <c r="N7" s="255"/>
      <c r="O7" s="255"/>
      <c r="P7" s="255"/>
    </row>
    <row r="8" spans="1:16" s="135" customFormat="1" ht="113.25" customHeight="1">
      <c r="A8" s="223">
        <v>6</v>
      </c>
      <c r="B8" s="225" t="s">
        <v>770</v>
      </c>
      <c r="C8" s="149" t="s">
        <v>462</v>
      </c>
      <c r="D8" s="150" t="s">
        <v>119</v>
      </c>
      <c r="E8" s="150">
        <v>1</v>
      </c>
      <c r="F8" s="150" t="s">
        <v>201</v>
      </c>
      <c r="G8" s="162">
        <v>0.03</v>
      </c>
      <c r="H8" s="152" t="s">
        <v>771</v>
      </c>
      <c r="I8" s="153">
        <v>46023</v>
      </c>
      <c r="J8" s="154">
        <v>46387</v>
      </c>
      <c r="K8" s="163"/>
      <c r="L8" s="155" t="s">
        <v>464</v>
      </c>
      <c r="M8" s="155" t="s">
        <v>465</v>
      </c>
      <c r="N8" s="178" t="s">
        <v>772</v>
      </c>
      <c r="O8" s="157" t="s">
        <v>226</v>
      </c>
      <c r="P8" s="255"/>
    </row>
    <row r="9" spans="1:16" s="168" customFormat="1" ht="177" customHeight="1">
      <c r="A9" s="223">
        <v>7</v>
      </c>
      <c r="B9" s="225" t="s">
        <v>773</v>
      </c>
      <c r="C9" s="149" t="s">
        <v>467</v>
      </c>
      <c r="D9" s="150" t="s">
        <v>89</v>
      </c>
      <c r="E9" s="151" t="s">
        <v>90</v>
      </c>
      <c r="F9" s="150" t="s">
        <v>91</v>
      </c>
      <c r="G9" s="164">
        <v>0.1</v>
      </c>
      <c r="H9" s="165" t="s">
        <v>774</v>
      </c>
      <c r="I9" s="166">
        <v>46023</v>
      </c>
      <c r="J9" s="154" t="s">
        <v>634</v>
      </c>
      <c r="K9" s="167"/>
      <c r="L9" s="167" t="s">
        <v>514</v>
      </c>
      <c r="M9" s="155" t="s">
        <v>269</v>
      </c>
      <c r="N9" s="178" t="s">
        <v>775</v>
      </c>
      <c r="O9" s="157" t="s">
        <v>226</v>
      </c>
      <c r="P9" s="178"/>
    </row>
    <row r="10" spans="1:16" ht="190.5" customHeight="1">
      <c r="A10" s="223">
        <v>8</v>
      </c>
      <c r="B10" s="225" t="s">
        <v>776</v>
      </c>
      <c r="C10" s="172" t="s">
        <v>777</v>
      </c>
      <c r="D10" s="150" t="s">
        <v>474</v>
      </c>
      <c r="E10" s="151" t="s">
        <v>475</v>
      </c>
      <c r="F10" s="173" t="s">
        <v>87</v>
      </c>
      <c r="G10" s="174">
        <v>0.06</v>
      </c>
      <c r="H10" s="175" t="s">
        <v>778</v>
      </c>
      <c r="I10" s="166">
        <v>46023</v>
      </c>
      <c r="J10" s="154" t="s">
        <v>634</v>
      </c>
      <c r="K10" s="170"/>
      <c r="L10" s="170" t="s">
        <v>102</v>
      </c>
      <c r="M10" s="155" t="s">
        <v>269</v>
      </c>
      <c r="N10" s="157" t="s">
        <v>640</v>
      </c>
      <c r="O10" s="157" t="s">
        <v>226</v>
      </c>
      <c r="P10" s="157"/>
    </row>
    <row r="11" spans="1:16" s="168" customFormat="1" ht="80.25" customHeight="1">
      <c r="A11" s="223">
        <v>9</v>
      </c>
      <c r="B11" s="225" t="s">
        <v>779</v>
      </c>
      <c r="C11" s="149" t="s">
        <v>112</v>
      </c>
      <c r="D11" s="150" t="s">
        <v>113</v>
      </c>
      <c r="E11" s="151" t="s">
        <v>114</v>
      </c>
      <c r="F11" s="150" t="s">
        <v>87</v>
      </c>
      <c r="G11" s="162">
        <v>0.01</v>
      </c>
      <c r="H11" s="152" t="s">
        <v>780</v>
      </c>
      <c r="I11" s="153">
        <v>46023</v>
      </c>
      <c r="J11" s="154" t="s">
        <v>634</v>
      </c>
      <c r="K11" s="155"/>
      <c r="L11" s="167" t="s">
        <v>514</v>
      </c>
      <c r="M11" s="155" t="s">
        <v>269</v>
      </c>
      <c r="N11" s="157" t="s">
        <v>640</v>
      </c>
      <c r="O11" s="157" t="s">
        <v>226</v>
      </c>
      <c r="P11" s="178"/>
    </row>
    <row r="12" spans="1:16" s="135" customFormat="1" ht="70.5" customHeight="1">
      <c r="A12" s="136">
        <v>10</v>
      </c>
      <c r="B12" s="136" t="s">
        <v>781</v>
      </c>
      <c r="C12" s="179" t="s">
        <v>16</v>
      </c>
      <c r="D12" s="139" t="s">
        <v>117</v>
      </c>
      <c r="E12" s="139">
        <v>0</v>
      </c>
      <c r="F12" s="139"/>
      <c r="G12" s="140">
        <v>0.15</v>
      </c>
      <c r="H12" s="140"/>
      <c r="I12" s="180"/>
      <c r="J12" s="180"/>
      <c r="K12" s="136"/>
      <c r="L12" s="136"/>
      <c r="M12" s="136"/>
      <c r="N12" s="255"/>
      <c r="O12" s="255"/>
      <c r="P12" s="255"/>
    </row>
    <row r="13" spans="1:16" s="168" customFormat="1" ht="252" customHeight="1">
      <c r="A13" s="223">
        <v>11</v>
      </c>
      <c r="B13" s="148" t="s">
        <v>782</v>
      </c>
      <c r="C13" s="149" t="s">
        <v>118</v>
      </c>
      <c r="D13" s="150" t="s">
        <v>119</v>
      </c>
      <c r="E13" s="150">
        <v>1</v>
      </c>
      <c r="F13" s="150" t="s">
        <v>91</v>
      </c>
      <c r="G13" s="164">
        <v>0.05</v>
      </c>
      <c r="H13" s="165" t="s">
        <v>783</v>
      </c>
      <c r="I13" s="166">
        <v>46023</v>
      </c>
      <c r="J13" s="154" t="s">
        <v>634</v>
      </c>
      <c r="K13" s="167"/>
      <c r="L13" s="167" t="s">
        <v>514</v>
      </c>
      <c r="M13" s="155" t="s">
        <v>269</v>
      </c>
      <c r="N13" s="178" t="s">
        <v>784</v>
      </c>
      <c r="O13" s="157" t="s">
        <v>226</v>
      </c>
      <c r="P13" s="178"/>
    </row>
    <row r="14" spans="1:16" s="168" customFormat="1" ht="89.25" customHeight="1">
      <c r="A14" s="221">
        <v>12</v>
      </c>
      <c r="B14" s="225" t="s">
        <v>785</v>
      </c>
      <c r="C14" s="226" t="s">
        <v>122</v>
      </c>
      <c r="D14" s="256" t="s">
        <v>123</v>
      </c>
      <c r="E14" s="256">
        <v>6</v>
      </c>
      <c r="F14" s="256" t="s">
        <v>786</v>
      </c>
      <c r="G14" s="164">
        <v>0.08</v>
      </c>
      <c r="H14" s="165" t="s">
        <v>787</v>
      </c>
      <c r="I14" s="166">
        <v>46023</v>
      </c>
      <c r="J14" s="241" t="s">
        <v>634</v>
      </c>
      <c r="K14" s="160"/>
      <c r="L14" s="167" t="s">
        <v>514</v>
      </c>
      <c r="M14" s="155" t="s">
        <v>269</v>
      </c>
      <c r="N14" s="178" t="s">
        <v>788</v>
      </c>
      <c r="O14" s="240" t="s">
        <v>225</v>
      </c>
      <c r="P14" s="178"/>
    </row>
    <row r="15" spans="1:16" s="168" customFormat="1" ht="89.25" customHeight="1">
      <c r="A15" s="223">
        <v>13</v>
      </c>
      <c r="B15" s="148" t="s">
        <v>789</v>
      </c>
      <c r="C15" s="149" t="s">
        <v>125</v>
      </c>
      <c r="D15" s="150" t="s">
        <v>126</v>
      </c>
      <c r="E15" s="151">
        <v>1</v>
      </c>
      <c r="F15" s="150" t="s">
        <v>87</v>
      </c>
      <c r="G15" s="164">
        <v>0.02</v>
      </c>
      <c r="H15" s="165" t="s">
        <v>790</v>
      </c>
      <c r="I15" s="166">
        <v>46023</v>
      </c>
      <c r="J15" s="154" t="s">
        <v>634</v>
      </c>
      <c r="K15" s="167"/>
      <c r="L15" s="167" t="s">
        <v>514</v>
      </c>
      <c r="M15" s="155" t="s">
        <v>269</v>
      </c>
      <c r="N15" s="178" t="s">
        <v>791</v>
      </c>
      <c r="O15" s="178"/>
      <c r="P15" s="178"/>
    </row>
    <row r="16" spans="1:16" s="135" customFormat="1" ht="55.5" customHeight="1">
      <c r="A16" s="136">
        <v>14</v>
      </c>
      <c r="B16" s="136" t="s">
        <v>792</v>
      </c>
      <c r="C16" s="179" t="s">
        <v>135</v>
      </c>
      <c r="D16" s="139"/>
      <c r="E16" s="139"/>
      <c r="F16" s="139"/>
      <c r="G16" s="140">
        <v>0.2</v>
      </c>
      <c r="H16" s="140"/>
      <c r="I16" s="142"/>
      <c r="J16" s="142"/>
      <c r="K16" s="136"/>
      <c r="L16" s="136"/>
      <c r="M16" s="136"/>
      <c r="N16" s="255"/>
      <c r="O16" s="255"/>
      <c r="P16" s="255"/>
    </row>
    <row r="17" spans="1:16" s="135" customFormat="1" ht="138.75" customHeight="1">
      <c r="A17" s="221">
        <v>15</v>
      </c>
      <c r="B17" s="148" t="s">
        <v>793</v>
      </c>
      <c r="C17" s="149" t="s">
        <v>499</v>
      </c>
      <c r="D17" s="150" t="s">
        <v>138</v>
      </c>
      <c r="E17" s="151">
        <v>1</v>
      </c>
      <c r="F17" s="150" t="s">
        <v>87</v>
      </c>
      <c r="G17" s="151">
        <v>0.05</v>
      </c>
      <c r="H17" s="152" t="s">
        <v>500</v>
      </c>
      <c r="I17" s="153">
        <v>46023</v>
      </c>
      <c r="J17" s="154" t="s">
        <v>634</v>
      </c>
      <c r="K17" s="155"/>
      <c r="L17" s="167" t="s">
        <v>514</v>
      </c>
      <c r="M17" s="155" t="s">
        <v>258</v>
      </c>
      <c r="N17" s="29" t="s">
        <v>794</v>
      </c>
      <c r="O17" s="157" t="s">
        <v>226</v>
      </c>
      <c r="P17" s="255"/>
    </row>
    <row r="18" spans="1:16" s="135" customFormat="1" ht="133.5" customHeight="1">
      <c r="A18" s="221">
        <v>16</v>
      </c>
      <c r="B18" s="148" t="s">
        <v>795</v>
      </c>
      <c r="C18" s="149" t="s">
        <v>512</v>
      </c>
      <c r="D18" s="150" t="s">
        <v>141</v>
      </c>
      <c r="E18" s="151">
        <v>1</v>
      </c>
      <c r="F18" s="150" t="s">
        <v>87</v>
      </c>
      <c r="G18" s="151">
        <v>0.15</v>
      </c>
      <c r="H18" s="152" t="s">
        <v>513</v>
      </c>
      <c r="I18" s="153">
        <v>46023</v>
      </c>
      <c r="J18" s="154" t="s">
        <v>634</v>
      </c>
      <c r="K18" s="155"/>
      <c r="L18" s="155" t="s">
        <v>796</v>
      </c>
      <c r="M18" s="155" t="s">
        <v>258</v>
      </c>
      <c r="N18" s="178" t="s">
        <v>797</v>
      </c>
      <c r="O18" s="157" t="s">
        <v>226</v>
      </c>
      <c r="P18" s="255"/>
    </row>
    <row r="19" spans="1:16" s="191" customFormat="1" ht="85.5" customHeight="1">
      <c r="A19" s="185">
        <v>17</v>
      </c>
      <c r="B19" s="136" t="s">
        <v>798</v>
      </c>
      <c r="C19" s="179" t="s">
        <v>522</v>
      </c>
      <c r="D19" s="139"/>
      <c r="E19" s="139"/>
      <c r="F19" s="139"/>
      <c r="G19" s="140">
        <v>0.25</v>
      </c>
      <c r="H19" s="188"/>
      <c r="I19" s="189"/>
      <c r="J19" s="189"/>
      <c r="K19" s="189"/>
      <c r="L19" s="189"/>
      <c r="M19" s="190"/>
      <c r="N19" s="133"/>
      <c r="O19" s="133"/>
      <c r="P19" s="133"/>
    </row>
    <row r="20" spans="1:16" s="135" customFormat="1" ht="60" customHeight="1">
      <c r="A20" s="221">
        <v>18</v>
      </c>
      <c r="B20" s="148" t="s">
        <v>799</v>
      </c>
      <c r="C20" s="149" t="s">
        <v>149</v>
      </c>
      <c r="D20" s="150" t="s">
        <v>150</v>
      </c>
      <c r="E20" s="150">
        <v>8</v>
      </c>
      <c r="F20" s="150" t="s">
        <v>87</v>
      </c>
      <c r="G20" s="164">
        <v>0.04</v>
      </c>
      <c r="H20" s="165" t="s">
        <v>800</v>
      </c>
      <c r="I20" s="166">
        <v>46023</v>
      </c>
      <c r="J20" s="154" t="s">
        <v>634</v>
      </c>
      <c r="K20" s="167"/>
      <c r="L20" s="155" t="s">
        <v>464</v>
      </c>
      <c r="M20" s="155" t="s">
        <v>258</v>
      </c>
      <c r="N20" s="178" t="s">
        <v>794</v>
      </c>
      <c r="O20" s="157" t="s">
        <v>226</v>
      </c>
      <c r="P20" s="255"/>
    </row>
    <row r="21" spans="1:16" s="135" customFormat="1" ht="60" customHeight="1">
      <c r="A21" s="223">
        <v>19</v>
      </c>
      <c r="B21" s="148" t="s">
        <v>801</v>
      </c>
      <c r="C21" s="149" t="s">
        <v>154</v>
      </c>
      <c r="D21" s="150" t="s">
        <v>526</v>
      </c>
      <c r="E21" s="150">
        <v>33</v>
      </c>
      <c r="F21" s="150" t="s">
        <v>87</v>
      </c>
      <c r="G21" s="164">
        <v>0.04</v>
      </c>
      <c r="H21" s="165" t="s">
        <v>802</v>
      </c>
      <c r="I21" s="166">
        <v>46023</v>
      </c>
      <c r="J21" s="154" t="s">
        <v>634</v>
      </c>
      <c r="K21" s="167"/>
      <c r="L21" s="155" t="s">
        <v>464</v>
      </c>
      <c r="M21" s="155" t="s">
        <v>258</v>
      </c>
      <c r="N21" s="178" t="s">
        <v>794</v>
      </c>
      <c r="O21" s="157" t="s">
        <v>226</v>
      </c>
      <c r="P21" s="255"/>
    </row>
    <row r="22" spans="1:16" s="135" customFormat="1" ht="111.75" customHeight="1">
      <c r="A22" s="221">
        <v>20</v>
      </c>
      <c r="B22" s="148" t="s">
        <v>803</v>
      </c>
      <c r="C22" s="149" t="s">
        <v>529</v>
      </c>
      <c r="D22" s="150" t="s">
        <v>530</v>
      </c>
      <c r="E22" s="151">
        <v>1</v>
      </c>
      <c r="F22" s="150" t="s">
        <v>87</v>
      </c>
      <c r="G22" s="164">
        <v>0.01</v>
      </c>
      <c r="H22" s="165" t="s">
        <v>804</v>
      </c>
      <c r="I22" s="166">
        <v>46023</v>
      </c>
      <c r="J22" s="154" t="s">
        <v>634</v>
      </c>
      <c r="K22" s="167"/>
      <c r="L22" s="155" t="s">
        <v>532</v>
      </c>
      <c r="M22" s="155" t="s">
        <v>258</v>
      </c>
      <c r="N22" s="178" t="s">
        <v>794</v>
      </c>
      <c r="O22" s="157" t="s">
        <v>226</v>
      </c>
      <c r="P22" s="255"/>
    </row>
    <row r="23" spans="1:16" s="135" customFormat="1" ht="84" customHeight="1">
      <c r="A23" s="223">
        <v>21</v>
      </c>
      <c r="B23" s="148" t="s">
        <v>805</v>
      </c>
      <c r="C23" s="149" t="s">
        <v>534</v>
      </c>
      <c r="D23" s="150" t="s">
        <v>119</v>
      </c>
      <c r="E23" s="150">
        <v>15</v>
      </c>
      <c r="F23" s="150" t="s">
        <v>87</v>
      </c>
      <c r="G23" s="164">
        <v>0.01</v>
      </c>
      <c r="H23" s="165" t="s">
        <v>806</v>
      </c>
      <c r="I23" s="166">
        <v>46023</v>
      </c>
      <c r="J23" s="154" t="s">
        <v>634</v>
      </c>
      <c r="K23" s="167"/>
      <c r="L23" s="155" t="s">
        <v>514</v>
      </c>
      <c r="M23" s="155" t="s">
        <v>465</v>
      </c>
      <c r="N23" s="178" t="s">
        <v>794</v>
      </c>
      <c r="O23" s="157" t="s">
        <v>226</v>
      </c>
      <c r="P23" s="255"/>
    </row>
    <row r="24" spans="1:16" s="135" customFormat="1" ht="77.25" customHeight="1">
      <c r="A24" s="223">
        <v>22</v>
      </c>
      <c r="B24" s="148" t="s">
        <v>807</v>
      </c>
      <c r="C24" s="149" t="s">
        <v>540</v>
      </c>
      <c r="D24" s="150" t="s">
        <v>479</v>
      </c>
      <c r="E24" s="151">
        <v>1</v>
      </c>
      <c r="F24" s="150" t="s">
        <v>87</v>
      </c>
      <c r="G24" s="164">
        <v>0.01</v>
      </c>
      <c r="H24" s="165" t="s">
        <v>808</v>
      </c>
      <c r="I24" s="166">
        <v>46023</v>
      </c>
      <c r="J24" s="154" t="s">
        <v>634</v>
      </c>
      <c r="K24" s="167"/>
      <c r="L24" s="155" t="s">
        <v>532</v>
      </c>
      <c r="M24" s="155" t="s">
        <v>258</v>
      </c>
      <c r="N24" s="178" t="s">
        <v>794</v>
      </c>
      <c r="O24" s="157" t="s">
        <v>226</v>
      </c>
      <c r="P24" s="255"/>
    </row>
    <row r="25" spans="1:16" s="135" customFormat="1" ht="144.75" customHeight="1">
      <c r="A25" s="221">
        <v>23</v>
      </c>
      <c r="B25" s="148" t="s">
        <v>809</v>
      </c>
      <c r="C25" s="149" t="s">
        <v>543</v>
      </c>
      <c r="D25" s="150" t="s">
        <v>479</v>
      </c>
      <c r="E25" s="151">
        <v>1</v>
      </c>
      <c r="F25" s="150" t="s">
        <v>87</v>
      </c>
      <c r="G25" s="151">
        <v>0.04</v>
      </c>
      <c r="H25" s="152" t="s">
        <v>544</v>
      </c>
      <c r="I25" s="153">
        <v>46023</v>
      </c>
      <c r="J25" s="154" t="s">
        <v>634</v>
      </c>
      <c r="K25" s="155"/>
      <c r="L25" s="155" t="s">
        <v>545</v>
      </c>
      <c r="M25" s="155" t="s">
        <v>258</v>
      </c>
      <c r="N25" s="178" t="s">
        <v>794</v>
      </c>
      <c r="O25" s="157" t="s">
        <v>226</v>
      </c>
      <c r="P25" s="255"/>
    </row>
    <row r="26" spans="1:16" s="135" customFormat="1" ht="108" customHeight="1">
      <c r="A26" s="223">
        <v>24</v>
      </c>
      <c r="B26" s="148" t="s">
        <v>810</v>
      </c>
      <c r="C26" s="149" t="s">
        <v>547</v>
      </c>
      <c r="D26" s="150" t="s">
        <v>479</v>
      </c>
      <c r="E26" s="151">
        <v>1</v>
      </c>
      <c r="F26" s="150" t="s">
        <v>87</v>
      </c>
      <c r="G26" s="151">
        <v>0.02</v>
      </c>
      <c r="H26" s="152" t="s">
        <v>548</v>
      </c>
      <c r="I26" s="153">
        <v>46023</v>
      </c>
      <c r="J26" s="154" t="s">
        <v>634</v>
      </c>
      <c r="K26" s="155"/>
      <c r="L26" s="155" t="s">
        <v>796</v>
      </c>
      <c r="M26" s="155" t="s">
        <v>258</v>
      </c>
      <c r="N26" s="178" t="s">
        <v>794</v>
      </c>
      <c r="O26" s="157" t="s">
        <v>226</v>
      </c>
      <c r="P26" s="255"/>
    </row>
    <row r="27" spans="1:16" s="135" customFormat="1" ht="109.5" customHeight="1">
      <c r="A27" s="221">
        <v>25</v>
      </c>
      <c r="B27" s="148" t="s">
        <v>811</v>
      </c>
      <c r="C27" s="149" t="s">
        <v>551</v>
      </c>
      <c r="D27" s="150" t="s">
        <v>479</v>
      </c>
      <c r="E27" s="151">
        <v>1</v>
      </c>
      <c r="F27" s="150" t="s">
        <v>87</v>
      </c>
      <c r="G27" s="151">
        <v>0.01</v>
      </c>
      <c r="H27" s="152" t="s">
        <v>552</v>
      </c>
      <c r="I27" s="153">
        <v>46023</v>
      </c>
      <c r="J27" s="154" t="s">
        <v>634</v>
      </c>
      <c r="K27" s="155"/>
      <c r="L27" s="155" t="s">
        <v>514</v>
      </c>
      <c r="M27" s="155" t="s">
        <v>258</v>
      </c>
      <c r="N27" s="178" t="s">
        <v>794</v>
      </c>
      <c r="O27" s="157" t="s">
        <v>226</v>
      </c>
      <c r="P27" s="255"/>
    </row>
    <row r="28" spans="1:16" s="135" customFormat="1" ht="109.5" customHeight="1">
      <c r="A28" s="223">
        <v>26</v>
      </c>
      <c r="B28" s="148" t="s">
        <v>812</v>
      </c>
      <c r="C28" s="149" t="s">
        <v>555</v>
      </c>
      <c r="D28" s="150" t="s">
        <v>479</v>
      </c>
      <c r="E28" s="151">
        <v>1</v>
      </c>
      <c r="F28" s="150" t="s">
        <v>87</v>
      </c>
      <c r="G28" s="151">
        <v>0.02</v>
      </c>
      <c r="H28" s="152" t="s">
        <v>813</v>
      </c>
      <c r="I28" s="153">
        <v>46023</v>
      </c>
      <c r="J28" s="154" t="s">
        <v>634</v>
      </c>
      <c r="K28" s="155"/>
      <c r="L28" s="155" t="s">
        <v>557</v>
      </c>
      <c r="M28" s="155" t="s">
        <v>258</v>
      </c>
      <c r="N28" s="178" t="s">
        <v>814</v>
      </c>
      <c r="O28" s="157" t="s">
        <v>226</v>
      </c>
      <c r="P28" s="255"/>
    </row>
    <row r="29" spans="1:16" s="135" customFormat="1" ht="183" customHeight="1">
      <c r="A29" s="221">
        <v>27</v>
      </c>
      <c r="B29" s="148" t="s">
        <v>815</v>
      </c>
      <c r="C29" s="149" t="s">
        <v>816</v>
      </c>
      <c r="D29" s="150" t="s">
        <v>479</v>
      </c>
      <c r="E29" s="151">
        <v>1</v>
      </c>
      <c r="F29" s="150" t="s">
        <v>87</v>
      </c>
      <c r="G29" s="151">
        <v>0.01</v>
      </c>
      <c r="H29" s="152" t="s">
        <v>817</v>
      </c>
      <c r="I29" s="153">
        <v>46023</v>
      </c>
      <c r="J29" s="154" t="s">
        <v>634</v>
      </c>
      <c r="K29" s="155"/>
      <c r="L29" s="155" t="s">
        <v>514</v>
      </c>
      <c r="M29" s="155" t="s">
        <v>465</v>
      </c>
      <c r="N29" s="178" t="s">
        <v>794</v>
      </c>
      <c r="O29" s="157" t="s">
        <v>226</v>
      </c>
      <c r="P29" s="255"/>
    </row>
    <row r="30" spans="1:16" s="135" customFormat="1" ht="114.75" customHeight="1">
      <c r="A30" s="223">
        <v>28</v>
      </c>
      <c r="B30" s="148" t="s">
        <v>818</v>
      </c>
      <c r="C30" s="149" t="s">
        <v>562</v>
      </c>
      <c r="D30" s="150" t="s">
        <v>563</v>
      </c>
      <c r="E30" s="150">
        <v>2</v>
      </c>
      <c r="F30" s="150" t="s">
        <v>87</v>
      </c>
      <c r="G30" s="151">
        <v>0.01</v>
      </c>
      <c r="H30" s="152" t="s">
        <v>564</v>
      </c>
      <c r="I30" s="153">
        <v>46023</v>
      </c>
      <c r="J30" s="154" t="s">
        <v>634</v>
      </c>
      <c r="K30" s="155"/>
      <c r="L30" s="155" t="s">
        <v>464</v>
      </c>
      <c r="M30" s="155" t="s">
        <v>258</v>
      </c>
      <c r="N30" s="178" t="s">
        <v>819</v>
      </c>
      <c r="O30" s="157" t="s">
        <v>226</v>
      </c>
      <c r="P30" s="255"/>
    </row>
    <row r="31" spans="1:16" s="135" customFormat="1" ht="108.75" customHeight="1">
      <c r="A31" s="221">
        <v>29</v>
      </c>
      <c r="B31" s="148" t="s">
        <v>820</v>
      </c>
      <c r="C31" s="149" t="s">
        <v>566</v>
      </c>
      <c r="D31" s="150" t="s">
        <v>180</v>
      </c>
      <c r="E31" s="150">
        <v>1</v>
      </c>
      <c r="F31" s="150" t="s">
        <v>91</v>
      </c>
      <c r="G31" s="151">
        <v>0.01</v>
      </c>
      <c r="H31" s="152" t="s">
        <v>821</v>
      </c>
      <c r="I31" s="153">
        <v>46023</v>
      </c>
      <c r="J31" s="154" t="s">
        <v>634</v>
      </c>
      <c r="K31" s="155"/>
      <c r="L31" s="155" t="s">
        <v>464</v>
      </c>
      <c r="M31" s="155" t="s">
        <v>258</v>
      </c>
      <c r="N31" s="230" t="s">
        <v>822</v>
      </c>
      <c r="O31" s="240" t="s">
        <v>225</v>
      </c>
      <c r="P31" s="255"/>
    </row>
    <row r="32" spans="1:16" s="135" customFormat="1" ht="71.25" customHeight="1">
      <c r="A32" s="223">
        <v>30</v>
      </c>
      <c r="B32" s="148" t="s">
        <v>823</v>
      </c>
      <c r="C32" s="149" t="s">
        <v>569</v>
      </c>
      <c r="D32" s="150" t="s">
        <v>570</v>
      </c>
      <c r="E32" s="151">
        <v>1</v>
      </c>
      <c r="F32" s="150" t="s">
        <v>87</v>
      </c>
      <c r="G32" s="151">
        <v>0.01</v>
      </c>
      <c r="H32" s="152" t="s">
        <v>824</v>
      </c>
      <c r="I32" s="153">
        <v>46023</v>
      </c>
      <c r="J32" s="154" t="s">
        <v>634</v>
      </c>
      <c r="K32" s="155"/>
      <c r="L32" s="155" t="s">
        <v>572</v>
      </c>
      <c r="M32" s="155" t="s">
        <v>258</v>
      </c>
      <c r="N32" s="178" t="s">
        <v>794</v>
      </c>
      <c r="O32" s="157" t="s">
        <v>226</v>
      </c>
      <c r="P32" s="255"/>
    </row>
    <row r="33" spans="1:16" s="135" customFormat="1" ht="56.25" customHeight="1">
      <c r="A33" s="221">
        <v>31</v>
      </c>
      <c r="B33" s="148" t="s">
        <v>825</v>
      </c>
      <c r="C33" s="149" t="s">
        <v>574</v>
      </c>
      <c r="D33" s="150" t="s">
        <v>570</v>
      </c>
      <c r="E33" s="151">
        <v>1</v>
      </c>
      <c r="F33" s="150" t="s">
        <v>87</v>
      </c>
      <c r="G33" s="151">
        <v>0.01</v>
      </c>
      <c r="H33" s="152" t="s">
        <v>826</v>
      </c>
      <c r="I33" s="153">
        <v>46023</v>
      </c>
      <c r="J33" s="154" t="s">
        <v>634</v>
      </c>
      <c r="K33" s="155"/>
      <c r="L33" s="155" t="s">
        <v>518</v>
      </c>
      <c r="M33" s="155" t="s">
        <v>258</v>
      </c>
      <c r="N33" s="178" t="s">
        <v>794</v>
      </c>
      <c r="O33" s="157" t="s">
        <v>226</v>
      </c>
      <c r="P33" s="255"/>
    </row>
    <row r="34" spans="1:16" s="135" customFormat="1" ht="38.1" customHeight="1">
      <c r="A34" s="136">
        <v>32</v>
      </c>
      <c r="B34" s="136" t="s">
        <v>827</v>
      </c>
      <c r="C34" s="137" t="s">
        <v>30</v>
      </c>
      <c r="D34" s="194"/>
      <c r="E34" s="194"/>
      <c r="F34" s="194"/>
      <c r="G34" s="195">
        <v>0.05</v>
      </c>
      <c r="H34" s="196"/>
      <c r="I34" s="180"/>
      <c r="J34" s="180"/>
      <c r="K34" s="136"/>
      <c r="L34" s="136"/>
      <c r="M34" s="136"/>
      <c r="N34" s="255"/>
      <c r="O34" s="255"/>
      <c r="P34" s="255"/>
    </row>
    <row r="35" spans="1:16" s="135" customFormat="1" ht="135" customHeight="1">
      <c r="A35" s="221">
        <v>33</v>
      </c>
      <c r="B35" s="148" t="s">
        <v>828</v>
      </c>
      <c r="C35" s="149" t="s">
        <v>196</v>
      </c>
      <c r="D35" s="150" t="s">
        <v>119</v>
      </c>
      <c r="E35" s="150" t="s">
        <v>745</v>
      </c>
      <c r="F35" s="150" t="s">
        <v>91</v>
      </c>
      <c r="G35" s="151">
        <v>0.01</v>
      </c>
      <c r="H35" s="152" t="s">
        <v>829</v>
      </c>
      <c r="I35" s="153">
        <v>46023</v>
      </c>
      <c r="J35" s="154" t="s">
        <v>634</v>
      </c>
      <c r="K35" s="155"/>
      <c r="L35" s="155" t="s">
        <v>747</v>
      </c>
      <c r="M35" s="155" t="s">
        <v>269</v>
      </c>
      <c r="N35" s="230" t="s">
        <v>830</v>
      </c>
      <c r="O35" s="257" t="s">
        <v>225</v>
      </c>
      <c r="P35" s="255"/>
    </row>
    <row r="36" spans="1:16" s="168" customFormat="1" ht="135" customHeight="1">
      <c r="A36" s="221">
        <v>34</v>
      </c>
      <c r="B36" s="148" t="s">
        <v>831</v>
      </c>
      <c r="C36" s="149" t="s">
        <v>200</v>
      </c>
      <c r="D36" s="150" t="s">
        <v>119</v>
      </c>
      <c r="E36" s="163" t="s">
        <v>745</v>
      </c>
      <c r="F36" s="163" t="s">
        <v>201</v>
      </c>
      <c r="G36" s="151">
        <v>0.01</v>
      </c>
      <c r="H36" s="152" t="s">
        <v>832</v>
      </c>
      <c r="I36" s="153">
        <v>46023</v>
      </c>
      <c r="J36" s="154" t="s">
        <v>634</v>
      </c>
      <c r="K36" s="155"/>
      <c r="L36" s="155" t="s">
        <v>747</v>
      </c>
      <c r="M36" s="155" t="s">
        <v>269</v>
      </c>
      <c r="N36" s="230" t="s">
        <v>833</v>
      </c>
      <c r="O36" s="257" t="s">
        <v>225</v>
      </c>
      <c r="P36" s="157"/>
    </row>
    <row r="37" spans="1:16" s="168" customFormat="1" ht="146.25" customHeight="1">
      <c r="A37" s="221">
        <v>35</v>
      </c>
      <c r="B37" s="148" t="s">
        <v>834</v>
      </c>
      <c r="C37" s="149" t="s">
        <v>582</v>
      </c>
      <c r="D37" s="150" t="s">
        <v>119</v>
      </c>
      <c r="E37" s="163">
        <v>100</v>
      </c>
      <c r="F37" s="163" t="s">
        <v>91</v>
      </c>
      <c r="G37" s="151">
        <v>0.02</v>
      </c>
      <c r="H37" s="152" t="s">
        <v>835</v>
      </c>
      <c r="I37" s="153">
        <v>46023</v>
      </c>
      <c r="J37" s="154" t="s">
        <v>634</v>
      </c>
      <c r="K37" s="155"/>
      <c r="L37" s="155" t="s">
        <v>747</v>
      </c>
      <c r="M37" s="155" t="s">
        <v>269</v>
      </c>
      <c r="N37" s="29" t="s">
        <v>794</v>
      </c>
      <c r="O37" s="157" t="s">
        <v>226</v>
      </c>
      <c r="P37" s="178"/>
    </row>
    <row r="38" spans="1:16" s="168" customFormat="1" ht="92.25" customHeight="1">
      <c r="A38" s="221">
        <v>36</v>
      </c>
      <c r="B38" s="148" t="s">
        <v>836</v>
      </c>
      <c r="C38" s="149" t="s">
        <v>585</v>
      </c>
      <c r="D38" s="150" t="s">
        <v>586</v>
      </c>
      <c r="E38" s="163" t="s">
        <v>745</v>
      </c>
      <c r="F38" s="163" t="s">
        <v>201</v>
      </c>
      <c r="G38" s="151">
        <v>0.01</v>
      </c>
      <c r="H38" s="152" t="s">
        <v>837</v>
      </c>
      <c r="I38" s="153">
        <v>46023</v>
      </c>
      <c r="J38" s="154" t="s">
        <v>634</v>
      </c>
      <c r="K38" s="155"/>
      <c r="L38" s="155" t="s">
        <v>747</v>
      </c>
      <c r="M38" s="155" t="s">
        <v>269</v>
      </c>
      <c r="N38" s="29" t="s">
        <v>794</v>
      </c>
      <c r="O38" s="157" t="s">
        <v>226</v>
      </c>
      <c r="P38" s="178"/>
    </row>
    <row r="39" spans="1:16" ht="49.5" customHeight="1">
      <c r="B39" s="197"/>
      <c r="C39" s="198"/>
      <c r="D39" s="199"/>
      <c r="E39" s="199"/>
      <c r="F39" s="199"/>
    </row>
    <row r="40" spans="1:16">
      <c r="B40" s="197"/>
      <c r="C40" s="198"/>
    </row>
    <row r="42" spans="1:16" s="201" customFormat="1">
      <c r="A42" s="125"/>
      <c r="B42" s="125"/>
      <c r="C42" s="203"/>
      <c r="G42" s="200"/>
      <c r="H42" s="200"/>
      <c r="I42" s="125"/>
      <c r="J42" s="125"/>
      <c r="K42" s="125"/>
      <c r="L42" s="125"/>
      <c r="M42" s="125"/>
    </row>
  </sheetData>
  <mergeCells count="2">
    <mergeCell ref="A1:P1"/>
    <mergeCell ref="N2:P2"/>
  </mergeCells>
  <printOptions horizontalCentered="1"/>
  <pageMargins left="0.43307086614173229" right="0.43307086614173229" top="0.51181102362204722" bottom="0.51181102362204722" header="3.937007874015748E-2" footer="3.937007874015748E-2"/>
  <pageSetup paperSize="9" scale="3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B79FE-F3EA-47F1-A52D-E95310ED14A4}">
  <sheetPr>
    <tabColor rgb="FF92D050"/>
    <pageSetUpPr fitToPage="1"/>
  </sheetPr>
  <dimension ref="A2:R50"/>
  <sheetViews>
    <sheetView view="pageBreakPreview" topLeftCell="A22" zoomScale="40" zoomScaleNormal="40" zoomScaleSheetLayoutView="40" workbookViewId="0">
      <selection activeCell="B9" sqref="B9:B12"/>
    </sheetView>
  </sheetViews>
  <sheetFormatPr defaultColWidth="9" defaultRowHeight="18.75"/>
  <cols>
    <col min="1" max="1" width="11.5703125" style="125" customWidth="1"/>
    <col min="2" max="2" width="46" style="125" customWidth="1"/>
    <col min="3" max="3" width="70.140625" style="125" customWidth="1"/>
    <col min="4" max="4" width="56.28515625" style="270" customWidth="1"/>
    <col min="5" max="5" width="28.28515625" style="270" customWidth="1"/>
    <col min="6" max="6" width="13.85546875" style="270" customWidth="1"/>
    <col min="7" max="7" width="13.28515625" style="337" bestFit="1" customWidth="1"/>
    <col min="8" max="8" width="165.7109375" style="337" hidden="1" customWidth="1"/>
    <col min="9" max="9" width="16.7109375" style="125" customWidth="1"/>
    <col min="10" max="10" width="21.42578125" style="125" customWidth="1"/>
    <col min="11" max="11" width="10" style="125" hidden="1" customWidth="1"/>
    <col min="12" max="12" width="33.7109375" style="125" customWidth="1"/>
    <col min="13" max="13" width="23.85546875" style="125" customWidth="1"/>
    <col min="14" max="14" width="81" style="125" customWidth="1"/>
    <col min="15" max="15" width="28.28515625" style="125" customWidth="1"/>
    <col min="16" max="16" width="29.42578125" style="125" customWidth="1"/>
    <col min="17" max="17" width="9" style="125" customWidth="1"/>
    <col min="18" max="18" width="51.85546875" style="125" customWidth="1"/>
    <col min="19" max="19" width="9" style="125" customWidth="1"/>
    <col min="20" max="16384" width="9" style="125"/>
  </cols>
  <sheetData>
    <row r="2" spans="1:18" ht="85.9" customHeight="1">
      <c r="A2" s="420" t="s">
        <v>912</v>
      </c>
      <c r="B2" s="421"/>
      <c r="C2" s="421"/>
      <c r="D2" s="421"/>
      <c r="E2" s="421"/>
      <c r="F2" s="421"/>
      <c r="G2" s="421"/>
      <c r="H2" s="421"/>
      <c r="I2" s="421"/>
      <c r="J2" s="421"/>
      <c r="K2" s="421"/>
      <c r="L2" s="421"/>
      <c r="M2" s="422"/>
      <c r="N2" s="423" t="s">
        <v>913</v>
      </c>
      <c r="O2" s="423"/>
      <c r="P2" s="423"/>
    </row>
    <row r="3" spans="1:18" ht="153" customHeight="1">
      <c r="A3" s="271" t="s">
        <v>0</v>
      </c>
      <c r="B3" s="271" t="s">
        <v>628</v>
      </c>
      <c r="C3" s="271" t="s">
        <v>242</v>
      </c>
      <c r="D3" s="271" t="s">
        <v>75</v>
      </c>
      <c r="E3" s="271" t="s">
        <v>244</v>
      </c>
      <c r="F3" s="271" t="s">
        <v>77</v>
      </c>
      <c r="G3" s="272" t="s">
        <v>436</v>
      </c>
      <c r="H3" s="273" t="s">
        <v>78</v>
      </c>
      <c r="I3" s="271" t="s">
        <v>1</v>
      </c>
      <c r="J3" s="271" t="s">
        <v>2</v>
      </c>
      <c r="K3" s="271" t="s">
        <v>247</v>
      </c>
      <c r="L3" s="271" t="s">
        <v>437</v>
      </c>
      <c r="M3" s="271" t="s">
        <v>438</v>
      </c>
      <c r="N3" s="424" t="s">
        <v>914</v>
      </c>
      <c r="O3" s="426" t="s">
        <v>915</v>
      </c>
      <c r="P3" s="426" t="s">
        <v>916</v>
      </c>
    </row>
    <row r="4" spans="1:18" s="281" customFormat="1" ht="156.6" customHeight="1">
      <c r="A4" s="274">
        <v>1</v>
      </c>
      <c r="B4" s="274" t="s">
        <v>917</v>
      </c>
      <c r="C4" s="275" t="s">
        <v>442</v>
      </c>
      <c r="D4" s="276" t="s">
        <v>444</v>
      </c>
      <c r="E4" s="276">
        <v>0</v>
      </c>
      <c r="F4" s="277" t="s">
        <v>91</v>
      </c>
      <c r="G4" s="278">
        <v>0.15</v>
      </c>
      <c r="H4" s="279"/>
      <c r="I4" s="280"/>
      <c r="J4" s="280"/>
      <c r="K4" s="274"/>
      <c r="L4" s="274"/>
      <c r="M4" s="274"/>
      <c r="N4" s="425"/>
      <c r="O4" s="427"/>
      <c r="P4" s="427"/>
    </row>
    <row r="5" spans="1:18" ht="130.9" customHeight="1">
      <c r="A5" s="447">
        <v>1</v>
      </c>
      <c r="B5" s="449" t="s">
        <v>918</v>
      </c>
      <c r="C5" s="438" t="s">
        <v>919</v>
      </c>
      <c r="D5" s="438" t="s">
        <v>451</v>
      </c>
      <c r="E5" s="451">
        <v>1</v>
      </c>
      <c r="F5" s="438" t="s">
        <v>91</v>
      </c>
      <c r="G5" s="284">
        <v>0.08</v>
      </c>
      <c r="H5" s="285" t="s">
        <v>920</v>
      </c>
      <c r="I5" s="286">
        <v>46023</v>
      </c>
      <c r="J5" s="287">
        <v>46387</v>
      </c>
      <c r="K5" s="288"/>
      <c r="L5" s="288" t="s">
        <v>453</v>
      </c>
      <c r="M5" s="288" t="s">
        <v>921</v>
      </c>
      <c r="N5" s="440" t="s">
        <v>919</v>
      </c>
      <c r="O5" s="290" t="s">
        <v>922</v>
      </c>
      <c r="P5" s="290"/>
    </row>
    <row r="6" spans="1:18" ht="115.9" customHeight="1">
      <c r="A6" s="448"/>
      <c r="B6" s="450"/>
      <c r="C6" s="439"/>
      <c r="D6" s="439"/>
      <c r="E6" s="452"/>
      <c r="F6" s="439"/>
      <c r="G6" s="284">
        <v>0.02</v>
      </c>
      <c r="H6" s="285" t="s">
        <v>923</v>
      </c>
      <c r="I6" s="286">
        <v>46023</v>
      </c>
      <c r="J6" s="287">
        <v>46387</v>
      </c>
      <c r="K6" s="288"/>
      <c r="L6" s="288" t="s">
        <v>453</v>
      </c>
      <c r="M6" s="288" t="s">
        <v>921</v>
      </c>
      <c r="N6" s="440"/>
      <c r="O6" s="290" t="s">
        <v>922</v>
      </c>
      <c r="P6" s="290"/>
    </row>
    <row r="7" spans="1:18" ht="143.44999999999999" customHeight="1">
      <c r="A7" s="291">
        <v>2</v>
      </c>
      <c r="B7" s="292" t="s">
        <v>924</v>
      </c>
      <c r="C7" s="285" t="s">
        <v>455</v>
      </c>
      <c r="D7" s="289" t="s">
        <v>451</v>
      </c>
      <c r="E7" s="293">
        <v>1</v>
      </c>
      <c r="F7" s="289" t="s">
        <v>91</v>
      </c>
      <c r="G7" s="283">
        <v>0.05</v>
      </c>
      <c r="H7" s="285" t="s">
        <v>925</v>
      </c>
      <c r="I7" s="286">
        <v>46023</v>
      </c>
      <c r="J7" s="287">
        <v>46387</v>
      </c>
      <c r="K7" s="288"/>
      <c r="L7" s="288" t="s">
        <v>453</v>
      </c>
      <c r="M7" s="288" t="s">
        <v>258</v>
      </c>
      <c r="N7" s="294" t="s">
        <v>455</v>
      </c>
      <c r="O7" s="290" t="s">
        <v>922</v>
      </c>
      <c r="P7" s="290"/>
    </row>
    <row r="8" spans="1:18" s="281" customFormat="1" ht="109.9" customHeight="1">
      <c r="A8" s="274">
        <v>2</v>
      </c>
      <c r="B8" s="274" t="s">
        <v>926</v>
      </c>
      <c r="C8" s="295" t="s">
        <v>84</v>
      </c>
      <c r="D8" s="276" t="s">
        <v>459</v>
      </c>
      <c r="E8" s="276" t="s">
        <v>460</v>
      </c>
      <c r="F8" s="277" t="s">
        <v>91</v>
      </c>
      <c r="G8" s="278">
        <v>0.2</v>
      </c>
      <c r="H8" s="296"/>
      <c r="I8" s="280"/>
      <c r="J8" s="280"/>
      <c r="K8" s="274"/>
      <c r="L8" s="274"/>
      <c r="M8" s="274"/>
      <c r="N8" s="297"/>
      <c r="O8" s="298"/>
      <c r="P8" s="298"/>
    </row>
    <row r="9" spans="1:18" s="281" customFormat="1" ht="90" customHeight="1">
      <c r="A9" s="291">
        <v>1</v>
      </c>
      <c r="B9" s="299" t="s">
        <v>927</v>
      </c>
      <c r="C9" s="300" t="s">
        <v>462</v>
      </c>
      <c r="D9" s="300" t="s">
        <v>119</v>
      </c>
      <c r="E9" s="300">
        <v>1</v>
      </c>
      <c r="F9" s="300" t="s">
        <v>201</v>
      </c>
      <c r="G9" s="301">
        <v>0.01</v>
      </c>
      <c r="H9" s="285" t="s">
        <v>928</v>
      </c>
      <c r="I9" s="302">
        <v>46023</v>
      </c>
      <c r="J9" s="303">
        <v>46387</v>
      </c>
      <c r="K9" s="304"/>
      <c r="L9" s="305" t="s">
        <v>464</v>
      </c>
      <c r="M9" s="305" t="s">
        <v>465</v>
      </c>
      <c r="N9" s="290" t="s">
        <v>929</v>
      </c>
      <c r="O9" s="306" t="s">
        <v>922</v>
      </c>
      <c r="P9" s="306"/>
    </row>
    <row r="10" spans="1:18" ht="262.89999999999998" customHeight="1">
      <c r="A10" s="307">
        <v>2</v>
      </c>
      <c r="B10" s="285" t="s">
        <v>930</v>
      </c>
      <c r="C10" s="285" t="s">
        <v>931</v>
      </c>
      <c r="D10" s="285" t="s">
        <v>97</v>
      </c>
      <c r="E10" s="285" t="s">
        <v>98</v>
      </c>
      <c r="F10" s="285" t="s">
        <v>91</v>
      </c>
      <c r="G10" s="308">
        <v>0.12</v>
      </c>
      <c r="H10" s="285" t="s">
        <v>932</v>
      </c>
      <c r="I10" s="286">
        <v>46023</v>
      </c>
      <c r="J10" s="287">
        <v>46387</v>
      </c>
      <c r="K10" s="288"/>
      <c r="L10" s="305" t="s">
        <v>268</v>
      </c>
      <c r="M10" s="288" t="s">
        <v>258</v>
      </c>
      <c r="N10" s="309" t="s">
        <v>933</v>
      </c>
      <c r="O10" s="290" t="s">
        <v>922</v>
      </c>
      <c r="P10" s="290"/>
    </row>
    <row r="11" spans="1:18" ht="159" customHeight="1">
      <c r="A11" s="291">
        <v>3</v>
      </c>
      <c r="B11" s="299" t="s">
        <v>934</v>
      </c>
      <c r="C11" s="310" t="s">
        <v>935</v>
      </c>
      <c r="D11" s="289" t="s">
        <v>474</v>
      </c>
      <c r="E11" s="293" t="s">
        <v>475</v>
      </c>
      <c r="F11" s="282" t="s">
        <v>87</v>
      </c>
      <c r="G11" s="311">
        <v>0.04</v>
      </c>
      <c r="H11" s="285" t="s">
        <v>936</v>
      </c>
      <c r="I11" s="286">
        <v>46023</v>
      </c>
      <c r="J11" s="287">
        <v>46387</v>
      </c>
      <c r="K11" s="312"/>
      <c r="L11" s="312" t="s">
        <v>102</v>
      </c>
      <c r="M11" s="288" t="s">
        <v>258</v>
      </c>
      <c r="N11" s="290" t="s">
        <v>937</v>
      </c>
      <c r="O11" s="290" t="s">
        <v>922</v>
      </c>
      <c r="P11" s="290"/>
    </row>
    <row r="12" spans="1:18" ht="129.6" customHeight="1">
      <c r="A12" s="291">
        <v>4</v>
      </c>
      <c r="B12" s="299" t="s">
        <v>938</v>
      </c>
      <c r="C12" s="285" t="s">
        <v>939</v>
      </c>
      <c r="D12" s="289" t="s">
        <v>113</v>
      </c>
      <c r="E12" s="293" t="s">
        <v>114</v>
      </c>
      <c r="F12" s="289" t="s">
        <v>91</v>
      </c>
      <c r="G12" s="311">
        <v>0.03</v>
      </c>
      <c r="H12" s="285" t="s">
        <v>940</v>
      </c>
      <c r="I12" s="286">
        <v>46023</v>
      </c>
      <c r="J12" s="287">
        <v>46387</v>
      </c>
      <c r="K12" s="288"/>
      <c r="L12" s="288" t="s">
        <v>483</v>
      </c>
      <c r="M12" s="288" t="s">
        <v>258</v>
      </c>
      <c r="N12" s="290" t="str">
        <f t="shared" ref="N12:N14" si="0">C12</f>
        <v>Triển khai hành động KPPN, căn cứ theo KL điều tra sự cố</v>
      </c>
      <c r="O12" s="290" t="s">
        <v>922</v>
      </c>
      <c r="P12" s="290"/>
    </row>
    <row r="13" spans="1:18" s="281" customFormat="1" ht="96" customHeight="1">
      <c r="A13" s="274">
        <v>3</v>
      </c>
      <c r="B13" s="274" t="s">
        <v>941</v>
      </c>
      <c r="C13" s="275" t="s">
        <v>16</v>
      </c>
      <c r="D13" s="276" t="s">
        <v>117</v>
      </c>
      <c r="E13" s="276">
        <v>0</v>
      </c>
      <c r="F13" s="277"/>
      <c r="G13" s="278">
        <v>0.15</v>
      </c>
      <c r="H13" s="296"/>
      <c r="I13" s="276"/>
      <c r="J13" s="276"/>
      <c r="K13" s="274"/>
      <c r="L13" s="274"/>
      <c r="M13" s="274"/>
      <c r="N13" s="297"/>
      <c r="O13" s="298"/>
      <c r="P13" s="298"/>
    </row>
    <row r="14" spans="1:18" ht="159" customHeight="1">
      <c r="A14" s="291">
        <v>1</v>
      </c>
      <c r="B14" s="299" t="s">
        <v>942</v>
      </c>
      <c r="C14" s="285" t="s">
        <v>118</v>
      </c>
      <c r="D14" s="289" t="s">
        <v>119</v>
      </c>
      <c r="E14" s="289">
        <v>1</v>
      </c>
      <c r="F14" s="289" t="s">
        <v>91</v>
      </c>
      <c r="G14" s="284">
        <v>0.05</v>
      </c>
      <c r="H14" s="285" t="s">
        <v>943</v>
      </c>
      <c r="I14" s="286">
        <v>46023</v>
      </c>
      <c r="J14" s="287">
        <v>46387</v>
      </c>
      <c r="K14" s="288"/>
      <c r="L14" s="288" t="s">
        <v>310</v>
      </c>
      <c r="M14" s="288" t="s">
        <v>258</v>
      </c>
      <c r="N14" s="290" t="str">
        <f t="shared" si="0"/>
        <v xml:space="preserve">Tổ chức kiểm tra an toàn cấp 2 đầy đủ, nghiêm túc </v>
      </c>
      <c r="O14" s="290" t="s">
        <v>922</v>
      </c>
      <c r="P14" s="290"/>
    </row>
    <row r="15" spans="1:18" ht="123" customHeight="1">
      <c r="A15" s="307">
        <v>2</v>
      </c>
      <c r="B15" s="299" t="s">
        <v>944</v>
      </c>
      <c r="C15" s="285" t="s">
        <v>122</v>
      </c>
      <c r="D15" s="289" t="s">
        <v>123</v>
      </c>
      <c r="E15" s="289">
        <v>96</v>
      </c>
      <c r="F15" s="289" t="s">
        <v>87</v>
      </c>
      <c r="G15" s="293">
        <v>0.08</v>
      </c>
      <c r="H15" s="285" t="s">
        <v>945</v>
      </c>
      <c r="I15" s="286">
        <v>46023</v>
      </c>
      <c r="J15" s="287">
        <v>46387</v>
      </c>
      <c r="K15" s="288"/>
      <c r="L15" s="288" t="s">
        <v>310</v>
      </c>
      <c r="M15" s="288" t="s">
        <v>258</v>
      </c>
      <c r="N15" s="294" t="s">
        <v>946</v>
      </c>
      <c r="O15" s="313" t="s">
        <v>947</v>
      </c>
      <c r="P15" s="290"/>
      <c r="R15" s="125" t="s">
        <v>948</v>
      </c>
    </row>
    <row r="16" spans="1:18" ht="134.44999999999999" customHeight="1">
      <c r="A16" s="291">
        <v>3</v>
      </c>
      <c r="B16" s="299" t="s">
        <v>949</v>
      </c>
      <c r="C16" s="285" t="s">
        <v>125</v>
      </c>
      <c r="D16" s="289" t="s">
        <v>126</v>
      </c>
      <c r="E16" s="293">
        <v>1</v>
      </c>
      <c r="F16" s="289" t="s">
        <v>87</v>
      </c>
      <c r="G16" s="283">
        <v>0.02</v>
      </c>
      <c r="H16" s="285" t="s">
        <v>950</v>
      </c>
      <c r="I16" s="286">
        <v>46023</v>
      </c>
      <c r="J16" s="287">
        <v>46387</v>
      </c>
      <c r="K16" s="288"/>
      <c r="L16" s="288" t="s">
        <v>310</v>
      </c>
      <c r="M16" s="288" t="s">
        <v>258</v>
      </c>
      <c r="N16" s="290" t="s">
        <v>951</v>
      </c>
      <c r="O16" s="290" t="s">
        <v>922</v>
      </c>
      <c r="P16" s="290"/>
    </row>
    <row r="17" spans="1:18" s="281" customFormat="1" ht="71.45" customHeight="1">
      <c r="A17" s="274">
        <v>4</v>
      </c>
      <c r="B17" s="274" t="s">
        <v>952</v>
      </c>
      <c r="C17" s="441" t="s">
        <v>135</v>
      </c>
      <c r="D17" s="442"/>
      <c r="E17" s="442"/>
      <c r="F17" s="442"/>
      <c r="G17" s="278">
        <v>0.2</v>
      </c>
      <c r="H17" s="296"/>
      <c r="I17" s="280"/>
      <c r="J17" s="280"/>
      <c r="K17" s="274"/>
      <c r="L17" s="274"/>
      <c r="M17" s="274"/>
      <c r="N17" s="297"/>
      <c r="O17" s="298"/>
      <c r="P17" s="298"/>
    </row>
    <row r="18" spans="1:18" ht="85.15" customHeight="1">
      <c r="A18" s="291">
        <v>1</v>
      </c>
      <c r="B18" s="299" t="s">
        <v>953</v>
      </c>
      <c r="C18" s="285" t="s">
        <v>502</v>
      </c>
      <c r="D18" s="289" t="s">
        <v>141</v>
      </c>
      <c r="E18" s="293">
        <v>1</v>
      </c>
      <c r="F18" s="289" t="s">
        <v>954</v>
      </c>
      <c r="G18" s="284">
        <v>0.04</v>
      </c>
      <c r="H18" s="285" t="s">
        <v>955</v>
      </c>
      <c r="I18" s="286">
        <v>46023</v>
      </c>
      <c r="J18" s="287">
        <v>46387</v>
      </c>
      <c r="K18" s="288"/>
      <c r="L18" s="288" t="s">
        <v>504</v>
      </c>
      <c r="M18" s="288" t="s">
        <v>258</v>
      </c>
      <c r="N18" s="290" t="s">
        <v>956</v>
      </c>
      <c r="O18" s="290" t="s">
        <v>922</v>
      </c>
      <c r="P18" s="290"/>
    </row>
    <row r="19" spans="1:18" ht="86.45" customHeight="1">
      <c r="A19" s="291">
        <v>2</v>
      </c>
      <c r="B19" s="299" t="s">
        <v>957</v>
      </c>
      <c r="C19" s="285" t="s">
        <v>506</v>
      </c>
      <c r="D19" s="289" t="s">
        <v>141</v>
      </c>
      <c r="E19" s="293">
        <v>1</v>
      </c>
      <c r="F19" s="289" t="s">
        <v>954</v>
      </c>
      <c r="G19" s="293">
        <v>0.04</v>
      </c>
      <c r="H19" s="285" t="s">
        <v>955</v>
      </c>
      <c r="I19" s="286">
        <v>46023</v>
      </c>
      <c r="J19" s="287">
        <v>46387</v>
      </c>
      <c r="K19" s="288"/>
      <c r="L19" s="288" t="s">
        <v>518</v>
      </c>
      <c r="M19" s="288" t="s">
        <v>258</v>
      </c>
      <c r="N19" s="290" t="s">
        <v>956</v>
      </c>
      <c r="O19" s="290" t="s">
        <v>922</v>
      </c>
      <c r="P19" s="290"/>
    </row>
    <row r="20" spans="1:18" ht="82.9" customHeight="1">
      <c r="A20" s="291">
        <v>3</v>
      </c>
      <c r="B20" s="299" t="s">
        <v>958</v>
      </c>
      <c r="C20" s="285" t="s">
        <v>509</v>
      </c>
      <c r="D20" s="289" t="s">
        <v>141</v>
      </c>
      <c r="E20" s="293">
        <v>1</v>
      </c>
      <c r="F20" s="289" t="s">
        <v>954</v>
      </c>
      <c r="G20" s="293">
        <v>0.04</v>
      </c>
      <c r="H20" s="285" t="s">
        <v>955</v>
      </c>
      <c r="I20" s="286">
        <v>46023</v>
      </c>
      <c r="J20" s="287">
        <v>46387</v>
      </c>
      <c r="K20" s="288"/>
      <c r="L20" s="288" t="s">
        <v>464</v>
      </c>
      <c r="M20" s="288" t="s">
        <v>258</v>
      </c>
      <c r="N20" s="290" t="s">
        <v>956</v>
      </c>
      <c r="O20" s="290" t="s">
        <v>922</v>
      </c>
      <c r="P20" s="290"/>
    </row>
    <row r="21" spans="1:18" s="281" customFormat="1" ht="75" customHeight="1">
      <c r="A21" s="314">
        <v>4</v>
      </c>
      <c r="B21" s="292" t="s">
        <v>959</v>
      </c>
      <c r="C21" s="285" t="s">
        <v>512</v>
      </c>
      <c r="D21" s="289" t="s">
        <v>141</v>
      </c>
      <c r="E21" s="293">
        <v>1</v>
      </c>
      <c r="F21" s="289" t="s">
        <v>954</v>
      </c>
      <c r="G21" s="293">
        <v>0.04</v>
      </c>
      <c r="H21" s="315" t="s">
        <v>955</v>
      </c>
      <c r="I21" s="286">
        <v>46023</v>
      </c>
      <c r="J21" s="287">
        <v>46387</v>
      </c>
      <c r="K21" s="288"/>
      <c r="L21" s="288" t="s">
        <v>257</v>
      </c>
      <c r="M21" s="288" t="s">
        <v>258</v>
      </c>
      <c r="N21" s="290" t="s">
        <v>956</v>
      </c>
      <c r="O21" s="306" t="s">
        <v>922</v>
      </c>
      <c r="P21" s="306"/>
    </row>
    <row r="22" spans="1:18" ht="79.900000000000006" customHeight="1">
      <c r="A22" s="291">
        <v>5</v>
      </c>
      <c r="B22" s="299" t="s">
        <v>960</v>
      </c>
      <c r="C22" s="285" t="s">
        <v>516</v>
      </c>
      <c r="D22" s="289" t="s">
        <v>517</v>
      </c>
      <c r="E22" s="293">
        <v>1</v>
      </c>
      <c r="F22" s="289" t="s">
        <v>954</v>
      </c>
      <c r="G22" s="283">
        <v>0.04</v>
      </c>
      <c r="H22" s="285" t="s">
        <v>955</v>
      </c>
      <c r="I22" s="286">
        <v>46023</v>
      </c>
      <c r="J22" s="287">
        <v>46387</v>
      </c>
      <c r="K22" s="288"/>
      <c r="L22" s="288" t="s">
        <v>518</v>
      </c>
      <c r="M22" s="288" t="s">
        <v>258</v>
      </c>
      <c r="N22" s="290" t="s">
        <v>956</v>
      </c>
      <c r="O22" s="290" t="s">
        <v>922</v>
      </c>
      <c r="P22" s="290"/>
    </row>
    <row r="23" spans="1:18" s="319" customFormat="1" ht="76.150000000000006" customHeight="1">
      <c r="A23" s="316">
        <v>5</v>
      </c>
      <c r="B23" s="274" t="s">
        <v>961</v>
      </c>
      <c r="C23" s="441" t="s">
        <v>522</v>
      </c>
      <c r="D23" s="442"/>
      <c r="E23" s="442"/>
      <c r="F23" s="442"/>
      <c r="G23" s="278">
        <v>0.25</v>
      </c>
      <c r="H23" s="317"/>
      <c r="I23" s="318"/>
      <c r="J23" s="318"/>
      <c r="K23" s="318"/>
      <c r="L23" s="318"/>
      <c r="M23" s="317"/>
      <c r="N23" s="297"/>
      <c r="O23" s="298"/>
      <c r="P23" s="298"/>
    </row>
    <row r="24" spans="1:18" ht="105" customHeight="1">
      <c r="A24" s="291">
        <v>1</v>
      </c>
      <c r="B24" s="292" t="s">
        <v>962</v>
      </c>
      <c r="C24" s="320" t="s">
        <v>149</v>
      </c>
      <c r="D24" s="289" t="s">
        <v>150</v>
      </c>
      <c r="E24" s="289">
        <v>2</v>
      </c>
      <c r="F24" s="289" t="s">
        <v>954</v>
      </c>
      <c r="G24" s="284">
        <v>0.04</v>
      </c>
      <c r="H24" s="285" t="s">
        <v>963</v>
      </c>
      <c r="I24" s="286">
        <v>46023</v>
      </c>
      <c r="J24" s="287">
        <v>46387</v>
      </c>
      <c r="K24" s="288"/>
      <c r="L24" s="288" t="s">
        <v>464</v>
      </c>
      <c r="M24" s="288" t="s">
        <v>258</v>
      </c>
      <c r="N24" s="320" t="s">
        <v>964</v>
      </c>
      <c r="O24" s="290" t="s">
        <v>922</v>
      </c>
      <c r="P24" s="290"/>
    </row>
    <row r="25" spans="1:18" ht="121.9" customHeight="1">
      <c r="A25" s="291">
        <v>2</v>
      </c>
      <c r="B25" s="292" t="s">
        <v>965</v>
      </c>
      <c r="C25" s="320" t="s">
        <v>154</v>
      </c>
      <c r="D25" s="289" t="s">
        <v>526</v>
      </c>
      <c r="E25" s="289">
        <v>10</v>
      </c>
      <c r="F25" s="289" t="s">
        <v>954</v>
      </c>
      <c r="G25" s="293">
        <v>0.04</v>
      </c>
      <c r="H25" s="285" t="s">
        <v>966</v>
      </c>
      <c r="I25" s="286">
        <v>46023</v>
      </c>
      <c r="J25" s="287">
        <v>46387</v>
      </c>
      <c r="K25" s="288"/>
      <c r="L25" s="288" t="s">
        <v>464</v>
      </c>
      <c r="M25" s="288" t="s">
        <v>258</v>
      </c>
      <c r="N25" s="320" t="s">
        <v>964</v>
      </c>
      <c r="O25" s="321" t="s">
        <v>922</v>
      </c>
      <c r="P25" s="290"/>
    </row>
    <row r="26" spans="1:18" ht="118.9" customHeight="1">
      <c r="A26" s="291">
        <v>3</v>
      </c>
      <c r="B26" s="292" t="s">
        <v>967</v>
      </c>
      <c r="C26" s="320" t="s">
        <v>529</v>
      </c>
      <c r="D26" s="289" t="s">
        <v>530</v>
      </c>
      <c r="E26" s="289">
        <v>1</v>
      </c>
      <c r="F26" s="289" t="s">
        <v>954</v>
      </c>
      <c r="G26" s="293">
        <v>0.01</v>
      </c>
      <c r="H26" s="285" t="s">
        <v>968</v>
      </c>
      <c r="I26" s="286">
        <v>46023</v>
      </c>
      <c r="J26" s="287">
        <v>46387</v>
      </c>
      <c r="K26" s="288"/>
      <c r="L26" s="288" t="s">
        <v>532</v>
      </c>
      <c r="M26" s="288" t="s">
        <v>258</v>
      </c>
      <c r="N26" s="320" t="s">
        <v>969</v>
      </c>
      <c r="O26" s="290" t="s">
        <v>922</v>
      </c>
      <c r="P26" s="290"/>
      <c r="R26" s="125" t="s">
        <v>970</v>
      </c>
    </row>
    <row r="27" spans="1:18" ht="124.9" customHeight="1">
      <c r="A27" s="291">
        <v>4</v>
      </c>
      <c r="B27" s="299" t="s">
        <v>971</v>
      </c>
      <c r="C27" s="285" t="s">
        <v>972</v>
      </c>
      <c r="D27" s="289" t="s">
        <v>119</v>
      </c>
      <c r="E27" s="289">
        <v>1</v>
      </c>
      <c r="F27" s="289" t="s">
        <v>954</v>
      </c>
      <c r="G27" s="293">
        <v>0.03</v>
      </c>
      <c r="H27" s="285" t="s">
        <v>973</v>
      </c>
      <c r="I27" s="286">
        <v>46023</v>
      </c>
      <c r="J27" s="287">
        <v>46387</v>
      </c>
      <c r="K27" s="288"/>
      <c r="L27" s="288" t="s">
        <v>310</v>
      </c>
      <c r="M27" s="288" t="s">
        <v>258</v>
      </c>
      <c r="N27" s="285" t="s">
        <v>974</v>
      </c>
      <c r="O27" s="290" t="s">
        <v>922</v>
      </c>
      <c r="P27" s="290"/>
      <c r="R27" s="125" t="s">
        <v>975</v>
      </c>
    </row>
    <row r="28" spans="1:18" ht="117.6" customHeight="1">
      <c r="A28" s="291">
        <v>5</v>
      </c>
      <c r="B28" s="299" t="s">
        <v>976</v>
      </c>
      <c r="C28" s="285" t="s">
        <v>537</v>
      </c>
      <c r="D28" s="289" t="s">
        <v>479</v>
      </c>
      <c r="E28" s="289">
        <v>1</v>
      </c>
      <c r="F28" s="289" t="s">
        <v>954</v>
      </c>
      <c r="G28" s="293">
        <v>0.02</v>
      </c>
      <c r="H28" s="285" t="s">
        <v>977</v>
      </c>
      <c r="I28" s="286">
        <v>46023</v>
      </c>
      <c r="J28" s="287">
        <v>46387</v>
      </c>
      <c r="K28" s="288"/>
      <c r="L28" s="288" t="s">
        <v>532</v>
      </c>
      <c r="M28" s="288" t="s">
        <v>258</v>
      </c>
      <c r="N28" s="285" t="s">
        <v>978</v>
      </c>
      <c r="O28" s="290" t="s">
        <v>922</v>
      </c>
      <c r="P28" s="290"/>
    </row>
    <row r="29" spans="1:18" ht="118.9" customHeight="1">
      <c r="A29" s="291">
        <v>6</v>
      </c>
      <c r="B29" s="299" t="s">
        <v>979</v>
      </c>
      <c r="C29" s="285" t="s">
        <v>540</v>
      </c>
      <c r="D29" s="289" t="s">
        <v>479</v>
      </c>
      <c r="E29" s="289">
        <v>1</v>
      </c>
      <c r="F29" s="289" t="s">
        <v>954</v>
      </c>
      <c r="G29" s="293">
        <v>0.02</v>
      </c>
      <c r="H29" s="285" t="s">
        <v>980</v>
      </c>
      <c r="I29" s="286">
        <v>46023</v>
      </c>
      <c r="J29" s="287">
        <v>46387</v>
      </c>
      <c r="K29" s="288"/>
      <c r="L29" s="288" t="s">
        <v>532</v>
      </c>
      <c r="M29" s="288" t="s">
        <v>258</v>
      </c>
      <c r="N29" s="320" t="s">
        <v>981</v>
      </c>
      <c r="O29" s="290" t="s">
        <v>922</v>
      </c>
      <c r="P29" s="290"/>
      <c r="R29" s="125" t="s">
        <v>982</v>
      </c>
    </row>
    <row r="30" spans="1:18" ht="85.9" customHeight="1">
      <c r="A30" s="291">
        <v>7</v>
      </c>
      <c r="B30" s="299" t="s">
        <v>983</v>
      </c>
      <c r="C30" s="285" t="s">
        <v>984</v>
      </c>
      <c r="D30" s="289" t="s">
        <v>479</v>
      </c>
      <c r="E30" s="289">
        <v>1</v>
      </c>
      <c r="F30" s="289" t="s">
        <v>954</v>
      </c>
      <c r="G30" s="293">
        <v>0.02</v>
      </c>
      <c r="H30" s="285" t="s">
        <v>985</v>
      </c>
      <c r="I30" s="286">
        <v>46023</v>
      </c>
      <c r="J30" s="287">
        <v>46387</v>
      </c>
      <c r="K30" s="288"/>
      <c r="L30" s="288" t="s">
        <v>532</v>
      </c>
      <c r="M30" s="288" t="s">
        <v>258</v>
      </c>
      <c r="N30" s="320" t="s">
        <v>986</v>
      </c>
      <c r="O30" s="313" t="s">
        <v>225</v>
      </c>
      <c r="P30" s="290"/>
      <c r="R30" s="125" t="s">
        <v>987</v>
      </c>
    </row>
    <row r="31" spans="1:18" s="281" customFormat="1" ht="78" hidden="1" customHeight="1">
      <c r="A31" s="291">
        <v>32</v>
      </c>
      <c r="B31" s="299" t="s">
        <v>988</v>
      </c>
      <c r="C31" s="285" t="s">
        <v>547</v>
      </c>
      <c r="D31" s="289" t="s">
        <v>479</v>
      </c>
      <c r="E31" s="293">
        <v>1</v>
      </c>
      <c r="F31" s="289" t="s">
        <v>954</v>
      </c>
      <c r="G31" s="293">
        <v>0.01</v>
      </c>
      <c r="H31" s="315" t="s">
        <v>548</v>
      </c>
      <c r="I31" s="286">
        <v>46023</v>
      </c>
      <c r="J31" s="287">
        <v>46387</v>
      </c>
      <c r="K31" s="288"/>
      <c r="L31" s="288" t="s">
        <v>549</v>
      </c>
      <c r="M31" s="288" t="s">
        <v>258</v>
      </c>
      <c r="N31" s="285" t="s">
        <v>547</v>
      </c>
      <c r="O31" s="306"/>
      <c r="P31" s="306"/>
    </row>
    <row r="32" spans="1:18" s="281" customFormat="1" ht="90" hidden="1" customHeight="1">
      <c r="A32" s="307">
        <v>33</v>
      </c>
      <c r="B32" s="299" t="s">
        <v>989</v>
      </c>
      <c r="C32" s="285" t="s">
        <v>551</v>
      </c>
      <c r="D32" s="289" t="s">
        <v>479</v>
      </c>
      <c r="E32" s="293">
        <v>1</v>
      </c>
      <c r="F32" s="289" t="s">
        <v>954</v>
      </c>
      <c r="G32" s="293">
        <v>0.01</v>
      </c>
      <c r="H32" s="315" t="s">
        <v>552</v>
      </c>
      <c r="I32" s="286">
        <v>46023</v>
      </c>
      <c r="J32" s="287">
        <v>46387</v>
      </c>
      <c r="K32" s="288"/>
      <c r="L32" s="288" t="s">
        <v>553</v>
      </c>
      <c r="M32" s="288" t="s">
        <v>258</v>
      </c>
      <c r="N32" s="285" t="s">
        <v>551</v>
      </c>
      <c r="O32" s="306"/>
      <c r="P32" s="306"/>
    </row>
    <row r="33" spans="1:18" s="281" customFormat="1" ht="159.6" customHeight="1">
      <c r="A33" s="291">
        <v>8</v>
      </c>
      <c r="B33" s="299" t="s">
        <v>990</v>
      </c>
      <c r="C33" s="285" t="s">
        <v>555</v>
      </c>
      <c r="D33" s="289" t="s">
        <v>479</v>
      </c>
      <c r="E33" s="293">
        <v>1</v>
      </c>
      <c r="F33" s="289" t="s">
        <v>954</v>
      </c>
      <c r="G33" s="293">
        <v>0.01</v>
      </c>
      <c r="H33" s="322" t="s">
        <v>556</v>
      </c>
      <c r="I33" s="286">
        <v>46023</v>
      </c>
      <c r="J33" s="287">
        <v>46387</v>
      </c>
      <c r="K33" s="288"/>
      <c r="L33" s="288" t="s">
        <v>557</v>
      </c>
      <c r="M33" s="288" t="s">
        <v>258</v>
      </c>
      <c r="N33" s="320" t="s">
        <v>991</v>
      </c>
      <c r="O33" s="306" t="s">
        <v>922</v>
      </c>
      <c r="P33" s="306"/>
    </row>
    <row r="34" spans="1:18" ht="105.6" customHeight="1">
      <c r="A34" s="291">
        <v>9</v>
      </c>
      <c r="B34" s="323" t="s">
        <v>992</v>
      </c>
      <c r="C34" s="285" t="s">
        <v>562</v>
      </c>
      <c r="D34" s="289" t="s">
        <v>563</v>
      </c>
      <c r="E34" s="289">
        <v>2</v>
      </c>
      <c r="F34" s="289" t="s">
        <v>87</v>
      </c>
      <c r="G34" s="293">
        <v>0.01</v>
      </c>
      <c r="H34" s="285" t="s">
        <v>993</v>
      </c>
      <c r="I34" s="286">
        <v>46023</v>
      </c>
      <c r="J34" s="287">
        <v>46387</v>
      </c>
      <c r="K34" s="288"/>
      <c r="L34" s="288" t="s">
        <v>464</v>
      </c>
      <c r="M34" s="288" t="s">
        <v>258</v>
      </c>
      <c r="N34" s="320" t="s">
        <v>994</v>
      </c>
      <c r="O34" s="290" t="s">
        <v>922</v>
      </c>
      <c r="P34" s="290"/>
    </row>
    <row r="35" spans="1:18" ht="106.9" customHeight="1">
      <c r="A35" s="291">
        <v>10</v>
      </c>
      <c r="B35" s="324" t="s">
        <v>995</v>
      </c>
      <c r="C35" s="285" t="s">
        <v>566</v>
      </c>
      <c r="D35" s="289" t="s">
        <v>180</v>
      </c>
      <c r="E35" s="289">
        <v>1</v>
      </c>
      <c r="F35" s="289" t="s">
        <v>954</v>
      </c>
      <c r="G35" s="293">
        <v>0.01</v>
      </c>
      <c r="H35" s="285" t="s">
        <v>996</v>
      </c>
      <c r="I35" s="286">
        <v>46023</v>
      </c>
      <c r="J35" s="287">
        <v>46387</v>
      </c>
      <c r="K35" s="288"/>
      <c r="L35" s="288" t="s">
        <v>464</v>
      </c>
      <c r="M35" s="288" t="s">
        <v>258</v>
      </c>
      <c r="N35" s="320" t="s">
        <v>997</v>
      </c>
      <c r="O35" s="313" t="s">
        <v>998</v>
      </c>
      <c r="P35" s="290"/>
      <c r="R35" s="125" t="str">
        <f>N35</f>
        <v>3 ý tưởng/CTKT được công nhận</v>
      </c>
    </row>
    <row r="36" spans="1:18" ht="107.45" customHeight="1">
      <c r="A36" s="291">
        <v>11</v>
      </c>
      <c r="B36" s="292" t="s">
        <v>999</v>
      </c>
      <c r="C36" s="285" t="s">
        <v>569</v>
      </c>
      <c r="D36" s="289" t="s">
        <v>570</v>
      </c>
      <c r="E36" s="293">
        <v>1</v>
      </c>
      <c r="F36" s="289" t="s">
        <v>954</v>
      </c>
      <c r="G36" s="293">
        <v>0.01</v>
      </c>
      <c r="H36" s="285" t="s">
        <v>996</v>
      </c>
      <c r="I36" s="286">
        <v>46023</v>
      </c>
      <c r="J36" s="287">
        <v>46387</v>
      </c>
      <c r="K36" s="288"/>
      <c r="L36" s="288" t="s">
        <v>572</v>
      </c>
      <c r="M36" s="288" t="s">
        <v>258</v>
      </c>
      <c r="N36" s="320" t="s">
        <v>1000</v>
      </c>
      <c r="O36" s="290" t="s">
        <v>922</v>
      </c>
      <c r="P36" s="290"/>
    </row>
    <row r="37" spans="1:18" ht="102.6" customHeight="1">
      <c r="A37" s="291">
        <v>12</v>
      </c>
      <c r="B37" s="292" t="s">
        <v>1001</v>
      </c>
      <c r="C37" s="285" t="s">
        <v>574</v>
      </c>
      <c r="D37" s="289" t="s">
        <v>570</v>
      </c>
      <c r="E37" s="289">
        <v>1</v>
      </c>
      <c r="F37" s="289" t="s">
        <v>954</v>
      </c>
      <c r="G37" s="283">
        <v>0.01</v>
      </c>
      <c r="H37" s="285" t="s">
        <v>993</v>
      </c>
      <c r="I37" s="286">
        <v>46023</v>
      </c>
      <c r="J37" s="287">
        <v>46387</v>
      </c>
      <c r="K37" s="288"/>
      <c r="L37" s="288" t="s">
        <v>518</v>
      </c>
      <c r="M37" s="288" t="s">
        <v>258</v>
      </c>
      <c r="N37" s="320" t="s">
        <v>1002</v>
      </c>
      <c r="O37" s="290" t="s">
        <v>922</v>
      </c>
      <c r="P37" s="290"/>
    </row>
    <row r="38" spans="1:18" s="281" customFormat="1" ht="57" customHeight="1">
      <c r="A38" s="274">
        <v>6</v>
      </c>
      <c r="B38" s="325" t="s">
        <v>1003</v>
      </c>
      <c r="C38" s="275" t="s">
        <v>30</v>
      </c>
      <c r="D38" s="326"/>
      <c r="E38" s="326"/>
      <c r="F38" s="327"/>
      <c r="G38" s="278">
        <v>0.05</v>
      </c>
      <c r="H38" s="328"/>
      <c r="I38" s="276"/>
      <c r="J38" s="276"/>
      <c r="K38" s="274"/>
      <c r="L38" s="274"/>
      <c r="M38" s="274"/>
      <c r="N38" s="297"/>
      <c r="O38" s="298"/>
      <c r="P38" s="298"/>
    </row>
    <row r="39" spans="1:18" s="281" customFormat="1" ht="125.45" customHeight="1">
      <c r="A39" s="329">
        <v>1</v>
      </c>
      <c r="B39" s="292" t="s">
        <v>1004</v>
      </c>
      <c r="C39" s="320" t="s">
        <v>196</v>
      </c>
      <c r="D39" s="289" t="s">
        <v>119</v>
      </c>
      <c r="E39" s="289">
        <v>2</v>
      </c>
      <c r="F39" s="289" t="s">
        <v>1005</v>
      </c>
      <c r="G39" s="284">
        <v>0.03</v>
      </c>
      <c r="H39" s="315" t="s">
        <v>1006</v>
      </c>
      <c r="I39" s="286">
        <v>46023</v>
      </c>
      <c r="J39" s="287">
        <v>46387</v>
      </c>
      <c r="K39" s="288"/>
      <c r="L39" s="288" t="s">
        <v>198</v>
      </c>
      <c r="M39" s="288" t="s">
        <v>269</v>
      </c>
      <c r="N39" s="290" t="s">
        <v>1007</v>
      </c>
      <c r="O39" s="330" t="s">
        <v>998</v>
      </c>
      <c r="P39" s="306"/>
      <c r="R39" s="281" t="str">
        <f>N39</f>
        <v xml:space="preserve">Lần 1 có 5/7 thành viên tham gia </v>
      </c>
    </row>
    <row r="40" spans="1:18" ht="84.6" customHeight="1">
      <c r="A40" s="291">
        <v>2</v>
      </c>
      <c r="B40" s="299" t="s">
        <v>1008</v>
      </c>
      <c r="C40" s="285" t="s">
        <v>200</v>
      </c>
      <c r="D40" s="289" t="s">
        <v>119</v>
      </c>
      <c r="E40" s="289">
        <v>1</v>
      </c>
      <c r="F40" s="289" t="s">
        <v>1005</v>
      </c>
      <c r="G40" s="293">
        <v>0.01</v>
      </c>
      <c r="H40" s="285" t="s">
        <v>1009</v>
      </c>
      <c r="I40" s="286">
        <v>46023</v>
      </c>
      <c r="J40" s="287">
        <v>46387</v>
      </c>
      <c r="K40" s="288"/>
      <c r="L40" s="288" t="s">
        <v>198</v>
      </c>
      <c r="M40" s="288" t="s">
        <v>269</v>
      </c>
      <c r="N40" s="290" t="s">
        <v>929</v>
      </c>
      <c r="O40" s="290" t="s">
        <v>922</v>
      </c>
      <c r="P40" s="290"/>
    </row>
    <row r="41" spans="1:18" ht="94.15" customHeight="1">
      <c r="A41" s="329">
        <v>3</v>
      </c>
      <c r="B41" s="292" t="s">
        <v>1010</v>
      </c>
      <c r="C41" s="320" t="s">
        <v>582</v>
      </c>
      <c r="D41" s="289" t="s">
        <v>119</v>
      </c>
      <c r="E41" s="331">
        <v>3</v>
      </c>
      <c r="F41" s="289" t="s">
        <v>1005</v>
      </c>
      <c r="G41" s="293">
        <v>0.01</v>
      </c>
      <c r="H41" s="315" t="s">
        <v>1011</v>
      </c>
      <c r="I41" s="286">
        <v>46023</v>
      </c>
      <c r="J41" s="287">
        <v>46387</v>
      </c>
      <c r="K41" s="288"/>
      <c r="L41" s="288" t="s">
        <v>198</v>
      </c>
      <c r="M41" s="288" t="s">
        <v>269</v>
      </c>
      <c r="N41" s="290" t="s">
        <v>929</v>
      </c>
      <c r="O41" s="290" t="s">
        <v>922</v>
      </c>
      <c r="P41" s="290"/>
    </row>
    <row r="42" spans="1:18" ht="78" customHeight="1">
      <c r="A42" s="443"/>
      <c r="B42" s="444"/>
      <c r="C42" s="444"/>
      <c r="D42" s="444"/>
      <c r="E42" s="444"/>
      <c r="F42" s="445"/>
      <c r="G42" s="332">
        <f>SUM(G4,G8,G13,G17,G23,G38)</f>
        <v>1</v>
      </c>
      <c r="H42" s="333"/>
      <c r="I42" s="334"/>
      <c r="J42" s="446" t="s">
        <v>1012</v>
      </c>
      <c r="K42" s="446"/>
      <c r="L42" s="446"/>
      <c r="M42" s="446"/>
      <c r="N42" s="446"/>
      <c r="O42" s="335" t="s">
        <v>998</v>
      </c>
      <c r="P42" s="334"/>
    </row>
    <row r="43" spans="1:18" ht="22.9" customHeight="1">
      <c r="A43" s="428"/>
      <c r="B43" s="429"/>
      <c r="C43" s="429"/>
      <c r="D43" s="429"/>
      <c r="E43" s="429"/>
      <c r="F43" s="429"/>
      <c r="G43" s="429"/>
      <c r="H43" s="429"/>
      <c r="I43" s="429"/>
      <c r="J43" s="429"/>
      <c r="K43" s="429"/>
      <c r="L43" s="429"/>
      <c r="M43" s="430"/>
      <c r="N43" s="437" t="s">
        <v>1013</v>
      </c>
      <c r="O43" s="437"/>
      <c r="P43" s="437"/>
    </row>
    <row r="44" spans="1:18" ht="22.9" customHeight="1">
      <c r="A44" s="431"/>
      <c r="B44" s="432"/>
      <c r="C44" s="432"/>
      <c r="D44" s="432"/>
      <c r="E44" s="432"/>
      <c r="F44" s="432"/>
      <c r="G44" s="432"/>
      <c r="H44" s="432"/>
      <c r="I44" s="432"/>
      <c r="J44" s="432"/>
      <c r="K44" s="432"/>
      <c r="L44" s="432"/>
      <c r="M44" s="433"/>
      <c r="N44" s="437"/>
      <c r="O44" s="437"/>
      <c r="P44" s="437"/>
    </row>
    <row r="45" spans="1:18" s="270" customFormat="1" ht="22.9" customHeight="1">
      <c r="A45" s="434"/>
      <c r="B45" s="435"/>
      <c r="C45" s="435"/>
      <c r="D45" s="435"/>
      <c r="E45" s="435"/>
      <c r="F45" s="435"/>
      <c r="G45" s="435"/>
      <c r="H45" s="435"/>
      <c r="I45" s="435"/>
      <c r="J45" s="435"/>
      <c r="K45" s="435"/>
      <c r="L45" s="435"/>
      <c r="M45" s="436"/>
      <c r="N45" s="437"/>
      <c r="O45" s="437"/>
      <c r="P45" s="437"/>
    </row>
    <row r="50" spans="13:13" ht="26.25">
      <c r="M50" s="336"/>
    </row>
  </sheetData>
  <mergeCells count="18">
    <mergeCell ref="A43:M45"/>
    <mergeCell ref="N43:P45"/>
    <mergeCell ref="F5:F6"/>
    <mergeCell ref="N5:N6"/>
    <mergeCell ref="C17:F17"/>
    <mergeCell ref="C23:F23"/>
    <mergeCell ref="A42:F42"/>
    <mergeCell ref="J42:N42"/>
    <mergeCell ref="A5:A6"/>
    <mergeCell ref="B5:B6"/>
    <mergeCell ref="C5:C6"/>
    <mergeCell ref="D5:D6"/>
    <mergeCell ref="E5:E6"/>
    <mergeCell ref="A2:M2"/>
    <mergeCell ref="N2:P2"/>
    <mergeCell ref="N3:N4"/>
    <mergeCell ref="O3:O4"/>
    <mergeCell ref="P3:P4"/>
  </mergeCells>
  <pageMargins left="0.25" right="0.25" top="0.5" bottom="0.5" header="0.3" footer="0.3"/>
  <pageSetup paperSize="9" scale="2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E017-8AD1-4162-ADEE-044B7CE52717}">
  <dimension ref="A1:C10"/>
  <sheetViews>
    <sheetView zoomScaleNormal="100" zoomScaleSheetLayoutView="100" workbookViewId="0">
      <selection activeCell="A6" sqref="A6:C6"/>
    </sheetView>
  </sheetViews>
  <sheetFormatPr defaultColWidth="39.7109375" defaultRowHeight="16.5"/>
  <cols>
    <col min="1" max="1" width="15.7109375" style="109" customWidth="1"/>
    <col min="2" max="2" width="39.7109375" style="109"/>
    <col min="3" max="3" width="99" style="109" customWidth="1"/>
    <col min="4" max="16384" width="39.7109375" style="109"/>
  </cols>
  <sheetData>
    <row r="1" spans="1:3" ht="36.6" customHeight="1">
      <c r="A1" s="453" t="s">
        <v>388</v>
      </c>
      <c r="B1" s="453"/>
      <c r="C1" s="453"/>
    </row>
    <row r="2" spans="1:3" ht="49.5" customHeight="1">
      <c r="A2" s="110">
        <v>1</v>
      </c>
      <c r="B2" s="111" t="s">
        <v>389</v>
      </c>
      <c r="C2" s="112" t="s">
        <v>390</v>
      </c>
    </row>
    <row r="3" spans="1:3" ht="49.5" customHeight="1">
      <c r="A3" s="110">
        <v>2</v>
      </c>
      <c r="B3" s="111" t="s">
        <v>391</v>
      </c>
      <c r="C3" s="112" t="s">
        <v>392</v>
      </c>
    </row>
    <row r="4" spans="1:3" ht="129.75" customHeight="1">
      <c r="A4" s="110">
        <v>3</v>
      </c>
      <c r="B4" s="111" t="s">
        <v>393</v>
      </c>
      <c r="C4" s="113" t="s">
        <v>588</v>
      </c>
    </row>
    <row r="5" spans="1:3" ht="82.5" customHeight="1">
      <c r="A5" s="110">
        <v>4</v>
      </c>
      <c r="B5" s="111" t="s">
        <v>394</v>
      </c>
      <c r="C5" s="112" t="s">
        <v>589</v>
      </c>
    </row>
    <row r="6" spans="1:3" ht="78" customHeight="1">
      <c r="A6" s="454" t="s">
        <v>590</v>
      </c>
      <c r="B6" s="455"/>
      <c r="C6" s="455"/>
    </row>
    <row r="10" spans="1:3">
      <c r="B10" s="114"/>
    </row>
  </sheetData>
  <mergeCells count="2">
    <mergeCell ref="A1:C1"/>
    <mergeCell ref="A6:C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C1B9-CB85-4E90-AA46-DC8E4B77C564}">
  <dimension ref="A1:I17"/>
  <sheetViews>
    <sheetView topLeftCell="A2" zoomScale="115" zoomScaleNormal="115" zoomScaleSheetLayoutView="130" workbookViewId="0">
      <selection activeCell="B7" sqref="B7"/>
    </sheetView>
  </sheetViews>
  <sheetFormatPr defaultRowHeight="15"/>
  <cols>
    <col min="1" max="1" width="15.7109375" customWidth="1"/>
    <col min="2" max="2" width="165.85546875" customWidth="1"/>
  </cols>
  <sheetData>
    <row r="1" spans="1:9" ht="32.450000000000003" customHeight="1">
      <c r="A1" s="456" t="s">
        <v>395</v>
      </c>
      <c r="B1" s="456"/>
    </row>
    <row r="2" spans="1:9" ht="28.15" customHeight="1">
      <c r="A2" s="115" t="s">
        <v>396</v>
      </c>
      <c r="B2" s="115" t="s">
        <v>397</v>
      </c>
    </row>
    <row r="3" spans="1:9" ht="48.75" customHeight="1">
      <c r="A3" s="116" t="s">
        <v>398</v>
      </c>
      <c r="B3" s="117" t="s">
        <v>399</v>
      </c>
      <c r="C3" s="118"/>
      <c r="D3" s="118"/>
      <c r="E3" s="118"/>
      <c r="F3" s="118"/>
      <c r="G3" s="118"/>
      <c r="H3" s="118"/>
      <c r="I3" s="118"/>
    </row>
    <row r="4" spans="1:9" ht="48.75" customHeight="1">
      <c r="A4" s="116" t="s">
        <v>400</v>
      </c>
      <c r="B4" s="117" t="s">
        <v>401</v>
      </c>
      <c r="C4" s="118"/>
      <c r="D4" s="118"/>
      <c r="E4" s="118"/>
      <c r="F4" s="118"/>
      <c r="G4" s="118"/>
      <c r="H4" s="118"/>
      <c r="I4" s="118"/>
    </row>
    <row r="5" spans="1:9" ht="48.75" customHeight="1">
      <c r="A5" s="116" t="s">
        <v>402</v>
      </c>
      <c r="B5" s="117" t="s">
        <v>591</v>
      </c>
      <c r="C5" s="118"/>
      <c r="D5" s="118"/>
      <c r="E5" s="118"/>
      <c r="F5" s="118"/>
      <c r="G5" s="118"/>
      <c r="H5" s="118"/>
      <c r="I5" s="118"/>
    </row>
    <row r="6" spans="1:9" ht="48.75" customHeight="1">
      <c r="A6" s="116" t="s">
        <v>403</v>
      </c>
      <c r="B6" s="117" t="s">
        <v>404</v>
      </c>
      <c r="C6" s="118"/>
      <c r="D6" s="118"/>
      <c r="E6" s="118"/>
      <c r="F6" s="118"/>
      <c r="G6" s="118"/>
      <c r="H6" s="118"/>
      <c r="I6" s="118"/>
    </row>
    <row r="7" spans="1:9" ht="48.75" customHeight="1">
      <c r="A7" s="116" t="s">
        <v>405</v>
      </c>
      <c r="B7" s="117" t="s">
        <v>406</v>
      </c>
    </row>
    <row r="8" spans="1:9" ht="48.75" customHeight="1">
      <c r="A8" s="116" t="s">
        <v>407</v>
      </c>
      <c r="B8" s="117" t="s">
        <v>408</v>
      </c>
      <c r="C8" s="118"/>
      <c r="D8" s="118"/>
      <c r="E8" s="118"/>
      <c r="F8" s="118"/>
      <c r="G8" s="118"/>
      <c r="H8" s="118"/>
      <c r="I8" s="118"/>
    </row>
    <row r="9" spans="1:9" ht="48.75" customHeight="1">
      <c r="A9" s="116" t="s">
        <v>409</v>
      </c>
      <c r="B9" s="117" t="s">
        <v>410</v>
      </c>
      <c r="C9" s="118"/>
      <c r="D9" s="118"/>
      <c r="E9" s="118"/>
      <c r="F9" s="118"/>
      <c r="G9" s="118"/>
      <c r="H9" s="118"/>
      <c r="I9" s="118"/>
    </row>
    <row r="10" spans="1:9" ht="48.75" customHeight="1">
      <c r="A10" s="116" t="s">
        <v>411</v>
      </c>
      <c r="B10" s="117" t="s">
        <v>412</v>
      </c>
      <c r="C10" s="118"/>
      <c r="D10" s="118"/>
      <c r="E10" s="118"/>
      <c r="F10" s="118"/>
      <c r="G10" s="118"/>
      <c r="H10" s="118"/>
      <c r="I10" s="118"/>
    </row>
    <row r="11" spans="1:9" ht="48.75" customHeight="1">
      <c r="A11" s="116" t="s">
        <v>413</v>
      </c>
      <c r="B11" s="117" t="s">
        <v>592</v>
      </c>
      <c r="C11" s="118"/>
      <c r="D11" s="118"/>
      <c r="E11" s="118"/>
      <c r="F11" s="118"/>
      <c r="G11" s="118"/>
      <c r="H11" s="118"/>
      <c r="I11" s="118"/>
    </row>
    <row r="12" spans="1:9" ht="48.75" customHeight="1">
      <c r="A12" s="116" t="s">
        <v>414</v>
      </c>
      <c r="B12" s="117" t="s">
        <v>593</v>
      </c>
      <c r="C12" s="118"/>
      <c r="D12" s="118"/>
      <c r="E12" s="118"/>
      <c r="F12" s="118"/>
      <c r="G12" s="118"/>
      <c r="H12" s="118"/>
      <c r="I12" s="118"/>
    </row>
    <row r="13" spans="1:9" ht="48.75" customHeight="1">
      <c r="A13" s="116" t="s">
        <v>415</v>
      </c>
      <c r="B13" s="117" t="s">
        <v>594</v>
      </c>
      <c r="C13" s="118"/>
      <c r="D13" s="118"/>
      <c r="E13" s="118"/>
      <c r="F13" s="118"/>
      <c r="G13" s="118"/>
      <c r="H13" s="118"/>
      <c r="I13" s="118"/>
    </row>
    <row r="14" spans="1:9" ht="48.75" customHeight="1">
      <c r="A14" s="116" t="s">
        <v>416</v>
      </c>
      <c r="B14" s="117" t="s">
        <v>595</v>
      </c>
    </row>
    <row r="15" spans="1:9" ht="48.75" customHeight="1">
      <c r="A15" s="205" t="s">
        <v>596</v>
      </c>
      <c r="B15" s="206" t="s">
        <v>597</v>
      </c>
    </row>
    <row r="16" spans="1:9" ht="48.75" customHeight="1">
      <c r="A16" s="205" t="s">
        <v>598</v>
      </c>
      <c r="B16" s="206" t="s">
        <v>417</v>
      </c>
    </row>
    <row r="17" spans="1:2" ht="48.75" customHeight="1">
      <c r="A17" s="205" t="s">
        <v>599</v>
      </c>
      <c r="B17" s="206" t="s">
        <v>600</v>
      </c>
    </row>
  </sheetData>
  <mergeCells count="1">
    <mergeCell ref="A1:B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9F702-5005-43E6-9C68-CA09D219A864}">
  <sheetPr codeName="Sheet5">
    <pageSetUpPr fitToPage="1"/>
  </sheetPr>
  <dimension ref="A1:U930"/>
  <sheetViews>
    <sheetView zoomScale="70" zoomScaleNormal="70" zoomScaleSheetLayoutView="70" workbookViewId="0">
      <pane xSplit="3" ySplit="2" topLeftCell="D138" activePane="bottomRight" state="frozen"/>
      <selection activeCell="B1" sqref="B1"/>
      <selection pane="topRight" activeCell="D1" sqref="D1"/>
      <selection pane="bottomLeft" activeCell="B3" sqref="B3"/>
      <selection pane="bottomRight" activeCell="F139" sqref="F139:F142"/>
    </sheetView>
  </sheetViews>
  <sheetFormatPr defaultColWidth="9" defaultRowHeight="15.75"/>
  <cols>
    <col min="1" max="1" width="6.7109375" style="4" customWidth="1"/>
    <col min="2" max="2" width="10.5703125" style="4" customWidth="1"/>
    <col min="3" max="3" width="15" style="4" bestFit="1" customWidth="1"/>
    <col min="4" max="4" width="67.42578125" style="8" customWidth="1"/>
    <col min="5" max="5" width="33.7109375" style="66" customWidth="1"/>
    <col min="6" max="6" width="24" style="66" customWidth="1"/>
    <col min="7" max="7" width="12.85546875" style="66" customWidth="1"/>
    <col min="8" max="8" width="9.7109375" style="9" bestFit="1" customWidth="1"/>
    <col min="9" max="9" width="106" style="9" customWidth="1"/>
    <col min="10" max="11" width="17.7109375" style="4" customWidth="1"/>
    <col min="12" max="12" width="20.28515625" style="4" customWidth="1"/>
    <col min="13" max="14" width="20.140625" style="4" customWidth="1"/>
    <col min="15" max="15" width="33.140625" customWidth="1"/>
    <col min="16" max="16" width="15.7109375" customWidth="1"/>
    <col min="17" max="17" width="16.140625" customWidth="1"/>
    <col min="18" max="18" width="15" customWidth="1"/>
    <col min="19" max="19" width="13.7109375" customWidth="1"/>
    <col min="20" max="20" width="26" customWidth="1"/>
    <col min="21" max="21" width="12.28515625" customWidth="1"/>
    <col min="22" max="26" width="9" style="4" customWidth="1"/>
    <col min="27" max="27" width="9.42578125" style="4" customWidth="1"/>
    <col min="28" max="28" width="9" style="4" customWidth="1"/>
    <col min="29" max="16384" width="9" style="4"/>
  </cols>
  <sheetData>
    <row r="1" spans="1:21" ht="30.6" customHeight="1">
      <c r="A1" s="392" t="s">
        <v>239</v>
      </c>
      <c r="B1" s="393"/>
      <c r="C1" s="393"/>
      <c r="D1" s="393"/>
      <c r="E1" s="393"/>
      <c r="F1" s="393"/>
      <c r="G1" s="393"/>
      <c r="H1" s="393"/>
      <c r="I1" s="393"/>
      <c r="J1" s="393"/>
      <c r="K1" s="393"/>
      <c r="L1" s="393"/>
      <c r="M1" s="393"/>
      <c r="N1" s="394"/>
      <c r="O1" s="389" t="s">
        <v>240</v>
      </c>
      <c r="P1" s="390"/>
      <c r="Q1" s="390"/>
      <c r="R1" s="390"/>
      <c r="S1" s="390"/>
      <c r="T1" s="390"/>
      <c r="U1" s="391"/>
    </row>
    <row r="2" spans="1:21" ht="69.599999999999994" customHeight="1">
      <c r="A2" s="1" t="s">
        <v>0</v>
      </c>
      <c r="B2" s="1" t="s">
        <v>4</v>
      </c>
      <c r="C2" s="1" t="s">
        <v>241</v>
      </c>
      <c r="D2" s="1" t="s">
        <v>242</v>
      </c>
      <c r="E2" s="1" t="s">
        <v>243</v>
      </c>
      <c r="F2" s="1" t="s">
        <v>244</v>
      </c>
      <c r="G2" s="1" t="s">
        <v>77</v>
      </c>
      <c r="H2" s="27" t="s">
        <v>245</v>
      </c>
      <c r="I2" s="27" t="s">
        <v>246</v>
      </c>
      <c r="J2" s="1" t="s">
        <v>1</v>
      </c>
      <c r="K2" s="1" t="s">
        <v>2</v>
      </c>
      <c r="L2" s="1" t="s">
        <v>247</v>
      </c>
      <c r="M2" s="1" t="s">
        <v>248</v>
      </c>
      <c r="N2" s="1" t="s">
        <v>249</v>
      </c>
      <c r="O2" s="98" t="s">
        <v>250</v>
      </c>
      <c r="P2" s="39" t="s">
        <v>251</v>
      </c>
      <c r="Q2" s="39" t="s">
        <v>252</v>
      </c>
      <c r="R2" s="39" t="s">
        <v>253</v>
      </c>
      <c r="S2" s="39" t="s">
        <v>254</v>
      </c>
      <c r="T2" s="39" t="s">
        <v>255</v>
      </c>
      <c r="U2" s="39" t="s">
        <v>31</v>
      </c>
    </row>
    <row r="3" spans="1:21" s="5" customFormat="1" ht="47.25" customHeight="1">
      <c r="A3" s="10">
        <v>1</v>
      </c>
      <c r="B3" s="10" t="s">
        <v>11</v>
      </c>
      <c r="C3" s="10" t="s">
        <v>7</v>
      </c>
      <c r="D3" s="11" t="s">
        <v>84</v>
      </c>
      <c r="E3" s="40" t="s">
        <v>85</v>
      </c>
      <c r="F3" s="40" t="s">
        <v>86</v>
      </c>
      <c r="G3" s="40" t="s">
        <v>87</v>
      </c>
      <c r="H3" s="23">
        <v>0.5</v>
      </c>
      <c r="I3" s="23"/>
      <c r="J3" s="12"/>
      <c r="K3" s="12"/>
      <c r="L3" s="10"/>
      <c r="M3" s="10"/>
      <c r="N3" s="10"/>
      <c r="O3" s="41"/>
      <c r="P3" s="41"/>
      <c r="Q3" s="41"/>
      <c r="R3" s="99"/>
      <c r="S3" s="99"/>
      <c r="T3" s="41"/>
      <c r="U3" s="41"/>
    </row>
    <row r="4" spans="1:21" s="6" customFormat="1" ht="48" customHeight="1">
      <c r="A4" s="457"/>
      <c r="B4" s="457"/>
      <c r="C4" s="373" t="s">
        <v>8</v>
      </c>
      <c r="D4" s="377" t="s">
        <v>88</v>
      </c>
      <c r="E4" s="377" t="s">
        <v>89</v>
      </c>
      <c r="F4" s="462" t="s">
        <v>90</v>
      </c>
      <c r="G4" s="377" t="s">
        <v>91</v>
      </c>
      <c r="H4" s="465">
        <v>0.2</v>
      </c>
      <c r="I4" s="100" t="s">
        <v>256</v>
      </c>
      <c r="J4" s="18">
        <v>45658</v>
      </c>
      <c r="K4" s="17">
        <v>45717</v>
      </c>
      <c r="L4" s="45"/>
      <c r="M4" s="45" t="s">
        <v>257</v>
      </c>
      <c r="N4" s="45" t="s">
        <v>258</v>
      </c>
      <c r="O4" s="28"/>
      <c r="P4" s="28"/>
      <c r="Q4" s="7"/>
      <c r="R4" s="28"/>
      <c r="S4" s="99"/>
      <c r="T4" s="7"/>
      <c r="U4" s="7"/>
    </row>
    <row r="5" spans="1:21" s="6" customFormat="1" ht="48" customHeight="1">
      <c r="A5" s="458"/>
      <c r="B5" s="458"/>
      <c r="C5" s="460"/>
      <c r="D5" s="461"/>
      <c r="E5" s="461"/>
      <c r="F5" s="463"/>
      <c r="G5" s="461"/>
      <c r="H5" s="466"/>
      <c r="I5" s="100" t="s">
        <v>259</v>
      </c>
      <c r="J5" s="18">
        <v>45658</v>
      </c>
      <c r="K5" s="17">
        <v>45717</v>
      </c>
      <c r="L5" s="45"/>
      <c r="M5" s="45" t="s">
        <v>257</v>
      </c>
      <c r="N5" s="45" t="s">
        <v>258</v>
      </c>
      <c r="O5" s="28"/>
      <c r="P5" s="28"/>
      <c r="Q5" s="7"/>
      <c r="R5" s="28"/>
      <c r="S5" s="99"/>
      <c r="T5" s="7"/>
      <c r="U5" s="7"/>
    </row>
    <row r="6" spans="1:21" s="6" customFormat="1" ht="48" customHeight="1">
      <c r="A6" s="458"/>
      <c r="B6" s="458"/>
      <c r="C6" s="460"/>
      <c r="D6" s="461"/>
      <c r="E6" s="461"/>
      <c r="F6" s="463"/>
      <c r="G6" s="461"/>
      <c r="H6" s="466"/>
      <c r="I6" s="100" t="s">
        <v>260</v>
      </c>
      <c r="J6" s="18">
        <v>45717</v>
      </c>
      <c r="K6" s="17" t="s">
        <v>261</v>
      </c>
      <c r="L6" s="45"/>
      <c r="M6" s="45" t="s">
        <v>257</v>
      </c>
      <c r="N6" s="45" t="s">
        <v>258</v>
      </c>
      <c r="O6" s="28"/>
      <c r="P6" s="28"/>
      <c r="Q6" s="7"/>
      <c r="R6" s="28"/>
      <c r="S6" s="99"/>
      <c r="T6" s="7"/>
      <c r="U6" s="7"/>
    </row>
    <row r="7" spans="1:21" s="6" customFormat="1" ht="48" customHeight="1">
      <c r="A7" s="458"/>
      <c r="B7" s="458"/>
      <c r="C7" s="460"/>
      <c r="D7" s="461"/>
      <c r="E7" s="461"/>
      <c r="F7" s="463"/>
      <c r="G7" s="461"/>
      <c r="H7" s="466"/>
      <c r="I7" s="100" t="s">
        <v>262</v>
      </c>
      <c r="J7" s="18">
        <v>45717</v>
      </c>
      <c r="K7" s="17" t="s">
        <v>261</v>
      </c>
      <c r="L7" s="45"/>
      <c r="M7" s="45" t="s">
        <v>257</v>
      </c>
      <c r="N7" s="45" t="s">
        <v>258</v>
      </c>
      <c r="O7" s="28"/>
      <c r="P7" s="28"/>
      <c r="Q7" s="7"/>
      <c r="R7" s="28"/>
      <c r="S7" s="99"/>
      <c r="T7" s="7"/>
      <c r="U7" s="7"/>
    </row>
    <row r="8" spans="1:21" s="6" customFormat="1" ht="48" customHeight="1">
      <c r="A8" s="458"/>
      <c r="B8" s="458"/>
      <c r="C8" s="460"/>
      <c r="D8" s="461"/>
      <c r="E8" s="461"/>
      <c r="F8" s="463"/>
      <c r="G8" s="461"/>
      <c r="H8" s="466"/>
      <c r="I8" s="100" t="s">
        <v>263</v>
      </c>
      <c r="J8" s="18">
        <v>45717</v>
      </c>
      <c r="K8" s="17" t="s">
        <v>264</v>
      </c>
      <c r="L8" s="45"/>
      <c r="M8" s="45" t="s">
        <v>257</v>
      </c>
      <c r="N8" s="45" t="s">
        <v>258</v>
      </c>
      <c r="O8" s="28"/>
      <c r="P8" s="28"/>
      <c r="Q8" s="7"/>
      <c r="R8" s="28"/>
      <c r="S8" s="99"/>
      <c r="T8" s="7"/>
      <c r="U8" s="7"/>
    </row>
    <row r="9" spans="1:21" s="6" customFormat="1" ht="48" customHeight="1">
      <c r="A9" s="458"/>
      <c r="B9" s="458"/>
      <c r="C9" s="460"/>
      <c r="D9" s="461"/>
      <c r="E9" s="461"/>
      <c r="F9" s="463"/>
      <c r="G9" s="461"/>
      <c r="H9" s="466"/>
      <c r="I9" s="100" t="s">
        <v>265</v>
      </c>
      <c r="J9" s="18">
        <v>45717</v>
      </c>
      <c r="K9" s="17" t="s">
        <v>264</v>
      </c>
      <c r="L9" s="45"/>
      <c r="M9" s="45" t="s">
        <v>257</v>
      </c>
      <c r="N9" s="45" t="s">
        <v>258</v>
      </c>
      <c r="O9" s="28"/>
      <c r="P9" s="28"/>
      <c r="Q9" s="7"/>
      <c r="R9" s="28"/>
      <c r="S9" s="99"/>
      <c r="T9" s="7"/>
      <c r="U9" s="7"/>
    </row>
    <row r="10" spans="1:21" s="6" customFormat="1" ht="48" customHeight="1">
      <c r="A10" s="459"/>
      <c r="B10" s="459"/>
      <c r="C10" s="374"/>
      <c r="D10" s="378"/>
      <c r="E10" s="378"/>
      <c r="F10" s="464"/>
      <c r="G10" s="378"/>
      <c r="H10" s="467"/>
      <c r="I10" s="100" t="s">
        <v>266</v>
      </c>
      <c r="J10" s="18">
        <v>45741</v>
      </c>
      <c r="K10" s="17" t="s">
        <v>264</v>
      </c>
      <c r="L10" s="45"/>
      <c r="M10" s="45" t="s">
        <v>257</v>
      </c>
      <c r="N10" s="45" t="s">
        <v>258</v>
      </c>
      <c r="O10" s="28"/>
      <c r="P10" s="28"/>
      <c r="Q10" s="7"/>
      <c r="R10" s="28"/>
      <c r="S10" s="99"/>
      <c r="T10" s="7"/>
      <c r="U10" s="7"/>
    </row>
    <row r="11" spans="1:21" ht="47.25" customHeight="1">
      <c r="A11" s="371"/>
      <c r="B11" s="371"/>
      <c r="C11" s="373" t="s">
        <v>9</v>
      </c>
      <c r="D11" s="377" t="s">
        <v>96</v>
      </c>
      <c r="E11" s="377" t="s">
        <v>97</v>
      </c>
      <c r="F11" s="462" t="s">
        <v>98</v>
      </c>
      <c r="G11" s="377" t="s">
        <v>91</v>
      </c>
      <c r="H11" s="379">
        <v>0.2</v>
      </c>
      <c r="I11" s="100" t="s">
        <v>267</v>
      </c>
      <c r="J11" s="18">
        <v>45658</v>
      </c>
      <c r="K11" s="17">
        <v>45717</v>
      </c>
      <c r="L11" s="45"/>
      <c r="M11" s="45" t="s">
        <v>268</v>
      </c>
      <c r="N11" s="45" t="s">
        <v>269</v>
      </c>
      <c r="O11" s="28"/>
      <c r="P11" s="28"/>
      <c r="Q11" s="7"/>
      <c r="R11" s="28"/>
      <c r="S11" s="99"/>
      <c r="T11" s="7"/>
      <c r="U11" s="7"/>
    </row>
    <row r="12" spans="1:21" ht="47.25" customHeight="1">
      <c r="A12" s="469"/>
      <c r="B12" s="469"/>
      <c r="C12" s="460"/>
      <c r="D12" s="461"/>
      <c r="E12" s="461"/>
      <c r="F12" s="463"/>
      <c r="G12" s="461"/>
      <c r="H12" s="468"/>
      <c r="I12" s="101" t="s">
        <v>270</v>
      </c>
      <c r="J12" s="18">
        <v>45658</v>
      </c>
      <c r="K12" s="17">
        <v>45717</v>
      </c>
      <c r="L12" s="45"/>
      <c r="M12" s="45" t="s">
        <v>268</v>
      </c>
      <c r="N12" s="45" t="s">
        <v>269</v>
      </c>
      <c r="O12" s="102"/>
      <c r="P12" s="102"/>
      <c r="Q12" s="103"/>
      <c r="R12" s="102"/>
      <c r="S12" s="104"/>
      <c r="T12" s="103"/>
      <c r="U12" s="103"/>
    </row>
    <row r="13" spans="1:21" ht="47.25" customHeight="1">
      <c r="A13" s="469"/>
      <c r="B13" s="469"/>
      <c r="C13" s="460"/>
      <c r="D13" s="461"/>
      <c r="E13" s="461"/>
      <c r="F13" s="463"/>
      <c r="G13" s="461"/>
      <c r="H13" s="468"/>
      <c r="I13" s="101" t="s">
        <v>271</v>
      </c>
      <c r="J13" s="18">
        <v>45717</v>
      </c>
      <c r="K13" s="17" t="s">
        <v>261</v>
      </c>
      <c r="L13" s="45"/>
      <c r="M13" s="45" t="s">
        <v>268</v>
      </c>
      <c r="N13" s="45" t="s">
        <v>269</v>
      </c>
      <c r="O13" s="102"/>
      <c r="P13" s="102"/>
      <c r="Q13" s="103"/>
      <c r="R13" s="102"/>
      <c r="S13" s="104"/>
      <c r="T13" s="103"/>
      <c r="U13" s="103"/>
    </row>
    <row r="14" spans="1:21" ht="47.25" customHeight="1">
      <c r="A14" s="469"/>
      <c r="B14" s="469"/>
      <c r="C14" s="460"/>
      <c r="D14" s="461"/>
      <c r="E14" s="461"/>
      <c r="F14" s="463"/>
      <c r="G14" s="461"/>
      <c r="H14" s="468"/>
      <c r="I14" s="101" t="s">
        <v>272</v>
      </c>
      <c r="J14" s="18">
        <v>45717</v>
      </c>
      <c r="K14" s="17" t="s">
        <v>261</v>
      </c>
      <c r="L14" s="45"/>
      <c r="M14" s="45" t="s">
        <v>268</v>
      </c>
      <c r="N14" s="45" t="s">
        <v>269</v>
      </c>
      <c r="O14" s="102"/>
      <c r="P14" s="102"/>
      <c r="Q14" s="103"/>
      <c r="R14" s="102"/>
      <c r="S14" s="104"/>
      <c r="T14" s="103"/>
      <c r="U14" s="103"/>
    </row>
    <row r="15" spans="1:21" ht="47.25" customHeight="1">
      <c r="A15" s="469"/>
      <c r="B15" s="469"/>
      <c r="C15" s="460"/>
      <c r="D15" s="461"/>
      <c r="E15" s="461"/>
      <c r="F15" s="463"/>
      <c r="G15" s="461"/>
      <c r="H15" s="468"/>
      <c r="I15" s="101" t="s">
        <v>273</v>
      </c>
      <c r="J15" s="18">
        <v>45717</v>
      </c>
      <c r="K15" s="17" t="s">
        <v>264</v>
      </c>
      <c r="L15" s="45"/>
      <c r="M15" s="45" t="s">
        <v>268</v>
      </c>
      <c r="N15" s="45" t="s">
        <v>269</v>
      </c>
      <c r="O15" s="102"/>
      <c r="P15" s="102"/>
      <c r="Q15" s="103"/>
      <c r="R15" s="102"/>
      <c r="S15" s="104"/>
      <c r="T15" s="103"/>
      <c r="U15" s="103"/>
    </row>
    <row r="16" spans="1:21" ht="47.25" customHeight="1">
      <c r="A16" s="469"/>
      <c r="B16" s="469"/>
      <c r="C16" s="460"/>
      <c r="D16" s="461"/>
      <c r="E16" s="461"/>
      <c r="F16" s="463"/>
      <c r="G16" s="461"/>
      <c r="H16" s="468"/>
      <c r="I16" s="101" t="s">
        <v>274</v>
      </c>
      <c r="J16" s="18">
        <v>45717</v>
      </c>
      <c r="K16" s="17" t="s">
        <v>264</v>
      </c>
      <c r="L16" s="45"/>
      <c r="M16" s="45" t="s">
        <v>268</v>
      </c>
      <c r="N16" s="45" t="s">
        <v>269</v>
      </c>
      <c r="O16" s="102"/>
      <c r="P16" s="102"/>
      <c r="Q16" s="103"/>
      <c r="R16" s="102"/>
      <c r="S16" s="104"/>
      <c r="T16" s="103"/>
      <c r="U16" s="103"/>
    </row>
    <row r="17" spans="1:21" ht="47.25" customHeight="1">
      <c r="A17" s="372"/>
      <c r="B17" s="372"/>
      <c r="C17" s="374"/>
      <c r="D17" s="378"/>
      <c r="E17" s="378"/>
      <c r="F17" s="464"/>
      <c r="G17" s="378"/>
      <c r="H17" s="380"/>
      <c r="I17" s="101" t="s">
        <v>275</v>
      </c>
      <c r="J17" s="18">
        <v>45717</v>
      </c>
      <c r="K17" s="17" t="s">
        <v>264</v>
      </c>
      <c r="L17" s="45"/>
      <c r="M17" s="45" t="s">
        <v>268</v>
      </c>
      <c r="N17" s="45" t="s">
        <v>269</v>
      </c>
      <c r="O17" s="102"/>
      <c r="P17" s="102"/>
      <c r="Q17" s="103"/>
      <c r="R17" s="102"/>
      <c r="S17" s="104"/>
      <c r="T17" s="103"/>
      <c r="U17" s="103"/>
    </row>
    <row r="18" spans="1:21" ht="50.25" customHeight="1">
      <c r="A18" s="371"/>
      <c r="B18" s="371"/>
      <c r="C18" s="373" t="s">
        <v>10</v>
      </c>
      <c r="D18" s="377" t="s">
        <v>100</v>
      </c>
      <c r="E18" s="377" t="s">
        <v>276</v>
      </c>
      <c r="F18" s="462" t="s">
        <v>277</v>
      </c>
      <c r="G18" s="377" t="s">
        <v>87</v>
      </c>
      <c r="H18" s="379">
        <v>0.3</v>
      </c>
      <c r="I18" s="100" t="s">
        <v>278</v>
      </c>
      <c r="J18" s="18">
        <v>45689</v>
      </c>
      <c r="K18" s="17" t="s">
        <v>279</v>
      </c>
      <c r="L18" s="46"/>
      <c r="M18" s="46" t="s">
        <v>102</v>
      </c>
      <c r="N18" s="45" t="s">
        <v>258</v>
      </c>
      <c r="O18" s="95"/>
      <c r="P18" s="95"/>
      <c r="Q18" s="95"/>
      <c r="R18" s="95"/>
      <c r="S18" s="95"/>
      <c r="T18" s="95"/>
      <c r="U18" s="95"/>
    </row>
    <row r="19" spans="1:21" ht="41.25" customHeight="1">
      <c r="A19" s="469"/>
      <c r="B19" s="469"/>
      <c r="C19" s="460"/>
      <c r="D19" s="461"/>
      <c r="E19" s="461"/>
      <c r="F19" s="463"/>
      <c r="G19" s="461"/>
      <c r="H19" s="468"/>
      <c r="I19" s="105" t="s">
        <v>280</v>
      </c>
      <c r="J19" s="18">
        <v>45689</v>
      </c>
      <c r="K19" s="17" t="s">
        <v>279</v>
      </c>
      <c r="L19" s="46"/>
      <c r="M19" s="46" t="s">
        <v>102</v>
      </c>
      <c r="N19" s="45" t="s">
        <v>258</v>
      </c>
      <c r="O19" s="96"/>
      <c r="P19" s="96"/>
      <c r="Q19" s="96"/>
      <c r="R19" s="96"/>
      <c r="S19" s="96"/>
      <c r="T19" s="96"/>
      <c r="U19" s="96"/>
    </row>
    <row r="20" spans="1:21" ht="41.25" customHeight="1">
      <c r="A20" s="469"/>
      <c r="B20" s="469"/>
      <c r="C20" s="460"/>
      <c r="D20" s="461"/>
      <c r="E20" s="461"/>
      <c r="F20" s="463"/>
      <c r="G20" s="461"/>
      <c r="H20" s="468"/>
      <c r="I20" s="105" t="s">
        <v>281</v>
      </c>
      <c r="J20" s="18">
        <v>45689</v>
      </c>
      <c r="K20" s="17" t="s">
        <v>279</v>
      </c>
      <c r="L20" s="46"/>
      <c r="M20" s="46" t="s">
        <v>102</v>
      </c>
      <c r="N20" s="45" t="s">
        <v>258</v>
      </c>
      <c r="O20" s="96"/>
      <c r="P20" s="96"/>
      <c r="Q20" s="96"/>
      <c r="R20" s="96"/>
      <c r="S20" s="96"/>
      <c r="T20" s="96"/>
      <c r="U20" s="96"/>
    </row>
    <row r="21" spans="1:21" ht="41.25" customHeight="1">
      <c r="A21" s="469"/>
      <c r="B21" s="469"/>
      <c r="C21" s="460"/>
      <c r="D21" s="461"/>
      <c r="E21" s="461"/>
      <c r="F21" s="463"/>
      <c r="G21" s="461"/>
      <c r="H21" s="468"/>
      <c r="I21" s="105" t="s">
        <v>282</v>
      </c>
      <c r="J21" s="18">
        <v>45689</v>
      </c>
      <c r="K21" s="17" t="s">
        <v>279</v>
      </c>
      <c r="L21" s="46"/>
      <c r="M21" s="46" t="s">
        <v>102</v>
      </c>
      <c r="N21" s="45" t="s">
        <v>258</v>
      </c>
      <c r="O21" s="96"/>
      <c r="P21" s="96"/>
      <c r="Q21" s="96"/>
      <c r="R21" s="96"/>
      <c r="S21" s="96"/>
      <c r="T21" s="96"/>
      <c r="U21" s="96"/>
    </row>
    <row r="22" spans="1:21" ht="41.25" customHeight="1">
      <c r="A22" s="469"/>
      <c r="B22" s="469"/>
      <c r="C22" s="460"/>
      <c r="D22" s="461"/>
      <c r="E22" s="461"/>
      <c r="F22" s="463"/>
      <c r="G22" s="461"/>
      <c r="H22" s="468"/>
      <c r="I22" s="105" t="s">
        <v>283</v>
      </c>
      <c r="J22" s="18">
        <v>45689</v>
      </c>
      <c r="K22" s="17" t="s">
        <v>279</v>
      </c>
      <c r="L22" s="96"/>
      <c r="M22" s="46" t="s">
        <v>102</v>
      </c>
      <c r="N22" s="45" t="s">
        <v>258</v>
      </c>
      <c r="O22" s="96"/>
      <c r="P22" s="96"/>
      <c r="Q22" s="96"/>
      <c r="R22" s="96"/>
      <c r="S22" s="96"/>
      <c r="T22" s="96"/>
      <c r="U22" s="96"/>
    </row>
    <row r="23" spans="1:21" ht="41.25" customHeight="1">
      <c r="A23" s="469"/>
      <c r="B23" s="469"/>
      <c r="C23" s="460"/>
      <c r="D23" s="461"/>
      <c r="E23" s="461"/>
      <c r="F23" s="463"/>
      <c r="G23" s="461"/>
      <c r="H23" s="468"/>
      <c r="I23" s="105" t="s">
        <v>284</v>
      </c>
      <c r="J23" s="18">
        <v>45689</v>
      </c>
      <c r="K23" s="17" t="s">
        <v>279</v>
      </c>
      <c r="L23" s="96"/>
      <c r="M23" s="46" t="s">
        <v>102</v>
      </c>
      <c r="N23" s="45" t="s">
        <v>258</v>
      </c>
      <c r="O23" s="96"/>
      <c r="P23" s="96"/>
      <c r="Q23" s="96"/>
      <c r="R23" s="96"/>
      <c r="S23" s="96"/>
      <c r="T23" s="96"/>
      <c r="U23" s="96"/>
    </row>
    <row r="24" spans="1:21" ht="41.25" customHeight="1">
      <c r="A24" s="469"/>
      <c r="B24" s="469"/>
      <c r="C24" s="460"/>
      <c r="D24" s="461"/>
      <c r="E24" s="461"/>
      <c r="F24" s="463"/>
      <c r="G24" s="461"/>
      <c r="H24" s="468"/>
      <c r="I24" s="105" t="s">
        <v>285</v>
      </c>
      <c r="J24" s="97" t="s">
        <v>286</v>
      </c>
      <c r="K24" s="17" t="s">
        <v>287</v>
      </c>
      <c r="L24" s="96"/>
      <c r="M24" s="46" t="s">
        <v>102</v>
      </c>
      <c r="N24" s="45" t="s">
        <v>258</v>
      </c>
      <c r="O24" s="96"/>
      <c r="P24" s="96"/>
      <c r="Q24" s="96"/>
      <c r="R24" s="96"/>
      <c r="S24" s="96"/>
      <c r="T24" s="96"/>
      <c r="U24" s="96"/>
    </row>
    <row r="25" spans="1:21" ht="41.25" customHeight="1">
      <c r="A25" s="469"/>
      <c r="B25" s="469"/>
      <c r="C25" s="460"/>
      <c r="D25" s="461"/>
      <c r="E25" s="461"/>
      <c r="F25" s="463"/>
      <c r="G25" s="461"/>
      <c r="H25" s="468"/>
      <c r="I25" s="105" t="s">
        <v>288</v>
      </c>
      <c r="J25" s="97" t="s">
        <v>286</v>
      </c>
      <c r="K25" s="17" t="s">
        <v>287</v>
      </c>
      <c r="L25" s="96"/>
      <c r="M25" s="46" t="s">
        <v>102</v>
      </c>
      <c r="N25" s="45" t="s">
        <v>258</v>
      </c>
      <c r="O25" s="96"/>
      <c r="P25" s="96"/>
      <c r="Q25" s="96"/>
      <c r="R25" s="96"/>
      <c r="S25" s="96"/>
      <c r="T25" s="96"/>
      <c r="U25" s="96"/>
    </row>
    <row r="26" spans="1:21" ht="41.25" customHeight="1">
      <c r="A26" s="372"/>
      <c r="B26" s="372"/>
      <c r="C26" s="374"/>
      <c r="D26" s="378"/>
      <c r="E26" s="378"/>
      <c r="F26" s="464"/>
      <c r="G26" s="378"/>
      <c r="H26" s="380"/>
      <c r="I26" s="105" t="s">
        <v>289</v>
      </c>
      <c r="J26" s="17" t="s">
        <v>287</v>
      </c>
      <c r="K26" s="17" t="s">
        <v>290</v>
      </c>
      <c r="L26" s="96"/>
      <c r="M26" s="46" t="s">
        <v>102</v>
      </c>
      <c r="N26" s="45" t="s">
        <v>258</v>
      </c>
      <c r="O26" s="96"/>
      <c r="P26" s="96"/>
      <c r="Q26" s="96"/>
      <c r="R26" s="96"/>
      <c r="S26" s="96"/>
      <c r="T26" s="96"/>
      <c r="U26" s="96"/>
    </row>
    <row r="27" spans="1:21" ht="60" customHeight="1">
      <c r="A27" s="371"/>
      <c r="B27" s="371"/>
      <c r="C27" s="373" t="s">
        <v>23</v>
      </c>
      <c r="D27" s="377" t="s">
        <v>105</v>
      </c>
      <c r="E27" s="377" t="s">
        <v>106</v>
      </c>
      <c r="F27" s="462">
        <v>1</v>
      </c>
      <c r="G27" s="377" t="s">
        <v>87</v>
      </c>
      <c r="H27" s="379">
        <v>0.1</v>
      </c>
      <c r="I27" s="100" t="s">
        <v>291</v>
      </c>
      <c r="J27" s="18">
        <v>45658</v>
      </c>
      <c r="K27" s="17">
        <v>45689</v>
      </c>
      <c r="L27" s="46"/>
      <c r="M27" s="46" t="s">
        <v>102</v>
      </c>
      <c r="N27" s="45" t="s">
        <v>258</v>
      </c>
      <c r="O27" s="7"/>
      <c r="P27" s="7"/>
      <c r="Q27" s="7"/>
      <c r="R27" s="28"/>
      <c r="S27" s="99"/>
      <c r="T27" s="7"/>
      <c r="U27" s="7"/>
    </row>
    <row r="28" spans="1:21" ht="50.25" customHeight="1">
      <c r="A28" s="469"/>
      <c r="B28" s="469"/>
      <c r="C28" s="460"/>
      <c r="D28" s="461"/>
      <c r="E28" s="461"/>
      <c r="F28" s="463"/>
      <c r="G28" s="461"/>
      <c r="H28" s="468"/>
      <c r="I28" s="100" t="s">
        <v>292</v>
      </c>
      <c r="J28" s="18">
        <v>45658</v>
      </c>
      <c r="K28" s="17">
        <v>45689</v>
      </c>
      <c r="L28" s="46"/>
      <c r="M28" s="46" t="s">
        <v>102</v>
      </c>
      <c r="N28" s="45" t="s">
        <v>258</v>
      </c>
      <c r="O28" s="7"/>
      <c r="P28" s="7"/>
      <c r="Q28" s="7"/>
      <c r="R28" s="28"/>
      <c r="S28" s="99"/>
      <c r="T28" s="7"/>
      <c r="U28" s="7"/>
    </row>
    <row r="29" spans="1:21" ht="51" customHeight="1">
      <c r="A29" s="469"/>
      <c r="B29" s="469"/>
      <c r="C29" s="460"/>
      <c r="D29" s="461"/>
      <c r="E29" s="461"/>
      <c r="F29" s="463"/>
      <c r="G29" s="461"/>
      <c r="H29" s="468"/>
      <c r="I29" s="100" t="s">
        <v>293</v>
      </c>
      <c r="J29" s="18">
        <v>45658</v>
      </c>
      <c r="K29" s="17">
        <v>45809</v>
      </c>
      <c r="L29" s="46"/>
      <c r="M29" s="46" t="s">
        <v>102</v>
      </c>
      <c r="N29" s="45" t="s">
        <v>258</v>
      </c>
      <c r="O29" s="7"/>
      <c r="P29" s="7"/>
      <c r="Q29" s="7"/>
      <c r="R29" s="28"/>
      <c r="S29" s="99"/>
      <c r="T29" s="7"/>
      <c r="U29" s="7"/>
    </row>
    <row r="30" spans="1:21" ht="51" customHeight="1">
      <c r="A30" s="469"/>
      <c r="B30" s="469"/>
      <c r="C30" s="460"/>
      <c r="D30" s="461"/>
      <c r="E30" s="461"/>
      <c r="F30" s="463"/>
      <c r="G30" s="461"/>
      <c r="H30" s="468"/>
      <c r="I30" s="100" t="s">
        <v>294</v>
      </c>
      <c r="J30" s="17">
        <v>45689</v>
      </c>
      <c r="K30" s="17">
        <v>45809</v>
      </c>
      <c r="L30" s="46"/>
      <c r="M30" s="46" t="s">
        <v>102</v>
      </c>
      <c r="N30" s="45" t="s">
        <v>258</v>
      </c>
      <c r="O30" s="7"/>
      <c r="P30" s="7"/>
      <c r="Q30" s="7"/>
      <c r="R30" s="28"/>
      <c r="S30" s="99"/>
      <c r="T30" s="7"/>
      <c r="U30" s="7"/>
    </row>
    <row r="31" spans="1:21" ht="51" customHeight="1">
      <c r="A31" s="469"/>
      <c r="B31" s="469"/>
      <c r="C31" s="460"/>
      <c r="D31" s="461"/>
      <c r="E31" s="461"/>
      <c r="F31" s="463"/>
      <c r="G31" s="461"/>
      <c r="H31" s="468"/>
      <c r="I31" s="100" t="s">
        <v>295</v>
      </c>
      <c r="J31" s="17">
        <v>45689</v>
      </c>
      <c r="K31" s="97">
        <v>45809</v>
      </c>
      <c r="L31" s="46"/>
      <c r="M31" s="46" t="s">
        <v>102</v>
      </c>
      <c r="N31" s="45" t="s">
        <v>258</v>
      </c>
      <c r="O31" s="7"/>
      <c r="P31" s="7"/>
      <c r="Q31" s="7"/>
      <c r="R31" s="28"/>
      <c r="S31" s="99"/>
      <c r="T31" s="7"/>
      <c r="U31" s="7"/>
    </row>
    <row r="32" spans="1:21" ht="51" customHeight="1">
      <c r="A32" s="469"/>
      <c r="B32" s="469"/>
      <c r="C32" s="460"/>
      <c r="D32" s="461"/>
      <c r="E32" s="461"/>
      <c r="F32" s="463"/>
      <c r="G32" s="461"/>
      <c r="H32" s="468"/>
      <c r="I32" s="100" t="s">
        <v>296</v>
      </c>
      <c r="J32" s="97">
        <v>45809</v>
      </c>
      <c r="K32" s="17" t="s">
        <v>279</v>
      </c>
      <c r="L32" s="46"/>
      <c r="M32" s="46" t="s">
        <v>102</v>
      </c>
      <c r="N32" s="45" t="s">
        <v>258</v>
      </c>
      <c r="O32" s="7"/>
      <c r="P32" s="7"/>
      <c r="Q32" s="7"/>
      <c r="R32" s="28"/>
      <c r="S32" s="99"/>
      <c r="T32" s="7"/>
      <c r="U32" s="7"/>
    </row>
    <row r="33" spans="1:21" ht="51" customHeight="1">
      <c r="A33" s="469"/>
      <c r="B33" s="469"/>
      <c r="C33" s="460"/>
      <c r="D33" s="461"/>
      <c r="E33" s="461"/>
      <c r="F33" s="463"/>
      <c r="G33" s="461"/>
      <c r="H33" s="468"/>
      <c r="I33" s="100" t="s">
        <v>297</v>
      </c>
      <c r="J33" s="97" t="s">
        <v>286</v>
      </c>
      <c r="K33" s="17" t="s">
        <v>287</v>
      </c>
      <c r="L33" s="46"/>
      <c r="M33" s="46" t="s">
        <v>102</v>
      </c>
      <c r="N33" s="45" t="s">
        <v>258</v>
      </c>
      <c r="O33" s="7"/>
      <c r="P33" s="7"/>
      <c r="Q33" s="7"/>
      <c r="R33" s="28"/>
      <c r="S33" s="99"/>
      <c r="T33" s="7"/>
      <c r="U33" s="7"/>
    </row>
    <row r="34" spans="1:21" ht="51" customHeight="1">
      <c r="A34" s="372"/>
      <c r="B34" s="372"/>
      <c r="C34" s="374"/>
      <c r="D34" s="378"/>
      <c r="E34" s="378"/>
      <c r="F34" s="464"/>
      <c r="G34" s="378"/>
      <c r="H34" s="380"/>
      <c r="I34" s="100" t="s">
        <v>298</v>
      </c>
      <c r="J34" s="17" t="s">
        <v>287</v>
      </c>
      <c r="K34" s="17" t="s">
        <v>290</v>
      </c>
      <c r="L34" s="46"/>
      <c r="M34" s="46" t="s">
        <v>102</v>
      </c>
      <c r="N34" s="45" t="s">
        <v>258</v>
      </c>
      <c r="O34" s="7"/>
      <c r="P34" s="7"/>
      <c r="Q34" s="7"/>
      <c r="R34" s="28"/>
      <c r="S34" s="99"/>
      <c r="T34" s="7"/>
      <c r="U34" s="7"/>
    </row>
    <row r="35" spans="1:21" ht="56.25" customHeight="1">
      <c r="A35" s="462"/>
      <c r="B35" s="462"/>
      <c r="C35" s="373" t="s">
        <v>24</v>
      </c>
      <c r="D35" s="377" t="s">
        <v>107</v>
      </c>
      <c r="E35" s="377" t="s">
        <v>106</v>
      </c>
      <c r="F35" s="462">
        <v>1</v>
      </c>
      <c r="G35" s="462" t="s">
        <v>87</v>
      </c>
      <c r="H35" s="462">
        <v>0.1</v>
      </c>
      <c r="I35" s="100" t="s">
        <v>291</v>
      </c>
      <c r="J35" s="18">
        <v>45658</v>
      </c>
      <c r="K35" s="17">
        <v>45689</v>
      </c>
      <c r="L35" s="46"/>
      <c r="M35" s="46" t="s">
        <v>102</v>
      </c>
      <c r="N35" s="45" t="s">
        <v>258</v>
      </c>
      <c r="O35" s="47"/>
      <c r="P35" s="47"/>
      <c r="Q35" s="47"/>
      <c r="R35" s="47"/>
      <c r="S35" s="47"/>
      <c r="T35" s="47"/>
      <c r="U35" s="47"/>
    </row>
    <row r="36" spans="1:21" ht="52.5" customHeight="1">
      <c r="A36" s="463"/>
      <c r="B36" s="463"/>
      <c r="C36" s="460"/>
      <c r="D36" s="461"/>
      <c r="E36" s="461"/>
      <c r="F36" s="463"/>
      <c r="G36" s="463"/>
      <c r="H36" s="463"/>
      <c r="I36" s="100" t="s">
        <v>299</v>
      </c>
      <c r="J36" s="18">
        <v>45658</v>
      </c>
      <c r="K36" s="17">
        <v>45689</v>
      </c>
      <c r="L36" s="46"/>
      <c r="M36" s="46" t="s">
        <v>102</v>
      </c>
      <c r="N36" s="45" t="s">
        <v>258</v>
      </c>
      <c r="O36" s="47"/>
      <c r="P36" s="47"/>
      <c r="Q36" s="47"/>
      <c r="R36" s="47"/>
      <c r="S36" s="47"/>
      <c r="T36" s="47"/>
      <c r="U36" s="47"/>
    </row>
    <row r="37" spans="1:21" ht="52.5" customHeight="1">
      <c r="A37" s="463"/>
      <c r="B37" s="463"/>
      <c r="C37" s="460"/>
      <c r="D37" s="461"/>
      <c r="E37" s="461"/>
      <c r="F37" s="463"/>
      <c r="G37" s="463"/>
      <c r="H37" s="463"/>
      <c r="I37" s="100" t="s">
        <v>294</v>
      </c>
      <c r="J37" s="17">
        <v>45689</v>
      </c>
      <c r="K37" s="17">
        <v>45838</v>
      </c>
      <c r="L37" s="46"/>
      <c r="M37" s="46" t="s">
        <v>102</v>
      </c>
      <c r="N37" s="45" t="s">
        <v>258</v>
      </c>
      <c r="O37" s="47"/>
      <c r="P37" s="47"/>
      <c r="Q37" s="47"/>
      <c r="R37" s="47"/>
      <c r="S37" s="47"/>
      <c r="T37" s="47"/>
      <c r="U37" s="47"/>
    </row>
    <row r="38" spans="1:21" ht="52.5" customHeight="1">
      <c r="A38" s="463"/>
      <c r="B38" s="463"/>
      <c r="C38" s="460"/>
      <c r="D38" s="461"/>
      <c r="E38" s="461"/>
      <c r="F38" s="463"/>
      <c r="G38" s="463"/>
      <c r="H38" s="463"/>
      <c r="I38" s="100" t="s">
        <v>300</v>
      </c>
      <c r="J38" s="97" t="s">
        <v>286</v>
      </c>
      <c r="K38" s="17" t="s">
        <v>287</v>
      </c>
      <c r="L38" s="46"/>
      <c r="M38" s="46" t="s">
        <v>102</v>
      </c>
      <c r="N38" s="45" t="s">
        <v>258</v>
      </c>
      <c r="O38" s="47"/>
      <c r="P38" s="47"/>
      <c r="Q38" s="47"/>
      <c r="R38" s="47"/>
      <c r="S38" s="47"/>
      <c r="T38" s="47"/>
      <c r="U38" s="47"/>
    </row>
    <row r="39" spans="1:21" ht="52.5" customHeight="1">
      <c r="A39" s="464"/>
      <c r="B39" s="464"/>
      <c r="C39" s="374"/>
      <c r="D39" s="378"/>
      <c r="E39" s="378"/>
      <c r="F39" s="464"/>
      <c r="G39" s="464"/>
      <c r="H39" s="464"/>
      <c r="I39" s="100" t="s">
        <v>298</v>
      </c>
      <c r="J39" s="17" t="s">
        <v>287</v>
      </c>
      <c r="K39" s="17" t="s">
        <v>290</v>
      </c>
      <c r="L39" s="46"/>
      <c r="M39" s="46" t="s">
        <v>102</v>
      </c>
      <c r="N39" s="45" t="s">
        <v>258</v>
      </c>
      <c r="O39" s="47"/>
      <c r="P39" s="47"/>
      <c r="Q39" s="47"/>
      <c r="R39" s="47"/>
      <c r="S39" s="47"/>
      <c r="T39" s="47"/>
      <c r="U39" s="47"/>
    </row>
    <row r="40" spans="1:21" ht="48.75" customHeight="1">
      <c r="A40" s="371"/>
      <c r="B40" s="371"/>
      <c r="C40" s="371" t="s">
        <v>108</v>
      </c>
      <c r="D40" s="371" t="s">
        <v>109</v>
      </c>
      <c r="E40" s="371" t="s">
        <v>106</v>
      </c>
      <c r="F40" s="371" t="s">
        <v>110</v>
      </c>
      <c r="G40" s="371" t="s">
        <v>87</v>
      </c>
      <c r="H40" s="379">
        <v>0.05</v>
      </c>
      <c r="I40" s="100" t="s">
        <v>301</v>
      </c>
      <c r="J40" s="18">
        <v>45717</v>
      </c>
      <c r="K40" s="17">
        <v>46022</v>
      </c>
      <c r="L40" s="46"/>
      <c r="M40" s="45" t="s">
        <v>257</v>
      </c>
      <c r="N40" s="45" t="s">
        <v>258</v>
      </c>
      <c r="O40" s="47"/>
      <c r="P40" s="47"/>
      <c r="Q40" s="47"/>
      <c r="R40" s="47"/>
      <c r="S40" s="47"/>
      <c r="T40" s="47"/>
      <c r="U40" s="47"/>
    </row>
    <row r="41" spans="1:21" ht="46.5" customHeight="1">
      <c r="A41" s="469"/>
      <c r="B41" s="469"/>
      <c r="C41" s="469"/>
      <c r="D41" s="469"/>
      <c r="E41" s="469"/>
      <c r="F41" s="469"/>
      <c r="G41" s="469"/>
      <c r="H41" s="468"/>
      <c r="I41" s="100" t="s">
        <v>302</v>
      </c>
      <c r="J41" s="18">
        <v>45717</v>
      </c>
      <c r="K41" s="17">
        <v>46022</v>
      </c>
      <c r="L41" s="46"/>
      <c r="M41" s="45" t="s">
        <v>257</v>
      </c>
      <c r="N41" s="45" t="s">
        <v>258</v>
      </c>
      <c r="O41" s="47"/>
      <c r="P41" s="47"/>
      <c r="Q41" s="47"/>
      <c r="R41" s="47"/>
      <c r="S41" s="47"/>
      <c r="T41" s="47"/>
      <c r="U41" s="47"/>
    </row>
    <row r="42" spans="1:21" ht="46.5" customHeight="1">
      <c r="A42" s="469"/>
      <c r="B42" s="469"/>
      <c r="C42" s="469"/>
      <c r="D42" s="469"/>
      <c r="E42" s="469"/>
      <c r="F42" s="469"/>
      <c r="G42" s="469"/>
      <c r="H42" s="468"/>
      <c r="I42" s="100" t="s">
        <v>303</v>
      </c>
      <c r="J42" s="18">
        <v>45717</v>
      </c>
      <c r="K42" s="17">
        <v>46022</v>
      </c>
      <c r="L42" s="46"/>
      <c r="M42" s="45" t="s">
        <v>257</v>
      </c>
      <c r="N42" s="45" t="s">
        <v>258</v>
      </c>
      <c r="O42" s="47"/>
      <c r="P42" s="47"/>
      <c r="Q42" s="47"/>
      <c r="R42" s="47"/>
      <c r="S42" s="47"/>
      <c r="T42" s="47"/>
      <c r="U42" s="47"/>
    </row>
    <row r="43" spans="1:21" ht="46.5" customHeight="1">
      <c r="A43" s="372"/>
      <c r="B43" s="372"/>
      <c r="C43" s="372"/>
      <c r="D43" s="372"/>
      <c r="E43" s="372"/>
      <c r="F43" s="372"/>
      <c r="G43" s="372"/>
      <c r="H43" s="380"/>
      <c r="I43" s="100" t="s">
        <v>304</v>
      </c>
      <c r="J43" s="18">
        <v>45717</v>
      </c>
      <c r="K43" s="17">
        <v>46022</v>
      </c>
      <c r="L43" s="46"/>
      <c r="M43" s="45" t="s">
        <v>257</v>
      </c>
      <c r="N43" s="45" t="s">
        <v>258</v>
      </c>
      <c r="O43" s="47"/>
      <c r="P43" s="47"/>
      <c r="Q43" s="47"/>
      <c r="R43" s="47"/>
      <c r="S43" s="47"/>
      <c r="T43" s="47"/>
      <c r="U43" s="47"/>
    </row>
    <row r="44" spans="1:21" s="6" customFormat="1" ht="56.25" customHeight="1">
      <c r="A44" s="457"/>
      <c r="B44" s="457"/>
      <c r="C44" s="457" t="s">
        <v>111</v>
      </c>
      <c r="D44" s="457" t="s">
        <v>112</v>
      </c>
      <c r="E44" s="457" t="s">
        <v>113</v>
      </c>
      <c r="F44" s="457" t="s">
        <v>114</v>
      </c>
      <c r="G44" s="457" t="s">
        <v>87</v>
      </c>
      <c r="H44" s="379">
        <v>0.05</v>
      </c>
      <c r="I44" s="100" t="s">
        <v>305</v>
      </c>
      <c r="J44" s="18">
        <v>45717</v>
      </c>
      <c r="K44" s="17">
        <v>46022</v>
      </c>
      <c r="L44" s="45"/>
      <c r="M44" s="45" t="s">
        <v>306</v>
      </c>
      <c r="N44" s="45" t="s">
        <v>269</v>
      </c>
      <c r="O44" s="29"/>
      <c r="P44" s="29"/>
      <c r="Q44" s="29"/>
      <c r="R44" s="29"/>
      <c r="S44" s="29"/>
      <c r="T44" s="29"/>
      <c r="U44" s="29"/>
    </row>
    <row r="45" spans="1:21" s="6" customFormat="1" ht="56.25" customHeight="1">
      <c r="A45" s="458"/>
      <c r="B45" s="458"/>
      <c r="C45" s="458"/>
      <c r="D45" s="458"/>
      <c r="E45" s="458"/>
      <c r="F45" s="458"/>
      <c r="G45" s="458"/>
      <c r="H45" s="468"/>
      <c r="I45" s="100" t="s">
        <v>307</v>
      </c>
      <c r="J45" s="18">
        <v>45717</v>
      </c>
      <c r="K45" s="17">
        <v>46022</v>
      </c>
      <c r="L45" s="45"/>
      <c r="M45" s="45" t="s">
        <v>306</v>
      </c>
      <c r="N45" s="45" t="s">
        <v>269</v>
      </c>
      <c r="O45" s="29"/>
      <c r="P45" s="29"/>
      <c r="Q45" s="29"/>
      <c r="R45" s="29"/>
      <c r="S45" s="29"/>
      <c r="T45" s="29"/>
      <c r="U45" s="29"/>
    </row>
    <row r="46" spans="1:21" s="6" customFormat="1" ht="56.25" customHeight="1">
      <c r="A46" s="459"/>
      <c r="B46" s="459"/>
      <c r="C46" s="459"/>
      <c r="D46" s="459"/>
      <c r="E46" s="459"/>
      <c r="F46" s="459"/>
      <c r="G46" s="459"/>
      <c r="H46" s="380"/>
      <c r="I46" s="100" t="s">
        <v>308</v>
      </c>
      <c r="J46" s="18">
        <v>45717</v>
      </c>
      <c r="K46" s="17">
        <v>46022</v>
      </c>
      <c r="L46" s="45"/>
      <c r="M46" s="45" t="s">
        <v>306</v>
      </c>
      <c r="N46" s="45" t="s">
        <v>269</v>
      </c>
      <c r="O46" s="29"/>
      <c r="P46" s="29"/>
      <c r="Q46" s="29"/>
      <c r="R46" s="29"/>
      <c r="S46" s="29"/>
      <c r="T46" s="29"/>
      <c r="U46" s="29"/>
    </row>
    <row r="47" spans="1:21" s="5" customFormat="1" ht="38.1" customHeight="1">
      <c r="A47" s="10">
        <v>2</v>
      </c>
      <c r="B47" s="10" t="s">
        <v>116</v>
      </c>
      <c r="C47" s="10" t="s">
        <v>12</v>
      </c>
      <c r="D47" s="11" t="s">
        <v>16</v>
      </c>
      <c r="E47" s="40" t="s">
        <v>117</v>
      </c>
      <c r="F47" s="40">
        <v>0</v>
      </c>
      <c r="G47" s="40"/>
      <c r="H47" s="23">
        <v>0.05</v>
      </c>
      <c r="I47" s="23"/>
      <c r="J47" s="19"/>
      <c r="K47" s="19"/>
      <c r="L47" s="10"/>
      <c r="M47" s="10"/>
      <c r="N47" s="10"/>
      <c r="O47" s="7"/>
      <c r="P47" s="7"/>
      <c r="Q47" s="7"/>
      <c r="R47" s="28"/>
      <c r="S47" s="99"/>
      <c r="T47" s="7"/>
      <c r="U47" s="7"/>
    </row>
    <row r="48" spans="1:21" s="6" customFormat="1" ht="74.25" customHeight="1">
      <c r="A48" s="457"/>
      <c r="B48" s="457"/>
      <c r="C48" s="457" t="s">
        <v>13</v>
      </c>
      <c r="D48" s="457" t="s">
        <v>118</v>
      </c>
      <c r="E48" s="457" t="s">
        <v>119</v>
      </c>
      <c r="F48" s="457">
        <v>1</v>
      </c>
      <c r="G48" s="457" t="s">
        <v>91</v>
      </c>
      <c r="H48" s="465">
        <v>0.3</v>
      </c>
      <c r="I48" s="100" t="s">
        <v>309</v>
      </c>
      <c r="J48" s="18">
        <v>45717</v>
      </c>
      <c r="K48" s="17" t="s">
        <v>264</v>
      </c>
      <c r="L48" s="45"/>
      <c r="M48" s="45" t="s">
        <v>310</v>
      </c>
      <c r="N48" s="45" t="s">
        <v>269</v>
      </c>
      <c r="O48" s="7"/>
      <c r="P48" s="7"/>
      <c r="Q48" s="7"/>
      <c r="R48" s="7"/>
      <c r="S48" s="7"/>
      <c r="T48" s="7"/>
      <c r="U48" s="7"/>
    </row>
    <row r="49" spans="1:21" s="6" customFormat="1" ht="74.25" customHeight="1">
      <c r="A49" s="458"/>
      <c r="B49" s="458"/>
      <c r="C49" s="458"/>
      <c r="D49" s="458"/>
      <c r="E49" s="458"/>
      <c r="F49" s="458"/>
      <c r="G49" s="458"/>
      <c r="H49" s="466"/>
      <c r="I49" s="100" t="s">
        <v>311</v>
      </c>
      <c r="J49" s="18">
        <v>45717</v>
      </c>
      <c r="K49" s="17" t="s">
        <v>264</v>
      </c>
      <c r="L49" s="45"/>
      <c r="M49" s="45" t="s">
        <v>310</v>
      </c>
      <c r="N49" s="45" t="s">
        <v>269</v>
      </c>
      <c r="O49" s="7"/>
      <c r="P49" s="7"/>
      <c r="Q49" s="7"/>
      <c r="R49" s="7"/>
      <c r="S49" s="7"/>
      <c r="T49" s="7"/>
      <c r="U49" s="7"/>
    </row>
    <row r="50" spans="1:21" s="6" customFormat="1" ht="74.25" customHeight="1">
      <c r="A50" s="458"/>
      <c r="B50" s="458"/>
      <c r="C50" s="458"/>
      <c r="D50" s="458"/>
      <c r="E50" s="458"/>
      <c r="F50" s="458"/>
      <c r="G50" s="458"/>
      <c r="H50" s="466"/>
      <c r="I50" s="100" t="s">
        <v>312</v>
      </c>
      <c r="J50" s="18">
        <v>45717</v>
      </c>
      <c r="K50" s="17" t="s">
        <v>264</v>
      </c>
      <c r="L50" s="45"/>
      <c r="M50" s="45" t="s">
        <v>310</v>
      </c>
      <c r="N50" s="45" t="s">
        <v>269</v>
      </c>
      <c r="O50" s="7"/>
      <c r="P50" s="7"/>
      <c r="Q50" s="7"/>
      <c r="R50" s="7"/>
      <c r="S50" s="7"/>
      <c r="T50" s="7"/>
      <c r="U50" s="7"/>
    </row>
    <row r="51" spans="1:21" s="6" customFormat="1" ht="74.25" customHeight="1">
      <c r="A51" s="459"/>
      <c r="B51" s="459"/>
      <c r="C51" s="459"/>
      <c r="D51" s="459"/>
      <c r="E51" s="459"/>
      <c r="F51" s="459"/>
      <c r="G51" s="459"/>
      <c r="H51" s="467"/>
      <c r="I51" s="100" t="s">
        <v>313</v>
      </c>
      <c r="J51" s="18">
        <v>45717</v>
      </c>
      <c r="K51" s="17" t="s">
        <v>264</v>
      </c>
      <c r="L51" s="45"/>
      <c r="M51" s="45" t="s">
        <v>310</v>
      </c>
      <c r="N51" s="45" t="s">
        <v>269</v>
      </c>
      <c r="O51" s="7"/>
      <c r="P51" s="7"/>
      <c r="Q51" s="7"/>
      <c r="R51" s="7"/>
      <c r="S51" s="7"/>
      <c r="T51" s="7"/>
      <c r="U51" s="7"/>
    </row>
    <row r="52" spans="1:21" s="6" customFormat="1" ht="69.75" customHeight="1">
      <c r="A52" s="457"/>
      <c r="B52" s="457"/>
      <c r="C52" s="457" t="s">
        <v>14</v>
      </c>
      <c r="D52" s="457" t="s">
        <v>122</v>
      </c>
      <c r="E52" s="457" t="s">
        <v>123</v>
      </c>
      <c r="F52" s="457">
        <v>200</v>
      </c>
      <c r="G52" s="457" t="s">
        <v>87</v>
      </c>
      <c r="H52" s="465">
        <v>0.5</v>
      </c>
      <c r="I52" s="100" t="s">
        <v>314</v>
      </c>
      <c r="J52" s="18">
        <v>45717</v>
      </c>
      <c r="K52" s="17">
        <v>46022</v>
      </c>
      <c r="L52" s="45"/>
      <c r="M52" s="45" t="s">
        <v>310</v>
      </c>
      <c r="N52" s="45" t="s">
        <v>269</v>
      </c>
      <c r="O52" s="49"/>
      <c r="P52" s="7"/>
      <c r="Q52" s="7"/>
      <c r="R52" s="7"/>
      <c r="S52" s="7"/>
      <c r="T52" s="7"/>
      <c r="U52" s="7"/>
    </row>
    <row r="53" spans="1:21" s="6" customFormat="1" ht="69.75" customHeight="1">
      <c r="A53" s="458"/>
      <c r="B53" s="458"/>
      <c r="C53" s="458"/>
      <c r="D53" s="458"/>
      <c r="E53" s="458"/>
      <c r="F53" s="458"/>
      <c r="G53" s="458"/>
      <c r="H53" s="466"/>
      <c r="I53" s="100" t="s">
        <v>315</v>
      </c>
      <c r="J53" s="18">
        <v>45717</v>
      </c>
      <c r="K53" s="17">
        <v>46022</v>
      </c>
      <c r="L53" s="45"/>
      <c r="M53" s="45" t="s">
        <v>310</v>
      </c>
      <c r="N53" s="45" t="s">
        <v>269</v>
      </c>
      <c r="O53" s="49"/>
      <c r="P53" s="7"/>
      <c r="Q53" s="7"/>
      <c r="R53" s="7"/>
      <c r="S53" s="7"/>
      <c r="T53" s="7"/>
      <c r="U53" s="7"/>
    </row>
    <row r="54" spans="1:21" s="6" customFormat="1" ht="69.75" customHeight="1">
      <c r="A54" s="459"/>
      <c r="B54" s="459"/>
      <c r="C54" s="459"/>
      <c r="D54" s="459"/>
      <c r="E54" s="459"/>
      <c r="F54" s="459"/>
      <c r="G54" s="459"/>
      <c r="H54" s="467"/>
      <c r="I54" s="100" t="s">
        <v>316</v>
      </c>
      <c r="J54" s="18">
        <v>45717</v>
      </c>
      <c r="K54" s="17">
        <v>46022</v>
      </c>
      <c r="L54" s="45"/>
      <c r="M54" s="45" t="s">
        <v>310</v>
      </c>
      <c r="N54" s="45" t="s">
        <v>269</v>
      </c>
      <c r="O54" s="49"/>
      <c r="P54" s="7"/>
      <c r="Q54" s="7"/>
      <c r="R54" s="7"/>
      <c r="S54" s="7"/>
      <c r="T54" s="7"/>
      <c r="U54" s="7"/>
    </row>
    <row r="55" spans="1:21" s="6" customFormat="1" ht="72.75" customHeight="1">
      <c r="A55" s="457"/>
      <c r="B55" s="457"/>
      <c r="C55" s="457" t="s">
        <v>15</v>
      </c>
      <c r="D55" s="457" t="s">
        <v>125</v>
      </c>
      <c r="E55" s="457" t="s">
        <v>126</v>
      </c>
      <c r="F55" s="457">
        <v>1</v>
      </c>
      <c r="G55" s="457" t="s">
        <v>87</v>
      </c>
      <c r="H55" s="465">
        <v>0.2</v>
      </c>
      <c r="I55" s="100" t="s">
        <v>317</v>
      </c>
      <c r="J55" s="18">
        <v>45717</v>
      </c>
      <c r="K55" s="17">
        <v>46022</v>
      </c>
      <c r="L55" s="45"/>
      <c r="M55" s="45" t="s">
        <v>310</v>
      </c>
      <c r="N55" s="45" t="s">
        <v>269</v>
      </c>
      <c r="O55" s="7"/>
      <c r="P55" s="7"/>
      <c r="Q55" s="7"/>
      <c r="R55" s="7"/>
      <c r="S55" s="7"/>
      <c r="T55" s="7"/>
      <c r="U55" s="7"/>
    </row>
    <row r="56" spans="1:21" s="6" customFormat="1" ht="72.75" customHeight="1">
      <c r="A56" s="458"/>
      <c r="B56" s="458"/>
      <c r="C56" s="458"/>
      <c r="D56" s="458"/>
      <c r="E56" s="458"/>
      <c r="F56" s="458"/>
      <c r="G56" s="458"/>
      <c r="H56" s="466"/>
      <c r="I56" s="100" t="s">
        <v>318</v>
      </c>
      <c r="J56" s="18">
        <v>45717</v>
      </c>
      <c r="K56" s="17">
        <v>46022</v>
      </c>
      <c r="L56" s="45"/>
      <c r="M56" s="45" t="s">
        <v>310</v>
      </c>
      <c r="N56" s="45" t="s">
        <v>269</v>
      </c>
      <c r="O56" s="7"/>
      <c r="P56" s="7"/>
      <c r="Q56" s="7"/>
      <c r="R56" s="7"/>
      <c r="S56" s="7"/>
      <c r="T56" s="7"/>
      <c r="U56" s="7"/>
    </row>
    <row r="57" spans="1:21" s="6" customFormat="1" ht="72.75" customHeight="1">
      <c r="A57" s="459"/>
      <c r="B57" s="459"/>
      <c r="C57" s="459"/>
      <c r="D57" s="459"/>
      <c r="E57" s="459"/>
      <c r="F57" s="459"/>
      <c r="G57" s="459"/>
      <c r="H57" s="467"/>
      <c r="I57" s="100" t="s">
        <v>319</v>
      </c>
      <c r="J57" s="18">
        <v>45717</v>
      </c>
      <c r="K57" s="17">
        <v>46022</v>
      </c>
      <c r="L57" s="45"/>
      <c r="M57" s="45" t="s">
        <v>310</v>
      </c>
      <c r="N57" s="45" t="s">
        <v>269</v>
      </c>
      <c r="O57" s="7"/>
      <c r="P57" s="7"/>
      <c r="Q57" s="7"/>
      <c r="R57" s="7"/>
      <c r="S57" s="7"/>
      <c r="T57" s="7"/>
      <c r="U57" s="7"/>
    </row>
    <row r="58" spans="1:21" s="5" customFormat="1" ht="49.5" customHeight="1">
      <c r="A58" s="10">
        <v>3</v>
      </c>
      <c r="B58" s="10" t="s">
        <v>28</v>
      </c>
      <c r="C58" s="10" t="s">
        <v>17</v>
      </c>
      <c r="D58" s="11" t="s">
        <v>127</v>
      </c>
      <c r="E58" s="40" t="s">
        <v>128</v>
      </c>
      <c r="F58" s="40" t="s">
        <v>129</v>
      </c>
      <c r="G58" s="40"/>
      <c r="H58" s="23">
        <v>0.15</v>
      </c>
      <c r="I58" s="23"/>
      <c r="J58" s="12"/>
      <c r="K58" s="12"/>
      <c r="L58" s="10"/>
      <c r="M58" s="10"/>
      <c r="N58" s="10"/>
      <c r="O58" s="7"/>
      <c r="P58" s="7"/>
      <c r="Q58" s="7"/>
      <c r="R58" s="7"/>
      <c r="S58" s="7"/>
      <c r="T58" s="7"/>
      <c r="U58" s="7"/>
    </row>
    <row r="59" spans="1:21" s="5" customFormat="1" ht="63.75" customHeight="1">
      <c r="A59" s="470"/>
      <c r="B59" s="470"/>
      <c r="C59" s="470" t="s">
        <v>18</v>
      </c>
      <c r="D59" s="473" t="s">
        <v>27</v>
      </c>
      <c r="E59" s="470" t="s">
        <v>130</v>
      </c>
      <c r="F59" s="470">
        <v>1</v>
      </c>
      <c r="G59" s="470" t="s">
        <v>91</v>
      </c>
      <c r="H59" s="476">
        <v>0.1</v>
      </c>
      <c r="I59" s="100" t="s">
        <v>320</v>
      </c>
      <c r="J59" s="18">
        <v>45717</v>
      </c>
      <c r="K59" s="17" t="s">
        <v>264</v>
      </c>
      <c r="L59" s="45"/>
      <c r="M59" s="45" t="s">
        <v>257</v>
      </c>
      <c r="N59" s="45" t="s">
        <v>258</v>
      </c>
      <c r="O59" s="7"/>
      <c r="P59" s="7"/>
      <c r="Q59" s="7"/>
      <c r="R59" s="7"/>
      <c r="S59" s="7"/>
      <c r="T59" s="7"/>
      <c r="U59" s="7"/>
    </row>
    <row r="60" spans="1:21" s="5" customFormat="1" ht="63.75" customHeight="1">
      <c r="A60" s="471"/>
      <c r="B60" s="471"/>
      <c r="C60" s="471"/>
      <c r="D60" s="474"/>
      <c r="E60" s="471"/>
      <c r="F60" s="471"/>
      <c r="G60" s="471"/>
      <c r="H60" s="477"/>
      <c r="I60" s="100" t="s">
        <v>321</v>
      </c>
      <c r="J60" s="18">
        <v>45717</v>
      </c>
      <c r="K60" s="17" t="s">
        <v>261</v>
      </c>
      <c r="L60" s="45"/>
      <c r="M60" s="45" t="s">
        <v>257</v>
      </c>
      <c r="N60" s="45" t="s">
        <v>258</v>
      </c>
      <c r="O60" s="7"/>
      <c r="P60" s="7"/>
      <c r="Q60" s="7"/>
      <c r="R60" s="7"/>
      <c r="S60" s="7"/>
      <c r="T60" s="7"/>
      <c r="U60" s="7"/>
    </row>
    <row r="61" spans="1:21" s="5" customFormat="1" ht="63.75" customHeight="1">
      <c r="A61" s="471"/>
      <c r="B61" s="471"/>
      <c r="C61" s="471"/>
      <c r="D61" s="474"/>
      <c r="E61" s="471"/>
      <c r="F61" s="471"/>
      <c r="G61" s="471"/>
      <c r="H61" s="477"/>
      <c r="I61" s="100" t="s">
        <v>322</v>
      </c>
      <c r="J61" s="18">
        <v>45717</v>
      </c>
      <c r="K61" s="17" t="s">
        <v>264</v>
      </c>
      <c r="L61" s="45"/>
      <c r="M61" s="45" t="s">
        <v>257</v>
      </c>
      <c r="N61" s="45" t="s">
        <v>258</v>
      </c>
      <c r="O61" s="7"/>
      <c r="P61" s="7"/>
      <c r="Q61" s="7"/>
      <c r="R61" s="7"/>
      <c r="S61" s="7"/>
      <c r="T61" s="7"/>
      <c r="U61" s="7"/>
    </row>
    <row r="62" spans="1:21" s="5" customFormat="1" ht="63.75" customHeight="1">
      <c r="A62" s="472"/>
      <c r="B62" s="472"/>
      <c r="C62" s="472"/>
      <c r="D62" s="475"/>
      <c r="E62" s="472"/>
      <c r="F62" s="472"/>
      <c r="G62" s="472"/>
      <c r="H62" s="478"/>
      <c r="I62" s="100" t="s">
        <v>323</v>
      </c>
      <c r="J62" s="18">
        <v>45717</v>
      </c>
      <c r="K62" s="17" t="s">
        <v>264</v>
      </c>
      <c r="L62" s="45"/>
      <c r="M62" s="45" t="s">
        <v>257</v>
      </c>
      <c r="N62" s="45" t="s">
        <v>258</v>
      </c>
      <c r="O62" s="7"/>
      <c r="P62" s="7"/>
      <c r="Q62" s="7"/>
      <c r="R62" s="7"/>
      <c r="S62" s="7"/>
      <c r="T62" s="7"/>
      <c r="U62" s="7"/>
    </row>
    <row r="63" spans="1:21" s="6" customFormat="1" ht="60.75" customHeight="1">
      <c r="A63" s="457"/>
      <c r="B63" s="457"/>
      <c r="C63" s="457" t="s">
        <v>131</v>
      </c>
      <c r="D63" s="457" t="s">
        <v>88</v>
      </c>
      <c r="E63" s="457" t="s">
        <v>89</v>
      </c>
      <c r="F63" s="457" t="s">
        <v>90</v>
      </c>
      <c r="G63" s="457" t="s">
        <v>91</v>
      </c>
      <c r="H63" s="465">
        <v>0.4</v>
      </c>
      <c r="I63" s="100" t="s">
        <v>256</v>
      </c>
      <c r="J63" s="18">
        <v>45658</v>
      </c>
      <c r="K63" s="17">
        <v>45717</v>
      </c>
      <c r="L63" s="45"/>
      <c r="M63" s="45" t="s">
        <v>257</v>
      </c>
      <c r="N63" s="45" t="s">
        <v>258</v>
      </c>
      <c r="O63" s="7"/>
      <c r="P63" s="7"/>
      <c r="Q63" s="7"/>
      <c r="R63" s="7"/>
      <c r="S63" s="7"/>
      <c r="T63" s="7"/>
      <c r="U63" s="7"/>
    </row>
    <row r="64" spans="1:21" s="6" customFormat="1" ht="46.5" customHeight="1">
      <c r="A64" s="458"/>
      <c r="B64" s="458"/>
      <c r="C64" s="458"/>
      <c r="D64" s="458"/>
      <c r="E64" s="458"/>
      <c r="F64" s="458"/>
      <c r="G64" s="458"/>
      <c r="H64" s="466"/>
      <c r="I64" s="100" t="s">
        <v>259</v>
      </c>
      <c r="J64" s="18">
        <v>45658</v>
      </c>
      <c r="K64" s="17">
        <v>45717</v>
      </c>
      <c r="L64" s="45"/>
      <c r="M64" s="45" t="s">
        <v>257</v>
      </c>
      <c r="N64" s="45" t="s">
        <v>258</v>
      </c>
      <c r="O64" s="7"/>
      <c r="P64" s="7"/>
      <c r="Q64" s="7"/>
      <c r="R64" s="7"/>
      <c r="S64" s="7"/>
      <c r="T64" s="7"/>
      <c r="U64" s="7"/>
    </row>
    <row r="65" spans="1:21" s="6" customFormat="1" ht="46.5" customHeight="1">
      <c r="A65" s="458"/>
      <c r="B65" s="458"/>
      <c r="C65" s="458"/>
      <c r="D65" s="458"/>
      <c r="E65" s="458"/>
      <c r="F65" s="458"/>
      <c r="G65" s="458"/>
      <c r="H65" s="466"/>
      <c r="I65" s="100" t="s">
        <v>260</v>
      </c>
      <c r="J65" s="18">
        <v>45717</v>
      </c>
      <c r="K65" s="17" t="s">
        <v>261</v>
      </c>
      <c r="L65" s="45"/>
      <c r="M65" s="45" t="s">
        <v>257</v>
      </c>
      <c r="N65" s="45" t="s">
        <v>258</v>
      </c>
      <c r="O65" s="7"/>
      <c r="P65" s="7"/>
      <c r="Q65" s="7"/>
      <c r="R65" s="7"/>
      <c r="S65" s="7"/>
      <c r="T65" s="7"/>
      <c r="U65" s="7"/>
    </row>
    <row r="66" spans="1:21" s="6" customFormat="1" ht="46.5" customHeight="1">
      <c r="A66" s="458"/>
      <c r="B66" s="458"/>
      <c r="C66" s="458"/>
      <c r="D66" s="458"/>
      <c r="E66" s="458"/>
      <c r="F66" s="458"/>
      <c r="G66" s="458"/>
      <c r="H66" s="466"/>
      <c r="I66" s="100" t="s">
        <v>262</v>
      </c>
      <c r="J66" s="18">
        <v>45717</v>
      </c>
      <c r="K66" s="17" t="s">
        <v>261</v>
      </c>
      <c r="L66" s="45"/>
      <c r="M66" s="45" t="s">
        <v>257</v>
      </c>
      <c r="N66" s="45" t="s">
        <v>258</v>
      </c>
      <c r="O66" s="7"/>
      <c r="P66" s="7"/>
      <c r="Q66" s="7"/>
      <c r="R66" s="7"/>
      <c r="S66" s="7"/>
      <c r="T66" s="7"/>
      <c r="U66" s="7"/>
    </row>
    <row r="67" spans="1:21" s="6" customFormat="1" ht="46.5" customHeight="1">
      <c r="A67" s="458"/>
      <c r="B67" s="458"/>
      <c r="C67" s="458"/>
      <c r="D67" s="458"/>
      <c r="E67" s="458"/>
      <c r="F67" s="458"/>
      <c r="G67" s="458"/>
      <c r="H67" s="466"/>
      <c r="I67" s="100" t="s">
        <v>263</v>
      </c>
      <c r="J67" s="18">
        <v>45717</v>
      </c>
      <c r="K67" s="17" t="s">
        <v>264</v>
      </c>
      <c r="L67" s="45"/>
      <c r="M67" s="45" t="s">
        <v>257</v>
      </c>
      <c r="N67" s="45" t="s">
        <v>258</v>
      </c>
      <c r="O67" s="7"/>
      <c r="P67" s="7"/>
      <c r="Q67" s="7"/>
      <c r="R67" s="7"/>
      <c r="S67" s="7"/>
      <c r="T67" s="7"/>
      <c r="U67" s="7"/>
    </row>
    <row r="68" spans="1:21" s="6" customFormat="1" ht="46.5" customHeight="1">
      <c r="A68" s="458"/>
      <c r="B68" s="458"/>
      <c r="C68" s="458"/>
      <c r="D68" s="458"/>
      <c r="E68" s="458"/>
      <c r="F68" s="458"/>
      <c r="G68" s="458"/>
      <c r="H68" s="466"/>
      <c r="I68" s="100" t="s">
        <v>265</v>
      </c>
      <c r="J68" s="18">
        <v>45717</v>
      </c>
      <c r="K68" s="17" t="s">
        <v>264</v>
      </c>
      <c r="L68" s="45"/>
      <c r="M68" s="45" t="s">
        <v>257</v>
      </c>
      <c r="N68" s="45" t="s">
        <v>258</v>
      </c>
      <c r="O68" s="7"/>
      <c r="P68" s="7"/>
      <c r="Q68" s="7"/>
      <c r="R68" s="7"/>
      <c r="S68" s="7"/>
      <c r="T68" s="7"/>
      <c r="U68" s="7"/>
    </row>
    <row r="69" spans="1:21" s="6" customFormat="1" ht="46.5" customHeight="1">
      <c r="A69" s="459"/>
      <c r="B69" s="459"/>
      <c r="C69" s="459"/>
      <c r="D69" s="459"/>
      <c r="E69" s="459"/>
      <c r="F69" s="459"/>
      <c r="G69" s="459"/>
      <c r="H69" s="467"/>
      <c r="I69" s="100" t="s">
        <v>266</v>
      </c>
      <c r="J69" s="18">
        <v>45741</v>
      </c>
      <c r="K69" s="17" t="s">
        <v>264</v>
      </c>
      <c r="L69" s="45"/>
      <c r="M69" s="45" t="s">
        <v>257</v>
      </c>
      <c r="N69" s="45" t="s">
        <v>258</v>
      </c>
      <c r="O69" s="7"/>
      <c r="P69" s="7"/>
      <c r="Q69" s="7"/>
      <c r="R69" s="7"/>
      <c r="S69" s="7"/>
      <c r="T69" s="7"/>
      <c r="U69" s="7"/>
    </row>
    <row r="70" spans="1:21" s="6" customFormat="1" ht="64.5" customHeight="1">
      <c r="A70" s="457"/>
      <c r="B70" s="457"/>
      <c r="C70" s="457" t="s">
        <v>132</v>
      </c>
      <c r="D70" s="457" t="s">
        <v>133</v>
      </c>
      <c r="E70" s="457" t="s">
        <v>97</v>
      </c>
      <c r="F70" s="457" t="s">
        <v>98</v>
      </c>
      <c r="G70" s="457" t="s">
        <v>91</v>
      </c>
      <c r="H70" s="379">
        <v>0.3</v>
      </c>
      <c r="I70" s="100" t="s">
        <v>267</v>
      </c>
      <c r="J70" s="18">
        <v>45658</v>
      </c>
      <c r="K70" s="17">
        <v>45717</v>
      </c>
      <c r="L70" s="45"/>
      <c r="M70" s="45" t="s">
        <v>268</v>
      </c>
      <c r="N70" s="45" t="s">
        <v>269</v>
      </c>
      <c r="O70" s="7"/>
      <c r="P70" s="7"/>
      <c r="Q70" s="7"/>
      <c r="R70" s="7"/>
      <c r="S70" s="7"/>
      <c r="T70" s="7"/>
      <c r="U70" s="7"/>
    </row>
    <row r="71" spans="1:21" s="6" customFormat="1" ht="54" customHeight="1">
      <c r="A71" s="458"/>
      <c r="B71" s="458"/>
      <c r="C71" s="458"/>
      <c r="D71" s="458"/>
      <c r="E71" s="458"/>
      <c r="F71" s="458"/>
      <c r="G71" s="458"/>
      <c r="H71" s="468"/>
      <c r="I71" s="100" t="s">
        <v>270</v>
      </c>
      <c r="J71" s="18">
        <v>45658</v>
      </c>
      <c r="K71" s="17">
        <v>45717</v>
      </c>
      <c r="L71" s="45"/>
      <c r="M71" s="45" t="s">
        <v>268</v>
      </c>
      <c r="N71" s="45" t="s">
        <v>269</v>
      </c>
      <c r="O71" s="7"/>
      <c r="P71" s="7"/>
      <c r="Q71" s="7"/>
      <c r="R71" s="7"/>
      <c r="S71" s="7"/>
      <c r="T71" s="7"/>
      <c r="U71" s="7"/>
    </row>
    <row r="72" spans="1:21" s="6" customFormat="1" ht="54" customHeight="1">
      <c r="A72" s="458"/>
      <c r="B72" s="458"/>
      <c r="C72" s="458"/>
      <c r="D72" s="458"/>
      <c r="E72" s="458"/>
      <c r="F72" s="458"/>
      <c r="G72" s="458"/>
      <c r="H72" s="468"/>
      <c r="I72" s="100" t="s">
        <v>324</v>
      </c>
      <c r="J72" s="18">
        <v>45717</v>
      </c>
      <c r="K72" s="17" t="s">
        <v>261</v>
      </c>
      <c r="L72" s="45"/>
      <c r="M72" s="45" t="s">
        <v>268</v>
      </c>
      <c r="N72" s="45" t="s">
        <v>269</v>
      </c>
      <c r="O72" s="7"/>
      <c r="P72" s="7"/>
      <c r="Q72" s="7"/>
      <c r="R72" s="7"/>
      <c r="S72" s="7"/>
      <c r="T72" s="7"/>
      <c r="U72" s="7"/>
    </row>
    <row r="73" spans="1:21" s="6" customFormat="1" ht="54" customHeight="1">
      <c r="A73" s="458"/>
      <c r="B73" s="458"/>
      <c r="C73" s="458"/>
      <c r="D73" s="458"/>
      <c r="E73" s="458"/>
      <c r="F73" s="458"/>
      <c r="G73" s="458"/>
      <c r="H73" s="468"/>
      <c r="I73" s="100" t="s">
        <v>325</v>
      </c>
      <c r="J73" s="18">
        <v>45717</v>
      </c>
      <c r="K73" s="17" t="s">
        <v>261</v>
      </c>
      <c r="L73" s="45"/>
      <c r="M73" s="45" t="s">
        <v>268</v>
      </c>
      <c r="N73" s="45" t="s">
        <v>269</v>
      </c>
      <c r="O73" s="7"/>
      <c r="P73" s="7"/>
      <c r="Q73" s="7"/>
      <c r="R73" s="7"/>
      <c r="S73" s="7"/>
      <c r="T73" s="7"/>
      <c r="U73" s="7"/>
    </row>
    <row r="74" spans="1:21" s="6" customFormat="1" ht="54" customHeight="1">
      <c r="A74" s="458"/>
      <c r="B74" s="458"/>
      <c r="C74" s="458"/>
      <c r="D74" s="458"/>
      <c r="E74" s="458"/>
      <c r="F74" s="458"/>
      <c r="G74" s="458"/>
      <c r="H74" s="468"/>
      <c r="I74" s="100" t="s">
        <v>273</v>
      </c>
      <c r="J74" s="18">
        <v>45717</v>
      </c>
      <c r="K74" s="17" t="s">
        <v>264</v>
      </c>
      <c r="L74" s="45"/>
      <c r="M74" s="45" t="s">
        <v>268</v>
      </c>
      <c r="N74" s="45" t="s">
        <v>269</v>
      </c>
      <c r="O74" s="7"/>
      <c r="P74" s="7"/>
      <c r="Q74" s="7"/>
      <c r="R74" s="7"/>
      <c r="S74" s="7"/>
      <c r="T74" s="7"/>
      <c r="U74" s="7"/>
    </row>
    <row r="75" spans="1:21" s="6" customFormat="1" ht="54" customHeight="1">
      <c r="A75" s="458"/>
      <c r="B75" s="458"/>
      <c r="C75" s="458"/>
      <c r="D75" s="458"/>
      <c r="E75" s="458"/>
      <c r="F75" s="458"/>
      <c r="G75" s="458"/>
      <c r="H75" s="468"/>
      <c r="I75" s="100" t="s">
        <v>274</v>
      </c>
      <c r="J75" s="18">
        <v>45717</v>
      </c>
      <c r="K75" s="17" t="s">
        <v>264</v>
      </c>
      <c r="L75" s="45"/>
      <c r="M75" s="45" t="s">
        <v>268</v>
      </c>
      <c r="N75" s="45" t="s">
        <v>269</v>
      </c>
      <c r="O75" s="7"/>
      <c r="P75" s="7"/>
      <c r="Q75" s="7"/>
      <c r="R75" s="7"/>
      <c r="S75" s="7"/>
      <c r="T75" s="7"/>
      <c r="U75" s="7"/>
    </row>
    <row r="76" spans="1:21" s="6" customFormat="1" ht="54" customHeight="1">
      <c r="A76" s="459"/>
      <c r="B76" s="459"/>
      <c r="C76" s="459"/>
      <c r="D76" s="459"/>
      <c r="E76" s="459"/>
      <c r="F76" s="459"/>
      <c r="G76" s="459"/>
      <c r="H76" s="380"/>
      <c r="I76" s="100" t="s">
        <v>275</v>
      </c>
      <c r="J76" s="18">
        <v>45717</v>
      </c>
      <c r="K76" s="17" t="s">
        <v>264</v>
      </c>
      <c r="L76" s="45"/>
      <c r="M76" s="45" t="s">
        <v>268</v>
      </c>
      <c r="N76" s="45" t="s">
        <v>269</v>
      </c>
      <c r="O76" s="7"/>
      <c r="P76" s="7"/>
      <c r="Q76" s="7"/>
      <c r="R76" s="7"/>
      <c r="S76" s="7"/>
      <c r="T76" s="7"/>
      <c r="U76" s="7"/>
    </row>
    <row r="77" spans="1:21" s="6" customFormat="1" ht="31.5">
      <c r="A77" s="457"/>
      <c r="B77" s="457"/>
      <c r="C77" s="457" t="s">
        <v>134</v>
      </c>
      <c r="D77" s="457" t="s">
        <v>109</v>
      </c>
      <c r="E77" s="457" t="s">
        <v>106</v>
      </c>
      <c r="F77" s="457" t="s">
        <v>110</v>
      </c>
      <c r="G77" s="457" t="s">
        <v>87</v>
      </c>
      <c r="H77" s="379">
        <v>0.2</v>
      </c>
      <c r="I77" s="100" t="s">
        <v>301</v>
      </c>
      <c r="J77" s="18">
        <v>45717</v>
      </c>
      <c r="K77" s="17">
        <v>46022</v>
      </c>
      <c r="L77" s="45"/>
      <c r="M77" s="45" t="s">
        <v>257</v>
      </c>
      <c r="N77" s="45" t="s">
        <v>258</v>
      </c>
      <c r="O77" s="7"/>
      <c r="P77" s="7"/>
      <c r="Q77" s="7"/>
      <c r="R77" s="7"/>
      <c r="S77" s="7"/>
      <c r="T77" s="7"/>
      <c r="U77" s="7"/>
    </row>
    <row r="78" spans="1:21" s="6" customFormat="1" ht="31.5">
      <c r="A78" s="458"/>
      <c r="B78" s="458"/>
      <c r="C78" s="458"/>
      <c r="D78" s="458"/>
      <c r="E78" s="458"/>
      <c r="F78" s="458"/>
      <c r="G78" s="458"/>
      <c r="H78" s="468"/>
      <c r="I78" s="100" t="s">
        <v>302</v>
      </c>
      <c r="J78" s="18">
        <v>45717</v>
      </c>
      <c r="K78" s="17">
        <v>46022</v>
      </c>
      <c r="L78" s="45"/>
      <c r="M78" s="45" t="s">
        <v>257</v>
      </c>
      <c r="N78" s="45" t="s">
        <v>258</v>
      </c>
      <c r="O78" s="7"/>
      <c r="P78" s="7"/>
      <c r="Q78" s="7"/>
      <c r="R78" s="7"/>
      <c r="S78" s="7"/>
      <c r="T78" s="7"/>
      <c r="U78" s="7"/>
    </row>
    <row r="79" spans="1:21" s="6" customFormat="1" ht="31.5">
      <c r="A79" s="458"/>
      <c r="B79" s="458"/>
      <c r="C79" s="458"/>
      <c r="D79" s="458"/>
      <c r="E79" s="458"/>
      <c r="F79" s="458"/>
      <c r="G79" s="458"/>
      <c r="H79" s="468"/>
      <c r="I79" s="100" t="s">
        <v>303</v>
      </c>
      <c r="J79" s="18">
        <v>45717</v>
      </c>
      <c r="K79" s="17">
        <v>46022</v>
      </c>
      <c r="L79" s="45"/>
      <c r="M79" s="45" t="s">
        <v>257</v>
      </c>
      <c r="N79" s="45" t="s">
        <v>258</v>
      </c>
      <c r="O79" s="7"/>
      <c r="P79" s="7"/>
      <c r="Q79" s="7"/>
      <c r="R79" s="7"/>
      <c r="S79" s="7"/>
      <c r="T79" s="7"/>
      <c r="U79" s="7"/>
    </row>
    <row r="80" spans="1:21" s="6" customFormat="1" ht="31.5">
      <c r="A80" s="459"/>
      <c r="B80" s="459"/>
      <c r="C80" s="459"/>
      <c r="D80" s="459"/>
      <c r="E80" s="459"/>
      <c r="F80" s="459"/>
      <c r="G80" s="459"/>
      <c r="H80" s="380"/>
      <c r="I80" s="100" t="s">
        <v>304</v>
      </c>
      <c r="J80" s="18">
        <v>45717</v>
      </c>
      <c r="K80" s="17">
        <v>46022</v>
      </c>
      <c r="L80" s="45"/>
      <c r="M80" s="45" t="s">
        <v>257</v>
      </c>
      <c r="N80" s="45" t="s">
        <v>258</v>
      </c>
      <c r="O80" s="7"/>
      <c r="P80" s="7"/>
      <c r="Q80" s="7"/>
      <c r="R80" s="7"/>
      <c r="S80" s="7"/>
      <c r="T80" s="7"/>
      <c r="U80" s="7"/>
    </row>
    <row r="81" spans="1:21" s="5" customFormat="1" ht="38.1" customHeight="1">
      <c r="A81" s="10">
        <v>4</v>
      </c>
      <c r="B81" s="10" t="s">
        <v>29</v>
      </c>
      <c r="C81" s="10" t="s">
        <v>19</v>
      </c>
      <c r="D81" s="11" t="s">
        <v>135</v>
      </c>
      <c r="E81" s="40"/>
      <c r="F81" s="40"/>
      <c r="G81" s="40"/>
      <c r="H81" s="23">
        <v>0.05</v>
      </c>
      <c r="I81" s="23"/>
      <c r="J81" s="12"/>
      <c r="K81" s="12"/>
      <c r="L81" s="10"/>
      <c r="M81" s="10"/>
      <c r="N81" s="10"/>
      <c r="O81" s="7"/>
      <c r="P81" s="7"/>
      <c r="Q81" s="7"/>
      <c r="R81" s="7"/>
      <c r="S81" s="7"/>
      <c r="T81" s="7"/>
      <c r="U81" s="7"/>
    </row>
    <row r="82" spans="1:21" s="5" customFormat="1" ht="31.5">
      <c r="A82" s="457"/>
      <c r="B82" s="457"/>
      <c r="C82" s="457" t="s">
        <v>136</v>
      </c>
      <c r="D82" s="457" t="s">
        <v>137</v>
      </c>
      <c r="E82" s="457" t="s">
        <v>138</v>
      </c>
      <c r="F82" s="479">
        <v>1</v>
      </c>
      <c r="G82" s="457" t="s">
        <v>87</v>
      </c>
      <c r="H82" s="465">
        <v>0.4</v>
      </c>
      <c r="I82" s="100" t="s">
        <v>326</v>
      </c>
      <c r="J82" s="18">
        <v>45717</v>
      </c>
      <c r="K82" s="17">
        <v>46022</v>
      </c>
      <c r="L82" s="45"/>
      <c r="M82" s="45" t="s">
        <v>257</v>
      </c>
      <c r="N82" s="45" t="s">
        <v>258</v>
      </c>
      <c r="O82" s="7"/>
      <c r="P82" s="7"/>
      <c r="Q82" s="7"/>
      <c r="R82" s="7"/>
      <c r="S82" s="7"/>
      <c r="T82" s="7"/>
      <c r="U82" s="7"/>
    </row>
    <row r="83" spans="1:21" s="5" customFormat="1" ht="31.5">
      <c r="A83" s="458"/>
      <c r="B83" s="458"/>
      <c r="C83" s="458"/>
      <c r="D83" s="458"/>
      <c r="E83" s="458"/>
      <c r="F83" s="458"/>
      <c r="G83" s="458"/>
      <c r="H83" s="466"/>
      <c r="I83" s="100" t="s">
        <v>327</v>
      </c>
      <c r="J83" s="18">
        <v>45717</v>
      </c>
      <c r="K83" s="17">
        <v>46022</v>
      </c>
      <c r="L83" s="45"/>
      <c r="M83" s="45" t="s">
        <v>257</v>
      </c>
      <c r="N83" s="45" t="s">
        <v>258</v>
      </c>
      <c r="O83" s="7"/>
      <c r="P83" s="7"/>
      <c r="Q83" s="7"/>
      <c r="R83" s="7"/>
      <c r="S83" s="7"/>
      <c r="T83" s="7"/>
      <c r="U83" s="7"/>
    </row>
    <row r="84" spans="1:21" s="5" customFormat="1" ht="31.5">
      <c r="A84" s="458"/>
      <c r="B84" s="458"/>
      <c r="C84" s="458"/>
      <c r="D84" s="458"/>
      <c r="E84" s="458"/>
      <c r="F84" s="458"/>
      <c r="G84" s="458"/>
      <c r="H84" s="466"/>
      <c r="I84" s="100" t="s">
        <v>328</v>
      </c>
      <c r="J84" s="18">
        <v>45717</v>
      </c>
      <c r="K84" s="17">
        <v>46022</v>
      </c>
      <c r="L84" s="45"/>
      <c r="M84" s="45" t="s">
        <v>257</v>
      </c>
      <c r="N84" s="45" t="s">
        <v>258</v>
      </c>
      <c r="O84" s="7"/>
      <c r="P84" s="7"/>
      <c r="Q84" s="7"/>
      <c r="R84" s="7"/>
      <c r="S84" s="7"/>
      <c r="T84" s="7"/>
      <c r="U84" s="7"/>
    </row>
    <row r="85" spans="1:21" s="5" customFormat="1" ht="31.5">
      <c r="A85" s="458"/>
      <c r="B85" s="458"/>
      <c r="C85" s="458"/>
      <c r="D85" s="458"/>
      <c r="E85" s="458"/>
      <c r="F85" s="458"/>
      <c r="G85" s="458"/>
      <c r="H85" s="466"/>
      <c r="I85" s="100" t="s">
        <v>329</v>
      </c>
      <c r="J85" s="18">
        <v>45717</v>
      </c>
      <c r="K85" s="17">
        <v>46022</v>
      </c>
      <c r="L85" s="45"/>
      <c r="M85" s="45" t="s">
        <v>257</v>
      </c>
      <c r="N85" s="45" t="s">
        <v>258</v>
      </c>
      <c r="O85" s="7"/>
      <c r="P85" s="7"/>
      <c r="Q85" s="7"/>
      <c r="R85" s="7"/>
      <c r="S85" s="7"/>
      <c r="T85" s="7"/>
      <c r="U85" s="7"/>
    </row>
    <row r="86" spans="1:21" s="5" customFormat="1" ht="31.5">
      <c r="A86" s="459"/>
      <c r="B86" s="459"/>
      <c r="C86" s="459"/>
      <c r="D86" s="459"/>
      <c r="E86" s="459"/>
      <c r="F86" s="459"/>
      <c r="G86" s="459"/>
      <c r="H86" s="467"/>
      <c r="I86" s="100" t="s">
        <v>308</v>
      </c>
      <c r="J86" s="18">
        <v>45717</v>
      </c>
      <c r="K86" s="17">
        <v>46022</v>
      </c>
      <c r="L86" s="45"/>
      <c r="M86" s="45" t="s">
        <v>257</v>
      </c>
      <c r="N86" s="45" t="s">
        <v>258</v>
      </c>
      <c r="O86" s="7"/>
      <c r="P86" s="7"/>
      <c r="Q86" s="7"/>
      <c r="R86" s="7"/>
      <c r="S86" s="7"/>
      <c r="T86" s="7"/>
      <c r="U86" s="7"/>
    </row>
    <row r="87" spans="1:21" s="5" customFormat="1" ht="31.5">
      <c r="A87" s="457"/>
      <c r="B87" s="457"/>
      <c r="C87" s="457" t="s">
        <v>139</v>
      </c>
      <c r="D87" s="457" t="s">
        <v>140</v>
      </c>
      <c r="E87" s="457" t="s">
        <v>141</v>
      </c>
      <c r="F87" s="479">
        <v>1</v>
      </c>
      <c r="G87" s="457" t="s">
        <v>87</v>
      </c>
      <c r="H87" s="465">
        <v>0.2</v>
      </c>
      <c r="I87" s="100" t="s">
        <v>330</v>
      </c>
      <c r="J87" s="18">
        <v>45717</v>
      </c>
      <c r="K87" s="17">
        <v>46022</v>
      </c>
      <c r="L87" s="45"/>
      <c r="M87" s="45" t="s">
        <v>331</v>
      </c>
      <c r="N87" s="45" t="s">
        <v>258</v>
      </c>
      <c r="O87" s="7"/>
      <c r="P87" s="7"/>
      <c r="Q87" s="7"/>
      <c r="R87" s="7"/>
      <c r="S87" s="7"/>
      <c r="T87" s="7"/>
      <c r="U87" s="7"/>
    </row>
    <row r="88" spans="1:21" s="5" customFormat="1" ht="31.5">
      <c r="A88" s="458"/>
      <c r="B88" s="458"/>
      <c r="C88" s="458"/>
      <c r="D88" s="458"/>
      <c r="E88" s="458"/>
      <c r="F88" s="458"/>
      <c r="G88" s="458"/>
      <c r="H88" s="466"/>
      <c r="I88" s="100" t="s">
        <v>332</v>
      </c>
      <c r="J88" s="18">
        <v>45717</v>
      </c>
      <c r="K88" s="17">
        <v>46022</v>
      </c>
      <c r="L88" s="45"/>
      <c r="M88" s="45" t="s">
        <v>331</v>
      </c>
      <c r="N88" s="45" t="s">
        <v>258</v>
      </c>
      <c r="O88" s="7"/>
      <c r="P88" s="7"/>
      <c r="Q88" s="7"/>
      <c r="R88" s="7"/>
      <c r="S88" s="7"/>
      <c r="T88" s="7"/>
      <c r="U88" s="7"/>
    </row>
    <row r="89" spans="1:21" s="5" customFormat="1" ht="31.5">
      <c r="A89" s="458"/>
      <c r="B89" s="458"/>
      <c r="C89" s="458"/>
      <c r="D89" s="458"/>
      <c r="E89" s="458"/>
      <c r="F89" s="458"/>
      <c r="G89" s="458"/>
      <c r="H89" s="466"/>
      <c r="I89" s="100" t="s">
        <v>333</v>
      </c>
      <c r="J89" s="18">
        <v>45717</v>
      </c>
      <c r="K89" s="17">
        <v>46022</v>
      </c>
      <c r="L89" s="45"/>
      <c r="M89" s="45" t="s">
        <v>331</v>
      </c>
      <c r="N89" s="45" t="s">
        <v>258</v>
      </c>
      <c r="O89" s="7"/>
      <c r="P89" s="7"/>
      <c r="Q89" s="7"/>
      <c r="R89" s="7"/>
      <c r="S89" s="7"/>
      <c r="T89" s="7"/>
      <c r="U89" s="7"/>
    </row>
    <row r="90" spans="1:21" s="5" customFormat="1" ht="31.5">
      <c r="A90" s="458"/>
      <c r="B90" s="458"/>
      <c r="C90" s="458"/>
      <c r="D90" s="458"/>
      <c r="E90" s="458"/>
      <c r="F90" s="458"/>
      <c r="G90" s="458"/>
      <c r="H90" s="466"/>
      <c r="I90" s="100" t="s">
        <v>334</v>
      </c>
      <c r="J90" s="18">
        <v>45717</v>
      </c>
      <c r="K90" s="17">
        <v>46022</v>
      </c>
      <c r="L90" s="45"/>
      <c r="M90" s="45" t="s">
        <v>331</v>
      </c>
      <c r="N90" s="45" t="s">
        <v>258</v>
      </c>
      <c r="O90" s="7"/>
      <c r="P90" s="7"/>
      <c r="Q90" s="7"/>
      <c r="R90" s="7"/>
      <c r="S90" s="7"/>
      <c r="T90" s="7"/>
      <c r="U90" s="7"/>
    </row>
    <row r="91" spans="1:21" s="5" customFormat="1" ht="31.5">
      <c r="A91" s="458"/>
      <c r="B91" s="458"/>
      <c r="C91" s="458"/>
      <c r="D91" s="458"/>
      <c r="E91" s="458"/>
      <c r="F91" s="458"/>
      <c r="G91" s="458"/>
      <c r="H91" s="466"/>
      <c r="I91" s="100" t="s">
        <v>335</v>
      </c>
      <c r="J91" s="18">
        <v>45717</v>
      </c>
      <c r="K91" s="17">
        <v>46022</v>
      </c>
      <c r="L91" s="45"/>
      <c r="M91" s="45" t="s">
        <v>331</v>
      </c>
      <c r="N91" s="45" t="s">
        <v>258</v>
      </c>
      <c r="O91" s="7"/>
      <c r="P91" s="7"/>
      <c r="Q91" s="7"/>
      <c r="R91" s="7"/>
      <c r="S91" s="7"/>
      <c r="T91" s="7"/>
      <c r="U91" s="7"/>
    </row>
    <row r="92" spans="1:21" s="5" customFormat="1" ht="31.5">
      <c r="A92" s="458"/>
      <c r="B92" s="458"/>
      <c r="C92" s="458"/>
      <c r="D92" s="458"/>
      <c r="E92" s="458"/>
      <c r="F92" s="458"/>
      <c r="G92" s="458"/>
      <c r="H92" s="466"/>
      <c r="I92" s="100" t="s">
        <v>336</v>
      </c>
      <c r="J92" s="18">
        <v>45717</v>
      </c>
      <c r="K92" s="17">
        <v>46022</v>
      </c>
      <c r="L92" s="45"/>
      <c r="M92" s="45" t="s">
        <v>331</v>
      </c>
      <c r="N92" s="45" t="s">
        <v>258</v>
      </c>
      <c r="O92" s="7"/>
      <c r="P92" s="7"/>
      <c r="Q92" s="7"/>
      <c r="R92" s="7"/>
      <c r="S92" s="7"/>
      <c r="T92" s="7"/>
      <c r="U92" s="7"/>
    </row>
    <row r="93" spans="1:21" s="5" customFormat="1" ht="31.5">
      <c r="A93" s="459"/>
      <c r="B93" s="459"/>
      <c r="C93" s="459"/>
      <c r="D93" s="459"/>
      <c r="E93" s="459"/>
      <c r="F93" s="459"/>
      <c r="G93" s="459"/>
      <c r="H93" s="467"/>
      <c r="I93" s="100" t="s">
        <v>337</v>
      </c>
      <c r="J93" s="18">
        <v>45962</v>
      </c>
      <c r="K93" s="17">
        <v>46022</v>
      </c>
      <c r="L93" s="45"/>
      <c r="M93" s="45" t="s">
        <v>331</v>
      </c>
      <c r="N93" s="45" t="s">
        <v>258</v>
      </c>
      <c r="O93" s="7"/>
      <c r="P93" s="7"/>
      <c r="Q93" s="7"/>
      <c r="R93" s="7"/>
      <c r="S93" s="7"/>
      <c r="T93" s="7"/>
      <c r="U93" s="7"/>
    </row>
    <row r="94" spans="1:21" s="5" customFormat="1" ht="31.5">
      <c r="A94" s="457"/>
      <c r="B94" s="457"/>
      <c r="C94" s="457" t="s">
        <v>142</v>
      </c>
      <c r="D94" s="457" t="s">
        <v>143</v>
      </c>
      <c r="E94" s="457" t="s">
        <v>141</v>
      </c>
      <c r="F94" s="462">
        <v>1</v>
      </c>
      <c r="G94" s="457" t="s">
        <v>87</v>
      </c>
      <c r="H94" s="465">
        <v>0.2</v>
      </c>
      <c r="I94" s="100" t="s">
        <v>338</v>
      </c>
      <c r="J94" s="18">
        <v>45809</v>
      </c>
      <c r="K94" s="17">
        <v>46022</v>
      </c>
      <c r="L94" s="45"/>
      <c r="M94" s="45" t="s">
        <v>331</v>
      </c>
      <c r="N94" s="45" t="s">
        <v>258</v>
      </c>
      <c r="O94" s="7"/>
      <c r="P94" s="7"/>
      <c r="Q94" s="7"/>
      <c r="R94" s="7"/>
      <c r="S94" s="7"/>
      <c r="T94" s="7"/>
      <c r="U94" s="7"/>
    </row>
    <row r="95" spans="1:21" s="5" customFormat="1" ht="31.5">
      <c r="A95" s="458"/>
      <c r="B95" s="458"/>
      <c r="C95" s="458"/>
      <c r="D95" s="458"/>
      <c r="E95" s="458"/>
      <c r="F95" s="463"/>
      <c r="G95" s="458"/>
      <c r="H95" s="466"/>
      <c r="I95" s="100" t="s">
        <v>333</v>
      </c>
      <c r="J95" s="18">
        <v>45809</v>
      </c>
      <c r="K95" s="17">
        <v>46022</v>
      </c>
      <c r="L95" s="45"/>
      <c r="M95" s="45" t="s">
        <v>331</v>
      </c>
      <c r="N95" s="45" t="s">
        <v>258</v>
      </c>
      <c r="O95" s="7"/>
      <c r="P95" s="7"/>
      <c r="Q95" s="7"/>
      <c r="R95" s="7"/>
      <c r="S95" s="7"/>
      <c r="T95" s="7"/>
      <c r="U95" s="7"/>
    </row>
    <row r="96" spans="1:21" s="5" customFormat="1" ht="31.5">
      <c r="A96" s="458"/>
      <c r="B96" s="458"/>
      <c r="C96" s="458"/>
      <c r="D96" s="458"/>
      <c r="E96" s="458"/>
      <c r="F96" s="463"/>
      <c r="G96" s="458"/>
      <c r="H96" s="466"/>
      <c r="I96" s="100" t="s">
        <v>334</v>
      </c>
      <c r="J96" s="18">
        <v>45809</v>
      </c>
      <c r="K96" s="17">
        <v>46022</v>
      </c>
      <c r="L96" s="45"/>
      <c r="M96" s="45" t="s">
        <v>331</v>
      </c>
      <c r="N96" s="45" t="s">
        <v>258</v>
      </c>
      <c r="O96" s="7"/>
      <c r="P96" s="7"/>
      <c r="Q96" s="7"/>
      <c r="R96" s="7"/>
      <c r="S96" s="7"/>
      <c r="T96" s="7"/>
      <c r="U96" s="7"/>
    </row>
    <row r="97" spans="1:21" s="5" customFormat="1" ht="31.5">
      <c r="A97" s="458"/>
      <c r="B97" s="458"/>
      <c r="C97" s="458"/>
      <c r="D97" s="458"/>
      <c r="E97" s="458"/>
      <c r="F97" s="463"/>
      <c r="G97" s="458"/>
      <c r="H97" s="466"/>
      <c r="I97" s="100" t="s">
        <v>335</v>
      </c>
      <c r="J97" s="18">
        <v>45809</v>
      </c>
      <c r="K97" s="17">
        <v>46022</v>
      </c>
      <c r="L97" s="45"/>
      <c r="M97" s="45" t="s">
        <v>331</v>
      </c>
      <c r="N97" s="45" t="s">
        <v>258</v>
      </c>
      <c r="O97" s="7"/>
      <c r="P97" s="7"/>
      <c r="Q97" s="7"/>
      <c r="R97" s="7"/>
      <c r="S97" s="7"/>
      <c r="T97" s="7"/>
      <c r="U97" s="7"/>
    </row>
    <row r="98" spans="1:21" s="5" customFormat="1" ht="31.5">
      <c r="A98" s="458"/>
      <c r="B98" s="458"/>
      <c r="C98" s="458"/>
      <c r="D98" s="458"/>
      <c r="E98" s="458"/>
      <c r="F98" s="463"/>
      <c r="G98" s="458"/>
      <c r="H98" s="466"/>
      <c r="I98" s="100" t="s">
        <v>336</v>
      </c>
      <c r="J98" s="18">
        <v>45809</v>
      </c>
      <c r="K98" s="17">
        <v>46022</v>
      </c>
      <c r="L98" s="45"/>
      <c r="M98" s="45" t="s">
        <v>331</v>
      </c>
      <c r="N98" s="45" t="s">
        <v>258</v>
      </c>
      <c r="O98" s="7"/>
      <c r="P98" s="7"/>
      <c r="Q98" s="7"/>
      <c r="R98" s="7"/>
      <c r="S98" s="7"/>
      <c r="T98" s="7"/>
      <c r="U98" s="7"/>
    </row>
    <row r="99" spans="1:21" s="5" customFormat="1" ht="31.5">
      <c r="A99" s="459"/>
      <c r="B99" s="459"/>
      <c r="C99" s="459"/>
      <c r="D99" s="459"/>
      <c r="E99" s="459"/>
      <c r="F99" s="464"/>
      <c r="G99" s="459"/>
      <c r="H99" s="467"/>
      <c r="I99" s="100" t="s">
        <v>337</v>
      </c>
      <c r="J99" s="18">
        <v>45962</v>
      </c>
      <c r="K99" s="17">
        <v>46022</v>
      </c>
      <c r="L99" s="45"/>
      <c r="M99" s="45" t="s">
        <v>331</v>
      </c>
      <c r="N99" s="45" t="s">
        <v>258</v>
      </c>
      <c r="O99" s="7"/>
      <c r="P99" s="7"/>
      <c r="Q99" s="7"/>
      <c r="R99" s="7"/>
      <c r="S99" s="7"/>
      <c r="T99" s="7"/>
      <c r="U99" s="7"/>
    </row>
    <row r="100" spans="1:21" s="5" customFormat="1" ht="31.5">
      <c r="A100" s="457"/>
      <c r="B100" s="457"/>
      <c r="C100" s="457" t="s">
        <v>144</v>
      </c>
      <c r="D100" s="457" t="s">
        <v>145</v>
      </c>
      <c r="E100" s="457" t="s">
        <v>141</v>
      </c>
      <c r="F100" s="462">
        <v>1</v>
      </c>
      <c r="G100" s="377" t="s">
        <v>87</v>
      </c>
      <c r="H100" s="465">
        <v>0.2</v>
      </c>
      <c r="I100" s="100" t="s">
        <v>339</v>
      </c>
      <c r="J100" s="18">
        <v>45658</v>
      </c>
      <c r="K100" s="17">
        <v>45723</v>
      </c>
      <c r="L100" s="45"/>
      <c r="M100" s="45" t="s">
        <v>331</v>
      </c>
      <c r="N100" s="45" t="s">
        <v>258</v>
      </c>
      <c r="O100" s="7"/>
      <c r="P100" s="7"/>
      <c r="Q100" s="7"/>
      <c r="R100" s="7"/>
      <c r="S100" s="7"/>
      <c r="T100" s="7"/>
      <c r="U100" s="7"/>
    </row>
    <row r="101" spans="1:21" s="5" customFormat="1" ht="31.5">
      <c r="A101" s="458"/>
      <c r="B101" s="458"/>
      <c r="C101" s="458"/>
      <c r="D101" s="458"/>
      <c r="E101" s="458"/>
      <c r="F101" s="463"/>
      <c r="G101" s="461"/>
      <c r="H101" s="466"/>
      <c r="I101" s="100" t="s">
        <v>340</v>
      </c>
      <c r="J101" s="18">
        <v>45658</v>
      </c>
      <c r="K101" s="17">
        <v>45723</v>
      </c>
      <c r="L101" s="45"/>
      <c r="M101" s="45" t="s">
        <v>331</v>
      </c>
      <c r="N101" s="45" t="s">
        <v>258</v>
      </c>
      <c r="O101" s="7"/>
      <c r="P101" s="7"/>
      <c r="Q101" s="7"/>
      <c r="R101" s="7"/>
      <c r="S101" s="7"/>
      <c r="T101" s="7"/>
      <c r="U101" s="7"/>
    </row>
    <row r="102" spans="1:21" s="5" customFormat="1" ht="31.5">
      <c r="A102" s="458"/>
      <c r="B102" s="458"/>
      <c r="C102" s="458"/>
      <c r="D102" s="458"/>
      <c r="E102" s="458"/>
      <c r="F102" s="463"/>
      <c r="G102" s="461"/>
      <c r="H102" s="466"/>
      <c r="I102" s="100" t="s">
        <v>341</v>
      </c>
      <c r="J102" s="18">
        <v>45723</v>
      </c>
      <c r="K102" s="17">
        <v>45945</v>
      </c>
      <c r="L102" s="45"/>
      <c r="M102" s="45" t="s">
        <v>331</v>
      </c>
      <c r="N102" s="45" t="s">
        <v>258</v>
      </c>
      <c r="O102" s="7"/>
      <c r="P102" s="7"/>
      <c r="Q102" s="7"/>
      <c r="R102" s="7"/>
      <c r="S102" s="7"/>
      <c r="T102" s="7"/>
      <c r="U102" s="7"/>
    </row>
    <row r="103" spans="1:21" s="5" customFormat="1" ht="31.5">
      <c r="A103" s="458"/>
      <c r="B103" s="458"/>
      <c r="C103" s="458"/>
      <c r="D103" s="458"/>
      <c r="E103" s="458"/>
      <c r="F103" s="463"/>
      <c r="G103" s="461"/>
      <c r="H103" s="466"/>
      <c r="I103" s="100" t="s">
        <v>342</v>
      </c>
      <c r="J103" s="18">
        <v>45723</v>
      </c>
      <c r="K103" s="17">
        <v>45945</v>
      </c>
      <c r="L103" s="45"/>
      <c r="M103" s="45" t="s">
        <v>331</v>
      </c>
      <c r="N103" s="45" t="s">
        <v>258</v>
      </c>
      <c r="O103" s="7"/>
      <c r="P103" s="7"/>
      <c r="Q103" s="7"/>
      <c r="R103" s="7"/>
      <c r="S103" s="7"/>
      <c r="T103" s="7"/>
      <c r="U103" s="7"/>
    </row>
    <row r="104" spans="1:21" s="5" customFormat="1" ht="31.5">
      <c r="A104" s="458"/>
      <c r="B104" s="458"/>
      <c r="C104" s="458"/>
      <c r="D104" s="458"/>
      <c r="E104" s="458"/>
      <c r="F104" s="463"/>
      <c r="G104" s="461"/>
      <c r="H104" s="466"/>
      <c r="I104" s="100" t="s">
        <v>343</v>
      </c>
      <c r="J104" s="18">
        <v>45723</v>
      </c>
      <c r="K104" s="17">
        <v>45945</v>
      </c>
      <c r="L104" s="45"/>
      <c r="M104" s="45" t="s">
        <v>331</v>
      </c>
      <c r="N104" s="45" t="s">
        <v>258</v>
      </c>
      <c r="O104" s="7"/>
      <c r="P104" s="7"/>
      <c r="Q104" s="7"/>
      <c r="R104" s="7"/>
      <c r="S104" s="7"/>
      <c r="T104" s="7"/>
      <c r="U104" s="7"/>
    </row>
    <row r="105" spans="1:21" s="5" customFormat="1" ht="31.5">
      <c r="A105" s="459"/>
      <c r="B105" s="459"/>
      <c r="C105" s="459"/>
      <c r="D105" s="459"/>
      <c r="E105" s="459"/>
      <c r="F105" s="464"/>
      <c r="G105" s="378"/>
      <c r="H105" s="467"/>
      <c r="I105" s="100" t="s">
        <v>344</v>
      </c>
      <c r="J105" s="18">
        <v>45962</v>
      </c>
      <c r="K105" s="17">
        <v>46022</v>
      </c>
      <c r="L105" s="45"/>
      <c r="M105" s="45" t="s">
        <v>331</v>
      </c>
      <c r="N105" s="45" t="s">
        <v>258</v>
      </c>
      <c r="O105" s="7"/>
      <c r="P105" s="7"/>
      <c r="Q105" s="7"/>
      <c r="R105" s="7"/>
      <c r="S105" s="7"/>
      <c r="T105" s="7"/>
      <c r="U105" s="7"/>
    </row>
    <row r="106" spans="1:21" s="5" customFormat="1" ht="38.1" customHeight="1">
      <c r="A106" s="10">
        <v>5</v>
      </c>
      <c r="B106" s="10" t="s">
        <v>146</v>
      </c>
      <c r="C106" s="10" t="s">
        <v>20</v>
      </c>
      <c r="D106" s="11" t="s">
        <v>147</v>
      </c>
      <c r="E106" s="40"/>
      <c r="F106" s="40"/>
      <c r="G106" s="40"/>
      <c r="H106" s="23">
        <v>0.1</v>
      </c>
      <c r="I106" s="23"/>
      <c r="J106" s="12"/>
      <c r="K106" s="12"/>
      <c r="L106" s="10"/>
      <c r="M106" s="10"/>
      <c r="N106" s="10"/>
      <c r="O106" s="7"/>
      <c r="P106" s="7"/>
      <c r="Q106" s="7"/>
      <c r="R106" s="7"/>
      <c r="S106" s="7"/>
      <c r="T106" s="7"/>
      <c r="U106" s="7"/>
    </row>
    <row r="107" spans="1:21" s="5" customFormat="1" ht="78.75">
      <c r="A107" s="457"/>
      <c r="B107" s="457"/>
      <c r="C107" s="457" t="s">
        <v>148</v>
      </c>
      <c r="D107" s="457" t="s">
        <v>149</v>
      </c>
      <c r="E107" s="457" t="s">
        <v>150</v>
      </c>
      <c r="F107" s="457">
        <v>15</v>
      </c>
      <c r="G107" s="457" t="s">
        <v>87</v>
      </c>
      <c r="H107" s="465">
        <v>0.3</v>
      </c>
      <c r="I107" s="100" t="s">
        <v>345</v>
      </c>
      <c r="J107" s="18">
        <v>45717</v>
      </c>
      <c r="K107" s="17">
        <v>46022</v>
      </c>
      <c r="L107" s="45"/>
      <c r="M107" s="45" t="s">
        <v>346</v>
      </c>
      <c r="N107" s="45" t="s">
        <v>269</v>
      </c>
      <c r="O107" s="7"/>
      <c r="P107" s="7"/>
      <c r="Q107" s="7"/>
      <c r="R107" s="7"/>
      <c r="S107" s="7"/>
      <c r="T107" s="7"/>
      <c r="U107" s="7"/>
    </row>
    <row r="108" spans="1:21" s="5" customFormat="1" ht="78.75">
      <c r="A108" s="458"/>
      <c r="B108" s="458"/>
      <c r="C108" s="458"/>
      <c r="D108" s="458"/>
      <c r="E108" s="458"/>
      <c r="F108" s="458"/>
      <c r="G108" s="458"/>
      <c r="H108" s="466"/>
      <c r="I108" s="100" t="s">
        <v>347</v>
      </c>
      <c r="J108" s="18">
        <v>45717</v>
      </c>
      <c r="K108" s="17">
        <v>46022</v>
      </c>
      <c r="L108" s="45"/>
      <c r="M108" s="45" t="s">
        <v>346</v>
      </c>
      <c r="N108" s="45" t="s">
        <v>269</v>
      </c>
      <c r="O108" s="7"/>
      <c r="P108" s="7"/>
      <c r="Q108" s="7"/>
      <c r="R108" s="7"/>
      <c r="S108" s="7"/>
      <c r="T108" s="7"/>
      <c r="U108" s="7"/>
    </row>
    <row r="109" spans="1:21" s="5" customFormat="1" ht="78.75">
      <c r="A109" s="458"/>
      <c r="B109" s="458"/>
      <c r="C109" s="458"/>
      <c r="D109" s="458"/>
      <c r="E109" s="458"/>
      <c r="F109" s="458"/>
      <c r="G109" s="458"/>
      <c r="H109" s="466"/>
      <c r="I109" s="100" t="s">
        <v>348</v>
      </c>
      <c r="J109" s="18">
        <v>45717</v>
      </c>
      <c r="K109" s="17">
        <v>46022</v>
      </c>
      <c r="L109" s="45"/>
      <c r="M109" s="45" t="s">
        <v>346</v>
      </c>
      <c r="N109" s="45" t="s">
        <v>269</v>
      </c>
      <c r="O109" s="7"/>
      <c r="P109" s="7"/>
      <c r="Q109" s="7"/>
      <c r="R109" s="7"/>
      <c r="S109" s="7"/>
      <c r="T109" s="7"/>
      <c r="U109" s="7"/>
    </row>
    <row r="110" spans="1:21" s="5" customFormat="1" ht="78.75">
      <c r="A110" s="458"/>
      <c r="B110" s="458"/>
      <c r="C110" s="458"/>
      <c r="D110" s="458"/>
      <c r="E110" s="458"/>
      <c r="F110" s="458"/>
      <c r="G110" s="458"/>
      <c r="H110" s="466"/>
      <c r="I110" s="100" t="s">
        <v>349</v>
      </c>
      <c r="J110" s="18">
        <v>45717</v>
      </c>
      <c r="K110" s="17">
        <v>46022</v>
      </c>
      <c r="L110" s="45"/>
      <c r="M110" s="45" t="s">
        <v>346</v>
      </c>
      <c r="N110" s="45" t="s">
        <v>269</v>
      </c>
      <c r="O110" s="7"/>
      <c r="P110" s="7"/>
      <c r="Q110" s="7"/>
      <c r="R110" s="7"/>
      <c r="S110" s="7"/>
      <c r="T110" s="7"/>
      <c r="U110" s="7"/>
    </row>
    <row r="111" spans="1:21" s="5" customFormat="1" ht="78.75">
      <c r="A111" s="458"/>
      <c r="B111" s="458"/>
      <c r="C111" s="458"/>
      <c r="D111" s="458"/>
      <c r="E111" s="458"/>
      <c r="F111" s="458"/>
      <c r="G111" s="458"/>
      <c r="H111" s="466"/>
      <c r="I111" s="100" t="s">
        <v>350</v>
      </c>
      <c r="J111" s="18">
        <v>45717</v>
      </c>
      <c r="K111" s="17">
        <v>46022</v>
      </c>
      <c r="L111" s="45"/>
      <c r="M111" s="45" t="s">
        <v>346</v>
      </c>
      <c r="N111" s="45" t="s">
        <v>269</v>
      </c>
      <c r="O111" s="7"/>
      <c r="P111" s="7"/>
      <c r="Q111" s="7"/>
      <c r="R111" s="7"/>
      <c r="S111" s="7"/>
      <c r="T111" s="7"/>
      <c r="U111" s="7"/>
    </row>
    <row r="112" spans="1:21" s="5" customFormat="1" ht="78.75">
      <c r="A112" s="458"/>
      <c r="B112" s="458"/>
      <c r="C112" s="458"/>
      <c r="D112" s="458"/>
      <c r="E112" s="458"/>
      <c r="F112" s="458"/>
      <c r="G112" s="458"/>
      <c r="H112" s="466"/>
      <c r="I112" s="100" t="s">
        <v>351</v>
      </c>
      <c r="J112" s="18">
        <v>45717</v>
      </c>
      <c r="K112" s="17">
        <v>46022</v>
      </c>
      <c r="L112" s="45"/>
      <c r="M112" s="45" t="s">
        <v>346</v>
      </c>
      <c r="N112" s="45" t="s">
        <v>269</v>
      </c>
      <c r="O112" s="7"/>
      <c r="P112" s="7"/>
      <c r="Q112" s="7"/>
      <c r="R112" s="7"/>
      <c r="S112" s="7"/>
      <c r="T112" s="7"/>
      <c r="U112" s="7"/>
    </row>
    <row r="113" spans="1:21" s="5" customFormat="1" ht="78.75">
      <c r="A113" s="458"/>
      <c r="B113" s="458"/>
      <c r="C113" s="458"/>
      <c r="D113" s="458"/>
      <c r="E113" s="458"/>
      <c r="F113" s="458"/>
      <c r="G113" s="458"/>
      <c r="H113" s="466"/>
      <c r="I113" s="100" t="s">
        <v>352</v>
      </c>
      <c r="J113" s="18">
        <v>45717</v>
      </c>
      <c r="K113" s="17">
        <v>46022</v>
      </c>
      <c r="L113" s="45"/>
      <c r="M113" s="45" t="s">
        <v>346</v>
      </c>
      <c r="N113" s="45" t="s">
        <v>269</v>
      </c>
      <c r="O113" s="7"/>
      <c r="P113" s="7"/>
      <c r="Q113" s="7"/>
      <c r="R113" s="7"/>
      <c r="S113" s="7"/>
      <c r="T113" s="7"/>
      <c r="U113" s="7"/>
    </row>
    <row r="114" spans="1:21" s="5" customFormat="1" ht="78.75">
      <c r="A114" s="459"/>
      <c r="B114" s="459"/>
      <c r="C114" s="459"/>
      <c r="D114" s="459"/>
      <c r="E114" s="459"/>
      <c r="F114" s="459"/>
      <c r="G114" s="459"/>
      <c r="H114" s="467"/>
      <c r="I114" s="100" t="s">
        <v>353</v>
      </c>
      <c r="J114" s="18" t="s">
        <v>354</v>
      </c>
      <c r="K114" s="17">
        <v>46022</v>
      </c>
      <c r="L114" s="45"/>
      <c r="M114" s="45" t="s">
        <v>346</v>
      </c>
      <c r="N114" s="45" t="s">
        <v>269</v>
      </c>
      <c r="O114" s="7"/>
      <c r="P114" s="7"/>
      <c r="Q114" s="7"/>
      <c r="R114" s="7"/>
      <c r="S114" s="7"/>
      <c r="T114" s="7"/>
      <c r="U114" s="7"/>
    </row>
    <row r="115" spans="1:21" s="5" customFormat="1" ht="63">
      <c r="A115" s="457"/>
      <c r="B115" s="457"/>
      <c r="C115" s="457" t="s">
        <v>153</v>
      </c>
      <c r="D115" s="457" t="s">
        <v>154</v>
      </c>
      <c r="E115" s="457" t="s">
        <v>155</v>
      </c>
      <c r="F115" s="457">
        <v>32</v>
      </c>
      <c r="G115" s="457" t="s">
        <v>87</v>
      </c>
      <c r="H115" s="465">
        <v>0.5</v>
      </c>
      <c r="I115" s="100" t="s">
        <v>355</v>
      </c>
      <c r="J115" s="18">
        <v>45901</v>
      </c>
      <c r="K115" s="17">
        <v>46022</v>
      </c>
      <c r="L115" s="45"/>
      <c r="M115" s="45" t="s">
        <v>310</v>
      </c>
      <c r="N115" s="45" t="s">
        <v>269</v>
      </c>
      <c r="O115" s="7"/>
      <c r="P115" s="7"/>
      <c r="Q115" s="7"/>
      <c r="R115" s="7"/>
      <c r="S115" s="7"/>
      <c r="T115" s="7"/>
      <c r="U115" s="7"/>
    </row>
    <row r="116" spans="1:21" s="5" customFormat="1" ht="63">
      <c r="A116" s="458"/>
      <c r="B116" s="458"/>
      <c r="C116" s="458"/>
      <c r="D116" s="458"/>
      <c r="E116" s="458"/>
      <c r="F116" s="458"/>
      <c r="G116" s="458"/>
      <c r="H116" s="466"/>
      <c r="I116" s="100" t="s">
        <v>356</v>
      </c>
      <c r="J116" s="18">
        <v>45901</v>
      </c>
      <c r="K116" s="17">
        <v>46022</v>
      </c>
      <c r="L116" s="45"/>
      <c r="M116" s="45" t="s">
        <v>310</v>
      </c>
      <c r="N116" s="45" t="s">
        <v>269</v>
      </c>
      <c r="O116" s="7"/>
      <c r="P116" s="7"/>
      <c r="Q116" s="7"/>
      <c r="R116" s="7"/>
      <c r="S116" s="7"/>
      <c r="T116" s="7"/>
      <c r="U116" s="7"/>
    </row>
    <row r="117" spans="1:21" s="5" customFormat="1" ht="63">
      <c r="A117" s="458"/>
      <c r="B117" s="458"/>
      <c r="C117" s="458"/>
      <c r="D117" s="458"/>
      <c r="E117" s="458"/>
      <c r="F117" s="458"/>
      <c r="G117" s="458"/>
      <c r="H117" s="466"/>
      <c r="I117" s="100" t="s">
        <v>357</v>
      </c>
      <c r="J117" s="18">
        <v>45901</v>
      </c>
      <c r="K117" s="17">
        <v>46022</v>
      </c>
      <c r="L117" s="45"/>
      <c r="M117" s="45" t="s">
        <v>310</v>
      </c>
      <c r="N117" s="45" t="s">
        <v>269</v>
      </c>
      <c r="O117" s="7"/>
      <c r="P117" s="7"/>
      <c r="Q117" s="7"/>
      <c r="R117" s="7"/>
      <c r="S117" s="7"/>
      <c r="T117" s="7"/>
      <c r="U117" s="7"/>
    </row>
    <row r="118" spans="1:21" s="5" customFormat="1" ht="63">
      <c r="A118" s="458"/>
      <c r="B118" s="458"/>
      <c r="C118" s="458"/>
      <c r="D118" s="458"/>
      <c r="E118" s="458"/>
      <c r="F118" s="458"/>
      <c r="G118" s="458"/>
      <c r="H118" s="466"/>
      <c r="I118" s="100" t="s">
        <v>358</v>
      </c>
      <c r="J118" s="18">
        <v>45901</v>
      </c>
      <c r="K118" s="17">
        <v>46022</v>
      </c>
      <c r="L118" s="45"/>
      <c r="M118" s="45" t="s">
        <v>310</v>
      </c>
      <c r="N118" s="45" t="s">
        <v>269</v>
      </c>
      <c r="O118" s="7"/>
      <c r="P118" s="7"/>
      <c r="Q118" s="7"/>
      <c r="R118" s="7"/>
      <c r="S118" s="7"/>
      <c r="T118" s="7"/>
      <c r="U118" s="7"/>
    </row>
    <row r="119" spans="1:21" s="5" customFormat="1" ht="63">
      <c r="A119" s="458"/>
      <c r="B119" s="458"/>
      <c r="C119" s="458"/>
      <c r="D119" s="458"/>
      <c r="E119" s="458"/>
      <c r="F119" s="458"/>
      <c r="G119" s="458"/>
      <c r="H119" s="466"/>
      <c r="I119" s="100" t="s">
        <v>352</v>
      </c>
      <c r="J119" s="18">
        <v>45901</v>
      </c>
      <c r="K119" s="17">
        <v>46022</v>
      </c>
      <c r="L119" s="45"/>
      <c r="M119" s="45" t="s">
        <v>310</v>
      </c>
      <c r="N119" s="45" t="s">
        <v>269</v>
      </c>
      <c r="O119" s="7"/>
      <c r="P119" s="7"/>
      <c r="Q119" s="7"/>
      <c r="R119" s="7"/>
      <c r="S119" s="7"/>
      <c r="T119" s="7"/>
      <c r="U119" s="7"/>
    </row>
    <row r="120" spans="1:21" s="5" customFormat="1" ht="63">
      <c r="A120" s="458"/>
      <c r="B120" s="458"/>
      <c r="C120" s="458"/>
      <c r="D120" s="458"/>
      <c r="E120" s="458"/>
      <c r="F120" s="458"/>
      <c r="G120" s="458"/>
      <c r="H120" s="466"/>
      <c r="I120" s="100" t="s">
        <v>359</v>
      </c>
      <c r="J120" s="18">
        <v>45901</v>
      </c>
      <c r="K120" s="17">
        <v>46022</v>
      </c>
      <c r="L120" s="45"/>
      <c r="M120" s="45" t="s">
        <v>310</v>
      </c>
      <c r="N120" s="45" t="s">
        <v>269</v>
      </c>
      <c r="O120" s="7"/>
      <c r="P120" s="7"/>
      <c r="Q120" s="7"/>
      <c r="R120" s="7"/>
      <c r="S120" s="7"/>
      <c r="T120" s="7"/>
      <c r="U120" s="7"/>
    </row>
    <row r="121" spans="1:21" s="5" customFormat="1" ht="63">
      <c r="A121" s="458"/>
      <c r="B121" s="458"/>
      <c r="C121" s="458"/>
      <c r="D121" s="458"/>
      <c r="E121" s="458"/>
      <c r="F121" s="458"/>
      <c r="G121" s="458"/>
      <c r="H121" s="466"/>
      <c r="I121" s="100" t="s">
        <v>351</v>
      </c>
      <c r="J121" s="18">
        <v>45901</v>
      </c>
      <c r="K121" s="17">
        <v>46022</v>
      </c>
      <c r="L121" s="45"/>
      <c r="M121" s="45" t="s">
        <v>310</v>
      </c>
      <c r="N121" s="45" t="s">
        <v>269</v>
      </c>
      <c r="O121" s="7"/>
      <c r="P121" s="7"/>
      <c r="Q121" s="7"/>
      <c r="R121" s="7"/>
      <c r="S121" s="7"/>
      <c r="T121" s="7"/>
      <c r="U121" s="7"/>
    </row>
    <row r="122" spans="1:21" s="5" customFormat="1" ht="63">
      <c r="A122" s="459"/>
      <c r="B122" s="459"/>
      <c r="C122" s="459"/>
      <c r="D122" s="459"/>
      <c r="E122" s="459"/>
      <c r="F122" s="459"/>
      <c r="G122" s="459"/>
      <c r="H122" s="467"/>
      <c r="I122" s="100" t="s">
        <v>353</v>
      </c>
      <c r="J122" s="18">
        <v>45901</v>
      </c>
      <c r="K122" s="17">
        <v>46022</v>
      </c>
      <c r="L122" s="45"/>
      <c r="M122" s="45" t="s">
        <v>310</v>
      </c>
      <c r="N122" s="45" t="s">
        <v>269</v>
      </c>
      <c r="O122" s="7"/>
      <c r="P122" s="7"/>
      <c r="Q122" s="7"/>
      <c r="R122" s="7"/>
      <c r="S122" s="7"/>
      <c r="T122" s="7"/>
      <c r="U122" s="7"/>
    </row>
    <row r="123" spans="1:21" s="5" customFormat="1" ht="63">
      <c r="A123" s="457"/>
      <c r="B123" s="457"/>
      <c r="C123" s="457" t="s">
        <v>156</v>
      </c>
      <c r="D123" s="457" t="s">
        <v>157</v>
      </c>
      <c r="E123" s="457" t="s">
        <v>126</v>
      </c>
      <c r="F123" s="462" t="s">
        <v>158</v>
      </c>
      <c r="G123" s="457" t="s">
        <v>87</v>
      </c>
      <c r="H123" s="465">
        <v>0.05</v>
      </c>
      <c r="I123" s="100" t="s">
        <v>360</v>
      </c>
      <c r="J123" s="18">
        <v>45717</v>
      </c>
      <c r="K123" s="17">
        <v>46022</v>
      </c>
      <c r="L123" s="45"/>
      <c r="M123" s="45" t="s">
        <v>310</v>
      </c>
      <c r="N123" s="45" t="s">
        <v>269</v>
      </c>
      <c r="O123" s="7"/>
      <c r="P123" s="7"/>
      <c r="Q123" s="7"/>
      <c r="R123" s="7"/>
      <c r="S123" s="7"/>
      <c r="T123" s="7"/>
      <c r="U123" s="7"/>
    </row>
    <row r="124" spans="1:21" s="5" customFormat="1" ht="63">
      <c r="A124" s="458"/>
      <c r="B124" s="458"/>
      <c r="C124" s="458"/>
      <c r="D124" s="458"/>
      <c r="E124" s="458"/>
      <c r="F124" s="463"/>
      <c r="G124" s="458"/>
      <c r="H124" s="466"/>
      <c r="I124" s="100" t="s">
        <v>361</v>
      </c>
      <c r="J124" s="18">
        <v>45717</v>
      </c>
      <c r="K124" s="17">
        <v>46022</v>
      </c>
      <c r="L124" s="45"/>
      <c r="M124" s="45" t="s">
        <v>310</v>
      </c>
      <c r="N124" s="45" t="s">
        <v>269</v>
      </c>
      <c r="O124" s="7"/>
      <c r="P124" s="7"/>
      <c r="Q124" s="7"/>
      <c r="R124" s="7"/>
      <c r="S124" s="7"/>
      <c r="T124" s="7"/>
      <c r="U124" s="7"/>
    </row>
    <row r="125" spans="1:21" s="5" customFormat="1" ht="63">
      <c r="A125" s="459"/>
      <c r="B125" s="459"/>
      <c r="C125" s="459"/>
      <c r="D125" s="459"/>
      <c r="E125" s="459"/>
      <c r="F125" s="464"/>
      <c r="G125" s="459"/>
      <c r="H125" s="467"/>
      <c r="I125" s="100" t="s">
        <v>362</v>
      </c>
      <c r="J125" s="18">
        <v>45717</v>
      </c>
      <c r="K125" s="17">
        <v>46022</v>
      </c>
      <c r="L125" s="45"/>
      <c r="M125" s="45" t="s">
        <v>310</v>
      </c>
      <c r="N125" s="45" t="s">
        <v>269</v>
      </c>
      <c r="O125" s="7"/>
      <c r="P125" s="7"/>
      <c r="Q125" s="7"/>
      <c r="R125" s="7"/>
      <c r="S125" s="7"/>
      <c r="T125" s="7"/>
      <c r="U125" s="7"/>
    </row>
    <row r="126" spans="1:21" s="5" customFormat="1" ht="57" customHeight="1">
      <c r="A126" s="457"/>
      <c r="B126" s="457"/>
      <c r="C126" s="457" t="s">
        <v>159</v>
      </c>
      <c r="D126" s="457" t="s">
        <v>160</v>
      </c>
      <c r="E126" s="457" t="s">
        <v>161</v>
      </c>
      <c r="F126" s="457">
        <v>2</v>
      </c>
      <c r="G126" s="457" t="s">
        <v>87</v>
      </c>
      <c r="H126" s="379">
        <v>0.05</v>
      </c>
      <c r="I126" s="100" t="s">
        <v>363</v>
      </c>
      <c r="J126" s="18">
        <v>45717</v>
      </c>
      <c r="K126" s="17">
        <v>46022</v>
      </c>
      <c r="L126" s="45"/>
      <c r="M126" s="45" t="s">
        <v>364</v>
      </c>
      <c r="N126" s="45" t="s">
        <v>364</v>
      </c>
      <c r="O126" s="7"/>
      <c r="P126" s="7"/>
      <c r="Q126" s="7"/>
      <c r="R126" s="7"/>
      <c r="S126" s="7"/>
      <c r="T126" s="7"/>
      <c r="U126" s="7"/>
    </row>
    <row r="127" spans="1:21" s="5" customFormat="1" ht="48.75" customHeight="1">
      <c r="A127" s="459"/>
      <c r="B127" s="459"/>
      <c r="C127" s="459"/>
      <c r="D127" s="459"/>
      <c r="E127" s="459"/>
      <c r="F127" s="459"/>
      <c r="G127" s="459"/>
      <c r="H127" s="380"/>
      <c r="I127" s="100" t="s">
        <v>365</v>
      </c>
      <c r="J127" s="18">
        <v>45717</v>
      </c>
      <c r="K127" s="17">
        <v>46022</v>
      </c>
      <c r="L127" s="45"/>
      <c r="M127" s="45" t="s">
        <v>364</v>
      </c>
      <c r="N127" s="45" t="s">
        <v>364</v>
      </c>
      <c r="O127" s="7"/>
      <c r="P127" s="7"/>
      <c r="Q127" s="7"/>
      <c r="R127" s="7"/>
      <c r="S127" s="7"/>
      <c r="T127" s="7"/>
      <c r="U127" s="7"/>
    </row>
    <row r="128" spans="1:21" s="5" customFormat="1" ht="51" customHeight="1">
      <c r="A128" s="457"/>
      <c r="B128" s="457"/>
      <c r="C128" s="457" t="s">
        <v>163</v>
      </c>
      <c r="D128" s="457" t="s">
        <v>164</v>
      </c>
      <c r="E128" s="457" t="s">
        <v>165</v>
      </c>
      <c r="F128" s="462">
        <v>1</v>
      </c>
      <c r="G128" s="457" t="s">
        <v>87</v>
      </c>
      <c r="H128" s="465">
        <v>0.05</v>
      </c>
      <c r="I128" s="100" t="s">
        <v>366</v>
      </c>
      <c r="J128" s="18">
        <v>45717</v>
      </c>
      <c r="K128" s="17">
        <v>46022</v>
      </c>
      <c r="L128" s="45"/>
      <c r="M128" s="45" t="s">
        <v>367</v>
      </c>
      <c r="N128" s="45" t="s">
        <v>269</v>
      </c>
      <c r="O128" s="7"/>
      <c r="P128" s="7"/>
      <c r="Q128" s="7"/>
      <c r="R128" s="7"/>
      <c r="S128" s="7"/>
      <c r="T128" s="7"/>
      <c r="U128" s="7"/>
    </row>
    <row r="129" spans="1:21" s="5" customFormat="1" ht="43.5" customHeight="1">
      <c r="A129" s="458"/>
      <c r="B129" s="458"/>
      <c r="C129" s="458"/>
      <c r="D129" s="458"/>
      <c r="E129" s="458"/>
      <c r="F129" s="463"/>
      <c r="G129" s="458"/>
      <c r="H129" s="466"/>
      <c r="I129" s="100" t="s">
        <v>368</v>
      </c>
      <c r="J129" s="18">
        <v>45717</v>
      </c>
      <c r="K129" s="17">
        <v>46022</v>
      </c>
      <c r="L129" s="45"/>
      <c r="M129" s="45" t="s">
        <v>367</v>
      </c>
      <c r="N129" s="45" t="s">
        <v>269</v>
      </c>
      <c r="O129" s="7"/>
      <c r="P129" s="7"/>
      <c r="Q129" s="7"/>
      <c r="R129" s="7"/>
      <c r="S129" s="7"/>
      <c r="T129" s="7"/>
      <c r="U129" s="7"/>
    </row>
    <row r="130" spans="1:21" s="5" customFormat="1" ht="43.5" customHeight="1">
      <c r="A130" s="458"/>
      <c r="B130" s="458"/>
      <c r="C130" s="458"/>
      <c r="D130" s="458"/>
      <c r="E130" s="458"/>
      <c r="F130" s="463"/>
      <c r="G130" s="458"/>
      <c r="H130" s="466"/>
      <c r="I130" s="100" t="s">
        <v>369</v>
      </c>
      <c r="J130" s="18">
        <v>45717</v>
      </c>
      <c r="K130" s="17">
        <v>46022</v>
      </c>
      <c r="L130" s="45"/>
      <c r="M130" s="45" t="s">
        <v>367</v>
      </c>
      <c r="N130" s="45" t="s">
        <v>269</v>
      </c>
      <c r="O130" s="7"/>
      <c r="P130" s="7"/>
      <c r="Q130" s="7"/>
      <c r="R130" s="7"/>
      <c r="S130" s="7"/>
      <c r="T130" s="7"/>
      <c r="U130" s="7"/>
    </row>
    <row r="131" spans="1:21" s="5" customFormat="1" ht="43.5" customHeight="1">
      <c r="A131" s="459"/>
      <c r="B131" s="459"/>
      <c r="C131" s="459"/>
      <c r="D131" s="459"/>
      <c r="E131" s="459"/>
      <c r="F131" s="464"/>
      <c r="G131" s="459"/>
      <c r="H131" s="467"/>
      <c r="I131" s="100" t="s">
        <v>370</v>
      </c>
      <c r="J131" s="18">
        <v>45717</v>
      </c>
      <c r="K131" s="17">
        <v>46022</v>
      </c>
      <c r="L131" s="45"/>
      <c r="M131" s="45" t="s">
        <v>367</v>
      </c>
      <c r="N131" s="45" t="s">
        <v>269</v>
      </c>
      <c r="O131" s="7"/>
      <c r="P131" s="7"/>
      <c r="Q131" s="7"/>
      <c r="R131" s="7"/>
      <c r="S131" s="7"/>
      <c r="T131" s="7"/>
      <c r="U131" s="7"/>
    </row>
    <row r="132" spans="1:21" s="5" customFormat="1" ht="53.25" customHeight="1">
      <c r="A132" s="457"/>
      <c r="B132" s="457"/>
      <c r="C132" s="457" t="s">
        <v>166</v>
      </c>
      <c r="D132" s="457" t="s">
        <v>167</v>
      </c>
      <c r="E132" s="457" t="s">
        <v>168</v>
      </c>
      <c r="F132" s="457" t="s">
        <v>169</v>
      </c>
      <c r="G132" s="457" t="s">
        <v>87</v>
      </c>
      <c r="H132" s="465">
        <v>0.05</v>
      </c>
      <c r="I132" s="100" t="s">
        <v>371</v>
      </c>
      <c r="J132" s="18">
        <v>45717</v>
      </c>
      <c r="K132" s="17">
        <v>46022</v>
      </c>
      <c r="L132" s="45"/>
      <c r="M132" s="45" t="s">
        <v>95</v>
      </c>
      <c r="N132" s="45" t="s">
        <v>99</v>
      </c>
      <c r="O132" s="7"/>
      <c r="P132" s="7"/>
      <c r="Q132" s="7"/>
      <c r="R132" s="7"/>
      <c r="S132" s="7"/>
      <c r="T132" s="7"/>
      <c r="U132" s="7"/>
    </row>
    <row r="133" spans="1:21" s="5" customFormat="1" ht="53.25" customHeight="1">
      <c r="A133" s="458"/>
      <c r="B133" s="458"/>
      <c r="C133" s="458"/>
      <c r="D133" s="458"/>
      <c r="E133" s="458"/>
      <c r="F133" s="458"/>
      <c r="G133" s="458"/>
      <c r="H133" s="466"/>
      <c r="I133" s="100" t="s">
        <v>372</v>
      </c>
      <c r="J133" s="18">
        <v>45717</v>
      </c>
      <c r="K133" s="17">
        <v>46022</v>
      </c>
      <c r="L133" s="45"/>
      <c r="M133" s="45" t="s">
        <v>95</v>
      </c>
      <c r="N133" s="45" t="s">
        <v>99</v>
      </c>
      <c r="O133" s="7"/>
      <c r="P133" s="7"/>
      <c r="Q133" s="7"/>
      <c r="R133" s="7"/>
      <c r="S133" s="7"/>
      <c r="T133" s="7"/>
      <c r="U133" s="7"/>
    </row>
    <row r="134" spans="1:21" s="5" customFormat="1" ht="53.25" customHeight="1">
      <c r="A134" s="458"/>
      <c r="B134" s="458"/>
      <c r="C134" s="458"/>
      <c r="D134" s="458"/>
      <c r="E134" s="458"/>
      <c r="F134" s="458"/>
      <c r="G134" s="458"/>
      <c r="H134" s="466"/>
      <c r="I134" s="100" t="s">
        <v>373</v>
      </c>
      <c r="J134" s="18">
        <v>45717</v>
      </c>
      <c r="K134" s="17">
        <v>46022</v>
      </c>
      <c r="L134" s="45"/>
      <c r="M134" s="45" t="s">
        <v>95</v>
      </c>
      <c r="N134" s="45" t="s">
        <v>99</v>
      </c>
      <c r="O134" s="7"/>
      <c r="P134" s="7"/>
      <c r="Q134" s="7"/>
      <c r="R134" s="7"/>
      <c r="S134" s="7"/>
      <c r="T134" s="7"/>
      <c r="U134" s="7"/>
    </row>
    <row r="135" spans="1:21" s="5" customFormat="1" ht="53.25" customHeight="1">
      <c r="A135" s="459"/>
      <c r="B135" s="459"/>
      <c r="C135" s="459"/>
      <c r="D135" s="459"/>
      <c r="E135" s="459"/>
      <c r="F135" s="459"/>
      <c r="G135" s="459"/>
      <c r="H135" s="467"/>
      <c r="I135" s="100" t="s">
        <v>374</v>
      </c>
      <c r="J135" s="18">
        <v>45717</v>
      </c>
      <c r="K135" s="17">
        <v>46022</v>
      </c>
      <c r="L135" s="45"/>
      <c r="M135" s="45" t="s">
        <v>95</v>
      </c>
      <c r="N135" s="45" t="s">
        <v>99</v>
      </c>
      <c r="O135" s="7"/>
      <c r="P135" s="7"/>
      <c r="Q135" s="7"/>
      <c r="R135" s="7"/>
      <c r="S135" s="7"/>
      <c r="T135" s="7"/>
      <c r="U135" s="7"/>
    </row>
    <row r="136" spans="1:21" s="5" customFormat="1" ht="38.1" customHeight="1">
      <c r="A136" s="10">
        <v>6</v>
      </c>
      <c r="B136" s="10" t="s">
        <v>170</v>
      </c>
      <c r="C136" s="10" t="s">
        <v>21</v>
      </c>
      <c r="D136" s="11" t="s">
        <v>171</v>
      </c>
      <c r="E136" s="40"/>
      <c r="F136" s="40"/>
      <c r="G136" s="40"/>
      <c r="H136" s="23">
        <v>0.1</v>
      </c>
      <c r="I136" s="23"/>
      <c r="J136" s="19"/>
      <c r="K136" s="19"/>
      <c r="L136" s="10"/>
      <c r="M136" s="10"/>
      <c r="N136" s="10"/>
      <c r="O136" s="7"/>
      <c r="P136" s="7"/>
      <c r="Q136" s="7"/>
      <c r="R136" s="7"/>
      <c r="S136" s="7"/>
      <c r="T136" s="7"/>
      <c r="U136" s="7"/>
    </row>
    <row r="137" spans="1:21" s="5" customFormat="1" ht="69" customHeight="1">
      <c r="A137" s="457"/>
      <c r="B137" s="457"/>
      <c r="C137" s="457" t="s">
        <v>22</v>
      </c>
      <c r="D137" s="457" t="s">
        <v>172</v>
      </c>
      <c r="E137" s="457" t="s">
        <v>173</v>
      </c>
      <c r="F137" s="462">
        <v>1</v>
      </c>
      <c r="G137" s="457" t="s">
        <v>87</v>
      </c>
      <c r="H137" s="465">
        <v>0.2</v>
      </c>
      <c r="I137" s="100" t="s">
        <v>366</v>
      </c>
      <c r="J137" s="18">
        <v>45717</v>
      </c>
      <c r="K137" s="17">
        <v>46022</v>
      </c>
      <c r="L137" s="45"/>
      <c r="M137" s="45" t="s">
        <v>310</v>
      </c>
      <c r="N137" s="45" t="s">
        <v>269</v>
      </c>
      <c r="O137" s="7"/>
      <c r="P137" s="7"/>
      <c r="Q137" s="7"/>
      <c r="R137" s="7"/>
      <c r="S137" s="7"/>
      <c r="T137" s="7"/>
      <c r="U137" s="7"/>
    </row>
    <row r="138" spans="1:21" s="5" customFormat="1" ht="69" customHeight="1">
      <c r="A138" s="459"/>
      <c r="B138" s="459"/>
      <c r="C138" s="459"/>
      <c r="D138" s="459"/>
      <c r="E138" s="459"/>
      <c r="F138" s="464"/>
      <c r="G138" s="459"/>
      <c r="H138" s="467"/>
      <c r="I138" s="100" t="s">
        <v>375</v>
      </c>
      <c r="J138" s="18">
        <v>45717</v>
      </c>
      <c r="K138" s="17">
        <v>46022</v>
      </c>
      <c r="L138" s="45"/>
      <c r="M138" s="45" t="s">
        <v>310</v>
      </c>
      <c r="N138" s="45" t="s">
        <v>269</v>
      </c>
      <c r="O138" s="7"/>
      <c r="P138" s="7"/>
      <c r="Q138" s="7"/>
      <c r="R138" s="7"/>
      <c r="S138" s="7"/>
      <c r="T138" s="7"/>
      <c r="U138" s="7"/>
    </row>
    <row r="139" spans="1:21" s="6" customFormat="1" ht="85.5" customHeight="1">
      <c r="A139" s="457"/>
      <c r="B139" s="457"/>
      <c r="C139" s="457" t="s">
        <v>174</v>
      </c>
      <c r="D139" s="457" t="s">
        <v>175</v>
      </c>
      <c r="E139" s="457" t="s">
        <v>176</v>
      </c>
      <c r="F139" s="457">
        <v>8</v>
      </c>
      <c r="G139" s="457" t="s">
        <v>87</v>
      </c>
      <c r="H139" s="465">
        <v>0.4</v>
      </c>
      <c r="I139" s="100" t="s">
        <v>376</v>
      </c>
      <c r="J139" s="18">
        <v>45717</v>
      </c>
      <c r="K139" s="17">
        <v>46022</v>
      </c>
      <c r="L139" s="45"/>
      <c r="M139" s="45" t="s">
        <v>310</v>
      </c>
      <c r="N139" s="45" t="s">
        <v>377</v>
      </c>
      <c r="O139" s="7"/>
      <c r="P139" s="7"/>
      <c r="Q139" s="7"/>
      <c r="R139" s="7"/>
      <c r="S139" s="7"/>
      <c r="T139" s="7"/>
      <c r="U139" s="7"/>
    </row>
    <row r="140" spans="1:21" s="6" customFormat="1" ht="63.75" customHeight="1">
      <c r="A140" s="458"/>
      <c r="B140" s="458"/>
      <c r="C140" s="458"/>
      <c r="D140" s="458"/>
      <c r="E140" s="458"/>
      <c r="F140" s="458"/>
      <c r="G140" s="458"/>
      <c r="H140" s="466"/>
      <c r="I140" s="100" t="s">
        <v>378</v>
      </c>
      <c r="J140" s="18">
        <v>45717</v>
      </c>
      <c r="K140" s="17">
        <v>46022</v>
      </c>
      <c r="L140" s="45"/>
      <c r="M140" s="45" t="s">
        <v>310</v>
      </c>
      <c r="N140" s="45" t="s">
        <v>377</v>
      </c>
      <c r="O140" s="7"/>
      <c r="P140" s="7"/>
      <c r="Q140" s="7"/>
      <c r="R140" s="7"/>
      <c r="S140" s="7"/>
      <c r="T140" s="7"/>
      <c r="U140" s="7"/>
    </row>
    <row r="141" spans="1:21" s="6" customFormat="1" ht="63.75" customHeight="1">
      <c r="A141" s="458"/>
      <c r="B141" s="458"/>
      <c r="C141" s="458"/>
      <c r="D141" s="458"/>
      <c r="E141" s="458"/>
      <c r="F141" s="458"/>
      <c r="G141" s="458"/>
      <c r="H141" s="466"/>
      <c r="I141" s="100" t="s">
        <v>379</v>
      </c>
      <c r="J141" s="18">
        <v>45717</v>
      </c>
      <c r="K141" s="17">
        <v>46022</v>
      </c>
      <c r="L141" s="45"/>
      <c r="M141" s="45" t="s">
        <v>310</v>
      </c>
      <c r="N141" s="45" t="s">
        <v>377</v>
      </c>
      <c r="O141" s="7"/>
      <c r="P141" s="7"/>
      <c r="Q141" s="7"/>
      <c r="R141" s="7"/>
      <c r="S141" s="7"/>
      <c r="T141" s="7"/>
      <c r="U141" s="7"/>
    </row>
    <row r="142" spans="1:21" s="6" customFormat="1" ht="63.75" customHeight="1">
      <c r="A142" s="459"/>
      <c r="B142" s="459"/>
      <c r="C142" s="459"/>
      <c r="D142" s="459"/>
      <c r="E142" s="459"/>
      <c r="F142" s="459"/>
      <c r="G142" s="459"/>
      <c r="H142" s="467"/>
      <c r="I142" s="100" t="s">
        <v>380</v>
      </c>
      <c r="J142" s="18">
        <v>45717</v>
      </c>
      <c r="K142" s="17">
        <v>46022</v>
      </c>
      <c r="L142" s="45"/>
      <c r="M142" s="45" t="s">
        <v>310</v>
      </c>
      <c r="N142" s="45" t="s">
        <v>377</v>
      </c>
      <c r="O142" s="7"/>
      <c r="P142" s="7"/>
      <c r="Q142" s="7"/>
      <c r="R142" s="7"/>
      <c r="S142" s="7"/>
      <c r="T142" s="7"/>
      <c r="U142" s="7"/>
    </row>
    <row r="143" spans="1:21" s="6" customFormat="1" ht="74.25" customHeight="1">
      <c r="A143" s="457"/>
      <c r="B143" s="457"/>
      <c r="C143" s="457" t="s">
        <v>178</v>
      </c>
      <c r="D143" s="457" t="s">
        <v>182</v>
      </c>
      <c r="E143" s="457" t="s">
        <v>183</v>
      </c>
      <c r="F143" s="462">
        <v>1</v>
      </c>
      <c r="G143" s="457" t="s">
        <v>91</v>
      </c>
      <c r="H143" s="465">
        <v>0.3</v>
      </c>
      <c r="I143" s="100" t="s">
        <v>381</v>
      </c>
      <c r="J143" s="18">
        <v>45717</v>
      </c>
      <c r="K143" s="17" t="s">
        <v>264</v>
      </c>
      <c r="L143" s="45"/>
      <c r="M143" s="45" t="s">
        <v>310</v>
      </c>
      <c r="N143" s="45" t="s">
        <v>269</v>
      </c>
      <c r="O143" s="7"/>
      <c r="P143" s="7"/>
      <c r="Q143" s="7"/>
      <c r="R143" s="7"/>
      <c r="S143" s="7"/>
      <c r="T143" s="7"/>
      <c r="U143" s="7"/>
    </row>
    <row r="144" spans="1:21" s="6" customFormat="1" ht="74.25" customHeight="1">
      <c r="A144" s="458"/>
      <c r="B144" s="458"/>
      <c r="C144" s="458"/>
      <c r="D144" s="458"/>
      <c r="E144" s="458"/>
      <c r="F144" s="463"/>
      <c r="G144" s="458"/>
      <c r="H144" s="466"/>
      <c r="I144" s="100" t="s">
        <v>382</v>
      </c>
      <c r="J144" s="18">
        <v>45717</v>
      </c>
      <c r="K144" s="17" t="s">
        <v>264</v>
      </c>
      <c r="L144" s="45"/>
      <c r="M144" s="45" t="s">
        <v>310</v>
      </c>
      <c r="N144" s="45" t="s">
        <v>269</v>
      </c>
      <c r="O144" s="7"/>
      <c r="P144" s="7"/>
      <c r="Q144" s="7"/>
      <c r="R144" s="7"/>
      <c r="S144" s="7"/>
      <c r="T144" s="7"/>
      <c r="U144" s="7"/>
    </row>
    <row r="145" spans="1:21" s="6" customFormat="1" ht="74.25" customHeight="1">
      <c r="A145" s="459"/>
      <c r="B145" s="459"/>
      <c r="C145" s="459"/>
      <c r="D145" s="459"/>
      <c r="E145" s="459"/>
      <c r="F145" s="464"/>
      <c r="G145" s="459"/>
      <c r="H145" s="467"/>
      <c r="I145" s="100" t="s">
        <v>383</v>
      </c>
      <c r="J145" s="18">
        <v>45717</v>
      </c>
      <c r="K145" s="17" t="s">
        <v>264</v>
      </c>
      <c r="L145" s="45"/>
      <c r="M145" s="45" t="s">
        <v>310</v>
      </c>
      <c r="N145" s="45" t="s">
        <v>269</v>
      </c>
      <c r="O145" s="7"/>
      <c r="P145" s="7"/>
      <c r="Q145" s="7"/>
      <c r="R145" s="7"/>
      <c r="S145" s="7"/>
      <c r="T145" s="7"/>
      <c r="U145" s="7"/>
    </row>
    <row r="146" spans="1:21" s="6" customFormat="1" ht="81" customHeight="1">
      <c r="A146" s="457"/>
      <c r="B146" s="457"/>
      <c r="C146" s="457" t="s">
        <v>181</v>
      </c>
      <c r="D146" s="457" t="s">
        <v>195</v>
      </c>
      <c r="E146" s="457" t="s">
        <v>138</v>
      </c>
      <c r="F146" s="462">
        <v>1</v>
      </c>
      <c r="G146" s="457" t="s">
        <v>87</v>
      </c>
      <c r="H146" s="465">
        <v>0.1</v>
      </c>
      <c r="I146" s="100" t="s">
        <v>366</v>
      </c>
      <c r="J146" s="18">
        <v>45717</v>
      </c>
      <c r="K146" s="17">
        <v>46022</v>
      </c>
      <c r="L146" s="45"/>
      <c r="M146" s="45" t="s">
        <v>367</v>
      </c>
      <c r="N146" s="45" t="s">
        <v>269</v>
      </c>
      <c r="O146" s="7"/>
      <c r="P146" s="7"/>
      <c r="Q146" s="7"/>
      <c r="R146" s="7"/>
      <c r="S146" s="7"/>
      <c r="T146" s="7"/>
      <c r="U146" s="7"/>
    </row>
    <row r="147" spans="1:21" s="6" customFormat="1" ht="55.5" customHeight="1">
      <c r="A147" s="458"/>
      <c r="B147" s="458"/>
      <c r="C147" s="458"/>
      <c r="D147" s="458"/>
      <c r="E147" s="458"/>
      <c r="F147" s="463"/>
      <c r="G147" s="458"/>
      <c r="H147" s="466"/>
      <c r="I147" s="100" t="s">
        <v>351</v>
      </c>
      <c r="J147" s="18">
        <v>45717</v>
      </c>
      <c r="K147" s="17">
        <v>46022</v>
      </c>
      <c r="L147" s="45"/>
      <c r="M147" s="45" t="s">
        <v>367</v>
      </c>
      <c r="N147" s="45" t="s">
        <v>269</v>
      </c>
      <c r="O147" s="7"/>
      <c r="P147" s="7"/>
      <c r="Q147" s="7"/>
      <c r="R147" s="7"/>
      <c r="S147" s="7"/>
      <c r="T147" s="7"/>
      <c r="U147" s="7"/>
    </row>
    <row r="148" spans="1:21" s="6" customFormat="1" ht="55.5" customHeight="1">
      <c r="A148" s="459"/>
      <c r="B148" s="459"/>
      <c r="C148" s="459"/>
      <c r="D148" s="459"/>
      <c r="E148" s="459"/>
      <c r="F148" s="464"/>
      <c r="G148" s="459"/>
      <c r="H148" s="467"/>
      <c r="I148" s="100" t="s">
        <v>370</v>
      </c>
      <c r="J148" s="18">
        <v>45717</v>
      </c>
      <c r="K148" s="17">
        <v>46022</v>
      </c>
      <c r="L148" s="45"/>
      <c r="M148" s="45" t="s">
        <v>367</v>
      </c>
      <c r="N148" s="45" t="s">
        <v>269</v>
      </c>
      <c r="O148" s="7"/>
      <c r="P148" s="7"/>
      <c r="Q148" s="7"/>
      <c r="R148" s="7"/>
      <c r="S148" s="7"/>
      <c r="T148" s="7"/>
      <c r="U148" s="7"/>
    </row>
    <row r="149" spans="1:21" s="5" customFormat="1" ht="38.1" customHeight="1">
      <c r="A149" s="10">
        <v>7</v>
      </c>
      <c r="B149" s="10" t="s">
        <v>94</v>
      </c>
      <c r="C149" s="10" t="s">
        <v>25</v>
      </c>
      <c r="D149" s="11" t="s">
        <v>30</v>
      </c>
      <c r="E149" s="60"/>
      <c r="F149" s="60"/>
      <c r="G149" s="60"/>
      <c r="H149" s="23">
        <v>0.05</v>
      </c>
      <c r="I149" s="61"/>
      <c r="J149" s="19"/>
      <c r="K149" s="19"/>
      <c r="L149" s="10"/>
      <c r="M149" s="10"/>
      <c r="N149" s="10"/>
      <c r="O149" s="7"/>
      <c r="P149" s="7"/>
      <c r="Q149" s="7"/>
      <c r="R149" s="7"/>
      <c r="S149" s="7"/>
      <c r="T149" s="7"/>
      <c r="U149" s="7"/>
    </row>
    <row r="150" spans="1:21" s="5" customFormat="1" ht="75" customHeight="1">
      <c r="A150" s="457"/>
      <c r="B150" s="457"/>
      <c r="C150" s="457" t="s">
        <v>26</v>
      </c>
      <c r="D150" s="457" t="s">
        <v>196</v>
      </c>
      <c r="E150" s="457" t="s">
        <v>119</v>
      </c>
      <c r="F150" s="457">
        <v>1</v>
      </c>
      <c r="G150" s="457" t="s">
        <v>197</v>
      </c>
      <c r="H150" s="465">
        <v>0.6</v>
      </c>
      <c r="I150" s="100" t="s">
        <v>384</v>
      </c>
      <c r="J150" s="18">
        <v>45717</v>
      </c>
      <c r="K150" s="17" t="s">
        <v>264</v>
      </c>
      <c r="L150" s="45"/>
      <c r="M150" s="45" t="s">
        <v>310</v>
      </c>
      <c r="N150" s="45" t="s">
        <v>269</v>
      </c>
      <c r="O150" s="7"/>
      <c r="P150" s="7"/>
      <c r="Q150" s="7"/>
      <c r="R150" s="7"/>
      <c r="S150" s="7"/>
      <c r="T150" s="7"/>
      <c r="U150" s="7"/>
    </row>
    <row r="151" spans="1:21" s="5" customFormat="1" ht="75" customHeight="1">
      <c r="A151" s="458"/>
      <c r="B151" s="458"/>
      <c r="C151" s="458"/>
      <c r="D151" s="458"/>
      <c r="E151" s="458"/>
      <c r="F151" s="458"/>
      <c r="G151" s="458"/>
      <c r="H151" s="466"/>
      <c r="I151" s="100" t="s">
        <v>385</v>
      </c>
      <c r="J151" s="18">
        <v>45717</v>
      </c>
      <c r="K151" s="17" t="s">
        <v>264</v>
      </c>
      <c r="L151" s="45"/>
      <c r="M151" s="45" t="s">
        <v>310</v>
      </c>
      <c r="N151" s="45" t="s">
        <v>269</v>
      </c>
      <c r="O151" s="7"/>
      <c r="P151" s="7"/>
      <c r="Q151" s="7"/>
      <c r="R151" s="7"/>
      <c r="S151" s="7"/>
      <c r="T151" s="7"/>
      <c r="U151" s="7"/>
    </row>
    <row r="152" spans="1:21" s="5" customFormat="1" ht="75" customHeight="1">
      <c r="A152" s="459"/>
      <c r="B152" s="459"/>
      <c r="C152" s="459"/>
      <c r="D152" s="459"/>
      <c r="E152" s="459"/>
      <c r="F152" s="459"/>
      <c r="G152" s="459"/>
      <c r="H152" s="467"/>
      <c r="I152" s="100" t="s">
        <v>386</v>
      </c>
      <c r="J152" s="18">
        <v>45717</v>
      </c>
      <c r="K152" s="17" t="s">
        <v>264</v>
      </c>
      <c r="L152" s="45"/>
      <c r="M152" s="45" t="s">
        <v>310</v>
      </c>
      <c r="N152" s="45" t="s">
        <v>269</v>
      </c>
      <c r="O152" s="7"/>
      <c r="P152" s="7"/>
      <c r="Q152" s="7"/>
      <c r="R152" s="7"/>
      <c r="S152" s="7"/>
      <c r="T152" s="7"/>
      <c r="U152" s="7"/>
    </row>
    <row r="153" spans="1:21" s="6" customFormat="1" ht="72.75" customHeight="1">
      <c r="A153" s="457"/>
      <c r="B153" s="457"/>
      <c r="C153" s="457" t="s">
        <v>199</v>
      </c>
      <c r="D153" s="457" t="s">
        <v>200</v>
      </c>
      <c r="E153" s="457" t="s">
        <v>119</v>
      </c>
      <c r="F153" s="457">
        <v>1</v>
      </c>
      <c r="G153" s="457" t="s">
        <v>201</v>
      </c>
      <c r="H153" s="465">
        <v>0.2</v>
      </c>
      <c r="I153" s="100" t="s">
        <v>384</v>
      </c>
      <c r="J153" s="18">
        <v>45717</v>
      </c>
      <c r="K153" s="17" t="s">
        <v>387</v>
      </c>
      <c r="L153" s="45"/>
      <c r="M153" s="45" t="s">
        <v>310</v>
      </c>
      <c r="N153" s="45" t="s">
        <v>269</v>
      </c>
      <c r="O153" s="7"/>
      <c r="P153" s="7"/>
      <c r="Q153" s="7"/>
      <c r="R153" s="7"/>
      <c r="S153" s="7"/>
      <c r="T153" s="7"/>
      <c r="U153" s="7"/>
    </row>
    <row r="154" spans="1:21" s="6" customFormat="1" ht="72.75" customHeight="1">
      <c r="A154" s="458"/>
      <c r="B154" s="458"/>
      <c r="C154" s="458"/>
      <c r="D154" s="458"/>
      <c r="E154" s="458"/>
      <c r="F154" s="458"/>
      <c r="G154" s="458"/>
      <c r="H154" s="466"/>
      <c r="I154" s="100" t="s">
        <v>385</v>
      </c>
      <c r="J154" s="18">
        <v>45717</v>
      </c>
      <c r="K154" s="17" t="s">
        <v>387</v>
      </c>
      <c r="L154" s="45"/>
      <c r="M154" s="45" t="s">
        <v>310</v>
      </c>
      <c r="N154" s="45" t="s">
        <v>269</v>
      </c>
      <c r="O154" s="106"/>
      <c r="P154" s="7"/>
      <c r="Q154" s="7"/>
      <c r="R154" s="7"/>
      <c r="S154" s="7"/>
      <c r="T154" s="7"/>
      <c r="U154" s="7"/>
    </row>
    <row r="155" spans="1:21" s="6" customFormat="1" ht="72.75" customHeight="1">
      <c r="A155" s="459"/>
      <c r="B155" s="459"/>
      <c r="C155" s="459"/>
      <c r="D155" s="459"/>
      <c r="E155" s="459"/>
      <c r="F155" s="459"/>
      <c r="G155" s="459"/>
      <c r="H155" s="467"/>
      <c r="I155" s="100" t="s">
        <v>386</v>
      </c>
      <c r="J155" s="18">
        <v>45717</v>
      </c>
      <c r="K155" s="17" t="s">
        <v>387</v>
      </c>
      <c r="L155" s="45"/>
      <c r="M155" s="45" t="s">
        <v>310</v>
      </c>
      <c r="N155" s="45" t="s">
        <v>269</v>
      </c>
      <c r="O155" s="106"/>
      <c r="P155" s="7"/>
      <c r="Q155" s="7"/>
      <c r="R155" s="7"/>
      <c r="S155" s="7"/>
      <c r="T155" s="7"/>
      <c r="U155" s="7"/>
    </row>
    <row r="156" spans="1:21" s="6" customFormat="1" ht="72.75" customHeight="1">
      <c r="A156" s="457"/>
      <c r="B156" s="457"/>
      <c r="C156" s="457" t="s">
        <v>202</v>
      </c>
      <c r="D156" s="457" t="s">
        <v>203</v>
      </c>
      <c r="E156" s="457" t="s">
        <v>119</v>
      </c>
      <c r="F156" s="457">
        <v>5</v>
      </c>
      <c r="G156" s="457" t="s">
        <v>87</v>
      </c>
      <c r="H156" s="465">
        <v>0.2</v>
      </c>
      <c r="I156" s="100" t="s">
        <v>384</v>
      </c>
      <c r="J156" s="18">
        <v>45717</v>
      </c>
      <c r="K156" s="17">
        <v>46022</v>
      </c>
      <c r="L156" s="45"/>
      <c r="M156" s="45" t="s">
        <v>310</v>
      </c>
      <c r="N156" s="45" t="s">
        <v>364</v>
      </c>
      <c r="O156" s="7"/>
      <c r="P156" s="7"/>
      <c r="Q156" s="7"/>
      <c r="R156" s="7"/>
      <c r="S156" s="7"/>
      <c r="T156" s="7"/>
      <c r="U156" s="7"/>
    </row>
    <row r="157" spans="1:21" s="6" customFormat="1" ht="72.75" customHeight="1">
      <c r="A157" s="458"/>
      <c r="B157" s="458"/>
      <c r="C157" s="458"/>
      <c r="D157" s="458"/>
      <c r="E157" s="458"/>
      <c r="F157" s="458"/>
      <c r="G157" s="458"/>
      <c r="H157" s="466"/>
      <c r="I157" s="100" t="s">
        <v>385</v>
      </c>
      <c r="J157" s="18">
        <v>45717</v>
      </c>
      <c r="K157" s="17">
        <v>46022</v>
      </c>
      <c r="L157" s="45"/>
      <c r="M157" s="45" t="s">
        <v>310</v>
      </c>
      <c r="N157" s="45" t="s">
        <v>364</v>
      </c>
      <c r="O157" s="7"/>
      <c r="P157" s="7"/>
      <c r="Q157" s="7"/>
      <c r="R157" s="7"/>
      <c r="S157" s="7"/>
      <c r="T157" s="7"/>
      <c r="U157" s="7"/>
    </row>
    <row r="158" spans="1:21" s="6" customFormat="1" ht="72.75" customHeight="1">
      <c r="A158" s="459"/>
      <c r="B158" s="459"/>
      <c r="C158" s="459"/>
      <c r="D158" s="459"/>
      <c r="E158" s="459"/>
      <c r="F158" s="459"/>
      <c r="G158" s="459"/>
      <c r="H158" s="467"/>
      <c r="I158" s="100" t="s">
        <v>386</v>
      </c>
      <c r="J158" s="18">
        <v>45717</v>
      </c>
      <c r="K158" s="17">
        <v>46022</v>
      </c>
      <c r="L158" s="45"/>
      <c r="M158" s="45" t="s">
        <v>310</v>
      </c>
      <c r="N158" s="45" t="s">
        <v>364</v>
      </c>
      <c r="O158" s="7"/>
      <c r="P158" s="7"/>
      <c r="Q158" s="7"/>
      <c r="R158" s="7"/>
      <c r="S158" s="7"/>
      <c r="T158" s="7"/>
      <c r="U158" s="7"/>
    </row>
    <row r="159" spans="1:21" s="6" customFormat="1" ht="55.9" customHeight="1">
      <c r="A159" s="107"/>
      <c r="B159" s="107"/>
      <c r="C159" s="107"/>
      <c r="D159" s="65"/>
      <c r="E159" s="66"/>
      <c r="F159" s="66"/>
      <c r="G159" s="66"/>
      <c r="H159" s="67">
        <f>H3+H47+H58+H81+H106+H136+H149</f>
        <v>1</v>
      </c>
      <c r="I159" s="9"/>
      <c r="J159" s="68"/>
      <c r="K159" s="69"/>
      <c r="L159" s="70"/>
      <c r="M159" s="70"/>
      <c r="N159" s="70"/>
      <c r="O159" s="4"/>
      <c r="P159" s="4"/>
      <c r="Q159" s="4"/>
      <c r="R159" s="4"/>
      <c r="S159" s="4"/>
      <c r="T159" s="4"/>
      <c r="U159" s="4"/>
    </row>
    <row r="160" spans="1:21">
      <c r="B160" s="20"/>
      <c r="C160" s="20"/>
      <c r="D160" s="21"/>
      <c r="E160" s="71"/>
      <c r="F160" s="71"/>
      <c r="G160" s="71"/>
      <c r="O160" s="4"/>
      <c r="P160" s="4"/>
      <c r="Q160" s="4"/>
      <c r="R160" s="4"/>
      <c r="S160" s="4"/>
      <c r="T160" s="4"/>
      <c r="U160" s="4"/>
    </row>
    <row r="161" spans="1:21">
      <c r="C161" s="20"/>
      <c r="D161" s="21"/>
      <c r="O161" s="4"/>
      <c r="P161" s="4"/>
      <c r="Q161" s="4"/>
      <c r="R161" s="4"/>
      <c r="S161" s="4"/>
      <c r="T161" s="4"/>
      <c r="U161" s="4"/>
    </row>
    <row r="162" spans="1:21">
      <c r="O162" s="4"/>
      <c r="P162" s="4"/>
      <c r="Q162" s="4"/>
      <c r="R162" s="4"/>
      <c r="S162" s="4"/>
      <c r="T162" s="4"/>
      <c r="U162" s="4"/>
    </row>
    <row r="163" spans="1:21" s="66" customFormat="1">
      <c r="A163" s="4"/>
      <c r="B163" s="4"/>
      <c r="C163" s="4"/>
      <c r="D163" s="22"/>
      <c r="H163" s="9"/>
      <c r="I163" s="9"/>
      <c r="J163" s="4"/>
      <c r="K163" s="4"/>
      <c r="L163" s="4"/>
      <c r="M163" s="4"/>
      <c r="N163" s="4"/>
      <c r="O163" s="4"/>
      <c r="P163" s="4"/>
      <c r="Q163" s="4"/>
      <c r="R163" s="4"/>
      <c r="S163" s="4"/>
      <c r="T163" s="4"/>
      <c r="U163" s="4"/>
    </row>
    <row r="164" spans="1:21">
      <c r="O164" s="4"/>
      <c r="P164" s="4"/>
      <c r="Q164" s="4"/>
      <c r="R164" s="4"/>
      <c r="S164" s="4"/>
      <c r="T164" s="4"/>
      <c r="U164" s="4"/>
    </row>
    <row r="165" spans="1:21">
      <c r="O165" s="4"/>
      <c r="P165" s="4"/>
      <c r="Q165" s="4"/>
      <c r="R165" s="4"/>
      <c r="S165" s="4"/>
      <c r="T165" s="4"/>
      <c r="U165" s="4"/>
    </row>
    <row r="166" spans="1:21">
      <c r="O166" s="4"/>
      <c r="P166" s="4"/>
      <c r="Q166" s="4"/>
      <c r="R166" s="4"/>
      <c r="S166" s="4"/>
      <c r="T166" s="4"/>
      <c r="U166" s="4"/>
    </row>
    <row r="167" spans="1:21">
      <c r="O167" s="4"/>
      <c r="P167" s="4"/>
      <c r="Q167" s="4"/>
      <c r="R167" s="4"/>
      <c r="S167" s="4"/>
      <c r="T167" s="4"/>
      <c r="U167" s="4"/>
    </row>
    <row r="168" spans="1:21">
      <c r="O168" s="4"/>
      <c r="P168" s="4"/>
      <c r="Q168" s="4"/>
      <c r="R168" s="4"/>
      <c r="S168" s="4"/>
      <c r="T168" s="4"/>
      <c r="U168" s="4"/>
    </row>
    <row r="169" spans="1:21">
      <c r="O169" s="4"/>
      <c r="P169" s="4"/>
      <c r="Q169" s="4"/>
      <c r="R169" s="4"/>
      <c r="S169" s="4"/>
      <c r="T169" s="4"/>
      <c r="U169" s="4"/>
    </row>
    <row r="170" spans="1:21">
      <c r="O170" s="4"/>
      <c r="P170" s="4"/>
      <c r="Q170" s="4"/>
      <c r="R170" s="4"/>
      <c r="S170" s="4"/>
      <c r="T170" s="4"/>
      <c r="U170" s="4"/>
    </row>
    <row r="171" spans="1:21">
      <c r="O171" s="4"/>
      <c r="P171" s="4"/>
      <c r="Q171" s="4"/>
      <c r="R171" s="4"/>
      <c r="S171" s="4"/>
      <c r="T171" s="4"/>
      <c r="U171" s="4"/>
    </row>
    <row r="172" spans="1:21">
      <c r="O172" s="4"/>
      <c r="P172" s="4"/>
      <c r="Q172" s="4"/>
      <c r="R172" s="4"/>
      <c r="S172" s="4"/>
      <c r="T172" s="4"/>
      <c r="U172" s="4"/>
    </row>
    <row r="173" spans="1:21">
      <c r="O173" s="4"/>
      <c r="P173" s="4"/>
      <c r="Q173" s="4"/>
      <c r="R173" s="4"/>
      <c r="S173" s="4"/>
      <c r="T173" s="4"/>
      <c r="U173" s="4"/>
    </row>
    <row r="174" spans="1:21">
      <c r="O174" s="4"/>
      <c r="P174" s="4"/>
      <c r="Q174" s="4"/>
      <c r="R174" s="4"/>
      <c r="S174" s="4"/>
      <c r="T174" s="4"/>
      <c r="U174" s="4"/>
    </row>
    <row r="175" spans="1:21">
      <c r="O175" s="4"/>
      <c r="P175" s="4"/>
      <c r="Q175" s="4"/>
      <c r="R175" s="4"/>
      <c r="S175" s="4"/>
      <c r="T175" s="4"/>
      <c r="U175" s="4"/>
    </row>
    <row r="176" spans="1:21">
      <c r="O176" s="4"/>
      <c r="P176" s="4"/>
      <c r="Q176" s="4"/>
      <c r="R176" s="4"/>
      <c r="S176" s="4"/>
      <c r="T176" s="4"/>
      <c r="U176" s="4"/>
    </row>
    <row r="177" spans="15:21">
      <c r="O177" s="4"/>
      <c r="P177" s="4"/>
      <c r="Q177" s="4"/>
      <c r="R177" s="4"/>
      <c r="S177" s="4"/>
      <c r="T177" s="4"/>
      <c r="U177" s="4"/>
    </row>
    <row r="178" spans="15:21">
      <c r="O178" s="4"/>
      <c r="P178" s="4"/>
      <c r="Q178" s="4"/>
      <c r="R178" s="4"/>
      <c r="S178" s="4"/>
      <c r="T178" s="4"/>
      <c r="U178" s="4"/>
    </row>
    <row r="179" spans="15:21">
      <c r="O179" s="4"/>
      <c r="P179" s="4"/>
      <c r="Q179" s="4"/>
      <c r="R179" s="4"/>
      <c r="S179" s="4"/>
      <c r="T179" s="4"/>
      <c r="U179" s="4"/>
    </row>
    <row r="180" spans="15:21">
      <c r="O180" s="4"/>
      <c r="P180" s="4"/>
      <c r="Q180" s="4"/>
      <c r="R180" s="4"/>
      <c r="S180" s="4"/>
      <c r="T180" s="4"/>
      <c r="U180" s="4"/>
    </row>
    <row r="181" spans="15:21">
      <c r="O181" s="4"/>
      <c r="P181" s="4"/>
      <c r="Q181" s="4"/>
      <c r="R181" s="4"/>
      <c r="S181" s="4"/>
      <c r="T181" s="4"/>
      <c r="U181" s="4"/>
    </row>
    <row r="182" spans="15:21">
      <c r="O182" s="4"/>
      <c r="P182" s="4"/>
      <c r="Q182" s="4"/>
      <c r="R182" s="4"/>
      <c r="S182" s="4"/>
      <c r="T182" s="4"/>
      <c r="U182" s="4"/>
    </row>
    <row r="183" spans="15:21">
      <c r="O183" s="4"/>
      <c r="P183" s="4"/>
      <c r="Q183" s="4"/>
      <c r="R183" s="4"/>
      <c r="S183" s="4"/>
      <c r="T183" s="4"/>
      <c r="U183" s="4"/>
    </row>
    <row r="184" spans="15:21">
      <c r="O184" s="4"/>
      <c r="P184" s="4"/>
      <c r="Q184" s="4"/>
      <c r="R184" s="4"/>
      <c r="S184" s="4"/>
      <c r="T184" s="4"/>
      <c r="U184" s="4"/>
    </row>
    <row r="185" spans="15:21">
      <c r="O185" s="4"/>
      <c r="P185" s="4"/>
      <c r="Q185" s="4"/>
      <c r="R185" s="4"/>
      <c r="S185" s="4"/>
      <c r="T185" s="4"/>
      <c r="U185" s="4"/>
    </row>
    <row r="186" spans="15:21">
      <c r="O186" s="4"/>
      <c r="P186" s="4"/>
      <c r="Q186" s="4"/>
      <c r="R186" s="4"/>
      <c r="S186" s="4"/>
      <c r="T186" s="4"/>
      <c r="U186" s="4"/>
    </row>
    <row r="187" spans="15:21">
      <c r="O187" s="4"/>
      <c r="P187" s="4"/>
      <c r="Q187" s="4"/>
      <c r="R187" s="4"/>
      <c r="S187" s="4"/>
      <c r="T187" s="4"/>
      <c r="U187" s="4"/>
    </row>
    <row r="188" spans="15:21">
      <c r="O188" s="4"/>
      <c r="P188" s="4"/>
      <c r="Q188" s="4"/>
      <c r="R188" s="4"/>
      <c r="S188" s="4"/>
      <c r="T188" s="4"/>
      <c r="U188" s="4"/>
    </row>
    <row r="189" spans="15:21">
      <c r="O189" s="4"/>
      <c r="P189" s="4"/>
      <c r="Q189" s="4"/>
      <c r="R189" s="4"/>
      <c r="S189" s="4"/>
      <c r="T189" s="4"/>
      <c r="U189" s="4"/>
    </row>
    <row r="190" spans="15:21">
      <c r="O190" s="4"/>
      <c r="P190" s="4"/>
      <c r="Q190" s="4"/>
      <c r="R190" s="4"/>
      <c r="S190" s="4"/>
      <c r="T190" s="4"/>
      <c r="U190" s="4"/>
    </row>
    <row r="191" spans="15:21">
      <c r="O191" s="4"/>
      <c r="P191" s="4"/>
      <c r="Q191" s="4"/>
      <c r="R191" s="4"/>
      <c r="S191" s="4"/>
      <c r="T191" s="4"/>
      <c r="U191" s="4"/>
    </row>
    <row r="192" spans="15:21">
      <c r="O192" s="4"/>
      <c r="P192" s="4"/>
      <c r="Q192" s="4"/>
      <c r="R192" s="4"/>
      <c r="S192" s="4"/>
      <c r="T192" s="4"/>
      <c r="U192" s="4"/>
    </row>
    <row r="193" spans="15:21">
      <c r="O193" s="4"/>
      <c r="P193" s="4"/>
      <c r="Q193" s="4"/>
      <c r="R193" s="4"/>
      <c r="S193" s="4"/>
      <c r="T193" s="4"/>
      <c r="U193" s="4"/>
    </row>
    <row r="194" spans="15:21">
      <c r="O194" s="4"/>
      <c r="P194" s="4"/>
      <c r="Q194" s="4"/>
      <c r="R194" s="4"/>
      <c r="S194" s="4"/>
      <c r="T194" s="4"/>
      <c r="U194" s="4"/>
    </row>
    <row r="195" spans="15:21">
      <c r="O195" s="4"/>
      <c r="P195" s="4"/>
      <c r="Q195" s="4"/>
      <c r="R195" s="4"/>
      <c r="S195" s="4"/>
      <c r="T195" s="4"/>
      <c r="U195" s="4"/>
    </row>
    <row r="196" spans="15:21">
      <c r="O196" s="4"/>
      <c r="P196" s="4"/>
      <c r="Q196" s="4"/>
      <c r="R196" s="4"/>
      <c r="S196" s="4"/>
      <c r="T196" s="4"/>
      <c r="U196" s="4"/>
    </row>
    <row r="197" spans="15:21">
      <c r="O197" s="4"/>
      <c r="P197" s="4"/>
      <c r="Q197" s="4"/>
      <c r="R197" s="4"/>
      <c r="S197" s="4"/>
      <c r="T197" s="4"/>
      <c r="U197" s="4"/>
    </row>
    <row r="198" spans="15:21">
      <c r="O198" s="4"/>
      <c r="P198" s="4"/>
      <c r="Q198" s="4"/>
      <c r="R198" s="4"/>
      <c r="S198" s="4"/>
      <c r="T198" s="4"/>
      <c r="U198" s="4"/>
    </row>
    <row r="199" spans="15:21">
      <c r="O199" s="4"/>
      <c r="P199" s="4"/>
      <c r="Q199" s="4"/>
      <c r="R199" s="4"/>
      <c r="S199" s="4"/>
      <c r="T199" s="4"/>
      <c r="U199" s="4"/>
    </row>
    <row r="200" spans="15:21">
      <c r="O200" s="4"/>
      <c r="P200" s="4"/>
      <c r="Q200" s="4"/>
      <c r="R200" s="4"/>
      <c r="S200" s="4"/>
      <c r="T200" s="4"/>
      <c r="U200" s="4"/>
    </row>
    <row r="201" spans="15:21">
      <c r="O201" s="4"/>
      <c r="P201" s="4"/>
      <c r="Q201" s="4"/>
      <c r="R201" s="4"/>
      <c r="S201" s="4"/>
      <c r="T201" s="4"/>
      <c r="U201" s="4"/>
    </row>
    <row r="202" spans="15:21">
      <c r="O202" s="4"/>
      <c r="P202" s="4"/>
      <c r="Q202" s="4"/>
      <c r="R202" s="4"/>
      <c r="S202" s="4"/>
      <c r="T202" s="4"/>
      <c r="U202" s="4"/>
    </row>
    <row r="203" spans="15:21">
      <c r="O203" s="4"/>
      <c r="P203" s="4"/>
      <c r="Q203" s="4"/>
      <c r="R203" s="4"/>
      <c r="S203" s="4"/>
      <c r="T203" s="4"/>
      <c r="U203" s="4"/>
    </row>
    <row r="204" spans="15:21">
      <c r="O204" s="4"/>
      <c r="P204" s="4"/>
      <c r="Q204" s="4"/>
      <c r="R204" s="4"/>
      <c r="S204" s="4"/>
      <c r="T204" s="4"/>
      <c r="U204" s="4"/>
    </row>
    <row r="205" spans="15:21">
      <c r="O205" s="4"/>
      <c r="P205" s="4"/>
      <c r="Q205" s="4"/>
      <c r="R205" s="4"/>
      <c r="S205" s="4"/>
      <c r="T205" s="4"/>
      <c r="U205" s="4"/>
    </row>
    <row r="206" spans="15:21">
      <c r="O206" s="4"/>
      <c r="P206" s="4"/>
      <c r="Q206" s="4"/>
      <c r="R206" s="4"/>
      <c r="S206" s="4"/>
      <c r="T206" s="4"/>
      <c r="U206" s="4"/>
    </row>
    <row r="207" spans="15:21">
      <c r="O207" s="4"/>
      <c r="P207" s="4"/>
      <c r="Q207" s="4"/>
      <c r="R207" s="4"/>
      <c r="S207" s="4"/>
      <c r="T207" s="4"/>
      <c r="U207" s="4"/>
    </row>
    <row r="208" spans="15:21">
      <c r="O208" s="4"/>
      <c r="P208" s="4"/>
      <c r="Q208" s="4"/>
      <c r="R208" s="4"/>
      <c r="S208" s="4"/>
      <c r="T208" s="4"/>
      <c r="U208" s="4"/>
    </row>
    <row r="209" spans="15:21">
      <c r="O209" s="4"/>
      <c r="P209" s="4"/>
      <c r="Q209" s="4"/>
      <c r="R209" s="4"/>
      <c r="S209" s="4"/>
      <c r="T209" s="4"/>
      <c r="U209" s="4"/>
    </row>
    <row r="210" spans="15:21">
      <c r="O210" s="4"/>
      <c r="P210" s="4"/>
      <c r="Q210" s="4"/>
      <c r="R210" s="4"/>
      <c r="S210" s="4"/>
      <c r="T210" s="4"/>
      <c r="U210" s="4"/>
    </row>
    <row r="211" spans="15:21">
      <c r="O211" s="4"/>
      <c r="P211" s="4"/>
      <c r="Q211" s="4"/>
      <c r="R211" s="4"/>
      <c r="S211" s="4"/>
      <c r="T211" s="4"/>
      <c r="U211" s="4"/>
    </row>
    <row r="212" spans="15:21">
      <c r="O212" s="4"/>
      <c r="P212" s="4"/>
      <c r="Q212" s="4"/>
      <c r="R212" s="4"/>
      <c r="S212" s="4"/>
      <c r="T212" s="4"/>
      <c r="U212" s="4"/>
    </row>
    <row r="213" spans="15:21">
      <c r="O213" s="4"/>
      <c r="P213" s="4"/>
      <c r="Q213" s="4"/>
      <c r="R213" s="4"/>
      <c r="S213" s="4"/>
      <c r="T213" s="4"/>
      <c r="U213" s="4"/>
    </row>
    <row r="214" spans="15:21">
      <c r="O214" s="4"/>
      <c r="P214" s="4"/>
      <c r="Q214" s="4"/>
      <c r="R214" s="4"/>
      <c r="S214" s="4"/>
      <c r="T214" s="4"/>
      <c r="U214" s="4"/>
    </row>
    <row r="215" spans="15:21">
      <c r="O215" s="4"/>
      <c r="P215" s="4"/>
      <c r="Q215" s="4"/>
      <c r="R215" s="4"/>
      <c r="S215" s="4"/>
      <c r="T215" s="4"/>
      <c r="U215" s="4"/>
    </row>
    <row r="216" spans="15:21">
      <c r="O216" s="4"/>
      <c r="P216" s="4"/>
      <c r="Q216" s="4"/>
      <c r="R216" s="4"/>
      <c r="S216" s="4"/>
      <c r="T216" s="4"/>
      <c r="U216" s="4"/>
    </row>
    <row r="217" spans="15:21">
      <c r="O217" s="4"/>
      <c r="P217" s="4"/>
      <c r="Q217" s="4"/>
      <c r="R217" s="4"/>
      <c r="S217" s="4"/>
      <c r="T217" s="4"/>
      <c r="U217" s="4"/>
    </row>
    <row r="218" spans="15:21">
      <c r="O218" s="4"/>
      <c r="P218" s="4"/>
      <c r="Q218" s="4"/>
      <c r="R218" s="4"/>
      <c r="S218" s="4"/>
      <c r="T218" s="4"/>
      <c r="U218" s="4"/>
    </row>
    <row r="219" spans="15:21">
      <c r="O219" s="4"/>
      <c r="P219" s="4"/>
      <c r="Q219" s="4"/>
      <c r="R219" s="4"/>
      <c r="S219" s="4"/>
      <c r="T219" s="4"/>
      <c r="U219" s="4"/>
    </row>
    <row r="220" spans="15:21">
      <c r="O220" s="4"/>
      <c r="P220" s="4"/>
      <c r="Q220" s="4"/>
      <c r="R220" s="4"/>
      <c r="S220" s="4"/>
      <c r="T220" s="4"/>
      <c r="U220" s="4"/>
    </row>
    <row r="221" spans="15:21">
      <c r="O221" s="4"/>
      <c r="P221" s="4"/>
      <c r="Q221" s="4"/>
      <c r="R221" s="4"/>
      <c r="S221" s="4"/>
      <c r="T221" s="4"/>
      <c r="U221" s="4"/>
    </row>
    <row r="222" spans="15:21">
      <c r="O222" s="4"/>
      <c r="P222" s="4"/>
      <c r="Q222" s="4"/>
      <c r="R222" s="4"/>
      <c r="S222" s="4"/>
      <c r="T222" s="4"/>
      <c r="U222" s="4"/>
    </row>
    <row r="223" spans="15:21">
      <c r="O223" s="4"/>
      <c r="P223" s="4"/>
      <c r="Q223" s="4"/>
      <c r="R223" s="4"/>
      <c r="S223" s="4"/>
      <c r="T223" s="4"/>
      <c r="U223" s="4"/>
    </row>
    <row r="224" spans="15:21">
      <c r="O224" s="4"/>
      <c r="P224" s="4"/>
      <c r="Q224" s="4"/>
      <c r="R224" s="4"/>
      <c r="S224" s="4"/>
      <c r="T224" s="4"/>
      <c r="U224" s="4"/>
    </row>
    <row r="225" spans="15:21">
      <c r="O225" s="4"/>
      <c r="P225" s="4"/>
      <c r="Q225" s="4"/>
      <c r="R225" s="4"/>
      <c r="S225" s="4"/>
      <c r="T225" s="4"/>
      <c r="U225" s="4"/>
    </row>
    <row r="226" spans="15:21">
      <c r="O226" s="4"/>
      <c r="P226" s="4"/>
      <c r="Q226" s="4"/>
      <c r="R226" s="4"/>
      <c r="S226" s="4"/>
      <c r="T226" s="4"/>
      <c r="U226" s="4"/>
    </row>
    <row r="227" spans="15:21">
      <c r="O227" s="4"/>
      <c r="P227" s="4"/>
      <c r="Q227" s="4"/>
      <c r="R227" s="4"/>
      <c r="S227" s="4"/>
      <c r="T227" s="4"/>
      <c r="U227" s="4"/>
    </row>
    <row r="228" spans="15:21">
      <c r="O228" s="4"/>
      <c r="P228" s="4"/>
      <c r="Q228" s="4"/>
      <c r="R228" s="4"/>
      <c r="S228" s="4"/>
      <c r="T228" s="4"/>
      <c r="U228" s="4"/>
    </row>
    <row r="229" spans="15:21">
      <c r="O229" s="4"/>
      <c r="P229" s="4"/>
      <c r="Q229" s="4"/>
      <c r="R229" s="4"/>
      <c r="S229" s="4"/>
      <c r="T229" s="4"/>
      <c r="U229" s="4"/>
    </row>
    <row r="230" spans="15:21">
      <c r="O230" s="4"/>
      <c r="P230" s="4"/>
      <c r="Q230" s="4"/>
      <c r="R230" s="4"/>
      <c r="S230" s="4"/>
      <c r="T230" s="4"/>
      <c r="U230" s="4"/>
    </row>
    <row r="231" spans="15:21">
      <c r="O231" s="4"/>
      <c r="P231" s="4"/>
      <c r="Q231" s="4"/>
      <c r="R231" s="4"/>
      <c r="S231" s="4"/>
      <c r="T231" s="4"/>
      <c r="U231" s="4"/>
    </row>
    <row r="232" spans="15:21">
      <c r="O232" s="4"/>
      <c r="P232" s="4"/>
      <c r="Q232" s="4"/>
      <c r="R232" s="4"/>
      <c r="S232" s="4"/>
      <c r="T232" s="4"/>
      <c r="U232" s="4"/>
    </row>
    <row r="233" spans="15:21">
      <c r="O233" s="4"/>
      <c r="P233" s="4"/>
      <c r="Q233" s="4"/>
      <c r="R233" s="4"/>
      <c r="S233" s="4"/>
      <c r="T233" s="4"/>
      <c r="U233" s="4"/>
    </row>
    <row r="234" spans="15:21">
      <c r="O234" s="4"/>
      <c r="P234" s="4"/>
      <c r="Q234" s="4"/>
      <c r="R234" s="4"/>
      <c r="S234" s="4"/>
      <c r="T234" s="4"/>
      <c r="U234" s="4"/>
    </row>
    <row r="235" spans="15:21">
      <c r="O235" s="4"/>
      <c r="P235" s="4"/>
      <c r="Q235" s="4"/>
      <c r="R235" s="4"/>
      <c r="S235" s="4"/>
      <c r="T235" s="4"/>
      <c r="U235" s="4"/>
    </row>
    <row r="236" spans="15:21">
      <c r="O236" s="4"/>
      <c r="P236" s="4"/>
      <c r="Q236" s="4"/>
      <c r="R236" s="4"/>
      <c r="S236" s="4"/>
      <c r="T236" s="4"/>
      <c r="U236" s="4"/>
    </row>
    <row r="237" spans="15:21">
      <c r="O237" s="4"/>
      <c r="P237" s="4"/>
      <c r="Q237" s="4"/>
      <c r="R237" s="4"/>
      <c r="S237" s="4"/>
      <c r="T237" s="4"/>
      <c r="U237" s="4"/>
    </row>
    <row r="238" spans="15:21">
      <c r="O238" s="4"/>
      <c r="P238" s="4"/>
      <c r="Q238" s="4"/>
      <c r="R238" s="4"/>
      <c r="S238" s="4"/>
      <c r="T238" s="4"/>
      <c r="U238" s="4"/>
    </row>
    <row r="239" spans="15:21">
      <c r="O239" s="4"/>
      <c r="P239" s="4"/>
      <c r="Q239" s="4"/>
      <c r="R239" s="4"/>
      <c r="S239" s="4"/>
      <c r="T239" s="4"/>
      <c r="U239" s="4"/>
    </row>
    <row r="240" spans="15:21">
      <c r="O240" s="4"/>
      <c r="P240" s="4"/>
      <c r="Q240" s="4"/>
      <c r="R240" s="4"/>
      <c r="S240" s="4"/>
      <c r="T240" s="4"/>
      <c r="U240" s="4"/>
    </row>
    <row r="241" spans="15:21">
      <c r="O241" s="4"/>
      <c r="P241" s="4"/>
      <c r="Q241" s="4"/>
      <c r="R241" s="4"/>
      <c r="S241" s="4"/>
      <c r="T241" s="4"/>
      <c r="U241" s="4"/>
    </row>
    <row r="242" spans="15:21">
      <c r="O242" s="4"/>
      <c r="P242" s="4"/>
      <c r="Q242" s="4"/>
      <c r="R242" s="4"/>
      <c r="S242" s="4"/>
      <c r="T242" s="4"/>
      <c r="U242" s="4"/>
    </row>
    <row r="243" spans="15:21">
      <c r="O243" s="4"/>
      <c r="P243" s="4"/>
      <c r="Q243" s="4"/>
      <c r="R243" s="4"/>
      <c r="S243" s="4"/>
      <c r="T243" s="4"/>
      <c r="U243" s="4"/>
    </row>
    <row r="244" spans="15:21">
      <c r="O244" s="4"/>
      <c r="P244" s="4"/>
      <c r="Q244" s="4"/>
      <c r="R244" s="4"/>
      <c r="S244" s="4"/>
      <c r="T244" s="4"/>
      <c r="U244" s="4"/>
    </row>
    <row r="245" spans="15:21">
      <c r="O245" s="4"/>
      <c r="P245" s="4"/>
      <c r="Q245" s="4"/>
      <c r="R245" s="4"/>
      <c r="S245" s="4"/>
      <c r="T245" s="4"/>
      <c r="U245" s="4"/>
    </row>
    <row r="246" spans="15:21">
      <c r="O246" s="4"/>
      <c r="P246" s="4"/>
      <c r="Q246" s="4"/>
      <c r="R246" s="4"/>
      <c r="S246" s="4"/>
      <c r="T246" s="4"/>
      <c r="U246" s="4"/>
    </row>
    <row r="247" spans="15:21">
      <c r="O247" s="4"/>
      <c r="P247" s="4"/>
      <c r="Q247" s="4"/>
      <c r="R247" s="4"/>
      <c r="S247" s="4"/>
      <c r="T247" s="4"/>
      <c r="U247" s="4"/>
    </row>
    <row r="248" spans="15:21">
      <c r="O248" s="4"/>
      <c r="P248" s="4"/>
      <c r="Q248" s="4"/>
      <c r="R248" s="4"/>
      <c r="S248" s="4"/>
      <c r="T248" s="4"/>
      <c r="U248" s="4"/>
    </row>
    <row r="249" spans="15:21">
      <c r="O249" s="4"/>
      <c r="P249" s="4"/>
      <c r="Q249" s="4"/>
      <c r="R249" s="4"/>
      <c r="S249" s="4"/>
      <c r="T249" s="4"/>
      <c r="U249" s="4"/>
    </row>
    <row r="250" spans="15:21">
      <c r="O250" s="4"/>
      <c r="P250" s="4"/>
      <c r="Q250" s="4"/>
      <c r="R250" s="4"/>
      <c r="S250" s="4"/>
      <c r="T250" s="4"/>
      <c r="U250" s="4"/>
    </row>
    <row r="251" spans="15:21">
      <c r="O251" s="4"/>
      <c r="P251" s="4"/>
      <c r="Q251" s="4"/>
      <c r="R251" s="4"/>
      <c r="S251" s="4"/>
      <c r="T251" s="4"/>
      <c r="U251" s="4"/>
    </row>
    <row r="252" spans="15:21">
      <c r="O252" s="4"/>
      <c r="P252" s="4"/>
      <c r="Q252" s="4"/>
      <c r="R252" s="4"/>
      <c r="S252" s="4"/>
      <c r="T252" s="4"/>
      <c r="U252" s="4"/>
    </row>
    <row r="253" spans="15:21">
      <c r="O253" s="4"/>
      <c r="P253" s="4"/>
      <c r="Q253" s="4"/>
      <c r="R253" s="4"/>
      <c r="S253" s="4"/>
      <c r="T253" s="4"/>
      <c r="U253" s="4"/>
    </row>
    <row r="254" spans="15:21">
      <c r="O254" s="4"/>
      <c r="P254" s="4"/>
      <c r="Q254" s="4"/>
      <c r="R254" s="4"/>
      <c r="S254" s="4"/>
      <c r="T254" s="4"/>
      <c r="U254" s="4"/>
    </row>
    <row r="255" spans="15:21">
      <c r="O255" s="4"/>
      <c r="P255" s="4"/>
      <c r="Q255" s="4"/>
      <c r="R255" s="4"/>
      <c r="S255" s="4"/>
      <c r="T255" s="4"/>
      <c r="U255" s="4"/>
    </row>
    <row r="256" spans="15:21">
      <c r="O256" s="4"/>
      <c r="P256" s="4"/>
      <c r="Q256" s="4"/>
      <c r="R256" s="4"/>
      <c r="S256" s="4"/>
      <c r="T256" s="4"/>
      <c r="U256" s="4"/>
    </row>
    <row r="257" spans="15:21">
      <c r="O257" s="4"/>
      <c r="P257" s="4"/>
      <c r="Q257" s="4"/>
      <c r="R257" s="4"/>
      <c r="S257" s="4"/>
      <c r="T257" s="4"/>
      <c r="U257" s="4"/>
    </row>
    <row r="258" spans="15:21">
      <c r="O258" s="4"/>
      <c r="P258" s="4"/>
      <c r="Q258" s="4"/>
      <c r="R258" s="4"/>
      <c r="S258" s="4"/>
      <c r="T258" s="4"/>
      <c r="U258" s="4"/>
    </row>
    <row r="259" spans="15:21">
      <c r="O259" s="4"/>
      <c r="P259" s="4"/>
      <c r="Q259" s="4"/>
      <c r="R259" s="4"/>
      <c r="S259" s="4"/>
      <c r="T259" s="4"/>
      <c r="U259" s="4"/>
    </row>
    <row r="260" spans="15:21">
      <c r="O260" s="4"/>
      <c r="P260" s="4"/>
      <c r="Q260" s="4"/>
      <c r="R260" s="4"/>
      <c r="S260" s="4"/>
      <c r="T260" s="4"/>
      <c r="U260" s="4"/>
    </row>
    <row r="261" spans="15:21">
      <c r="O261" s="4"/>
      <c r="P261" s="4"/>
      <c r="Q261" s="4"/>
      <c r="R261" s="4"/>
      <c r="S261" s="4"/>
      <c r="T261" s="4"/>
      <c r="U261" s="4"/>
    </row>
    <row r="262" spans="15:21">
      <c r="O262" s="4"/>
      <c r="P262" s="4"/>
      <c r="Q262" s="4"/>
      <c r="R262" s="4"/>
      <c r="S262" s="4"/>
      <c r="T262" s="4"/>
      <c r="U262" s="4"/>
    </row>
    <row r="263" spans="15:21">
      <c r="O263" s="4"/>
      <c r="P263" s="4"/>
      <c r="Q263" s="4"/>
      <c r="R263" s="4"/>
      <c r="S263" s="4"/>
      <c r="T263" s="4"/>
      <c r="U263" s="4"/>
    </row>
    <row r="264" spans="15:21">
      <c r="O264" s="4"/>
      <c r="P264" s="4"/>
      <c r="Q264" s="4"/>
      <c r="R264" s="4"/>
      <c r="S264" s="4"/>
      <c r="T264" s="4"/>
      <c r="U264" s="4"/>
    </row>
    <row r="265" spans="15:21">
      <c r="O265" s="4"/>
      <c r="P265" s="4"/>
      <c r="Q265" s="4"/>
      <c r="R265" s="4"/>
      <c r="S265" s="4"/>
      <c r="T265" s="4"/>
      <c r="U265" s="4"/>
    </row>
    <row r="266" spans="15:21">
      <c r="O266" s="4"/>
      <c r="P266" s="4"/>
      <c r="Q266" s="4"/>
      <c r="R266" s="4"/>
      <c r="S266" s="4"/>
      <c r="T266" s="4"/>
      <c r="U266" s="4"/>
    </row>
    <row r="267" spans="15:21">
      <c r="O267" s="4"/>
      <c r="P267" s="4"/>
      <c r="Q267" s="4"/>
      <c r="R267" s="4"/>
      <c r="S267" s="4"/>
      <c r="T267" s="4"/>
      <c r="U267" s="4"/>
    </row>
    <row r="268" spans="15:21">
      <c r="O268" s="4"/>
      <c r="P268" s="4"/>
      <c r="Q268" s="4"/>
      <c r="R268" s="4"/>
      <c r="S268" s="4"/>
      <c r="T268" s="4"/>
      <c r="U268" s="4"/>
    </row>
    <row r="269" spans="15:21">
      <c r="O269" s="4"/>
      <c r="P269" s="4"/>
      <c r="Q269" s="4"/>
      <c r="R269" s="4"/>
      <c r="S269" s="4"/>
      <c r="T269" s="4"/>
      <c r="U269" s="4"/>
    </row>
    <row r="270" spans="15:21">
      <c r="O270" s="4"/>
      <c r="P270" s="4"/>
      <c r="Q270" s="4"/>
      <c r="R270" s="4"/>
      <c r="S270" s="4"/>
      <c r="T270" s="4"/>
      <c r="U270" s="4"/>
    </row>
    <row r="271" spans="15:21">
      <c r="O271" s="4"/>
      <c r="P271" s="4"/>
      <c r="Q271" s="4"/>
      <c r="R271" s="4"/>
      <c r="S271" s="4"/>
      <c r="T271" s="4"/>
      <c r="U271" s="4"/>
    </row>
    <row r="272" spans="15:21">
      <c r="O272" s="4"/>
      <c r="P272" s="4"/>
      <c r="Q272" s="4"/>
      <c r="R272" s="4"/>
      <c r="S272" s="4"/>
      <c r="T272" s="4"/>
      <c r="U272" s="4"/>
    </row>
    <row r="273" spans="15:21">
      <c r="O273" s="4"/>
      <c r="P273" s="4"/>
      <c r="Q273" s="4"/>
      <c r="R273" s="4"/>
      <c r="S273" s="4"/>
      <c r="T273" s="4"/>
      <c r="U273" s="4"/>
    </row>
    <row r="274" spans="15:21">
      <c r="O274" s="4"/>
      <c r="P274" s="4"/>
      <c r="Q274" s="4"/>
      <c r="R274" s="4"/>
      <c r="S274" s="4"/>
      <c r="T274" s="4"/>
      <c r="U274" s="4"/>
    </row>
    <row r="275" spans="15:21">
      <c r="O275" s="4"/>
      <c r="P275" s="4"/>
      <c r="Q275" s="4"/>
      <c r="R275" s="4"/>
      <c r="S275" s="4"/>
      <c r="T275" s="4"/>
      <c r="U275" s="4"/>
    </row>
    <row r="276" spans="15:21">
      <c r="O276" s="4"/>
      <c r="P276" s="4"/>
      <c r="Q276" s="4"/>
      <c r="R276" s="4"/>
      <c r="S276" s="4"/>
      <c r="T276" s="4"/>
      <c r="U276" s="4"/>
    </row>
    <row r="277" spans="15:21">
      <c r="O277" s="4"/>
      <c r="P277" s="4"/>
      <c r="Q277" s="4"/>
      <c r="R277" s="4"/>
      <c r="S277" s="4"/>
      <c r="T277" s="4"/>
      <c r="U277" s="4"/>
    </row>
    <row r="278" spans="15:21">
      <c r="O278" s="4"/>
      <c r="P278" s="4"/>
      <c r="Q278" s="4"/>
      <c r="R278" s="4"/>
      <c r="S278" s="4"/>
      <c r="T278" s="4"/>
      <c r="U278" s="4"/>
    </row>
    <row r="279" spans="15:21">
      <c r="O279" s="4"/>
      <c r="P279" s="4"/>
      <c r="Q279" s="4"/>
      <c r="R279" s="4"/>
      <c r="S279" s="4"/>
      <c r="T279" s="4"/>
      <c r="U279" s="4"/>
    </row>
    <row r="280" spans="15:21">
      <c r="O280" s="4"/>
      <c r="P280" s="4"/>
      <c r="Q280" s="4"/>
      <c r="R280" s="4"/>
      <c r="S280" s="4"/>
      <c r="T280" s="4"/>
      <c r="U280" s="4"/>
    </row>
    <row r="281" spans="15:21">
      <c r="O281" s="4"/>
      <c r="P281" s="4"/>
      <c r="Q281" s="4"/>
      <c r="R281" s="4"/>
      <c r="S281" s="4"/>
      <c r="T281" s="4"/>
      <c r="U281" s="4"/>
    </row>
    <row r="282" spans="15:21">
      <c r="O282" s="4"/>
      <c r="P282" s="4"/>
      <c r="Q282" s="4"/>
      <c r="R282" s="4"/>
      <c r="S282" s="4"/>
      <c r="T282" s="4"/>
      <c r="U282" s="4"/>
    </row>
    <row r="283" spans="15:21">
      <c r="O283" s="4"/>
      <c r="P283" s="4"/>
      <c r="Q283" s="4"/>
      <c r="R283" s="4"/>
      <c r="S283" s="4"/>
      <c r="T283" s="4"/>
      <c r="U283" s="4"/>
    </row>
    <row r="284" spans="15:21">
      <c r="O284" s="4"/>
      <c r="P284" s="4"/>
      <c r="Q284" s="4"/>
      <c r="R284" s="4"/>
      <c r="S284" s="4"/>
      <c r="T284" s="4"/>
      <c r="U284" s="4"/>
    </row>
    <row r="285" spans="15:21">
      <c r="O285" s="4"/>
      <c r="P285" s="4"/>
      <c r="Q285" s="4"/>
      <c r="R285" s="4"/>
      <c r="S285" s="4"/>
      <c r="T285" s="4"/>
      <c r="U285" s="4"/>
    </row>
    <row r="286" spans="15:21">
      <c r="O286" s="4"/>
      <c r="P286" s="4"/>
      <c r="Q286" s="4"/>
      <c r="R286" s="4"/>
      <c r="S286" s="4"/>
      <c r="T286" s="4"/>
      <c r="U286" s="4"/>
    </row>
    <row r="287" spans="15:21">
      <c r="O287" s="4"/>
      <c r="P287" s="4"/>
      <c r="Q287" s="4"/>
      <c r="R287" s="4"/>
      <c r="S287" s="4"/>
      <c r="T287" s="4"/>
      <c r="U287" s="4"/>
    </row>
    <row r="288" spans="15:21">
      <c r="O288" s="4"/>
      <c r="P288" s="4"/>
      <c r="Q288" s="4"/>
      <c r="R288" s="4"/>
      <c r="S288" s="4"/>
      <c r="T288" s="4"/>
      <c r="U288" s="4"/>
    </row>
    <row r="289" spans="15:21">
      <c r="O289" s="4"/>
      <c r="P289" s="4"/>
      <c r="Q289" s="4"/>
      <c r="R289" s="4"/>
      <c r="S289" s="4"/>
      <c r="T289" s="4"/>
      <c r="U289" s="4"/>
    </row>
    <row r="290" spans="15:21">
      <c r="O290" s="4"/>
      <c r="P290" s="4"/>
      <c r="Q290" s="4"/>
      <c r="R290" s="4"/>
      <c r="S290" s="4"/>
      <c r="T290" s="4"/>
      <c r="U290" s="4"/>
    </row>
    <row r="291" spans="15:21">
      <c r="O291" s="4"/>
      <c r="P291" s="4"/>
      <c r="Q291" s="4"/>
      <c r="R291" s="4"/>
      <c r="S291" s="4"/>
      <c r="T291" s="4"/>
      <c r="U291" s="4"/>
    </row>
    <row r="292" spans="15:21">
      <c r="O292" s="4"/>
      <c r="P292" s="4"/>
      <c r="Q292" s="4"/>
      <c r="R292" s="4"/>
      <c r="S292" s="4"/>
      <c r="T292" s="4"/>
      <c r="U292" s="4"/>
    </row>
    <row r="293" spans="15:21">
      <c r="O293" s="4"/>
      <c r="P293" s="4"/>
      <c r="Q293" s="4"/>
      <c r="R293" s="4"/>
      <c r="S293" s="4"/>
      <c r="T293" s="4"/>
      <c r="U293" s="4"/>
    </row>
    <row r="294" spans="15:21">
      <c r="O294" s="4"/>
      <c r="P294" s="4"/>
      <c r="Q294" s="4"/>
      <c r="R294" s="4"/>
      <c r="S294" s="4"/>
      <c r="T294" s="4"/>
      <c r="U294" s="4"/>
    </row>
    <row r="295" spans="15:21">
      <c r="O295" s="4"/>
      <c r="P295" s="4"/>
      <c r="Q295" s="4"/>
      <c r="R295" s="4"/>
      <c r="S295" s="4"/>
      <c r="T295" s="4"/>
      <c r="U295" s="4"/>
    </row>
    <row r="296" spans="15:21">
      <c r="O296" s="4"/>
      <c r="P296" s="4"/>
      <c r="Q296" s="4"/>
      <c r="R296" s="4"/>
      <c r="S296" s="4"/>
      <c r="T296" s="4"/>
      <c r="U296" s="4"/>
    </row>
    <row r="297" spans="15:21">
      <c r="O297" s="4"/>
      <c r="P297" s="4"/>
      <c r="Q297" s="4"/>
      <c r="R297" s="4"/>
      <c r="S297" s="4"/>
      <c r="T297" s="4"/>
      <c r="U297" s="4"/>
    </row>
    <row r="298" spans="15:21">
      <c r="O298" s="4"/>
      <c r="P298" s="4"/>
      <c r="Q298" s="4"/>
      <c r="R298" s="4"/>
      <c r="S298" s="4"/>
      <c r="T298" s="4"/>
      <c r="U298" s="4"/>
    </row>
    <row r="299" spans="15:21">
      <c r="O299" s="4"/>
      <c r="P299" s="4"/>
      <c r="Q299" s="4"/>
      <c r="R299" s="4"/>
      <c r="S299" s="4"/>
      <c r="T299" s="4"/>
      <c r="U299" s="4"/>
    </row>
    <row r="300" spans="15:21">
      <c r="O300" s="4"/>
      <c r="P300" s="4"/>
      <c r="Q300" s="4"/>
      <c r="R300" s="4"/>
      <c r="S300" s="4"/>
      <c r="T300" s="4"/>
      <c r="U300" s="4"/>
    </row>
    <row r="301" spans="15:21">
      <c r="O301" s="4"/>
      <c r="P301" s="4"/>
      <c r="Q301" s="4"/>
      <c r="R301" s="4"/>
      <c r="S301" s="4"/>
      <c r="T301" s="4"/>
      <c r="U301" s="4"/>
    </row>
    <row r="302" spans="15:21">
      <c r="O302" s="4"/>
      <c r="P302" s="4"/>
      <c r="Q302" s="4"/>
      <c r="R302" s="4"/>
      <c r="S302" s="4"/>
      <c r="T302" s="4"/>
      <c r="U302" s="4"/>
    </row>
    <row r="303" spans="15:21">
      <c r="O303" s="4"/>
      <c r="P303" s="4"/>
      <c r="Q303" s="4"/>
      <c r="R303" s="4"/>
      <c r="S303" s="4"/>
      <c r="T303" s="4"/>
      <c r="U303" s="4"/>
    </row>
    <row r="304" spans="15:21">
      <c r="O304" s="4"/>
      <c r="P304" s="4"/>
      <c r="Q304" s="4"/>
      <c r="R304" s="4"/>
      <c r="S304" s="4"/>
      <c r="T304" s="4"/>
      <c r="U304" s="4"/>
    </row>
    <row r="305" spans="15:21">
      <c r="O305" s="4"/>
      <c r="P305" s="4"/>
      <c r="Q305" s="4"/>
      <c r="R305" s="4"/>
      <c r="S305" s="4"/>
      <c r="T305" s="4"/>
      <c r="U305" s="4"/>
    </row>
    <row r="306" spans="15:21">
      <c r="O306" s="4"/>
      <c r="P306" s="4"/>
      <c r="Q306" s="4"/>
      <c r="R306" s="4"/>
      <c r="S306" s="4"/>
      <c r="T306" s="4"/>
      <c r="U306" s="4"/>
    </row>
    <row r="307" spans="15:21">
      <c r="O307" s="4"/>
      <c r="P307" s="4"/>
      <c r="Q307" s="4"/>
      <c r="R307" s="4"/>
      <c r="S307" s="4"/>
      <c r="T307" s="4"/>
      <c r="U307" s="4"/>
    </row>
    <row r="308" spans="15:21">
      <c r="O308" s="4"/>
      <c r="P308" s="4"/>
      <c r="Q308" s="4"/>
      <c r="R308" s="4"/>
      <c r="S308" s="4"/>
      <c r="T308" s="4"/>
      <c r="U308" s="4"/>
    </row>
    <row r="309" spans="15:21">
      <c r="O309" s="4"/>
      <c r="P309" s="4"/>
      <c r="Q309" s="4"/>
      <c r="R309" s="4"/>
      <c r="S309" s="4"/>
      <c r="T309" s="4"/>
      <c r="U309" s="4"/>
    </row>
    <row r="310" spans="15:21">
      <c r="O310" s="4"/>
      <c r="P310" s="4"/>
      <c r="Q310" s="4"/>
      <c r="R310" s="4"/>
      <c r="S310" s="4"/>
      <c r="T310" s="4"/>
      <c r="U310" s="4"/>
    </row>
    <row r="311" spans="15:21">
      <c r="O311" s="4"/>
      <c r="P311" s="4"/>
      <c r="Q311" s="4"/>
      <c r="R311" s="4"/>
      <c r="S311" s="4"/>
      <c r="T311" s="4"/>
      <c r="U311" s="4"/>
    </row>
    <row r="312" spans="15:21">
      <c r="O312" s="4"/>
      <c r="P312" s="4"/>
      <c r="Q312" s="4"/>
      <c r="R312" s="4"/>
      <c r="S312" s="4"/>
      <c r="T312" s="4"/>
      <c r="U312" s="4"/>
    </row>
    <row r="313" spans="15:21">
      <c r="O313" s="4"/>
      <c r="P313" s="4"/>
      <c r="Q313" s="4"/>
      <c r="R313" s="4"/>
      <c r="S313" s="4"/>
      <c r="T313" s="4"/>
      <c r="U313" s="4"/>
    </row>
    <row r="314" spans="15:21">
      <c r="O314" s="4"/>
      <c r="P314" s="4"/>
      <c r="Q314" s="4"/>
      <c r="R314" s="4"/>
      <c r="S314" s="4"/>
      <c r="T314" s="4"/>
      <c r="U314" s="4"/>
    </row>
    <row r="315" spans="15:21">
      <c r="O315" s="4"/>
      <c r="P315" s="4"/>
      <c r="Q315" s="4"/>
      <c r="R315" s="4"/>
      <c r="S315" s="4"/>
      <c r="T315" s="4"/>
      <c r="U315" s="4"/>
    </row>
    <row r="316" spans="15:21">
      <c r="O316" s="4"/>
      <c r="P316" s="4"/>
      <c r="Q316" s="4"/>
      <c r="R316" s="4"/>
      <c r="S316" s="4"/>
      <c r="T316" s="4"/>
      <c r="U316" s="4"/>
    </row>
    <row r="317" spans="15:21">
      <c r="O317" s="4"/>
      <c r="P317" s="4"/>
      <c r="Q317" s="4"/>
      <c r="R317" s="4"/>
      <c r="S317" s="4"/>
      <c r="T317" s="4"/>
      <c r="U317" s="4"/>
    </row>
    <row r="318" spans="15:21">
      <c r="O318" s="4"/>
      <c r="P318" s="4"/>
      <c r="Q318" s="4"/>
      <c r="R318" s="4"/>
      <c r="S318" s="4"/>
      <c r="T318" s="4"/>
      <c r="U318" s="4"/>
    </row>
    <row r="319" spans="15:21">
      <c r="O319" s="4"/>
      <c r="P319" s="4"/>
      <c r="Q319" s="4"/>
      <c r="R319" s="4"/>
      <c r="S319" s="4"/>
      <c r="T319" s="4"/>
      <c r="U319" s="4"/>
    </row>
    <row r="320" spans="15:21">
      <c r="O320" s="4"/>
      <c r="P320" s="4"/>
      <c r="Q320" s="4"/>
      <c r="R320" s="4"/>
      <c r="S320" s="4"/>
      <c r="T320" s="4"/>
      <c r="U320" s="4"/>
    </row>
    <row r="321" spans="15:21">
      <c r="O321" s="4"/>
      <c r="P321" s="4"/>
      <c r="Q321" s="4"/>
      <c r="R321" s="4"/>
      <c r="S321" s="4"/>
      <c r="T321" s="4"/>
      <c r="U321" s="4"/>
    </row>
    <row r="322" spans="15:21">
      <c r="O322" s="4"/>
      <c r="P322" s="4"/>
      <c r="Q322" s="4"/>
      <c r="R322" s="4"/>
      <c r="S322" s="4"/>
      <c r="T322" s="4"/>
      <c r="U322" s="4"/>
    </row>
    <row r="323" spans="15:21">
      <c r="O323" s="4"/>
      <c r="P323" s="4"/>
      <c r="Q323" s="4"/>
      <c r="R323" s="4"/>
      <c r="S323" s="4"/>
      <c r="T323" s="4"/>
      <c r="U323" s="4"/>
    </row>
    <row r="324" spans="15:21">
      <c r="O324" s="4"/>
      <c r="P324" s="4"/>
      <c r="Q324" s="4"/>
      <c r="R324" s="4"/>
      <c r="S324" s="4"/>
      <c r="T324" s="4"/>
      <c r="U324" s="4"/>
    </row>
    <row r="325" spans="15:21">
      <c r="O325" s="4"/>
      <c r="P325" s="4"/>
      <c r="Q325" s="4"/>
      <c r="R325" s="4"/>
      <c r="S325" s="4"/>
      <c r="T325" s="4"/>
      <c r="U325" s="4"/>
    </row>
    <row r="326" spans="15:21">
      <c r="O326" s="4"/>
      <c r="P326" s="4"/>
      <c r="Q326" s="4"/>
      <c r="R326" s="4"/>
      <c r="S326" s="4"/>
      <c r="T326" s="4"/>
      <c r="U326" s="4"/>
    </row>
    <row r="327" spans="15:21">
      <c r="O327" s="4"/>
      <c r="P327" s="4"/>
      <c r="Q327" s="4"/>
      <c r="R327" s="4"/>
      <c r="S327" s="4"/>
      <c r="T327" s="4"/>
      <c r="U327" s="4"/>
    </row>
    <row r="328" spans="15:21">
      <c r="O328" s="4"/>
      <c r="P328" s="4"/>
      <c r="Q328" s="4"/>
      <c r="R328" s="4"/>
      <c r="S328" s="4"/>
      <c r="T328" s="4"/>
      <c r="U328" s="4"/>
    </row>
    <row r="329" spans="15:21">
      <c r="O329" s="4"/>
      <c r="P329" s="4"/>
      <c r="Q329" s="4"/>
      <c r="R329" s="4"/>
      <c r="S329" s="4"/>
      <c r="T329" s="4"/>
      <c r="U329" s="4"/>
    </row>
    <row r="330" spans="15:21">
      <c r="O330" s="4"/>
      <c r="P330" s="4"/>
      <c r="Q330" s="4"/>
      <c r="R330" s="4"/>
      <c r="S330" s="4"/>
      <c r="T330" s="4"/>
      <c r="U330" s="4"/>
    </row>
    <row r="331" spans="15:21">
      <c r="O331" s="4"/>
      <c r="P331" s="4"/>
      <c r="Q331" s="4"/>
      <c r="R331" s="4"/>
      <c r="S331" s="4"/>
      <c r="T331" s="4"/>
      <c r="U331" s="4"/>
    </row>
    <row r="332" spans="15:21">
      <c r="O332" s="4"/>
      <c r="P332" s="4"/>
      <c r="Q332" s="4"/>
      <c r="R332" s="4"/>
      <c r="S332" s="4"/>
      <c r="T332" s="4"/>
      <c r="U332" s="4"/>
    </row>
    <row r="333" spans="15:21">
      <c r="O333" s="4"/>
      <c r="P333" s="4"/>
      <c r="Q333" s="4"/>
      <c r="R333" s="4"/>
      <c r="S333" s="4"/>
      <c r="T333" s="4"/>
      <c r="U333" s="4"/>
    </row>
    <row r="334" spans="15:21">
      <c r="O334" s="4"/>
      <c r="P334" s="4"/>
      <c r="Q334" s="4"/>
      <c r="R334" s="4"/>
      <c r="S334" s="4"/>
      <c r="T334" s="4"/>
      <c r="U334" s="4"/>
    </row>
    <row r="335" spans="15:21">
      <c r="O335" s="4"/>
      <c r="P335" s="4"/>
      <c r="Q335" s="4"/>
      <c r="R335" s="4"/>
      <c r="S335" s="4"/>
      <c r="T335" s="4"/>
      <c r="U335" s="4"/>
    </row>
    <row r="336" spans="15:21">
      <c r="O336" s="4"/>
      <c r="P336" s="4"/>
      <c r="Q336" s="4"/>
      <c r="R336" s="4"/>
      <c r="S336" s="4"/>
      <c r="T336" s="4"/>
      <c r="U336" s="4"/>
    </row>
    <row r="337" spans="15:21">
      <c r="O337" s="4"/>
      <c r="P337" s="4"/>
      <c r="Q337" s="4"/>
      <c r="R337" s="4"/>
      <c r="S337" s="4"/>
      <c r="T337" s="4"/>
      <c r="U337" s="4"/>
    </row>
    <row r="338" spans="15:21">
      <c r="O338" s="4"/>
      <c r="P338" s="4"/>
      <c r="Q338" s="4"/>
      <c r="R338" s="4"/>
      <c r="S338" s="4"/>
      <c r="T338" s="4"/>
      <c r="U338" s="4"/>
    </row>
    <row r="339" spans="15:21">
      <c r="O339" s="4"/>
      <c r="P339" s="4"/>
      <c r="Q339" s="4"/>
      <c r="R339" s="4"/>
      <c r="S339" s="4"/>
      <c r="T339" s="4"/>
      <c r="U339" s="4"/>
    </row>
    <row r="340" spans="15:21">
      <c r="O340" s="4"/>
      <c r="P340" s="4"/>
      <c r="Q340" s="4"/>
      <c r="R340" s="4"/>
      <c r="S340" s="4"/>
      <c r="T340" s="4"/>
      <c r="U340" s="4"/>
    </row>
    <row r="341" spans="15:21">
      <c r="O341" s="4"/>
      <c r="P341" s="4"/>
      <c r="Q341" s="4"/>
      <c r="R341" s="4"/>
      <c r="S341" s="4"/>
      <c r="T341" s="4"/>
      <c r="U341" s="4"/>
    </row>
    <row r="342" spans="15:21">
      <c r="O342" s="4"/>
      <c r="P342" s="4"/>
      <c r="Q342" s="4"/>
      <c r="R342" s="4"/>
      <c r="S342" s="4"/>
      <c r="T342" s="4"/>
      <c r="U342" s="4"/>
    </row>
    <row r="343" spans="15:21">
      <c r="O343" s="4"/>
      <c r="P343" s="4"/>
      <c r="Q343" s="4"/>
      <c r="R343" s="4"/>
      <c r="S343" s="4"/>
      <c r="T343" s="4"/>
      <c r="U343" s="4"/>
    </row>
    <row r="344" spans="15:21">
      <c r="O344" s="4"/>
      <c r="P344" s="4"/>
      <c r="Q344" s="4"/>
      <c r="R344" s="4"/>
      <c r="S344" s="4"/>
      <c r="T344" s="4"/>
      <c r="U344" s="4"/>
    </row>
    <row r="345" spans="15:21">
      <c r="O345" s="4"/>
      <c r="P345" s="4"/>
      <c r="Q345" s="4"/>
      <c r="R345" s="4"/>
      <c r="S345" s="4"/>
      <c r="T345" s="4"/>
      <c r="U345" s="4"/>
    </row>
    <row r="346" spans="15:21">
      <c r="O346" s="4"/>
      <c r="P346" s="4"/>
      <c r="Q346" s="4"/>
      <c r="R346" s="4"/>
      <c r="S346" s="4"/>
      <c r="T346" s="4"/>
      <c r="U346" s="4"/>
    </row>
    <row r="347" spans="15:21">
      <c r="O347" s="4"/>
      <c r="P347" s="4"/>
      <c r="Q347" s="4"/>
      <c r="R347" s="4"/>
      <c r="S347" s="4"/>
      <c r="T347" s="4"/>
      <c r="U347" s="4"/>
    </row>
    <row r="348" spans="15:21">
      <c r="O348" s="4"/>
      <c r="P348" s="4"/>
      <c r="Q348" s="4"/>
      <c r="R348" s="4"/>
      <c r="S348" s="4"/>
      <c r="T348" s="4"/>
      <c r="U348" s="4"/>
    </row>
    <row r="349" spans="15:21">
      <c r="O349" s="4"/>
      <c r="P349" s="4"/>
      <c r="Q349" s="4"/>
      <c r="R349" s="4"/>
      <c r="S349" s="4"/>
      <c r="T349" s="4"/>
      <c r="U349" s="4"/>
    </row>
    <row r="350" spans="15:21">
      <c r="O350" s="4"/>
      <c r="P350" s="4"/>
      <c r="Q350" s="4"/>
      <c r="R350" s="4"/>
      <c r="S350" s="4"/>
      <c r="T350" s="4"/>
      <c r="U350" s="4"/>
    </row>
    <row r="351" spans="15:21">
      <c r="O351" s="4"/>
      <c r="P351" s="4"/>
      <c r="Q351" s="4"/>
      <c r="R351" s="4"/>
      <c r="S351" s="4"/>
      <c r="T351" s="4"/>
      <c r="U351" s="4"/>
    </row>
    <row r="352" spans="15:21">
      <c r="O352" s="4"/>
      <c r="P352" s="4"/>
      <c r="Q352" s="4"/>
      <c r="R352" s="4"/>
      <c r="S352" s="4"/>
      <c r="T352" s="4"/>
      <c r="U352" s="4"/>
    </row>
    <row r="353" spans="15:21">
      <c r="O353" s="4"/>
      <c r="P353" s="4"/>
      <c r="Q353" s="4"/>
      <c r="R353" s="4"/>
      <c r="S353" s="4"/>
      <c r="T353" s="4"/>
      <c r="U353" s="4"/>
    </row>
    <row r="354" spans="15:21">
      <c r="O354" s="4"/>
      <c r="P354" s="4"/>
      <c r="Q354" s="4"/>
      <c r="R354" s="4"/>
      <c r="S354" s="4"/>
      <c r="T354" s="4"/>
      <c r="U354" s="4"/>
    </row>
    <row r="355" spans="15:21">
      <c r="O355" s="4"/>
      <c r="P355" s="4"/>
      <c r="Q355" s="4"/>
      <c r="R355" s="4"/>
      <c r="S355" s="4"/>
      <c r="T355" s="4"/>
      <c r="U355" s="4"/>
    </row>
    <row r="356" spans="15:21">
      <c r="O356" s="4"/>
      <c r="P356" s="4"/>
      <c r="Q356" s="4"/>
      <c r="R356" s="4"/>
      <c r="S356" s="4"/>
      <c r="T356" s="4"/>
      <c r="U356" s="4"/>
    </row>
    <row r="357" spans="15:21">
      <c r="O357" s="4"/>
      <c r="P357" s="4"/>
      <c r="Q357" s="4"/>
      <c r="R357" s="4"/>
      <c r="S357" s="4"/>
      <c r="T357" s="4"/>
      <c r="U357" s="4"/>
    </row>
    <row r="358" spans="15:21">
      <c r="O358" s="4"/>
      <c r="P358" s="4"/>
      <c r="Q358" s="4"/>
      <c r="R358" s="4"/>
      <c r="S358" s="4"/>
      <c r="T358" s="4"/>
      <c r="U358" s="4"/>
    </row>
    <row r="359" spans="15:21">
      <c r="O359" s="4"/>
      <c r="P359" s="4"/>
      <c r="Q359" s="4"/>
      <c r="R359" s="4"/>
      <c r="S359" s="4"/>
      <c r="T359" s="4"/>
      <c r="U359" s="4"/>
    </row>
    <row r="360" spans="15:21">
      <c r="O360" s="4"/>
      <c r="P360" s="4"/>
      <c r="Q360" s="4"/>
      <c r="R360" s="4"/>
      <c r="S360" s="4"/>
      <c r="T360" s="4"/>
      <c r="U360" s="4"/>
    </row>
    <row r="361" spans="15:21">
      <c r="O361" s="4"/>
      <c r="P361" s="4"/>
      <c r="Q361" s="4"/>
      <c r="R361" s="4"/>
      <c r="S361" s="4"/>
      <c r="T361" s="4"/>
      <c r="U361" s="4"/>
    </row>
    <row r="362" spans="15:21">
      <c r="O362" s="4"/>
      <c r="P362" s="4"/>
      <c r="Q362" s="4"/>
      <c r="R362" s="4"/>
      <c r="S362" s="4"/>
      <c r="T362" s="4"/>
      <c r="U362" s="4"/>
    </row>
    <row r="363" spans="15:21">
      <c r="O363" s="4"/>
      <c r="P363" s="4"/>
      <c r="Q363" s="4"/>
      <c r="R363" s="4"/>
      <c r="S363" s="4"/>
      <c r="T363" s="4"/>
      <c r="U363" s="4"/>
    </row>
    <row r="364" spans="15:21">
      <c r="O364" s="4"/>
      <c r="P364" s="4"/>
      <c r="Q364" s="4"/>
      <c r="R364" s="4"/>
      <c r="S364" s="4"/>
      <c r="T364" s="4"/>
      <c r="U364" s="4"/>
    </row>
    <row r="365" spans="15:21">
      <c r="O365" s="4"/>
      <c r="P365" s="4"/>
      <c r="Q365" s="4"/>
      <c r="R365" s="4"/>
      <c r="S365" s="4"/>
      <c r="T365" s="4"/>
      <c r="U365" s="4"/>
    </row>
    <row r="366" spans="15:21">
      <c r="O366" s="4"/>
      <c r="P366" s="4"/>
      <c r="Q366" s="4"/>
      <c r="R366" s="4"/>
      <c r="S366" s="4"/>
      <c r="T366" s="4"/>
      <c r="U366" s="4"/>
    </row>
    <row r="367" spans="15:21">
      <c r="O367" s="4"/>
      <c r="P367" s="4"/>
      <c r="Q367" s="4"/>
      <c r="R367" s="4"/>
      <c r="S367" s="4"/>
      <c r="T367" s="4"/>
      <c r="U367" s="4"/>
    </row>
    <row r="368" spans="15:21">
      <c r="O368" s="4"/>
      <c r="P368" s="4"/>
      <c r="Q368" s="4"/>
      <c r="R368" s="4"/>
      <c r="S368" s="4"/>
      <c r="T368" s="4"/>
      <c r="U368" s="4"/>
    </row>
    <row r="369" spans="15:21">
      <c r="O369" s="4"/>
      <c r="P369" s="4"/>
      <c r="Q369" s="4"/>
      <c r="R369" s="4"/>
      <c r="S369" s="4"/>
      <c r="T369" s="4"/>
      <c r="U369" s="4"/>
    </row>
    <row r="370" spans="15:21">
      <c r="O370" s="4"/>
      <c r="P370" s="4"/>
      <c r="Q370" s="4"/>
      <c r="R370" s="4"/>
      <c r="S370" s="4"/>
      <c r="T370" s="4"/>
      <c r="U370" s="4"/>
    </row>
    <row r="371" spans="15:21">
      <c r="O371" s="4"/>
      <c r="P371" s="4"/>
      <c r="Q371" s="4"/>
      <c r="R371" s="4"/>
      <c r="S371" s="4"/>
      <c r="T371" s="4"/>
      <c r="U371" s="4"/>
    </row>
    <row r="372" spans="15:21">
      <c r="O372" s="4"/>
      <c r="P372" s="4"/>
      <c r="Q372" s="4"/>
      <c r="R372" s="4"/>
      <c r="S372" s="4"/>
      <c r="T372" s="4"/>
      <c r="U372" s="4"/>
    </row>
    <row r="373" spans="15:21">
      <c r="O373" s="4"/>
      <c r="P373" s="4"/>
      <c r="Q373" s="4"/>
      <c r="R373" s="4"/>
      <c r="S373" s="4"/>
      <c r="T373" s="4"/>
      <c r="U373" s="4"/>
    </row>
    <row r="374" spans="15:21">
      <c r="O374" s="4"/>
      <c r="P374" s="4"/>
      <c r="Q374" s="4"/>
      <c r="R374" s="4"/>
      <c r="S374" s="4"/>
      <c r="T374" s="4"/>
      <c r="U374" s="4"/>
    </row>
    <row r="375" spans="15:21">
      <c r="O375" s="4"/>
      <c r="P375" s="4"/>
      <c r="Q375" s="4"/>
      <c r="R375" s="4"/>
      <c r="S375" s="4"/>
      <c r="T375" s="4"/>
      <c r="U375" s="4"/>
    </row>
    <row r="376" spans="15:21">
      <c r="O376" s="4"/>
      <c r="P376" s="4"/>
      <c r="Q376" s="4"/>
      <c r="R376" s="4"/>
      <c r="S376" s="4"/>
      <c r="T376" s="4"/>
      <c r="U376" s="4"/>
    </row>
    <row r="377" spans="15:21">
      <c r="O377" s="4"/>
      <c r="P377" s="4"/>
      <c r="Q377" s="4"/>
      <c r="R377" s="4"/>
      <c r="S377" s="4"/>
      <c r="T377" s="4"/>
      <c r="U377" s="4"/>
    </row>
    <row r="378" spans="15:21">
      <c r="O378" s="4"/>
      <c r="P378" s="4"/>
      <c r="Q378" s="4"/>
      <c r="R378" s="4"/>
      <c r="S378" s="4"/>
      <c r="T378" s="4"/>
      <c r="U378" s="4"/>
    </row>
    <row r="379" spans="15:21">
      <c r="O379" s="4"/>
      <c r="P379" s="4"/>
      <c r="Q379" s="4"/>
      <c r="R379" s="4"/>
      <c r="S379" s="4"/>
      <c r="T379" s="4"/>
      <c r="U379" s="4"/>
    </row>
    <row r="380" spans="15:21">
      <c r="O380" s="4"/>
      <c r="P380" s="4"/>
      <c r="Q380" s="4"/>
      <c r="R380" s="4"/>
      <c r="S380" s="4"/>
      <c r="T380" s="4"/>
      <c r="U380" s="4"/>
    </row>
    <row r="381" spans="15:21">
      <c r="O381" s="4"/>
      <c r="P381" s="4"/>
      <c r="Q381" s="4"/>
      <c r="R381" s="4"/>
      <c r="S381" s="4"/>
      <c r="T381" s="4"/>
      <c r="U381" s="4"/>
    </row>
    <row r="382" spans="15:21">
      <c r="O382" s="4"/>
      <c r="P382" s="4"/>
      <c r="Q382" s="4"/>
      <c r="R382" s="4"/>
      <c r="S382" s="4"/>
      <c r="T382" s="4"/>
      <c r="U382" s="4"/>
    </row>
    <row r="383" spans="15:21">
      <c r="O383" s="4"/>
      <c r="P383" s="4"/>
      <c r="Q383" s="4"/>
      <c r="R383" s="4"/>
      <c r="S383" s="4"/>
      <c r="T383" s="4"/>
      <c r="U383" s="4"/>
    </row>
    <row r="384" spans="15:21">
      <c r="O384" s="4"/>
      <c r="P384" s="4"/>
      <c r="Q384" s="4"/>
      <c r="R384" s="4"/>
      <c r="S384" s="4"/>
      <c r="T384" s="4"/>
      <c r="U384" s="4"/>
    </row>
    <row r="385" spans="15:21">
      <c r="O385" s="4"/>
      <c r="P385" s="4"/>
      <c r="Q385" s="4"/>
      <c r="R385" s="4"/>
      <c r="S385" s="4"/>
      <c r="T385" s="4"/>
      <c r="U385" s="4"/>
    </row>
    <row r="386" spans="15:21">
      <c r="O386" s="4"/>
      <c r="P386" s="4"/>
      <c r="Q386" s="4"/>
      <c r="R386" s="4"/>
      <c r="S386" s="4"/>
      <c r="T386" s="4"/>
      <c r="U386" s="4"/>
    </row>
    <row r="387" spans="15:21">
      <c r="O387" s="4"/>
      <c r="P387" s="4"/>
      <c r="Q387" s="4"/>
      <c r="R387" s="4"/>
      <c r="S387" s="4"/>
      <c r="T387" s="4"/>
      <c r="U387" s="4"/>
    </row>
    <row r="388" spans="15:21">
      <c r="O388" s="4"/>
      <c r="P388" s="4"/>
      <c r="Q388" s="4"/>
      <c r="R388" s="4"/>
      <c r="S388" s="4"/>
      <c r="T388" s="4"/>
      <c r="U388" s="4"/>
    </row>
    <row r="389" spans="15:21">
      <c r="O389" s="4"/>
      <c r="P389" s="4"/>
      <c r="Q389" s="4"/>
      <c r="R389" s="4"/>
      <c r="S389" s="4"/>
      <c r="T389" s="4"/>
      <c r="U389" s="4"/>
    </row>
    <row r="390" spans="15:21">
      <c r="O390" s="4"/>
      <c r="P390" s="4"/>
      <c r="Q390" s="4"/>
      <c r="R390" s="4"/>
      <c r="S390" s="4"/>
      <c r="T390" s="4"/>
      <c r="U390" s="4"/>
    </row>
    <row r="391" spans="15:21">
      <c r="O391" s="4"/>
      <c r="P391" s="4"/>
      <c r="Q391" s="4"/>
      <c r="R391" s="4"/>
      <c r="S391" s="4"/>
      <c r="T391" s="4"/>
      <c r="U391" s="4"/>
    </row>
    <row r="392" spans="15:21">
      <c r="O392" s="4"/>
      <c r="P392" s="4"/>
      <c r="Q392" s="4"/>
      <c r="R392" s="4"/>
      <c r="S392" s="4"/>
      <c r="T392" s="4"/>
      <c r="U392" s="4"/>
    </row>
    <row r="393" spans="15:21">
      <c r="O393" s="4"/>
      <c r="P393" s="4"/>
      <c r="Q393" s="4"/>
      <c r="R393" s="4"/>
      <c r="S393" s="4"/>
      <c r="T393" s="4"/>
      <c r="U393" s="4"/>
    </row>
    <row r="394" spans="15:21">
      <c r="O394" s="4"/>
      <c r="P394" s="4"/>
      <c r="Q394" s="4"/>
      <c r="R394" s="4"/>
      <c r="S394" s="4"/>
      <c r="T394" s="4"/>
      <c r="U394" s="4"/>
    </row>
    <row r="395" spans="15:21">
      <c r="O395" s="4"/>
      <c r="P395" s="4"/>
      <c r="Q395" s="4"/>
      <c r="R395" s="4"/>
      <c r="S395" s="4"/>
      <c r="T395" s="4"/>
      <c r="U395" s="4"/>
    </row>
    <row r="396" spans="15:21">
      <c r="O396" s="4"/>
      <c r="P396" s="4"/>
      <c r="Q396" s="4"/>
      <c r="R396" s="4"/>
      <c r="S396" s="4"/>
      <c r="T396" s="4"/>
      <c r="U396" s="4"/>
    </row>
    <row r="397" spans="15:21">
      <c r="O397" s="4"/>
      <c r="P397" s="4"/>
      <c r="Q397" s="4"/>
      <c r="R397" s="4"/>
      <c r="S397" s="4"/>
      <c r="T397" s="4"/>
      <c r="U397" s="4"/>
    </row>
    <row r="398" spans="15:21">
      <c r="O398" s="4"/>
      <c r="P398" s="4"/>
      <c r="Q398" s="4"/>
      <c r="R398" s="4"/>
      <c r="S398" s="4"/>
      <c r="T398" s="4"/>
      <c r="U398" s="4"/>
    </row>
    <row r="399" spans="15:21">
      <c r="O399" s="4"/>
      <c r="P399" s="4"/>
      <c r="Q399" s="4"/>
      <c r="R399" s="4"/>
      <c r="S399" s="4"/>
      <c r="T399" s="4"/>
      <c r="U399" s="4"/>
    </row>
    <row r="400" spans="15:21">
      <c r="O400" s="4"/>
      <c r="P400" s="4"/>
      <c r="Q400" s="4"/>
      <c r="R400" s="4"/>
      <c r="S400" s="4"/>
      <c r="T400" s="4"/>
      <c r="U400" s="4"/>
    </row>
    <row r="401" spans="15:21">
      <c r="O401" s="4"/>
      <c r="P401" s="4"/>
      <c r="Q401" s="4"/>
      <c r="R401" s="4"/>
      <c r="S401" s="4"/>
      <c r="T401" s="4"/>
      <c r="U401" s="4"/>
    </row>
    <row r="402" spans="15:21">
      <c r="O402" s="4"/>
      <c r="P402" s="4"/>
      <c r="Q402" s="4"/>
      <c r="R402" s="4"/>
      <c r="S402" s="4"/>
      <c r="T402" s="4"/>
      <c r="U402" s="4"/>
    </row>
    <row r="403" spans="15:21">
      <c r="O403" s="4"/>
      <c r="P403" s="4"/>
      <c r="Q403" s="4"/>
      <c r="R403" s="4"/>
      <c r="S403" s="4"/>
      <c r="T403" s="4"/>
      <c r="U403" s="4"/>
    </row>
    <row r="404" spans="15:21">
      <c r="O404" s="4"/>
      <c r="P404" s="4"/>
      <c r="Q404" s="4"/>
      <c r="R404" s="4"/>
      <c r="S404" s="4"/>
      <c r="T404" s="4"/>
      <c r="U404" s="4"/>
    </row>
    <row r="405" spans="15:21">
      <c r="O405" s="4"/>
      <c r="P405" s="4"/>
      <c r="Q405" s="4"/>
      <c r="R405" s="4"/>
      <c r="S405" s="4"/>
      <c r="T405" s="4"/>
      <c r="U405" s="4"/>
    </row>
    <row r="406" spans="15:21">
      <c r="O406" s="4"/>
      <c r="P406" s="4"/>
      <c r="Q406" s="4"/>
      <c r="R406" s="4"/>
      <c r="S406" s="4"/>
      <c r="T406" s="4"/>
      <c r="U406" s="4"/>
    </row>
    <row r="407" spans="15:21">
      <c r="O407" s="4"/>
      <c r="P407" s="4"/>
      <c r="Q407" s="4"/>
      <c r="R407" s="4"/>
      <c r="S407" s="4"/>
      <c r="T407" s="4"/>
      <c r="U407" s="4"/>
    </row>
    <row r="408" spans="15:21">
      <c r="O408" s="4"/>
      <c r="P408" s="4"/>
      <c r="Q408" s="4"/>
      <c r="R408" s="4"/>
      <c r="S408" s="4"/>
      <c r="T408" s="4"/>
      <c r="U408" s="4"/>
    </row>
    <row r="409" spans="15:21">
      <c r="O409" s="4"/>
      <c r="P409" s="4"/>
      <c r="Q409" s="4"/>
      <c r="R409" s="4"/>
      <c r="S409" s="4"/>
      <c r="T409" s="4"/>
      <c r="U409" s="4"/>
    </row>
    <row r="410" spans="15:21">
      <c r="O410" s="4"/>
      <c r="P410" s="4"/>
      <c r="Q410" s="4"/>
      <c r="R410" s="4"/>
      <c r="S410" s="4"/>
      <c r="T410" s="4"/>
      <c r="U410" s="4"/>
    </row>
    <row r="411" spans="15:21">
      <c r="O411" s="4"/>
      <c r="P411" s="4"/>
      <c r="Q411" s="4"/>
      <c r="R411" s="4"/>
      <c r="S411" s="4"/>
      <c r="T411" s="4"/>
      <c r="U411" s="4"/>
    </row>
    <row r="412" spans="15:21">
      <c r="O412" s="4"/>
      <c r="P412" s="4"/>
      <c r="Q412" s="4"/>
      <c r="R412" s="4"/>
      <c r="S412" s="4"/>
      <c r="T412" s="4"/>
      <c r="U412" s="4"/>
    </row>
    <row r="413" spans="15:21">
      <c r="O413" s="4"/>
      <c r="P413" s="4"/>
      <c r="Q413" s="4"/>
      <c r="R413" s="4"/>
      <c r="S413" s="4"/>
      <c r="T413" s="4"/>
      <c r="U413" s="4"/>
    </row>
    <row r="414" spans="15:21">
      <c r="O414" s="4"/>
      <c r="P414" s="4"/>
      <c r="Q414" s="4"/>
      <c r="R414" s="4"/>
      <c r="S414" s="4"/>
      <c r="T414" s="4"/>
      <c r="U414" s="4"/>
    </row>
    <row r="415" spans="15:21">
      <c r="O415" s="4"/>
      <c r="P415" s="4"/>
      <c r="Q415" s="4"/>
      <c r="R415" s="4"/>
      <c r="S415" s="4"/>
      <c r="T415" s="4"/>
      <c r="U415" s="4"/>
    </row>
    <row r="416" spans="15:21">
      <c r="O416" s="4"/>
      <c r="P416" s="4"/>
      <c r="Q416" s="4"/>
      <c r="R416" s="4"/>
      <c r="S416" s="4"/>
      <c r="T416" s="4"/>
      <c r="U416" s="4"/>
    </row>
    <row r="417" spans="15:21">
      <c r="O417" s="4"/>
      <c r="P417" s="4"/>
      <c r="Q417" s="4"/>
      <c r="R417" s="4"/>
      <c r="S417" s="4"/>
      <c r="T417" s="4"/>
      <c r="U417" s="4"/>
    </row>
    <row r="418" spans="15:21">
      <c r="O418" s="4"/>
      <c r="P418" s="4"/>
      <c r="Q418" s="4"/>
      <c r="R418" s="4"/>
      <c r="S418" s="4"/>
      <c r="T418" s="4"/>
      <c r="U418" s="4"/>
    </row>
    <row r="419" spans="15:21">
      <c r="O419" s="4"/>
      <c r="P419" s="4"/>
      <c r="Q419" s="4"/>
      <c r="R419" s="4"/>
      <c r="S419" s="4"/>
      <c r="T419" s="4"/>
      <c r="U419" s="4"/>
    </row>
    <row r="420" spans="15:21">
      <c r="O420" s="4"/>
      <c r="P420" s="4"/>
      <c r="Q420" s="4"/>
      <c r="R420" s="4"/>
      <c r="S420" s="4"/>
      <c r="T420" s="4"/>
      <c r="U420" s="4"/>
    </row>
    <row r="421" spans="15:21">
      <c r="O421" s="4"/>
      <c r="P421" s="4"/>
      <c r="Q421" s="4"/>
      <c r="R421" s="4"/>
      <c r="S421" s="4"/>
      <c r="T421" s="4"/>
      <c r="U421" s="4"/>
    </row>
    <row r="422" spans="15:21">
      <c r="O422" s="4"/>
      <c r="P422" s="4"/>
      <c r="Q422" s="4"/>
      <c r="R422" s="4"/>
      <c r="S422" s="4"/>
      <c r="T422" s="4"/>
      <c r="U422" s="4"/>
    </row>
    <row r="423" spans="15:21">
      <c r="O423" s="4"/>
      <c r="P423" s="4"/>
      <c r="Q423" s="4"/>
      <c r="R423" s="4"/>
      <c r="S423" s="4"/>
      <c r="T423" s="4"/>
      <c r="U423" s="4"/>
    </row>
    <row r="424" spans="15:21">
      <c r="O424" s="4"/>
      <c r="P424" s="4"/>
      <c r="Q424" s="4"/>
      <c r="R424" s="4"/>
      <c r="S424" s="4"/>
      <c r="T424" s="4"/>
      <c r="U424" s="4"/>
    </row>
    <row r="425" spans="15:21">
      <c r="O425" s="4"/>
      <c r="P425" s="4"/>
      <c r="Q425" s="4"/>
      <c r="R425" s="4"/>
      <c r="S425" s="4"/>
      <c r="T425" s="4"/>
      <c r="U425" s="4"/>
    </row>
    <row r="426" spans="15:21">
      <c r="O426" s="4"/>
      <c r="P426" s="4"/>
      <c r="Q426" s="4"/>
      <c r="R426" s="4"/>
      <c r="S426" s="4"/>
      <c r="T426" s="4"/>
      <c r="U426" s="4"/>
    </row>
    <row r="427" spans="15:21">
      <c r="O427" s="4"/>
      <c r="P427" s="4"/>
      <c r="Q427" s="4"/>
      <c r="R427" s="4"/>
      <c r="S427" s="4"/>
      <c r="T427" s="4"/>
      <c r="U427" s="4"/>
    </row>
    <row r="428" spans="15:21">
      <c r="O428" s="4"/>
      <c r="P428" s="4"/>
      <c r="Q428" s="4"/>
      <c r="R428" s="4"/>
      <c r="S428" s="4"/>
      <c r="T428" s="4"/>
      <c r="U428" s="4"/>
    </row>
    <row r="429" spans="15:21">
      <c r="O429" s="4"/>
      <c r="P429" s="4"/>
      <c r="Q429" s="4"/>
      <c r="R429" s="4"/>
      <c r="S429" s="4"/>
      <c r="T429" s="4"/>
      <c r="U429" s="4"/>
    </row>
    <row r="430" spans="15:21">
      <c r="O430" s="4"/>
      <c r="P430" s="4"/>
      <c r="Q430" s="4"/>
      <c r="R430" s="4"/>
      <c r="S430" s="4"/>
      <c r="T430" s="4"/>
      <c r="U430" s="4"/>
    </row>
    <row r="431" spans="15:21">
      <c r="O431" s="4"/>
      <c r="P431" s="4"/>
      <c r="Q431" s="4"/>
      <c r="R431" s="4"/>
      <c r="S431" s="4"/>
      <c r="T431" s="4"/>
      <c r="U431" s="4"/>
    </row>
    <row r="432" spans="15:21">
      <c r="O432" s="4"/>
      <c r="P432" s="4"/>
      <c r="Q432" s="4"/>
      <c r="R432" s="4"/>
      <c r="S432" s="4"/>
      <c r="T432" s="4"/>
      <c r="U432" s="4"/>
    </row>
    <row r="433" spans="15:21">
      <c r="O433" s="4"/>
      <c r="P433" s="4"/>
      <c r="Q433" s="4"/>
      <c r="R433" s="4"/>
      <c r="S433" s="4"/>
      <c r="T433" s="4"/>
      <c r="U433" s="4"/>
    </row>
    <row r="434" spans="15:21">
      <c r="O434" s="4"/>
      <c r="P434" s="4"/>
      <c r="Q434" s="4"/>
      <c r="R434" s="4"/>
      <c r="S434" s="4"/>
      <c r="T434" s="4"/>
      <c r="U434" s="4"/>
    </row>
    <row r="435" spans="15:21">
      <c r="O435" s="4"/>
      <c r="P435" s="4"/>
      <c r="Q435" s="4"/>
      <c r="R435" s="4"/>
      <c r="S435" s="4"/>
      <c r="T435" s="4"/>
      <c r="U435" s="4"/>
    </row>
    <row r="436" spans="15:21">
      <c r="O436" s="4"/>
      <c r="P436" s="4"/>
      <c r="Q436" s="4"/>
      <c r="R436" s="4"/>
      <c r="S436" s="4"/>
      <c r="T436" s="4"/>
      <c r="U436" s="4"/>
    </row>
    <row r="437" spans="15:21">
      <c r="O437" s="4"/>
      <c r="P437" s="4"/>
      <c r="Q437" s="4"/>
      <c r="R437" s="4"/>
      <c r="S437" s="4"/>
      <c r="T437" s="4"/>
      <c r="U437" s="4"/>
    </row>
    <row r="438" spans="15:21">
      <c r="O438" s="4"/>
      <c r="P438" s="4"/>
      <c r="Q438" s="4"/>
      <c r="R438" s="4"/>
      <c r="S438" s="4"/>
      <c r="T438" s="4"/>
      <c r="U438" s="4"/>
    </row>
    <row r="439" spans="15:21">
      <c r="O439" s="4"/>
      <c r="P439" s="4"/>
      <c r="Q439" s="4"/>
      <c r="R439" s="4"/>
      <c r="S439" s="4"/>
      <c r="T439" s="4"/>
      <c r="U439" s="4"/>
    </row>
    <row r="440" spans="15:21">
      <c r="O440" s="4"/>
      <c r="P440" s="4"/>
      <c r="Q440" s="4"/>
      <c r="R440" s="4"/>
      <c r="S440" s="4"/>
      <c r="T440" s="4"/>
      <c r="U440" s="4"/>
    </row>
    <row r="441" spans="15:21">
      <c r="O441" s="4"/>
      <c r="P441" s="4"/>
      <c r="Q441" s="4"/>
      <c r="R441" s="4"/>
      <c r="S441" s="4"/>
      <c r="T441" s="4"/>
      <c r="U441" s="4"/>
    </row>
    <row r="442" spans="15:21">
      <c r="O442" s="4"/>
      <c r="P442" s="4"/>
      <c r="Q442" s="4"/>
      <c r="R442" s="4"/>
      <c r="S442" s="4"/>
      <c r="T442" s="4"/>
      <c r="U442" s="4"/>
    </row>
    <row r="443" spans="15:21">
      <c r="O443" s="4"/>
      <c r="P443" s="4"/>
      <c r="Q443" s="4"/>
      <c r="R443" s="4"/>
      <c r="S443" s="4"/>
      <c r="T443" s="4"/>
      <c r="U443" s="4"/>
    </row>
    <row r="444" spans="15:21">
      <c r="O444" s="4"/>
      <c r="P444" s="4"/>
      <c r="Q444" s="4"/>
      <c r="R444" s="4"/>
      <c r="S444" s="4"/>
      <c r="T444" s="4"/>
      <c r="U444" s="4"/>
    </row>
    <row r="445" spans="15:21">
      <c r="O445" s="4"/>
      <c r="P445" s="4"/>
      <c r="Q445" s="4"/>
      <c r="R445" s="4"/>
      <c r="S445" s="4"/>
      <c r="T445" s="4"/>
      <c r="U445" s="4"/>
    </row>
    <row r="446" spans="15:21">
      <c r="O446" s="4"/>
      <c r="P446" s="4"/>
      <c r="Q446" s="4"/>
      <c r="R446" s="4"/>
      <c r="S446" s="4"/>
      <c r="T446" s="4"/>
      <c r="U446" s="4"/>
    </row>
    <row r="447" spans="15:21">
      <c r="O447" s="4"/>
      <c r="P447" s="4"/>
      <c r="Q447" s="4"/>
      <c r="R447" s="4"/>
      <c r="S447" s="4"/>
      <c r="T447" s="4"/>
      <c r="U447" s="4"/>
    </row>
    <row r="448" spans="15:21">
      <c r="O448" s="4"/>
      <c r="P448" s="4"/>
      <c r="Q448" s="4"/>
      <c r="R448" s="4"/>
      <c r="S448" s="4"/>
      <c r="T448" s="4"/>
      <c r="U448" s="4"/>
    </row>
    <row r="449" spans="15:21">
      <c r="O449" s="4"/>
      <c r="P449" s="4"/>
      <c r="Q449" s="4"/>
      <c r="R449" s="4"/>
      <c r="S449" s="4"/>
      <c r="T449" s="4"/>
      <c r="U449" s="4"/>
    </row>
    <row r="450" spans="15:21">
      <c r="O450" s="4"/>
      <c r="P450" s="4"/>
      <c r="Q450" s="4"/>
      <c r="R450" s="4"/>
      <c r="S450" s="4"/>
      <c r="T450" s="4"/>
      <c r="U450" s="4"/>
    </row>
    <row r="451" spans="15:21">
      <c r="O451" s="4"/>
      <c r="P451" s="4"/>
      <c r="Q451" s="4"/>
      <c r="R451" s="4"/>
      <c r="S451" s="4"/>
      <c r="T451" s="4"/>
      <c r="U451" s="4"/>
    </row>
    <row r="452" spans="15:21">
      <c r="O452" s="4"/>
      <c r="P452" s="4"/>
      <c r="Q452" s="4"/>
      <c r="R452" s="4"/>
      <c r="S452" s="4"/>
      <c r="T452" s="4"/>
      <c r="U452" s="4"/>
    </row>
    <row r="453" spans="15:21">
      <c r="O453" s="4"/>
      <c r="P453" s="4"/>
      <c r="Q453" s="4"/>
      <c r="R453" s="4"/>
      <c r="S453" s="4"/>
      <c r="T453" s="4"/>
      <c r="U453" s="4"/>
    </row>
    <row r="454" spans="15:21">
      <c r="O454" s="4"/>
      <c r="P454" s="4"/>
      <c r="Q454" s="4"/>
      <c r="R454" s="4"/>
      <c r="S454" s="4"/>
      <c r="T454" s="4"/>
      <c r="U454" s="4"/>
    </row>
    <row r="455" spans="15:21">
      <c r="O455" s="4"/>
      <c r="P455" s="4"/>
      <c r="Q455" s="4"/>
      <c r="R455" s="4"/>
      <c r="S455" s="4"/>
      <c r="T455" s="4"/>
      <c r="U455" s="4"/>
    </row>
    <row r="456" spans="15:21">
      <c r="O456" s="4"/>
      <c r="P456" s="4"/>
      <c r="Q456" s="4"/>
      <c r="R456" s="4"/>
      <c r="S456" s="4"/>
      <c r="T456" s="4"/>
      <c r="U456" s="4"/>
    </row>
    <row r="457" spans="15:21">
      <c r="O457" s="4"/>
      <c r="P457" s="4"/>
      <c r="Q457" s="4"/>
      <c r="R457" s="4"/>
      <c r="S457" s="4"/>
      <c r="T457" s="4"/>
      <c r="U457" s="4"/>
    </row>
    <row r="458" spans="15:21">
      <c r="O458" s="4"/>
      <c r="P458" s="4"/>
      <c r="Q458" s="4"/>
      <c r="R458" s="4"/>
      <c r="S458" s="4"/>
      <c r="T458" s="4"/>
      <c r="U458" s="4"/>
    </row>
    <row r="459" spans="15:21">
      <c r="O459" s="4"/>
      <c r="P459" s="4"/>
      <c r="Q459" s="4"/>
      <c r="R459" s="4"/>
      <c r="S459" s="4"/>
      <c r="T459" s="4"/>
      <c r="U459" s="4"/>
    </row>
    <row r="460" spans="15:21">
      <c r="O460" s="4"/>
      <c r="P460" s="4"/>
      <c r="Q460" s="4"/>
      <c r="R460" s="4"/>
      <c r="S460" s="4"/>
      <c r="T460" s="4"/>
      <c r="U460" s="4"/>
    </row>
    <row r="461" spans="15:21">
      <c r="O461" s="4"/>
      <c r="P461" s="4"/>
      <c r="Q461" s="4"/>
      <c r="R461" s="4"/>
      <c r="S461" s="4"/>
      <c r="T461" s="4"/>
      <c r="U461" s="4"/>
    </row>
    <row r="462" spans="15:21">
      <c r="O462" s="4"/>
      <c r="P462" s="4"/>
      <c r="Q462" s="4"/>
      <c r="R462" s="4"/>
      <c r="S462" s="4"/>
      <c r="T462" s="4"/>
      <c r="U462" s="4"/>
    </row>
    <row r="463" spans="15:21">
      <c r="O463" s="4"/>
      <c r="P463" s="4"/>
      <c r="Q463" s="4"/>
      <c r="R463" s="4"/>
      <c r="S463" s="4"/>
      <c r="T463" s="4"/>
      <c r="U463" s="4"/>
    </row>
    <row r="464" spans="15:21">
      <c r="O464" s="4"/>
      <c r="P464" s="4"/>
      <c r="Q464" s="4"/>
      <c r="R464" s="4"/>
      <c r="S464" s="4"/>
      <c r="T464" s="4"/>
      <c r="U464" s="4"/>
    </row>
    <row r="465" spans="15:21">
      <c r="O465" s="4"/>
      <c r="P465" s="4"/>
      <c r="Q465" s="4"/>
      <c r="R465" s="4"/>
      <c r="S465" s="4"/>
      <c r="T465" s="4"/>
      <c r="U465" s="4"/>
    </row>
    <row r="466" spans="15:21">
      <c r="O466" s="4"/>
      <c r="P466" s="4"/>
      <c r="Q466" s="4"/>
      <c r="R466" s="4"/>
      <c r="S466" s="4"/>
      <c r="T466" s="4"/>
      <c r="U466" s="4"/>
    </row>
    <row r="467" spans="15:21">
      <c r="O467" s="4"/>
      <c r="P467" s="4"/>
      <c r="Q467" s="4"/>
      <c r="R467" s="4"/>
      <c r="S467" s="4"/>
      <c r="T467" s="4"/>
      <c r="U467" s="4"/>
    </row>
    <row r="468" spans="15:21">
      <c r="O468" s="4"/>
      <c r="P468" s="4"/>
      <c r="Q468" s="4"/>
      <c r="R468" s="4"/>
      <c r="S468" s="4"/>
      <c r="T468" s="4"/>
      <c r="U468" s="4"/>
    </row>
    <row r="469" spans="15:21">
      <c r="O469" s="4"/>
      <c r="P469" s="4"/>
      <c r="Q469" s="4"/>
      <c r="R469" s="4"/>
      <c r="S469" s="4"/>
      <c r="T469" s="4"/>
      <c r="U469" s="4"/>
    </row>
    <row r="470" spans="15:21">
      <c r="O470" s="4"/>
      <c r="P470" s="4"/>
      <c r="Q470" s="4"/>
      <c r="R470" s="4"/>
      <c r="S470" s="4"/>
      <c r="T470" s="4"/>
      <c r="U470" s="4"/>
    </row>
    <row r="471" spans="15:21">
      <c r="O471" s="4"/>
      <c r="P471" s="4"/>
      <c r="Q471" s="4"/>
      <c r="R471" s="4"/>
      <c r="S471" s="4"/>
      <c r="T471" s="4"/>
      <c r="U471" s="4"/>
    </row>
    <row r="472" spans="15:21">
      <c r="O472" s="4"/>
      <c r="P472" s="4"/>
      <c r="Q472" s="4"/>
      <c r="R472" s="4"/>
      <c r="S472" s="4"/>
      <c r="T472" s="4"/>
      <c r="U472" s="4"/>
    </row>
    <row r="473" spans="15:21">
      <c r="O473" s="4"/>
      <c r="P473" s="4"/>
      <c r="Q473" s="4"/>
      <c r="R473" s="4"/>
      <c r="S473" s="4"/>
      <c r="T473" s="4"/>
      <c r="U473" s="4"/>
    </row>
    <row r="474" spans="15:21">
      <c r="O474" s="4"/>
      <c r="P474" s="4"/>
      <c r="Q474" s="4"/>
      <c r="R474" s="4"/>
      <c r="S474" s="4"/>
      <c r="T474" s="4"/>
      <c r="U474" s="4"/>
    </row>
    <row r="475" spans="15:21">
      <c r="O475" s="4"/>
      <c r="P475" s="4"/>
      <c r="Q475" s="4"/>
      <c r="R475" s="4"/>
      <c r="S475" s="4"/>
      <c r="T475" s="4"/>
      <c r="U475" s="4"/>
    </row>
    <row r="476" spans="15:21">
      <c r="O476" s="4"/>
      <c r="P476" s="4"/>
      <c r="Q476" s="4"/>
      <c r="R476" s="4"/>
      <c r="S476" s="4"/>
      <c r="T476" s="4"/>
      <c r="U476" s="4"/>
    </row>
    <row r="477" spans="15:21">
      <c r="O477" s="4"/>
      <c r="P477" s="4"/>
      <c r="Q477" s="4"/>
      <c r="R477" s="4"/>
      <c r="S477" s="4"/>
      <c r="T477" s="4"/>
      <c r="U477" s="4"/>
    </row>
    <row r="478" spans="15:21">
      <c r="O478" s="4"/>
      <c r="P478" s="4"/>
      <c r="Q478" s="4"/>
      <c r="R478" s="4"/>
      <c r="S478" s="4"/>
      <c r="T478" s="4"/>
      <c r="U478" s="4"/>
    </row>
    <row r="479" spans="15:21">
      <c r="O479" s="4"/>
      <c r="P479" s="4"/>
      <c r="Q479" s="4"/>
      <c r="R479" s="4"/>
      <c r="S479" s="4"/>
      <c r="T479" s="4"/>
      <c r="U479" s="4"/>
    </row>
    <row r="480" spans="15:21">
      <c r="O480" s="4"/>
      <c r="P480" s="4"/>
      <c r="Q480" s="4"/>
      <c r="R480" s="4"/>
      <c r="S480" s="4"/>
      <c r="T480" s="4"/>
      <c r="U480" s="4"/>
    </row>
    <row r="481" spans="15:21">
      <c r="O481" s="4"/>
      <c r="P481" s="4"/>
      <c r="Q481" s="4"/>
      <c r="R481" s="4"/>
      <c r="S481" s="4"/>
      <c r="T481" s="4"/>
      <c r="U481" s="4"/>
    </row>
    <row r="482" spans="15:21">
      <c r="O482" s="4"/>
      <c r="P482" s="4"/>
      <c r="Q482" s="4"/>
      <c r="R482" s="4"/>
      <c r="S482" s="4"/>
      <c r="T482" s="4"/>
      <c r="U482" s="4"/>
    </row>
    <row r="483" spans="15:21">
      <c r="O483" s="4"/>
      <c r="P483" s="4"/>
      <c r="Q483" s="4"/>
      <c r="R483" s="4"/>
      <c r="S483" s="4"/>
      <c r="T483" s="4"/>
      <c r="U483" s="4"/>
    </row>
    <row r="484" spans="15:21">
      <c r="O484" s="4"/>
      <c r="P484" s="4"/>
      <c r="Q484" s="4"/>
      <c r="R484" s="4"/>
      <c r="S484" s="4"/>
      <c r="T484" s="4"/>
      <c r="U484" s="4"/>
    </row>
    <row r="485" spans="15:21">
      <c r="O485" s="4"/>
      <c r="P485" s="4"/>
      <c r="Q485" s="4"/>
      <c r="R485" s="4"/>
      <c r="S485" s="4"/>
      <c r="T485" s="4"/>
      <c r="U485" s="4"/>
    </row>
    <row r="486" spans="15:21">
      <c r="O486" s="4"/>
      <c r="P486" s="4"/>
      <c r="Q486" s="4"/>
      <c r="R486" s="4"/>
      <c r="S486" s="4"/>
      <c r="T486" s="4"/>
      <c r="U486" s="4"/>
    </row>
    <row r="487" spans="15:21">
      <c r="O487" s="4"/>
      <c r="P487" s="4"/>
      <c r="Q487" s="4"/>
      <c r="R487" s="4"/>
      <c r="S487" s="4"/>
      <c r="T487" s="4"/>
      <c r="U487" s="4"/>
    </row>
    <row r="488" spans="15:21">
      <c r="O488" s="4"/>
      <c r="P488" s="4"/>
      <c r="Q488" s="4"/>
      <c r="R488" s="4"/>
      <c r="S488" s="4"/>
      <c r="T488" s="4"/>
      <c r="U488" s="4"/>
    </row>
    <row r="489" spans="15:21">
      <c r="O489" s="4"/>
      <c r="P489" s="4"/>
      <c r="Q489" s="4"/>
      <c r="R489" s="4"/>
      <c r="S489" s="4"/>
      <c r="T489" s="4"/>
      <c r="U489" s="4"/>
    </row>
    <row r="490" spans="15:21">
      <c r="O490" s="4"/>
      <c r="P490" s="4"/>
      <c r="Q490" s="4"/>
      <c r="R490" s="4"/>
      <c r="S490" s="4"/>
      <c r="T490" s="4"/>
      <c r="U490" s="4"/>
    </row>
    <row r="491" spans="15:21">
      <c r="O491" s="4"/>
      <c r="P491" s="4"/>
      <c r="Q491" s="4"/>
      <c r="R491" s="4"/>
      <c r="S491" s="4"/>
      <c r="T491" s="4"/>
      <c r="U491" s="4"/>
    </row>
    <row r="492" spans="15:21">
      <c r="O492" s="4"/>
      <c r="P492" s="4"/>
      <c r="Q492" s="4"/>
      <c r="R492" s="4"/>
      <c r="S492" s="4"/>
      <c r="T492" s="4"/>
      <c r="U492" s="4"/>
    </row>
    <row r="493" spans="15:21">
      <c r="O493" s="4"/>
      <c r="P493" s="4"/>
      <c r="Q493" s="4"/>
      <c r="R493" s="4"/>
      <c r="S493" s="4"/>
      <c r="T493" s="4"/>
      <c r="U493" s="4"/>
    </row>
    <row r="494" spans="15:21">
      <c r="O494" s="4"/>
      <c r="P494" s="4"/>
      <c r="Q494" s="4"/>
      <c r="R494" s="4"/>
      <c r="S494" s="4"/>
      <c r="T494" s="4"/>
      <c r="U494" s="4"/>
    </row>
    <row r="495" spans="15:21">
      <c r="O495" s="4"/>
      <c r="P495" s="4"/>
      <c r="Q495" s="4"/>
      <c r="R495" s="4"/>
      <c r="S495" s="4"/>
      <c r="T495" s="4"/>
      <c r="U495" s="4"/>
    </row>
    <row r="496" spans="15:21">
      <c r="O496" s="4"/>
      <c r="P496" s="4"/>
      <c r="Q496" s="4"/>
      <c r="R496" s="4"/>
      <c r="S496" s="4"/>
      <c r="T496" s="4"/>
      <c r="U496" s="4"/>
    </row>
    <row r="497" spans="15:21">
      <c r="O497" s="4"/>
      <c r="P497" s="4"/>
      <c r="Q497" s="4"/>
      <c r="R497" s="4"/>
      <c r="S497" s="4"/>
      <c r="T497" s="4"/>
      <c r="U497" s="4"/>
    </row>
    <row r="498" spans="15:21">
      <c r="O498" s="4"/>
      <c r="P498" s="4"/>
      <c r="Q498" s="4"/>
      <c r="R498" s="4"/>
      <c r="S498" s="4"/>
      <c r="T498" s="4"/>
      <c r="U498" s="4"/>
    </row>
    <row r="499" spans="15:21">
      <c r="O499" s="4"/>
      <c r="P499" s="4"/>
      <c r="Q499" s="4"/>
      <c r="R499" s="4"/>
      <c r="S499" s="4"/>
      <c r="T499" s="4"/>
      <c r="U499" s="4"/>
    </row>
    <row r="500" spans="15:21">
      <c r="O500" s="4"/>
      <c r="P500" s="4"/>
      <c r="Q500" s="4"/>
      <c r="R500" s="4"/>
      <c r="S500" s="4"/>
      <c r="T500" s="4"/>
      <c r="U500" s="4"/>
    </row>
    <row r="501" spans="15:21">
      <c r="O501" s="4"/>
      <c r="P501" s="4"/>
      <c r="Q501" s="4"/>
      <c r="R501" s="4"/>
      <c r="S501" s="4"/>
      <c r="T501" s="4"/>
      <c r="U501" s="4"/>
    </row>
    <row r="502" spans="15:21">
      <c r="O502" s="4"/>
      <c r="P502" s="4"/>
      <c r="Q502" s="4"/>
      <c r="R502" s="4"/>
      <c r="S502" s="4"/>
      <c r="T502" s="4"/>
      <c r="U502" s="4"/>
    </row>
    <row r="503" spans="15:21">
      <c r="O503" s="4"/>
      <c r="P503" s="4"/>
      <c r="Q503" s="4"/>
      <c r="R503" s="4"/>
      <c r="S503" s="4"/>
      <c r="T503" s="4"/>
      <c r="U503" s="4"/>
    </row>
    <row r="504" spans="15:21">
      <c r="O504" s="4"/>
      <c r="P504" s="4"/>
      <c r="Q504" s="4"/>
      <c r="R504" s="4"/>
      <c r="S504" s="4"/>
      <c r="T504" s="4"/>
      <c r="U504" s="4"/>
    </row>
    <row r="505" spans="15:21">
      <c r="O505" s="4"/>
      <c r="P505" s="4"/>
      <c r="Q505" s="4"/>
      <c r="R505" s="4"/>
      <c r="S505" s="4"/>
      <c r="T505" s="4"/>
      <c r="U505" s="4"/>
    </row>
    <row r="506" spans="15:21">
      <c r="O506" s="4"/>
      <c r="P506" s="4"/>
      <c r="Q506" s="4"/>
      <c r="R506" s="4"/>
      <c r="S506" s="4"/>
      <c r="T506" s="4"/>
      <c r="U506" s="4"/>
    </row>
    <row r="507" spans="15:21">
      <c r="O507" s="4"/>
      <c r="P507" s="4"/>
      <c r="Q507" s="4"/>
      <c r="R507" s="4"/>
      <c r="S507" s="4"/>
      <c r="T507" s="4"/>
      <c r="U507" s="4"/>
    </row>
    <row r="508" spans="15:21">
      <c r="O508" s="4"/>
      <c r="P508" s="4"/>
      <c r="Q508" s="4"/>
      <c r="R508" s="4"/>
      <c r="S508" s="4"/>
      <c r="T508" s="4"/>
      <c r="U508" s="4"/>
    </row>
    <row r="509" spans="15:21">
      <c r="O509" s="4"/>
      <c r="P509" s="4"/>
      <c r="Q509" s="4"/>
      <c r="R509" s="4"/>
      <c r="S509" s="4"/>
      <c r="T509" s="4"/>
      <c r="U509" s="4"/>
    </row>
    <row r="510" spans="15:21">
      <c r="O510" s="4"/>
      <c r="P510" s="4"/>
      <c r="Q510" s="4"/>
      <c r="R510" s="4"/>
      <c r="S510" s="4"/>
      <c r="T510" s="4"/>
      <c r="U510" s="4"/>
    </row>
    <row r="511" spans="15:21">
      <c r="O511" s="4"/>
      <c r="P511" s="4"/>
      <c r="Q511" s="4"/>
      <c r="R511" s="4"/>
      <c r="S511" s="4"/>
      <c r="T511" s="4"/>
      <c r="U511" s="4"/>
    </row>
    <row r="512" spans="15:21">
      <c r="O512" s="4"/>
      <c r="P512" s="4"/>
      <c r="Q512" s="4"/>
      <c r="R512" s="4"/>
      <c r="S512" s="4"/>
      <c r="T512" s="4"/>
      <c r="U512" s="4"/>
    </row>
    <row r="513" spans="15:21">
      <c r="O513" s="4"/>
      <c r="P513" s="4"/>
      <c r="Q513" s="4"/>
      <c r="R513" s="4"/>
      <c r="S513" s="4"/>
      <c r="T513" s="4"/>
      <c r="U513" s="4"/>
    </row>
    <row r="514" spans="15:21">
      <c r="O514" s="4"/>
      <c r="P514" s="4"/>
      <c r="Q514" s="4"/>
      <c r="R514" s="4"/>
      <c r="S514" s="4"/>
      <c r="T514" s="4"/>
      <c r="U514" s="4"/>
    </row>
    <row r="515" spans="15:21">
      <c r="O515" s="4"/>
      <c r="P515" s="4"/>
      <c r="Q515" s="4"/>
      <c r="R515" s="4"/>
      <c r="S515" s="4"/>
      <c r="T515" s="4"/>
      <c r="U515" s="4"/>
    </row>
    <row r="516" spans="15:21">
      <c r="O516" s="4"/>
      <c r="P516" s="4"/>
      <c r="Q516" s="4"/>
      <c r="R516" s="4"/>
      <c r="S516" s="4"/>
      <c r="T516" s="4"/>
      <c r="U516" s="4"/>
    </row>
    <row r="517" spans="15:21">
      <c r="O517" s="4"/>
      <c r="P517" s="4"/>
      <c r="Q517" s="4"/>
      <c r="R517" s="4"/>
      <c r="S517" s="4"/>
      <c r="T517" s="4"/>
      <c r="U517" s="4"/>
    </row>
    <row r="518" spans="15:21">
      <c r="O518" s="4"/>
      <c r="P518" s="4"/>
      <c r="Q518" s="4"/>
      <c r="R518" s="4"/>
      <c r="S518" s="4"/>
      <c r="T518" s="4"/>
      <c r="U518" s="4"/>
    </row>
    <row r="519" spans="15:21">
      <c r="O519" s="4"/>
      <c r="P519" s="4"/>
      <c r="Q519" s="4"/>
      <c r="R519" s="4"/>
      <c r="S519" s="4"/>
      <c r="T519" s="4"/>
      <c r="U519" s="4"/>
    </row>
    <row r="520" spans="15:21">
      <c r="O520" s="4"/>
      <c r="P520" s="4"/>
      <c r="Q520" s="4"/>
      <c r="R520" s="4"/>
      <c r="S520" s="4"/>
      <c r="T520" s="4"/>
      <c r="U520" s="4"/>
    </row>
    <row r="521" spans="15:21">
      <c r="O521" s="4"/>
      <c r="P521" s="4"/>
      <c r="Q521" s="4"/>
      <c r="R521" s="4"/>
      <c r="S521" s="4"/>
      <c r="T521" s="4"/>
      <c r="U521" s="4"/>
    </row>
    <row r="522" spans="15:21">
      <c r="O522" s="4"/>
      <c r="P522" s="4"/>
      <c r="Q522" s="4"/>
      <c r="R522" s="4"/>
      <c r="S522" s="4"/>
      <c r="T522" s="4"/>
      <c r="U522" s="4"/>
    </row>
    <row r="523" spans="15:21">
      <c r="O523" s="4"/>
      <c r="P523" s="4"/>
      <c r="Q523" s="4"/>
      <c r="R523" s="4"/>
      <c r="S523" s="4"/>
      <c r="T523" s="4"/>
      <c r="U523" s="4"/>
    </row>
    <row r="524" spans="15:21">
      <c r="O524" s="4"/>
      <c r="P524" s="4"/>
      <c r="Q524" s="4"/>
      <c r="R524" s="4"/>
      <c r="S524" s="4"/>
      <c r="T524" s="4"/>
      <c r="U524" s="4"/>
    </row>
    <row r="525" spans="15:21">
      <c r="O525" s="4"/>
      <c r="P525" s="4"/>
      <c r="Q525" s="4"/>
      <c r="R525" s="4"/>
      <c r="S525" s="4"/>
      <c r="T525" s="4"/>
      <c r="U525" s="4"/>
    </row>
    <row r="526" spans="15:21">
      <c r="O526" s="4"/>
      <c r="P526" s="4"/>
      <c r="Q526" s="4"/>
      <c r="R526" s="4"/>
      <c r="S526" s="4"/>
      <c r="T526" s="4"/>
      <c r="U526" s="4"/>
    </row>
    <row r="527" spans="15:21">
      <c r="O527" s="4"/>
      <c r="P527" s="4"/>
      <c r="Q527" s="4"/>
      <c r="R527" s="4"/>
      <c r="S527" s="4"/>
      <c r="T527" s="4"/>
      <c r="U527" s="4"/>
    </row>
    <row r="528" spans="15:21">
      <c r="O528" s="4"/>
      <c r="P528" s="4"/>
      <c r="Q528" s="4"/>
      <c r="R528" s="4"/>
      <c r="S528" s="4"/>
      <c r="T528" s="4"/>
      <c r="U528" s="4"/>
    </row>
    <row r="529" spans="15:21">
      <c r="O529" s="4"/>
      <c r="P529" s="4"/>
      <c r="Q529" s="4"/>
      <c r="R529" s="4"/>
      <c r="S529" s="4"/>
      <c r="T529" s="4"/>
      <c r="U529" s="4"/>
    </row>
    <row r="530" spans="15:21">
      <c r="O530" s="4"/>
      <c r="P530" s="4"/>
      <c r="Q530" s="4"/>
      <c r="R530" s="4"/>
      <c r="S530" s="4"/>
      <c r="T530" s="4"/>
      <c r="U530" s="4"/>
    </row>
    <row r="531" spans="15:21">
      <c r="O531" s="4"/>
      <c r="P531" s="4"/>
      <c r="Q531" s="4"/>
      <c r="R531" s="4"/>
      <c r="S531" s="4"/>
      <c r="T531" s="4"/>
      <c r="U531" s="4"/>
    </row>
    <row r="532" spans="15:21">
      <c r="O532" s="4"/>
      <c r="P532" s="4"/>
      <c r="Q532" s="4"/>
      <c r="R532" s="4"/>
      <c r="S532" s="4"/>
      <c r="T532" s="4"/>
      <c r="U532" s="4"/>
    </row>
    <row r="533" spans="15:21">
      <c r="O533" s="4"/>
      <c r="P533" s="4"/>
      <c r="Q533" s="4"/>
      <c r="R533" s="4"/>
      <c r="S533" s="4"/>
      <c r="T533" s="4"/>
      <c r="U533" s="4"/>
    </row>
    <row r="534" spans="15:21">
      <c r="O534" s="4"/>
      <c r="P534" s="4"/>
      <c r="Q534" s="4"/>
      <c r="R534" s="4"/>
      <c r="S534" s="4"/>
      <c r="T534" s="4"/>
      <c r="U534" s="4"/>
    </row>
    <row r="535" spans="15:21">
      <c r="O535" s="4"/>
      <c r="P535" s="4"/>
      <c r="Q535" s="4"/>
      <c r="R535" s="4"/>
      <c r="S535" s="4"/>
      <c r="T535" s="4"/>
      <c r="U535" s="4"/>
    </row>
    <row r="536" spans="15:21">
      <c r="O536" s="4"/>
      <c r="P536" s="4"/>
      <c r="Q536" s="4"/>
      <c r="R536" s="4"/>
      <c r="S536" s="4"/>
      <c r="T536" s="4"/>
      <c r="U536" s="4"/>
    </row>
    <row r="537" spans="15:21">
      <c r="O537" s="4"/>
      <c r="P537" s="4"/>
      <c r="Q537" s="4"/>
      <c r="R537" s="4"/>
      <c r="S537" s="4"/>
      <c r="T537" s="4"/>
      <c r="U537" s="4"/>
    </row>
    <row r="538" spans="15:21">
      <c r="O538" s="4"/>
      <c r="P538" s="4"/>
      <c r="Q538" s="4"/>
      <c r="R538" s="4"/>
      <c r="S538" s="4"/>
      <c r="T538" s="4"/>
      <c r="U538" s="4"/>
    </row>
    <row r="539" spans="15:21">
      <c r="O539" s="4"/>
      <c r="P539" s="4"/>
      <c r="Q539" s="4"/>
      <c r="R539" s="4"/>
      <c r="S539" s="4"/>
      <c r="T539" s="4"/>
      <c r="U539" s="4"/>
    </row>
    <row r="540" spans="15:21">
      <c r="O540" s="4"/>
      <c r="P540" s="4"/>
      <c r="Q540" s="4"/>
      <c r="R540" s="4"/>
      <c r="S540" s="4"/>
      <c r="T540" s="4"/>
      <c r="U540" s="4"/>
    </row>
    <row r="541" spans="15:21">
      <c r="O541" s="4"/>
      <c r="P541" s="4"/>
      <c r="Q541" s="4"/>
      <c r="R541" s="4"/>
      <c r="S541" s="4"/>
      <c r="T541" s="4"/>
      <c r="U541" s="4"/>
    </row>
    <row r="542" spans="15:21">
      <c r="O542" s="4"/>
      <c r="P542" s="4"/>
      <c r="Q542" s="4"/>
      <c r="R542" s="4"/>
      <c r="S542" s="4"/>
      <c r="T542" s="4"/>
      <c r="U542" s="4"/>
    </row>
    <row r="543" spans="15:21">
      <c r="O543" s="4"/>
      <c r="P543" s="4"/>
      <c r="Q543" s="4"/>
      <c r="R543" s="4"/>
      <c r="S543" s="4"/>
      <c r="T543" s="4"/>
      <c r="U543" s="4"/>
    </row>
    <row r="544" spans="15:21">
      <c r="O544" s="4"/>
      <c r="P544" s="4"/>
      <c r="Q544" s="4"/>
      <c r="R544" s="4"/>
      <c r="S544" s="4"/>
      <c r="T544" s="4"/>
      <c r="U544" s="4"/>
    </row>
    <row r="545" spans="15:21">
      <c r="O545" s="4"/>
      <c r="P545" s="4"/>
      <c r="Q545" s="4"/>
      <c r="R545" s="4"/>
      <c r="S545" s="4"/>
      <c r="T545" s="4"/>
      <c r="U545" s="4"/>
    </row>
    <row r="546" spans="15:21">
      <c r="O546" s="4"/>
      <c r="P546" s="4"/>
      <c r="Q546" s="4"/>
      <c r="R546" s="4"/>
      <c r="S546" s="4"/>
      <c r="T546" s="4"/>
      <c r="U546" s="4"/>
    </row>
    <row r="547" spans="15:21">
      <c r="O547" s="4"/>
      <c r="P547" s="4"/>
      <c r="Q547" s="4"/>
      <c r="R547" s="4"/>
      <c r="S547" s="4"/>
      <c r="T547" s="4"/>
      <c r="U547" s="4"/>
    </row>
    <row r="548" spans="15:21">
      <c r="O548" s="4"/>
      <c r="P548" s="4"/>
      <c r="Q548" s="4"/>
      <c r="R548" s="4"/>
      <c r="S548" s="4"/>
      <c r="T548" s="4"/>
      <c r="U548" s="4"/>
    </row>
    <row r="549" spans="15:21">
      <c r="O549" s="4"/>
      <c r="P549" s="4"/>
      <c r="Q549" s="4"/>
      <c r="R549" s="4"/>
      <c r="S549" s="4"/>
      <c r="T549" s="4"/>
      <c r="U549" s="4"/>
    </row>
    <row r="550" spans="15:21">
      <c r="O550" s="4"/>
      <c r="P550" s="4"/>
      <c r="Q550" s="4"/>
      <c r="R550" s="4"/>
      <c r="S550" s="4"/>
      <c r="T550" s="4"/>
      <c r="U550" s="4"/>
    </row>
    <row r="551" spans="15:21">
      <c r="O551" s="4"/>
      <c r="P551" s="4"/>
      <c r="Q551" s="4"/>
      <c r="R551" s="4"/>
      <c r="S551" s="4"/>
      <c r="T551" s="4"/>
      <c r="U551" s="4"/>
    </row>
    <row r="552" spans="15:21">
      <c r="O552" s="4"/>
      <c r="P552" s="4"/>
      <c r="Q552" s="4"/>
      <c r="R552" s="4"/>
      <c r="S552" s="4"/>
      <c r="T552" s="4"/>
      <c r="U552" s="4"/>
    </row>
    <row r="553" spans="15:21">
      <c r="O553" s="4"/>
      <c r="P553" s="4"/>
      <c r="Q553" s="4"/>
      <c r="R553" s="4"/>
      <c r="S553" s="4"/>
      <c r="T553" s="4"/>
      <c r="U553" s="4"/>
    </row>
    <row r="554" spans="15:21">
      <c r="O554" s="4"/>
      <c r="P554" s="4"/>
      <c r="Q554" s="4"/>
      <c r="R554" s="4"/>
      <c r="S554" s="4"/>
      <c r="T554" s="4"/>
      <c r="U554" s="4"/>
    </row>
    <row r="555" spans="15:21">
      <c r="O555" s="4"/>
      <c r="P555" s="4"/>
      <c r="Q555" s="4"/>
      <c r="R555" s="4"/>
      <c r="S555" s="4"/>
      <c r="T555" s="4"/>
      <c r="U555" s="4"/>
    </row>
    <row r="556" spans="15:21">
      <c r="O556" s="4"/>
      <c r="P556" s="4"/>
      <c r="Q556" s="4"/>
      <c r="R556" s="4"/>
      <c r="S556" s="4"/>
      <c r="T556" s="4"/>
      <c r="U556" s="4"/>
    </row>
    <row r="557" spans="15:21">
      <c r="O557" s="4"/>
      <c r="P557" s="4"/>
      <c r="Q557" s="4"/>
      <c r="R557" s="4"/>
      <c r="S557" s="4"/>
      <c r="T557" s="4"/>
      <c r="U557" s="4"/>
    </row>
    <row r="558" spans="15:21">
      <c r="O558" s="4"/>
      <c r="P558" s="4"/>
      <c r="Q558" s="4"/>
      <c r="R558" s="4"/>
      <c r="S558" s="4"/>
      <c r="T558" s="4"/>
      <c r="U558" s="4"/>
    </row>
    <row r="559" spans="15:21">
      <c r="O559" s="4"/>
      <c r="P559" s="4"/>
      <c r="Q559" s="4"/>
      <c r="R559" s="4"/>
      <c r="S559" s="4"/>
      <c r="T559" s="4"/>
      <c r="U559" s="4"/>
    </row>
    <row r="560" spans="15:21">
      <c r="O560" s="4"/>
      <c r="P560" s="4"/>
      <c r="Q560" s="4"/>
      <c r="R560" s="4"/>
      <c r="S560" s="4"/>
      <c r="T560" s="4"/>
      <c r="U560" s="4"/>
    </row>
    <row r="561" spans="15:21">
      <c r="O561" s="4"/>
      <c r="P561" s="4"/>
      <c r="Q561" s="4"/>
      <c r="R561" s="4"/>
      <c r="S561" s="4"/>
      <c r="T561" s="4"/>
      <c r="U561" s="4"/>
    </row>
    <row r="562" spans="15:21">
      <c r="O562" s="4"/>
      <c r="P562" s="4"/>
      <c r="Q562" s="4"/>
      <c r="R562" s="4"/>
      <c r="S562" s="4"/>
      <c r="T562" s="4"/>
      <c r="U562" s="4"/>
    </row>
    <row r="563" spans="15:21">
      <c r="O563" s="4"/>
      <c r="P563" s="4"/>
      <c r="Q563" s="4"/>
      <c r="R563" s="4"/>
      <c r="S563" s="4"/>
      <c r="T563" s="4"/>
      <c r="U563" s="4"/>
    </row>
    <row r="564" spans="15:21">
      <c r="O564" s="4"/>
      <c r="P564" s="4"/>
      <c r="Q564" s="4"/>
      <c r="R564" s="4"/>
      <c r="S564" s="4"/>
      <c r="T564" s="4"/>
      <c r="U564" s="4"/>
    </row>
    <row r="565" spans="15:21">
      <c r="O565" s="4"/>
      <c r="P565" s="4"/>
      <c r="Q565" s="4"/>
      <c r="R565" s="4"/>
      <c r="S565" s="4"/>
      <c r="T565" s="4"/>
      <c r="U565" s="4"/>
    </row>
    <row r="566" spans="15:21">
      <c r="O566" s="4"/>
      <c r="P566" s="4"/>
      <c r="Q566" s="4"/>
      <c r="R566" s="4"/>
      <c r="S566" s="4"/>
      <c r="T566" s="4"/>
      <c r="U566" s="4"/>
    </row>
    <row r="567" spans="15:21">
      <c r="O567" s="4"/>
      <c r="P567" s="4"/>
      <c r="Q567" s="4"/>
      <c r="R567" s="4"/>
      <c r="S567" s="4"/>
      <c r="T567" s="4"/>
      <c r="U567" s="4"/>
    </row>
    <row r="568" spans="15:21">
      <c r="O568" s="4"/>
      <c r="P568" s="4"/>
      <c r="Q568" s="4"/>
      <c r="R568" s="4"/>
      <c r="S568" s="4"/>
      <c r="T568" s="4"/>
      <c r="U568" s="4"/>
    </row>
    <row r="569" spans="15:21">
      <c r="O569" s="4"/>
      <c r="P569" s="4"/>
      <c r="Q569" s="4"/>
      <c r="R569" s="4"/>
      <c r="S569" s="4"/>
      <c r="T569" s="4"/>
      <c r="U569" s="4"/>
    </row>
    <row r="570" spans="15:21">
      <c r="O570" s="4"/>
      <c r="P570" s="4"/>
      <c r="Q570" s="4"/>
      <c r="R570" s="4"/>
      <c r="S570" s="4"/>
      <c r="T570" s="4"/>
      <c r="U570" s="4"/>
    </row>
    <row r="571" spans="15:21">
      <c r="O571" s="4"/>
      <c r="P571" s="4"/>
      <c r="Q571" s="4"/>
      <c r="R571" s="4"/>
      <c r="S571" s="4"/>
      <c r="T571" s="4"/>
      <c r="U571" s="4"/>
    </row>
    <row r="572" spans="15:21">
      <c r="O572" s="4"/>
      <c r="P572" s="4"/>
      <c r="Q572" s="4"/>
      <c r="R572" s="4"/>
      <c r="S572" s="4"/>
      <c r="T572" s="4"/>
      <c r="U572" s="4"/>
    </row>
    <row r="573" spans="15:21">
      <c r="O573" s="4"/>
      <c r="P573" s="4"/>
      <c r="Q573" s="4"/>
      <c r="R573" s="4"/>
      <c r="S573" s="4"/>
      <c r="T573" s="4"/>
      <c r="U573" s="4"/>
    </row>
    <row r="574" spans="15:21">
      <c r="O574" s="4"/>
      <c r="P574" s="4"/>
      <c r="Q574" s="4"/>
      <c r="R574" s="4"/>
      <c r="S574" s="4"/>
      <c r="T574" s="4"/>
      <c r="U574" s="4"/>
    </row>
    <row r="575" spans="15:21">
      <c r="O575" s="4"/>
      <c r="P575" s="4"/>
      <c r="Q575" s="4"/>
      <c r="R575" s="4"/>
      <c r="S575" s="4"/>
      <c r="T575" s="4"/>
      <c r="U575" s="4"/>
    </row>
    <row r="576" spans="15:21">
      <c r="O576" s="4"/>
      <c r="P576" s="4"/>
      <c r="Q576" s="4"/>
      <c r="R576" s="4"/>
      <c r="S576" s="4"/>
      <c r="T576" s="4"/>
      <c r="U576" s="4"/>
    </row>
    <row r="577" spans="15:21">
      <c r="O577" s="4"/>
      <c r="P577" s="4"/>
      <c r="Q577" s="4"/>
      <c r="R577" s="4"/>
      <c r="S577" s="4"/>
      <c r="T577" s="4"/>
      <c r="U577" s="4"/>
    </row>
    <row r="578" spans="15:21">
      <c r="O578" s="4"/>
      <c r="P578" s="4"/>
      <c r="Q578" s="4"/>
      <c r="R578" s="4"/>
      <c r="S578" s="4"/>
      <c r="T578" s="4"/>
      <c r="U578" s="4"/>
    </row>
    <row r="579" spans="15:21">
      <c r="O579" s="4"/>
      <c r="P579" s="4"/>
      <c r="Q579" s="4"/>
      <c r="R579" s="4"/>
      <c r="S579" s="4"/>
      <c r="T579" s="4"/>
      <c r="U579" s="4"/>
    </row>
    <row r="580" spans="15:21">
      <c r="O580" s="4"/>
      <c r="P580" s="4"/>
      <c r="Q580" s="4"/>
      <c r="R580" s="4"/>
      <c r="S580" s="4"/>
      <c r="T580" s="4"/>
      <c r="U580" s="4"/>
    </row>
    <row r="581" spans="15:21">
      <c r="O581" s="4"/>
      <c r="P581" s="4"/>
      <c r="Q581" s="4"/>
      <c r="R581" s="4"/>
      <c r="S581" s="4"/>
      <c r="T581" s="4"/>
      <c r="U581" s="4"/>
    </row>
    <row r="582" spans="15:21">
      <c r="O582" s="4"/>
      <c r="P582" s="4"/>
      <c r="Q582" s="4"/>
      <c r="R582" s="4"/>
      <c r="S582" s="4"/>
      <c r="T582" s="4"/>
      <c r="U582" s="4"/>
    </row>
    <row r="583" spans="15:21">
      <c r="O583" s="4"/>
      <c r="P583" s="4"/>
      <c r="Q583" s="4"/>
      <c r="R583" s="4"/>
      <c r="S583" s="4"/>
      <c r="T583" s="4"/>
      <c r="U583" s="4"/>
    </row>
    <row r="584" spans="15:21">
      <c r="O584" s="4"/>
      <c r="P584" s="4"/>
      <c r="Q584" s="4"/>
      <c r="R584" s="4"/>
      <c r="S584" s="4"/>
      <c r="T584" s="4"/>
      <c r="U584" s="4"/>
    </row>
    <row r="585" spans="15:21">
      <c r="O585" s="4"/>
      <c r="P585" s="4"/>
      <c r="Q585" s="4"/>
      <c r="R585" s="4"/>
      <c r="S585" s="4"/>
      <c r="T585" s="4"/>
      <c r="U585" s="4"/>
    </row>
    <row r="586" spans="15:21">
      <c r="O586" s="4"/>
      <c r="P586" s="4"/>
      <c r="Q586" s="4"/>
      <c r="R586" s="4"/>
      <c r="S586" s="4"/>
      <c r="T586" s="4"/>
      <c r="U586" s="4"/>
    </row>
    <row r="587" spans="15:21">
      <c r="O587" s="4"/>
      <c r="P587" s="4"/>
      <c r="Q587" s="4"/>
      <c r="R587" s="4"/>
      <c r="S587" s="4"/>
      <c r="T587" s="4"/>
      <c r="U587" s="4"/>
    </row>
    <row r="588" spans="15:21">
      <c r="O588" s="4"/>
      <c r="P588" s="4"/>
      <c r="Q588" s="4"/>
      <c r="R588" s="4"/>
      <c r="S588" s="4"/>
      <c r="T588" s="4"/>
      <c r="U588" s="4"/>
    </row>
    <row r="589" spans="15:21">
      <c r="O589" s="4"/>
      <c r="P589" s="4"/>
      <c r="Q589" s="4"/>
      <c r="R589" s="4"/>
      <c r="S589" s="4"/>
      <c r="T589" s="4"/>
      <c r="U589" s="4"/>
    </row>
    <row r="590" spans="15:21">
      <c r="O590" s="4"/>
      <c r="P590" s="4"/>
      <c r="Q590" s="4"/>
      <c r="R590" s="4"/>
      <c r="S590" s="4"/>
      <c r="T590" s="4"/>
      <c r="U590" s="4"/>
    </row>
    <row r="591" spans="15:21">
      <c r="O591" s="4"/>
      <c r="P591" s="4"/>
      <c r="Q591" s="4"/>
      <c r="R591" s="4"/>
      <c r="S591" s="4"/>
      <c r="T591" s="4"/>
      <c r="U591" s="4"/>
    </row>
    <row r="592" spans="15:21">
      <c r="O592" s="4"/>
      <c r="P592" s="4"/>
      <c r="Q592" s="4"/>
      <c r="R592" s="4"/>
      <c r="S592" s="4"/>
      <c r="T592" s="4"/>
      <c r="U592" s="4"/>
    </row>
    <row r="593" spans="15:21">
      <c r="O593" s="4"/>
      <c r="P593" s="4"/>
      <c r="Q593" s="4"/>
      <c r="R593" s="4"/>
      <c r="S593" s="4"/>
      <c r="T593" s="4"/>
      <c r="U593" s="4"/>
    </row>
    <row r="594" spans="15:21">
      <c r="O594" s="4"/>
      <c r="P594" s="4"/>
      <c r="Q594" s="4"/>
      <c r="R594" s="4"/>
      <c r="S594" s="4"/>
      <c r="T594" s="4"/>
      <c r="U594" s="4"/>
    </row>
    <row r="595" spans="15:21">
      <c r="O595" s="4"/>
      <c r="P595" s="4"/>
      <c r="Q595" s="4"/>
      <c r="R595" s="4"/>
      <c r="S595" s="4"/>
      <c r="T595" s="4"/>
      <c r="U595" s="4"/>
    </row>
    <row r="596" spans="15:21">
      <c r="O596" s="4"/>
      <c r="P596" s="4"/>
      <c r="Q596" s="4"/>
      <c r="R596" s="4"/>
      <c r="S596" s="4"/>
      <c r="T596" s="4"/>
      <c r="U596" s="4"/>
    </row>
    <row r="597" spans="15:21">
      <c r="O597" s="4"/>
      <c r="P597" s="4"/>
      <c r="Q597" s="4"/>
      <c r="R597" s="4"/>
      <c r="S597" s="4"/>
      <c r="T597" s="4"/>
      <c r="U597" s="4"/>
    </row>
    <row r="598" spans="15:21">
      <c r="O598" s="4"/>
      <c r="P598" s="4"/>
      <c r="Q598" s="4"/>
      <c r="R598" s="4"/>
      <c r="S598" s="4"/>
      <c r="T598" s="4"/>
      <c r="U598" s="4"/>
    </row>
    <row r="599" spans="15:21">
      <c r="O599" s="4"/>
      <c r="P599" s="4"/>
      <c r="Q599" s="4"/>
      <c r="R599" s="4"/>
      <c r="S599" s="4"/>
      <c r="T599" s="4"/>
      <c r="U599" s="4"/>
    </row>
    <row r="600" spans="15:21">
      <c r="O600" s="4"/>
      <c r="P600" s="4"/>
      <c r="Q600" s="4"/>
      <c r="R600" s="4"/>
      <c r="S600" s="4"/>
      <c r="T600" s="4"/>
      <c r="U600" s="4"/>
    </row>
    <row r="601" spans="15:21">
      <c r="O601" s="4"/>
      <c r="P601" s="4"/>
      <c r="Q601" s="4"/>
      <c r="R601" s="4"/>
      <c r="S601" s="4"/>
      <c r="T601" s="4"/>
      <c r="U601" s="4"/>
    </row>
    <row r="602" spans="15:21">
      <c r="O602" s="4"/>
      <c r="P602" s="4"/>
      <c r="Q602" s="4"/>
      <c r="R602" s="4"/>
      <c r="S602" s="4"/>
      <c r="T602" s="4"/>
      <c r="U602" s="4"/>
    </row>
    <row r="603" spans="15:21">
      <c r="O603" s="4"/>
      <c r="P603" s="4"/>
      <c r="Q603" s="4"/>
      <c r="R603" s="4"/>
      <c r="S603" s="4"/>
      <c r="T603" s="4"/>
      <c r="U603" s="4"/>
    </row>
    <row r="604" spans="15:21">
      <c r="O604" s="4"/>
      <c r="P604" s="4"/>
      <c r="Q604" s="4"/>
      <c r="R604" s="4"/>
      <c r="S604" s="4"/>
      <c r="T604" s="4"/>
      <c r="U604" s="4"/>
    </row>
    <row r="605" spans="15:21">
      <c r="O605" s="4"/>
      <c r="P605" s="4"/>
      <c r="Q605" s="4"/>
      <c r="R605" s="4"/>
      <c r="S605" s="4"/>
      <c r="T605" s="4"/>
      <c r="U605" s="4"/>
    </row>
    <row r="606" spans="15:21">
      <c r="O606" s="4"/>
      <c r="P606" s="4"/>
      <c r="Q606" s="4"/>
      <c r="R606" s="4"/>
      <c r="S606" s="4"/>
      <c r="T606" s="4"/>
      <c r="U606" s="4"/>
    </row>
    <row r="607" spans="15:21">
      <c r="O607" s="4"/>
      <c r="P607" s="4"/>
      <c r="Q607" s="4"/>
      <c r="R607" s="4"/>
      <c r="S607" s="4"/>
      <c r="T607" s="4"/>
      <c r="U607" s="4"/>
    </row>
    <row r="608" spans="15:21">
      <c r="O608" s="4"/>
      <c r="P608" s="4"/>
      <c r="Q608" s="4"/>
      <c r="R608" s="4"/>
      <c r="S608" s="4"/>
      <c r="T608" s="4"/>
      <c r="U608" s="4"/>
    </row>
    <row r="609" spans="15:21">
      <c r="O609" s="4"/>
      <c r="P609" s="4"/>
      <c r="Q609" s="4"/>
      <c r="R609" s="4"/>
      <c r="S609" s="4"/>
      <c r="T609" s="4"/>
      <c r="U609" s="4"/>
    </row>
    <row r="610" spans="15:21">
      <c r="O610" s="4"/>
      <c r="P610" s="4"/>
      <c r="Q610" s="4"/>
      <c r="R610" s="4"/>
      <c r="S610" s="4"/>
      <c r="T610" s="4"/>
      <c r="U610" s="4"/>
    </row>
    <row r="611" spans="15:21">
      <c r="O611" s="4"/>
      <c r="P611" s="4"/>
      <c r="Q611" s="4"/>
      <c r="R611" s="4"/>
      <c r="S611" s="4"/>
      <c r="T611" s="4"/>
      <c r="U611" s="4"/>
    </row>
    <row r="612" spans="15:21">
      <c r="O612" s="4"/>
      <c r="P612" s="4"/>
      <c r="Q612" s="4"/>
      <c r="R612" s="4"/>
      <c r="S612" s="4"/>
      <c r="T612" s="4"/>
      <c r="U612" s="4"/>
    </row>
    <row r="613" spans="15:21">
      <c r="O613" s="4"/>
      <c r="P613" s="4"/>
      <c r="Q613" s="4"/>
      <c r="R613" s="4"/>
      <c r="S613" s="4"/>
      <c r="T613" s="4"/>
      <c r="U613" s="4"/>
    </row>
    <row r="614" spans="15:21">
      <c r="O614" s="4"/>
      <c r="P614" s="4"/>
      <c r="Q614" s="4"/>
      <c r="R614" s="4"/>
      <c r="S614" s="4"/>
      <c r="T614" s="4"/>
      <c r="U614" s="4"/>
    </row>
    <row r="615" spans="15:21">
      <c r="O615" s="4"/>
      <c r="P615" s="4"/>
      <c r="Q615" s="4"/>
      <c r="R615" s="4"/>
      <c r="S615" s="4"/>
      <c r="T615" s="4"/>
      <c r="U615" s="4"/>
    </row>
    <row r="616" spans="15:21">
      <c r="O616" s="4"/>
      <c r="P616" s="4"/>
      <c r="Q616" s="4"/>
      <c r="R616" s="4"/>
      <c r="S616" s="4"/>
      <c r="T616" s="4"/>
      <c r="U616" s="4"/>
    </row>
    <row r="617" spans="15:21">
      <c r="O617" s="4"/>
      <c r="P617" s="4"/>
      <c r="Q617" s="4"/>
      <c r="R617" s="4"/>
      <c r="S617" s="4"/>
      <c r="T617" s="4"/>
      <c r="U617" s="4"/>
    </row>
    <row r="618" spans="15:21">
      <c r="O618" s="4"/>
      <c r="P618" s="4"/>
      <c r="Q618" s="4"/>
      <c r="R618" s="4"/>
      <c r="S618" s="4"/>
      <c r="T618" s="4"/>
      <c r="U618" s="4"/>
    </row>
    <row r="619" spans="15:21">
      <c r="O619" s="4"/>
      <c r="P619" s="4"/>
      <c r="Q619" s="4"/>
      <c r="R619" s="4"/>
      <c r="S619" s="4"/>
      <c r="T619" s="4"/>
      <c r="U619" s="4"/>
    </row>
    <row r="620" spans="15:21">
      <c r="O620" s="4"/>
      <c r="P620" s="4"/>
      <c r="Q620" s="4"/>
      <c r="R620" s="4"/>
      <c r="S620" s="4"/>
      <c r="T620" s="4"/>
      <c r="U620" s="4"/>
    </row>
    <row r="621" spans="15:21">
      <c r="O621" s="4"/>
      <c r="P621" s="4"/>
      <c r="Q621" s="4"/>
      <c r="R621" s="4"/>
      <c r="S621" s="4"/>
      <c r="T621" s="4"/>
      <c r="U621" s="4"/>
    </row>
    <row r="622" spans="15:21">
      <c r="O622" s="4"/>
      <c r="P622" s="4"/>
      <c r="Q622" s="4"/>
      <c r="R622" s="4"/>
      <c r="S622" s="4"/>
      <c r="T622" s="4"/>
      <c r="U622" s="4"/>
    </row>
    <row r="623" spans="15:21">
      <c r="O623" s="4"/>
      <c r="P623" s="4"/>
      <c r="Q623" s="4"/>
      <c r="R623" s="4"/>
      <c r="S623" s="4"/>
      <c r="T623" s="4"/>
      <c r="U623" s="4"/>
    </row>
    <row r="624" spans="15:21">
      <c r="O624" s="4"/>
      <c r="P624" s="4"/>
      <c r="Q624" s="4"/>
      <c r="R624" s="4"/>
      <c r="S624" s="4"/>
      <c r="T624" s="4"/>
      <c r="U624" s="4"/>
    </row>
    <row r="625" spans="15:21">
      <c r="O625" s="4"/>
      <c r="P625" s="4"/>
      <c r="Q625" s="4"/>
      <c r="R625" s="4"/>
      <c r="S625" s="4"/>
      <c r="T625" s="4"/>
      <c r="U625" s="4"/>
    </row>
    <row r="626" spans="15:21">
      <c r="O626" s="4"/>
      <c r="P626" s="4"/>
      <c r="Q626" s="4"/>
      <c r="R626" s="4"/>
      <c r="S626" s="4"/>
      <c r="T626" s="4"/>
      <c r="U626" s="4"/>
    </row>
    <row r="627" spans="15:21">
      <c r="O627" s="4"/>
      <c r="P627" s="4"/>
      <c r="Q627" s="4"/>
      <c r="R627" s="4"/>
      <c r="S627" s="4"/>
      <c r="T627" s="4"/>
      <c r="U627" s="4"/>
    </row>
    <row r="628" spans="15:21">
      <c r="O628" s="4"/>
      <c r="P628" s="4"/>
      <c r="Q628" s="4"/>
      <c r="R628" s="4"/>
      <c r="S628" s="4"/>
      <c r="T628" s="4"/>
      <c r="U628" s="4"/>
    </row>
    <row r="629" spans="15:21">
      <c r="O629" s="4"/>
      <c r="P629" s="4"/>
      <c r="Q629" s="4"/>
      <c r="R629" s="4"/>
      <c r="S629" s="4"/>
      <c r="T629" s="4"/>
      <c r="U629" s="4"/>
    </row>
    <row r="630" spans="15:21">
      <c r="O630" s="4"/>
      <c r="P630" s="4"/>
      <c r="Q630" s="4"/>
      <c r="R630" s="4"/>
      <c r="S630" s="4"/>
      <c r="T630" s="4"/>
      <c r="U630" s="4"/>
    </row>
    <row r="631" spans="15:21">
      <c r="O631" s="4"/>
      <c r="P631" s="4"/>
      <c r="Q631" s="4"/>
      <c r="R631" s="4"/>
      <c r="S631" s="4"/>
      <c r="T631" s="4"/>
      <c r="U631" s="4"/>
    </row>
    <row r="632" spans="15:21">
      <c r="O632" s="4"/>
      <c r="P632" s="4"/>
      <c r="Q632" s="4"/>
      <c r="R632" s="4"/>
      <c r="S632" s="4"/>
      <c r="T632" s="4"/>
      <c r="U632" s="4"/>
    </row>
    <row r="633" spans="15:21">
      <c r="O633" s="4"/>
      <c r="P633" s="4"/>
      <c r="Q633" s="4"/>
      <c r="R633" s="4"/>
      <c r="S633" s="4"/>
      <c r="T633" s="4"/>
      <c r="U633" s="4"/>
    </row>
    <row r="634" spans="15:21">
      <c r="O634" s="4"/>
      <c r="P634" s="4"/>
      <c r="Q634" s="4"/>
      <c r="R634" s="4"/>
      <c r="S634" s="4"/>
      <c r="T634" s="4"/>
      <c r="U634" s="4"/>
    </row>
    <row r="635" spans="15:21">
      <c r="O635" s="4"/>
      <c r="P635" s="4"/>
      <c r="Q635" s="4"/>
      <c r="R635" s="4"/>
      <c r="S635" s="4"/>
      <c r="T635" s="4"/>
      <c r="U635" s="4"/>
    </row>
    <row r="636" spans="15:21">
      <c r="O636" s="4"/>
      <c r="P636" s="4"/>
      <c r="Q636" s="4"/>
      <c r="R636" s="4"/>
      <c r="S636" s="4"/>
      <c r="T636" s="4"/>
      <c r="U636" s="4"/>
    </row>
    <row r="637" spans="15:21">
      <c r="O637" s="4"/>
      <c r="P637" s="4"/>
      <c r="Q637" s="4"/>
      <c r="R637" s="4"/>
      <c r="S637" s="4"/>
      <c r="T637" s="4"/>
      <c r="U637" s="4"/>
    </row>
    <row r="638" spans="15:21">
      <c r="O638" s="4"/>
      <c r="P638" s="4"/>
      <c r="Q638" s="4"/>
      <c r="R638" s="4"/>
      <c r="S638" s="4"/>
      <c r="T638" s="4"/>
      <c r="U638" s="4"/>
    </row>
    <row r="639" spans="15:21">
      <c r="O639" s="4"/>
      <c r="P639" s="4"/>
      <c r="Q639" s="4"/>
      <c r="R639" s="4"/>
      <c r="S639" s="4"/>
      <c r="T639" s="4"/>
      <c r="U639" s="4"/>
    </row>
    <row r="640" spans="15:21">
      <c r="O640" s="4"/>
      <c r="P640" s="4"/>
      <c r="Q640" s="4"/>
      <c r="R640" s="4"/>
      <c r="S640" s="4"/>
      <c r="T640" s="4"/>
      <c r="U640" s="4"/>
    </row>
    <row r="641" spans="15:21">
      <c r="O641" s="4"/>
      <c r="P641" s="4"/>
      <c r="Q641" s="4"/>
      <c r="R641" s="4"/>
      <c r="S641" s="4"/>
      <c r="T641" s="4"/>
      <c r="U641" s="4"/>
    </row>
    <row r="642" spans="15:21">
      <c r="O642" s="4"/>
      <c r="P642" s="4"/>
      <c r="Q642" s="4"/>
      <c r="R642" s="4"/>
      <c r="S642" s="4"/>
      <c r="T642" s="4"/>
      <c r="U642" s="4"/>
    </row>
    <row r="643" spans="15:21">
      <c r="O643" s="4"/>
      <c r="P643" s="4"/>
      <c r="Q643" s="4"/>
      <c r="R643" s="4"/>
      <c r="S643" s="4"/>
      <c r="T643" s="4"/>
      <c r="U643" s="4"/>
    </row>
    <row r="644" spans="15:21">
      <c r="O644" s="4"/>
      <c r="P644" s="4"/>
      <c r="Q644" s="4"/>
      <c r="R644" s="4"/>
      <c r="S644" s="4"/>
      <c r="T644" s="4"/>
      <c r="U644" s="4"/>
    </row>
    <row r="645" spans="15:21">
      <c r="O645" s="4"/>
      <c r="P645" s="4"/>
      <c r="Q645" s="4"/>
      <c r="R645" s="4"/>
      <c r="S645" s="4"/>
      <c r="T645" s="4"/>
      <c r="U645" s="4"/>
    </row>
    <row r="646" spans="15:21">
      <c r="O646" s="4"/>
      <c r="P646" s="4"/>
      <c r="Q646" s="4"/>
      <c r="R646" s="4"/>
      <c r="S646" s="4"/>
      <c r="T646" s="4"/>
      <c r="U646" s="4"/>
    </row>
    <row r="647" spans="15:21">
      <c r="O647" s="4"/>
      <c r="P647" s="4"/>
      <c r="Q647" s="4"/>
      <c r="R647" s="4"/>
      <c r="S647" s="4"/>
      <c r="T647" s="4"/>
      <c r="U647" s="4"/>
    </row>
    <row r="648" spans="15:21">
      <c r="O648" s="4"/>
      <c r="P648" s="4"/>
      <c r="Q648" s="4"/>
      <c r="R648" s="4"/>
      <c r="S648" s="4"/>
      <c r="T648" s="4"/>
      <c r="U648" s="4"/>
    </row>
    <row r="649" spans="15:21">
      <c r="O649" s="4"/>
      <c r="P649" s="4"/>
      <c r="Q649" s="4"/>
      <c r="R649" s="4"/>
      <c r="S649" s="4"/>
      <c r="T649" s="4"/>
      <c r="U649" s="4"/>
    </row>
    <row r="650" spans="15:21">
      <c r="O650" s="4"/>
      <c r="P650" s="4"/>
      <c r="Q650" s="4"/>
      <c r="R650" s="4"/>
      <c r="S650" s="4"/>
      <c r="T650" s="4"/>
      <c r="U650" s="4"/>
    </row>
    <row r="651" spans="15:21">
      <c r="O651" s="4"/>
      <c r="P651" s="4"/>
      <c r="Q651" s="4"/>
      <c r="R651" s="4"/>
      <c r="S651" s="4"/>
      <c r="T651" s="4"/>
      <c r="U651" s="4"/>
    </row>
    <row r="652" spans="15:21">
      <c r="O652" s="4"/>
      <c r="P652" s="4"/>
      <c r="Q652" s="4"/>
      <c r="R652" s="4"/>
      <c r="S652" s="4"/>
      <c r="T652" s="4"/>
      <c r="U652" s="4"/>
    </row>
    <row r="653" spans="15:21">
      <c r="O653" s="4"/>
      <c r="P653" s="4"/>
      <c r="Q653" s="4"/>
      <c r="R653" s="4"/>
      <c r="S653" s="4"/>
      <c r="T653" s="4"/>
      <c r="U653" s="4"/>
    </row>
    <row r="654" spans="15:21">
      <c r="O654" s="4"/>
      <c r="P654" s="4"/>
      <c r="Q654" s="4"/>
      <c r="R654" s="4"/>
      <c r="S654" s="4"/>
      <c r="T654" s="4"/>
      <c r="U654" s="4"/>
    </row>
    <row r="655" spans="15:21">
      <c r="O655" s="4"/>
      <c r="P655" s="4"/>
      <c r="Q655" s="4"/>
      <c r="R655" s="4"/>
      <c r="S655" s="4"/>
      <c r="T655" s="4"/>
      <c r="U655" s="4"/>
    </row>
    <row r="656" spans="15:21">
      <c r="O656" s="4"/>
      <c r="P656" s="4"/>
      <c r="Q656" s="4"/>
      <c r="R656" s="4"/>
      <c r="S656" s="4"/>
      <c r="T656" s="4"/>
      <c r="U656" s="4"/>
    </row>
    <row r="657" spans="15:21">
      <c r="O657" s="4"/>
      <c r="P657" s="4"/>
      <c r="Q657" s="4"/>
      <c r="R657" s="4"/>
      <c r="S657" s="4"/>
      <c r="T657" s="4"/>
      <c r="U657" s="4"/>
    </row>
    <row r="658" spans="15:21">
      <c r="O658" s="4"/>
      <c r="P658" s="4"/>
      <c r="Q658" s="4"/>
      <c r="R658" s="4"/>
      <c r="S658" s="4"/>
      <c r="T658" s="4"/>
      <c r="U658" s="4"/>
    </row>
    <row r="659" spans="15:21">
      <c r="O659" s="4"/>
      <c r="P659" s="4"/>
      <c r="Q659" s="4"/>
      <c r="R659" s="4"/>
      <c r="S659" s="4"/>
      <c r="T659" s="4"/>
      <c r="U659" s="4"/>
    </row>
    <row r="660" spans="15:21">
      <c r="O660" s="4"/>
      <c r="P660" s="4"/>
      <c r="Q660" s="4"/>
      <c r="R660" s="4"/>
      <c r="S660" s="4"/>
      <c r="T660" s="4"/>
      <c r="U660" s="4"/>
    </row>
    <row r="661" spans="15:21">
      <c r="O661" s="4"/>
      <c r="P661" s="4"/>
      <c r="Q661" s="4"/>
      <c r="R661" s="4"/>
      <c r="S661" s="4"/>
      <c r="T661" s="4"/>
      <c r="U661" s="4"/>
    </row>
    <row r="662" spans="15:21">
      <c r="O662" s="4"/>
      <c r="P662" s="4"/>
      <c r="Q662" s="4"/>
      <c r="R662" s="4"/>
      <c r="S662" s="4"/>
      <c r="T662" s="4"/>
      <c r="U662" s="4"/>
    </row>
    <row r="663" spans="15:21">
      <c r="O663" s="4"/>
      <c r="P663" s="4"/>
      <c r="Q663" s="4"/>
      <c r="R663" s="4"/>
      <c r="S663" s="4"/>
      <c r="T663" s="4"/>
      <c r="U663" s="4"/>
    </row>
    <row r="664" spans="15:21">
      <c r="O664" s="4"/>
      <c r="P664" s="4"/>
      <c r="Q664" s="4"/>
      <c r="R664" s="4"/>
      <c r="S664" s="4"/>
      <c r="T664" s="4"/>
      <c r="U664" s="4"/>
    </row>
    <row r="665" spans="15:21">
      <c r="O665" s="4"/>
      <c r="P665" s="4"/>
      <c r="Q665" s="4"/>
      <c r="R665" s="4"/>
      <c r="S665" s="4"/>
      <c r="T665" s="4"/>
      <c r="U665" s="4"/>
    </row>
    <row r="666" spans="15:21">
      <c r="O666" s="4"/>
      <c r="P666" s="4"/>
      <c r="Q666" s="4"/>
      <c r="R666" s="4"/>
      <c r="S666" s="4"/>
      <c r="T666" s="4"/>
      <c r="U666" s="4"/>
    </row>
    <row r="667" spans="15:21">
      <c r="O667" s="4"/>
      <c r="P667" s="4"/>
      <c r="Q667" s="4"/>
      <c r="R667" s="4"/>
      <c r="S667" s="4"/>
      <c r="T667" s="4"/>
      <c r="U667" s="4"/>
    </row>
    <row r="668" spans="15:21">
      <c r="O668" s="4"/>
      <c r="P668" s="4"/>
      <c r="Q668" s="4"/>
      <c r="R668" s="4"/>
      <c r="S668" s="4"/>
      <c r="T668" s="4"/>
      <c r="U668" s="4"/>
    </row>
    <row r="669" spans="15:21">
      <c r="O669" s="4"/>
      <c r="P669" s="4"/>
      <c r="Q669" s="4"/>
      <c r="R669" s="4"/>
      <c r="S669" s="4"/>
      <c r="T669" s="4"/>
      <c r="U669" s="4"/>
    </row>
    <row r="670" spans="15:21">
      <c r="O670" s="4"/>
      <c r="P670" s="4"/>
      <c r="Q670" s="4"/>
      <c r="R670" s="4"/>
      <c r="S670" s="4"/>
      <c r="T670" s="4"/>
      <c r="U670" s="4"/>
    </row>
    <row r="671" spans="15:21">
      <c r="O671" s="4"/>
      <c r="P671" s="4"/>
      <c r="Q671" s="4"/>
      <c r="R671" s="4"/>
      <c r="S671" s="4"/>
      <c r="T671" s="4"/>
      <c r="U671" s="4"/>
    </row>
    <row r="672" spans="15:21">
      <c r="O672" s="4"/>
      <c r="P672" s="4"/>
      <c r="Q672" s="4"/>
      <c r="R672" s="4"/>
      <c r="S672" s="4"/>
      <c r="T672" s="4"/>
      <c r="U672" s="4"/>
    </row>
    <row r="673" spans="15:21">
      <c r="O673" s="4"/>
      <c r="P673" s="4"/>
      <c r="Q673" s="4"/>
      <c r="R673" s="4"/>
      <c r="S673" s="4"/>
      <c r="T673" s="4"/>
      <c r="U673" s="4"/>
    </row>
    <row r="674" spans="15:21">
      <c r="O674" s="4"/>
      <c r="P674" s="4"/>
      <c r="Q674" s="4"/>
      <c r="R674" s="4"/>
      <c r="S674" s="4"/>
      <c r="T674" s="4"/>
      <c r="U674" s="4"/>
    </row>
    <row r="675" spans="15:21">
      <c r="O675" s="4"/>
      <c r="P675" s="4"/>
      <c r="Q675" s="4"/>
      <c r="R675" s="4"/>
      <c r="S675" s="4"/>
      <c r="T675" s="4"/>
      <c r="U675" s="4"/>
    </row>
    <row r="676" spans="15:21">
      <c r="O676" s="4"/>
      <c r="P676" s="4"/>
      <c r="Q676" s="4"/>
      <c r="R676" s="4"/>
      <c r="S676" s="4"/>
      <c r="T676" s="4"/>
      <c r="U676" s="4"/>
    </row>
    <row r="677" spans="15:21">
      <c r="O677" s="4"/>
      <c r="P677" s="4"/>
      <c r="Q677" s="4"/>
      <c r="R677" s="4"/>
      <c r="S677" s="4"/>
      <c r="T677" s="4"/>
      <c r="U677" s="4"/>
    </row>
    <row r="678" spans="15:21">
      <c r="O678" s="4"/>
      <c r="P678" s="4"/>
      <c r="Q678" s="4"/>
      <c r="R678" s="4"/>
      <c r="S678" s="4"/>
      <c r="T678" s="4"/>
      <c r="U678" s="4"/>
    </row>
    <row r="679" spans="15:21">
      <c r="O679" s="4"/>
      <c r="P679" s="4"/>
      <c r="Q679" s="4"/>
      <c r="R679" s="4"/>
      <c r="S679" s="4"/>
      <c r="T679" s="4"/>
      <c r="U679" s="4"/>
    </row>
    <row r="680" spans="15:21">
      <c r="O680" s="4"/>
      <c r="P680" s="4"/>
      <c r="Q680" s="4"/>
      <c r="R680" s="4"/>
      <c r="S680" s="4"/>
      <c r="T680" s="4"/>
      <c r="U680" s="4"/>
    </row>
    <row r="681" spans="15:21">
      <c r="O681" s="4"/>
      <c r="P681" s="4"/>
      <c r="Q681" s="4"/>
      <c r="R681" s="4"/>
      <c r="S681" s="4"/>
      <c r="T681" s="4"/>
      <c r="U681" s="4"/>
    </row>
    <row r="682" spans="15:21">
      <c r="O682" s="4"/>
      <c r="P682" s="4"/>
      <c r="Q682" s="4"/>
      <c r="R682" s="4"/>
      <c r="S682" s="4"/>
      <c r="T682" s="4"/>
      <c r="U682" s="4"/>
    </row>
    <row r="683" spans="15:21">
      <c r="O683" s="4"/>
      <c r="P683" s="4"/>
      <c r="Q683" s="4"/>
      <c r="R683" s="4"/>
      <c r="S683" s="4"/>
      <c r="T683" s="4"/>
      <c r="U683" s="4"/>
    </row>
    <row r="684" spans="15:21">
      <c r="O684" s="4"/>
      <c r="P684" s="4"/>
      <c r="Q684" s="4"/>
      <c r="R684" s="4"/>
      <c r="S684" s="4"/>
      <c r="T684" s="4"/>
      <c r="U684" s="4"/>
    </row>
    <row r="685" spans="15:21">
      <c r="O685" s="4"/>
      <c r="P685" s="4"/>
      <c r="Q685" s="4"/>
      <c r="R685" s="4"/>
      <c r="S685" s="4"/>
      <c r="T685" s="4"/>
      <c r="U685" s="4"/>
    </row>
    <row r="686" spans="15:21">
      <c r="O686" s="4"/>
      <c r="P686" s="4"/>
      <c r="Q686" s="4"/>
      <c r="R686" s="4"/>
      <c r="S686" s="4"/>
      <c r="T686" s="4"/>
      <c r="U686" s="4"/>
    </row>
    <row r="687" spans="15:21">
      <c r="O687" s="4"/>
      <c r="P687" s="4"/>
      <c r="Q687" s="4"/>
      <c r="R687" s="4"/>
      <c r="S687" s="4"/>
      <c r="T687" s="4"/>
      <c r="U687" s="4"/>
    </row>
    <row r="688" spans="15:21">
      <c r="O688" s="4"/>
      <c r="P688" s="4"/>
      <c r="Q688" s="4"/>
      <c r="R688" s="4"/>
      <c r="S688" s="4"/>
      <c r="T688" s="4"/>
      <c r="U688" s="4"/>
    </row>
    <row r="689" spans="15:21">
      <c r="O689" s="4"/>
      <c r="P689" s="4"/>
      <c r="Q689" s="4"/>
      <c r="R689" s="4"/>
      <c r="S689" s="4"/>
      <c r="T689" s="4"/>
      <c r="U689" s="4"/>
    </row>
    <row r="690" spans="15:21">
      <c r="O690" s="4"/>
      <c r="P690" s="4"/>
      <c r="Q690" s="4"/>
      <c r="R690" s="4"/>
      <c r="S690" s="4"/>
      <c r="T690" s="4"/>
      <c r="U690" s="4"/>
    </row>
    <row r="691" spans="15:21">
      <c r="O691" s="4"/>
      <c r="P691" s="4"/>
      <c r="Q691" s="4"/>
      <c r="R691" s="4"/>
      <c r="S691" s="4"/>
      <c r="T691" s="4"/>
      <c r="U691" s="4"/>
    </row>
    <row r="692" spans="15:21">
      <c r="O692" s="4"/>
      <c r="P692" s="4"/>
      <c r="Q692" s="4"/>
      <c r="R692" s="4"/>
      <c r="S692" s="4"/>
      <c r="T692" s="4"/>
      <c r="U692" s="4"/>
    </row>
    <row r="693" spans="15:21">
      <c r="O693" s="4"/>
      <c r="P693" s="4"/>
      <c r="Q693" s="4"/>
      <c r="R693" s="4"/>
      <c r="S693" s="4"/>
      <c r="T693" s="4"/>
      <c r="U693" s="4"/>
    </row>
    <row r="694" spans="15:21">
      <c r="O694" s="4"/>
      <c r="P694" s="4"/>
      <c r="Q694" s="4"/>
      <c r="R694" s="4"/>
      <c r="S694" s="4"/>
      <c r="T694" s="4"/>
      <c r="U694" s="4"/>
    </row>
    <row r="695" spans="15:21">
      <c r="O695" s="4"/>
      <c r="P695" s="4"/>
      <c r="Q695" s="4"/>
      <c r="R695" s="4"/>
      <c r="S695" s="4"/>
      <c r="T695" s="4"/>
      <c r="U695" s="4"/>
    </row>
    <row r="696" spans="15:21">
      <c r="O696" s="4"/>
      <c r="P696" s="4"/>
      <c r="Q696" s="4"/>
      <c r="R696" s="4"/>
      <c r="S696" s="4"/>
      <c r="T696" s="4"/>
      <c r="U696" s="4"/>
    </row>
    <row r="697" spans="15:21">
      <c r="O697" s="4"/>
      <c r="P697" s="4"/>
      <c r="Q697" s="4"/>
      <c r="R697" s="4"/>
      <c r="S697" s="4"/>
      <c r="T697" s="4"/>
      <c r="U697" s="4"/>
    </row>
    <row r="698" spans="15:21">
      <c r="O698" s="4"/>
      <c r="P698" s="4"/>
      <c r="Q698" s="4"/>
      <c r="R698" s="4"/>
      <c r="S698" s="4"/>
      <c r="T698" s="4"/>
      <c r="U698" s="4"/>
    </row>
    <row r="699" spans="15:21">
      <c r="O699" s="4"/>
      <c r="P699" s="4"/>
      <c r="Q699" s="4"/>
      <c r="R699" s="4"/>
      <c r="S699" s="4"/>
      <c r="T699" s="4"/>
      <c r="U699" s="4"/>
    </row>
    <row r="700" spans="15:21">
      <c r="O700" s="4"/>
      <c r="P700" s="4"/>
      <c r="Q700" s="4"/>
      <c r="R700" s="4"/>
      <c r="S700" s="4"/>
      <c r="T700" s="4"/>
      <c r="U700" s="4"/>
    </row>
    <row r="701" spans="15:21">
      <c r="O701" s="4"/>
      <c r="P701" s="4"/>
      <c r="Q701" s="4"/>
      <c r="R701" s="4"/>
      <c r="S701" s="4"/>
      <c r="T701" s="4"/>
      <c r="U701" s="4"/>
    </row>
    <row r="702" spans="15:21">
      <c r="O702" s="4"/>
      <c r="P702" s="4"/>
      <c r="Q702" s="4"/>
      <c r="R702" s="4"/>
      <c r="S702" s="4"/>
      <c r="T702" s="4"/>
      <c r="U702" s="4"/>
    </row>
    <row r="703" spans="15:21">
      <c r="O703" s="4"/>
      <c r="P703" s="4"/>
      <c r="Q703" s="4"/>
      <c r="R703" s="4"/>
      <c r="S703" s="4"/>
      <c r="T703" s="4"/>
      <c r="U703" s="4"/>
    </row>
    <row r="704" spans="15:21">
      <c r="O704" s="4"/>
      <c r="P704" s="4"/>
      <c r="Q704" s="4"/>
      <c r="R704" s="4"/>
      <c r="S704" s="4"/>
      <c r="T704" s="4"/>
      <c r="U704" s="4"/>
    </row>
    <row r="705" spans="15:21">
      <c r="O705" s="4"/>
      <c r="P705" s="4"/>
      <c r="Q705" s="4"/>
      <c r="R705" s="4"/>
      <c r="S705" s="4"/>
      <c r="T705" s="4"/>
      <c r="U705" s="4"/>
    </row>
    <row r="706" spans="15:21">
      <c r="O706" s="4"/>
      <c r="P706" s="4"/>
      <c r="Q706" s="4"/>
      <c r="R706" s="4"/>
      <c r="S706" s="4"/>
      <c r="T706" s="4"/>
      <c r="U706" s="4"/>
    </row>
    <row r="707" spans="15:21">
      <c r="O707" s="4"/>
      <c r="P707" s="4"/>
      <c r="Q707" s="4"/>
      <c r="R707" s="4"/>
      <c r="S707" s="4"/>
      <c r="T707" s="4"/>
      <c r="U707" s="4"/>
    </row>
    <row r="708" spans="15:21">
      <c r="O708" s="4"/>
      <c r="P708" s="4"/>
      <c r="Q708" s="4"/>
      <c r="R708" s="4"/>
      <c r="S708" s="4"/>
      <c r="T708" s="4"/>
      <c r="U708" s="4"/>
    </row>
    <row r="709" spans="15:21">
      <c r="O709" s="4"/>
      <c r="P709" s="4"/>
      <c r="Q709" s="4"/>
      <c r="R709" s="4"/>
      <c r="S709" s="4"/>
      <c r="T709" s="4"/>
      <c r="U709" s="4"/>
    </row>
    <row r="710" spans="15:21">
      <c r="O710" s="4"/>
      <c r="P710" s="4"/>
      <c r="Q710" s="4"/>
      <c r="R710" s="4"/>
      <c r="S710" s="4"/>
      <c r="T710" s="4"/>
      <c r="U710" s="4"/>
    </row>
    <row r="711" spans="15:21">
      <c r="O711" s="4"/>
      <c r="P711" s="4"/>
      <c r="Q711" s="4"/>
      <c r="R711" s="4"/>
      <c r="S711" s="4"/>
      <c r="T711" s="4"/>
      <c r="U711" s="4"/>
    </row>
    <row r="712" spans="15:21">
      <c r="O712" s="4"/>
      <c r="P712" s="4"/>
      <c r="Q712" s="4"/>
      <c r="R712" s="4"/>
      <c r="S712" s="4"/>
      <c r="T712" s="4"/>
      <c r="U712" s="4"/>
    </row>
    <row r="713" spans="15:21">
      <c r="O713" s="4"/>
      <c r="P713" s="4"/>
      <c r="Q713" s="4"/>
      <c r="R713" s="4"/>
      <c r="S713" s="4"/>
      <c r="T713" s="4"/>
      <c r="U713" s="4"/>
    </row>
    <row r="714" spans="15:21">
      <c r="O714" s="4"/>
      <c r="P714" s="4"/>
      <c r="Q714" s="4"/>
      <c r="R714" s="4"/>
      <c r="S714" s="4"/>
      <c r="T714" s="4"/>
      <c r="U714" s="4"/>
    </row>
    <row r="715" spans="15:21">
      <c r="O715" s="4"/>
      <c r="P715" s="4"/>
      <c r="Q715" s="4"/>
      <c r="R715" s="4"/>
      <c r="S715" s="4"/>
      <c r="T715" s="4"/>
      <c r="U715" s="4"/>
    </row>
    <row r="716" spans="15:21">
      <c r="O716" s="4"/>
      <c r="P716" s="4"/>
      <c r="Q716" s="4"/>
      <c r="R716" s="4"/>
      <c r="S716" s="4"/>
      <c r="T716" s="4"/>
      <c r="U716" s="4"/>
    </row>
    <row r="717" spans="15:21">
      <c r="O717" s="4"/>
      <c r="P717" s="4"/>
      <c r="Q717" s="4"/>
      <c r="R717" s="4"/>
      <c r="S717" s="4"/>
      <c r="T717" s="4"/>
      <c r="U717" s="4"/>
    </row>
    <row r="718" spans="15:21">
      <c r="O718" s="4"/>
      <c r="P718" s="4"/>
      <c r="Q718" s="4"/>
      <c r="R718" s="4"/>
      <c r="S718" s="4"/>
      <c r="T718" s="4"/>
      <c r="U718" s="4"/>
    </row>
    <row r="719" spans="15:21">
      <c r="O719" s="4"/>
      <c r="P719" s="4"/>
      <c r="Q719" s="4"/>
      <c r="R719" s="4"/>
      <c r="S719" s="4"/>
      <c r="T719" s="4"/>
      <c r="U719" s="4"/>
    </row>
    <row r="720" spans="15:21">
      <c r="O720" s="4"/>
      <c r="P720" s="4"/>
      <c r="Q720" s="4"/>
      <c r="R720" s="4"/>
      <c r="S720" s="4"/>
      <c r="T720" s="4"/>
      <c r="U720" s="4"/>
    </row>
    <row r="721" spans="15:21">
      <c r="O721" s="4"/>
      <c r="P721" s="4"/>
      <c r="Q721" s="4"/>
      <c r="R721" s="4"/>
      <c r="S721" s="4"/>
      <c r="T721" s="4"/>
      <c r="U721" s="4"/>
    </row>
    <row r="722" spans="15:21">
      <c r="O722" s="4"/>
      <c r="P722" s="4"/>
      <c r="Q722" s="4"/>
      <c r="R722" s="4"/>
      <c r="S722" s="4"/>
      <c r="T722" s="4"/>
      <c r="U722" s="4"/>
    </row>
    <row r="723" spans="15:21">
      <c r="O723" s="4"/>
      <c r="P723" s="4"/>
      <c r="Q723" s="4"/>
      <c r="R723" s="4"/>
      <c r="S723" s="4"/>
      <c r="T723" s="4"/>
      <c r="U723" s="4"/>
    </row>
    <row r="724" spans="15:21">
      <c r="O724" s="4"/>
      <c r="P724" s="4"/>
      <c r="Q724" s="4"/>
      <c r="R724" s="4"/>
      <c r="S724" s="4"/>
      <c r="T724" s="4"/>
      <c r="U724" s="4"/>
    </row>
    <row r="725" spans="15:21">
      <c r="O725" s="4"/>
      <c r="P725" s="4"/>
      <c r="Q725" s="4"/>
      <c r="R725" s="4"/>
      <c r="S725" s="4"/>
      <c r="T725" s="4"/>
      <c r="U725" s="4"/>
    </row>
    <row r="726" spans="15:21">
      <c r="O726" s="4"/>
      <c r="P726" s="4"/>
      <c r="Q726" s="4"/>
      <c r="R726" s="4"/>
      <c r="S726" s="4"/>
      <c r="T726" s="4"/>
      <c r="U726" s="4"/>
    </row>
    <row r="727" spans="15:21">
      <c r="O727" s="4"/>
      <c r="P727" s="4"/>
      <c r="Q727" s="4"/>
      <c r="R727" s="4"/>
      <c r="S727" s="4"/>
      <c r="T727" s="4"/>
      <c r="U727" s="4"/>
    </row>
    <row r="728" spans="15:21">
      <c r="O728" s="4"/>
      <c r="P728" s="4"/>
      <c r="Q728" s="4"/>
      <c r="R728" s="4"/>
      <c r="S728" s="4"/>
      <c r="T728" s="4"/>
      <c r="U728" s="4"/>
    </row>
    <row r="729" spans="15:21">
      <c r="O729" s="4"/>
      <c r="P729" s="4"/>
      <c r="Q729" s="4"/>
      <c r="R729" s="4"/>
      <c r="S729" s="4"/>
      <c r="T729" s="4"/>
      <c r="U729" s="4"/>
    </row>
    <row r="730" spans="15:21">
      <c r="O730" s="4"/>
      <c r="P730" s="4"/>
      <c r="Q730" s="4"/>
      <c r="R730" s="4"/>
      <c r="S730" s="4"/>
      <c r="T730" s="4"/>
      <c r="U730" s="4"/>
    </row>
    <row r="731" spans="15:21">
      <c r="O731" s="4"/>
      <c r="P731" s="4"/>
      <c r="Q731" s="4"/>
      <c r="R731" s="4"/>
      <c r="S731" s="4"/>
      <c r="T731" s="4"/>
      <c r="U731" s="4"/>
    </row>
    <row r="732" spans="15:21">
      <c r="O732" s="4"/>
      <c r="P732" s="4"/>
      <c r="Q732" s="4"/>
      <c r="R732" s="4"/>
      <c r="S732" s="4"/>
      <c r="T732" s="4"/>
      <c r="U732" s="4"/>
    </row>
    <row r="733" spans="15:21">
      <c r="O733" s="4"/>
      <c r="P733" s="4"/>
      <c r="Q733" s="4"/>
      <c r="R733" s="4"/>
      <c r="S733" s="4"/>
      <c r="T733" s="4"/>
      <c r="U733" s="4"/>
    </row>
    <row r="734" spans="15:21">
      <c r="O734" s="4"/>
      <c r="P734" s="4"/>
      <c r="Q734" s="4"/>
      <c r="R734" s="4"/>
      <c r="S734" s="4"/>
      <c r="T734" s="4"/>
      <c r="U734" s="4"/>
    </row>
    <row r="735" spans="15:21">
      <c r="O735" s="4"/>
      <c r="P735" s="4"/>
      <c r="Q735" s="4"/>
      <c r="R735" s="4"/>
      <c r="S735" s="4"/>
      <c r="T735" s="4"/>
      <c r="U735" s="4"/>
    </row>
    <row r="736" spans="15:21">
      <c r="O736" s="4"/>
      <c r="P736" s="4"/>
      <c r="Q736" s="4"/>
      <c r="R736" s="4"/>
      <c r="S736" s="4"/>
      <c r="T736" s="4"/>
      <c r="U736" s="4"/>
    </row>
    <row r="737" spans="15:21">
      <c r="O737" s="4"/>
      <c r="P737" s="4"/>
      <c r="Q737" s="4"/>
      <c r="R737" s="4"/>
      <c r="S737" s="4"/>
      <c r="T737" s="4"/>
      <c r="U737" s="4"/>
    </row>
    <row r="738" spans="15:21">
      <c r="O738" s="4"/>
      <c r="P738" s="4"/>
      <c r="Q738" s="4"/>
      <c r="R738" s="4"/>
      <c r="S738" s="4"/>
      <c r="T738" s="4"/>
      <c r="U738" s="4"/>
    </row>
    <row r="739" spans="15:21">
      <c r="O739" s="4"/>
      <c r="P739" s="4"/>
      <c r="Q739" s="4"/>
      <c r="R739" s="4"/>
      <c r="S739" s="4"/>
      <c r="T739" s="4"/>
      <c r="U739" s="4"/>
    </row>
    <row r="740" spans="15:21">
      <c r="O740" s="4"/>
      <c r="P740" s="4"/>
      <c r="Q740" s="4"/>
      <c r="R740" s="4"/>
      <c r="S740" s="4"/>
      <c r="T740" s="4"/>
      <c r="U740" s="4"/>
    </row>
    <row r="741" spans="15:21">
      <c r="O741" s="4"/>
      <c r="P741" s="4"/>
      <c r="Q741" s="4"/>
      <c r="R741" s="4"/>
      <c r="S741" s="4"/>
      <c r="T741" s="4"/>
      <c r="U741" s="4"/>
    </row>
    <row r="742" spans="15:21">
      <c r="O742" s="4"/>
      <c r="P742" s="4"/>
      <c r="Q742" s="4"/>
      <c r="R742" s="4"/>
      <c r="S742" s="4"/>
      <c r="T742" s="4"/>
      <c r="U742" s="4"/>
    </row>
    <row r="743" spans="15:21">
      <c r="O743" s="4"/>
      <c r="P743" s="4"/>
      <c r="Q743" s="4"/>
      <c r="R743" s="4"/>
      <c r="S743" s="4"/>
      <c r="T743" s="4"/>
      <c r="U743" s="4"/>
    </row>
    <row r="744" spans="15:21">
      <c r="O744" s="4"/>
      <c r="P744" s="4"/>
      <c r="Q744" s="4"/>
      <c r="R744" s="4"/>
      <c r="S744" s="4"/>
      <c r="T744" s="4"/>
      <c r="U744" s="4"/>
    </row>
    <row r="745" spans="15:21">
      <c r="O745" s="4"/>
      <c r="P745" s="4"/>
      <c r="Q745" s="4"/>
      <c r="R745" s="4"/>
      <c r="S745" s="4"/>
      <c r="T745" s="4"/>
      <c r="U745" s="4"/>
    </row>
    <row r="746" spans="15:21">
      <c r="O746" s="4"/>
      <c r="P746" s="4"/>
      <c r="Q746" s="4"/>
      <c r="R746" s="4"/>
      <c r="S746" s="4"/>
      <c r="T746" s="4"/>
      <c r="U746" s="4"/>
    </row>
    <row r="747" spans="15:21">
      <c r="O747" s="4"/>
      <c r="P747" s="4"/>
      <c r="Q747" s="4"/>
      <c r="R747" s="4"/>
      <c r="S747" s="4"/>
      <c r="T747" s="4"/>
      <c r="U747" s="4"/>
    </row>
    <row r="748" spans="15:21">
      <c r="O748" s="4"/>
      <c r="P748" s="4"/>
      <c r="Q748" s="4"/>
      <c r="R748" s="4"/>
      <c r="S748" s="4"/>
      <c r="T748" s="4"/>
      <c r="U748" s="4"/>
    </row>
    <row r="749" spans="15:21">
      <c r="O749" s="4"/>
      <c r="P749" s="4"/>
      <c r="Q749" s="4"/>
      <c r="R749" s="4"/>
      <c r="S749" s="4"/>
      <c r="T749" s="4"/>
      <c r="U749" s="4"/>
    </row>
    <row r="750" spans="15:21">
      <c r="O750" s="4"/>
      <c r="P750" s="4"/>
      <c r="Q750" s="4"/>
      <c r="R750" s="4"/>
      <c r="S750" s="4"/>
      <c r="T750" s="4"/>
      <c r="U750" s="4"/>
    </row>
    <row r="751" spans="15:21">
      <c r="O751" s="4"/>
      <c r="P751" s="4"/>
      <c r="Q751" s="4"/>
      <c r="R751" s="4"/>
      <c r="S751" s="4"/>
      <c r="T751" s="4"/>
      <c r="U751" s="4"/>
    </row>
    <row r="752" spans="15:21">
      <c r="O752" s="4"/>
      <c r="P752" s="4"/>
      <c r="Q752" s="4"/>
      <c r="R752" s="4"/>
      <c r="S752" s="4"/>
      <c r="T752" s="4"/>
      <c r="U752" s="4"/>
    </row>
    <row r="753" spans="15:21">
      <c r="O753" s="4"/>
      <c r="P753" s="4"/>
      <c r="Q753" s="4"/>
      <c r="R753" s="4"/>
      <c r="S753" s="4"/>
      <c r="T753" s="4"/>
      <c r="U753" s="4"/>
    </row>
    <row r="754" spans="15:21">
      <c r="O754" s="4"/>
      <c r="P754" s="4"/>
      <c r="Q754" s="4"/>
      <c r="R754" s="4"/>
      <c r="S754" s="4"/>
      <c r="T754" s="4"/>
      <c r="U754" s="4"/>
    </row>
    <row r="755" spans="15:21">
      <c r="O755" s="4"/>
      <c r="P755" s="4"/>
      <c r="Q755" s="4"/>
      <c r="R755" s="4"/>
      <c r="S755" s="4"/>
      <c r="T755" s="4"/>
      <c r="U755" s="4"/>
    </row>
    <row r="756" spans="15:21">
      <c r="O756" s="4"/>
      <c r="P756" s="4"/>
      <c r="Q756" s="4"/>
      <c r="R756" s="4"/>
      <c r="S756" s="4"/>
      <c r="T756" s="4"/>
      <c r="U756" s="4"/>
    </row>
    <row r="757" spans="15:21">
      <c r="O757" s="4"/>
      <c r="P757" s="4"/>
      <c r="Q757" s="4"/>
      <c r="R757" s="4"/>
      <c r="S757" s="4"/>
      <c r="T757" s="4"/>
      <c r="U757" s="4"/>
    </row>
    <row r="758" spans="15:21">
      <c r="O758" s="4"/>
      <c r="P758" s="4"/>
      <c r="Q758" s="4"/>
      <c r="R758" s="4"/>
      <c r="S758" s="4"/>
      <c r="T758" s="4"/>
      <c r="U758" s="4"/>
    </row>
    <row r="759" spans="15:21">
      <c r="O759" s="4"/>
      <c r="P759" s="4"/>
      <c r="Q759" s="4"/>
      <c r="R759" s="4"/>
      <c r="S759" s="4"/>
      <c r="T759" s="4"/>
      <c r="U759" s="4"/>
    </row>
    <row r="760" spans="15:21">
      <c r="O760" s="4"/>
      <c r="P760" s="4"/>
      <c r="Q760" s="4"/>
      <c r="R760" s="4"/>
      <c r="S760" s="4"/>
      <c r="T760" s="4"/>
      <c r="U760" s="4"/>
    </row>
    <row r="761" spans="15:21">
      <c r="O761" s="4"/>
      <c r="P761" s="4"/>
      <c r="Q761" s="4"/>
      <c r="R761" s="4"/>
      <c r="S761" s="4"/>
      <c r="T761" s="4"/>
      <c r="U761" s="4"/>
    </row>
    <row r="762" spans="15:21">
      <c r="O762" s="4"/>
      <c r="P762" s="4"/>
      <c r="Q762" s="4"/>
      <c r="R762" s="4"/>
      <c r="S762" s="4"/>
      <c r="T762" s="4"/>
      <c r="U762" s="4"/>
    </row>
    <row r="763" spans="15:21">
      <c r="O763" s="4"/>
      <c r="P763" s="4"/>
      <c r="Q763" s="4"/>
      <c r="R763" s="4"/>
      <c r="S763" s="4"/>
      <c r="T763" s="4"/>
      <c r="U763" s="4"/>
    </row>
    <row r="764" spans="15:21">
      <c r="O764" s="4"/>
      <c r="P764" s="4"/>
      <c r="Q764" s="4"/>
      <c r="R764" s="4"/>
      <c r="S764" s="4"/>
      <c r="T764" s="4"/>
      <c r="U764" s="4"/>
    </row>
    <row r="765" spans="15:21">
      <c r="O765" s="4"/>
      <c r="P765" s="4"/>
      <c r="Q765" s="4"/>
      <c r="R765" s="4"/>
      <c r="S765" s="4"/>
      <c r="T765" s="4"/>
      <c r="U765" s="4"/>
    </row>
    <row r="766" spans="15:21">
      <c r="O766" s="4"/>
      <c r="P766" s="4"/>
      <c r="Q766" s="4"/>
      <c r="R766" s="4"/>
      <c r="S766" s="4"/>
      <c r="T766" s="4"/>
      <c r="U766" s="4"/>
    </row>
    <row r="767" spans="15:21">
      <c r="O767" s="4"/>
      <c r="P767" s="4"/>
      <c r="Q767" s="4"/>
      <c r="R767" s="4"/>
      <c r="S767" s="4"/>
      <c r="T767" s="4"/>
      <c r="U767" s="4"/>
    </row>
    <row r="768" spans="15:21">
      <c r="O768" s="4"/>
      <c r="P768" s="4"/>
      <c r="Q768" s="4"/>
      <c r="R768" s="4"/>
      <c r="S768" s="4"/>
      <c r="T768" s="4"/>
      <c r="U768" s="4"/>
    </row>
    <row r="769" spans="15:21">
      <c r="O769" s="4"/>
      <c r="P769" s="4"/>
      <c r="Q769" s="4"/>
      <c r="R769" s="4"/>
      <c r="S769" s="4"/>
      <c r="T769" s="4"/>
      <c r="U769" s="4"/>
    </row>
    <row r="770" spans="15:21">
      <c r="O770" s="4"/>
      <c r="P770" s="4"/>
      <c r="Q770" s="4"/>
      <c r="R770" s="4"/>
      <c r="S770" s="4"/>
      <c r="T770" s="4"/>
      <c r="U770" s="4"/>
    </row>
    <row r="771" spans="15:21">
      <c r="O771" s="4"/>
      <c r="P771" s="4"/>
      <c r="Q771" s="4"/>
      <c r="R771" s="4"/>
      <c r="S771" s="4"/>
      <c r="T771" s="4"/>
      <c r="U771" s="4"/>
    </row>
    <row r="772" spans="15:21">
      <c r="O772" s="4"/>
      <c r="P772" s="4"/>
      <c r="Q772" s="4"/>
      <c r="R772" s="4"/>
      <c r="S772" s="4"/>
      <c r="T772" s="4"/>
      <c r="U772" s="4"/>
    </row>
    <row r="773" spans="15:21">
      <c r="O773" s="4"/>
      <c r="P773" s="4"/>
      <c r="Q773" s="4"/>
      <c r="R773" s="4"/>
      <c r="S773" s="4"/>
      <c r="T773" s="4"/>
      <c r="U773" s="4"/>
    </row>
    <row r="774" spans="15:21">
      <c r="O774" s="4"/>
      <c r="P774" s="4"/>
      <c r="Q774" s="4"/>
      <c r="R774" s="4"/>
      <c r="S774" s="4"/>
      <c r="T774" s="4"/>
      <c r="U774" s="4"/>
    </row>
    <row r="775" spans="15:21">
      <c r="O775" s="4"/>
      <c r="P775" s="4"/>
      <c r="Q775" s="4"/>
      <c r="R775" s="4"/>
      <c r="S775" s="4"/>
      <c r="T775" s="4"/>
      <c r="U775" s="4"/>
    </row>
    <row r="776" spans="15:21">
      <c r="O776" s="4"/>
      <c r="P776" s="4"/>
      <c r="Q776" s="4"/>
      <c r="R776" s="4"/>
      <c r="S776" s="4"/>
      <c r="T776" s="4"/>
      <c r="U776" s="4"/>
    </row>
    <row r="777" spans="15:21">
      <c r="O777" s="4"/>
      <c r="P777" s="4"/>
      <c r="Q777" s="4"/>
      <c r="R777" s="4"/>
      <c r="S777" s="4"/>
      <c r="T777" s="4"/>
      <c r="U777" s="4"/>
    </row>
    <row r="778" spans="15:21">
      <c r="O778" s="4"/>
      <c r="P778" s="4"/>
      <c r="Q778" s="4"/>
      <c r="R778" s="4"/>
      <c r="S778" s="4"/>
      <c r="T778" s="4"/>
      <c r="U778" s="4"/>
    </row>
    <row r="779" spans="15:21">
      <c r="O779" s="4"/>
      <c r="P779" s="4"/>
      <c r="Q779" s="4"/>
      <c r="R779" s="4"/>
      <c r="S779" s="4"/>
      <c r="T779" s="4"/>
      <c r="U779" s="4"/>
    </row>
    <row r="780" spans="15:21">
      <c r="O780" s="4"/>
      <c r="P780" s="4"/>
      <c r="Q780" s="4"/>
      <c r="R780" s="4"/>
      <c r="S780" s="4"/>
      <c r="T780" s="4"/>
      <c r="U780" s="4"/>
    </row>
    <row r="781" spans="15:21">
      <c r="O781" s="4"/>
      <c r="P781" s="4"/>
      <c r="Q781" s="4"/>
      <c r="R781" s="4"/>
      <c r="S781" s="4"/>
      <c r="T781" s="4"/>
      <c r="U781" s="4"/>
    </row>
    <row r="782" spans="15:21">
      <c r="O782" s="4"/>
      <c r="P782" s="4"/>
      <c r="Q782" s="4"/>
      <c r="R782" s="4"/>
      <c r="S782" s="4"/>
      <c r="T782" s="4"/>
      <c r="U782" s="4"/>
    </row>
    <row r="783" spans="15:21">
      <c r="O783" s="4"/>
      <c r="P783" s="4"/>
      <c r="Q783" s="4"/>
      <c r="R783" s="4"/>
      <c r="S783" s="4"/>
      <c r="T783" s="4"/>
      <c r="U783" s="4"/>
    </row>
    <row r="784" spans="15:21">
      <c r="O784" s="4"/>
      <c r="P784" s="4"/>
      <c r="Q784" s="4"/>
      <c r="R784" s="4"/>
      <c r="S784" s="4"/>
      <c r="T784" s="4"/>
      <c r="U784" s="4"/>
    </row>
    <row r="785" spans="15:21">
      <c r="O785" s="4"/>
      <c r="P785" s="4"/>
      <c r="Q785" s="4"/>
      <c r="R785" s="4"/>
      <c r="S785" s="4"/>
      <c r="T785" s="4"/>
      <c r="U785" s="4"/>
    </row>
    <row r="786" spans="15:21">
      <c r="O786" s="4"/>
      <c r="P786" s="4"/>
      <c r="Q786" s="4"/>
      <c r="R786" s="4"/>
      <c r="S786" s="4"/>
      <c r="T786" s="4"/>
      <c r="U786" s="4"/>
    </row>
    <row r="787" spans="15:21">
      <c r="O787" s="4"/>
      <c r="P787" s="4"/>
      <c r="Q787" s="4"/>
      <c r="R787" s="4"/>
      <c r="S787" s="4"/>
      <c r="T787" s="4"/>
      <c r="U787" s="4"/>
    </row>
    <row r="788" spans="15:21">
      <c r="O788" s="4"/>
      <c r="P788" s="4"/>
      <c r="Q788" s="4"/>
      <c r="R788" s="4"/>
      <c r="S788" s="4"/>
      <c r="T788" s="4"/>
      <c r="U788" s="4"/>
    </row>
    <row r="789" spans="15:21">
      <c r="O789" s="4"/>
      <c r="P789" s="4"/>
      <c r="Q789" s="4"/>
      <c r="R789" s="4"/>
      <c r="S789" s="4"/>
      <c r="T789" s="4"/>
      <c r="U789" s="4"/>
    </row>
    <row r="790" spans="15:21">
      <c r="O790" s="4"/>
      <c r="P790" s="4"/>
      <c r="Q790" s="4"/>
      <c r="R790" s="4"/>
      <c r="S790" s="4"/>
      <c r="T790" s="4"/>
      <c r="U790" s="4"/>
    </row>
    <row r="791" spans="15:21">
      <c r="O791" s="4"/>
      <c r="P791" s="4"/>
      <c r="Q791" s="4"/>
      <c r="R791" s="4"/>
      <c r="S791" s="4"/>
      <c r="T791" s="4"/>
      <c r="U791" s="4"/>
    </row>
    <row r="792" spans="15:21">
      <c r="O792" s="4"/>
      <c r="P792" s="4"/>
      <c r="Q792" s="4"/>
      <c r="R792" s="4"/>
      <c r="S792" s="4"/>
      <c r="T792" s="4"/>
      <c r="U792" s="4"/>
    </row>
    <row r="793" spans="15:21">
      <c r="O793" s="4"/>
      <c r="P793" s="4"/>
      <c r="Q793" s="4"/>
      <c r="R793" s="4"/>
      <c r="S793" s="4"/>
      <c r="T793" s="4"/>
      <c r="U793" s="4"/>
    </row>
    <row r="794" spans="15:21">
      <c r="O794" s="4"/>
      <c r="P794" s="4"/>
      <c r="Q794" s="4"/>
      <c r="R794" s="4"/>
      <c r="S794" s="4"/>
      <c r="T794" s="4"/>
      <c r="U794" s="4"/>
    </row>
    <row r="795" spans="15:21">
      <c r="O795" s="4"/>
      <c r="P795" s="4"/>
      <c r="Q795" s="4"/>
      <c r="R795" s="4"/>
      <c r="S795" s="4"/>
      <c r="T795" s="4"/>
      <c r="U795" s="4"/>
    </row>
    <row r="796" spans="15:21">
      <c r="O796" s="4"/>
      <c r="P796" s="4"/>
      <c r="Q796" s="4"/>
      <c r="R796" s="4"/>
      <c r="S796" s="4"/>
      <c r="T796" s="4"/>
      <c r="U796" s="4"/>
    </row>
    <row r="797" spans="15:21">
      <c r="O797" s="4"/>
      <c r="P797" s="4"/>
      <c r="Q797" s="4"/>
      <c r="R797" s="4"/>
      <c r="S797" s="4"/>
      <c r="T797" s="4"/>
      <c r="U797" s="4"/>
    </row>
    <row r="798" spans="15:21">
      <c r="O798" s="4"/>
      <c r="P798" s="4"/>
      <c r="Q798" s="4"/>
      <c r="R798" s="4"/>
      <c r="S798" s="4"/>
      <c r="T798" s="4"/>
      <c r="U798" s="4"/>
    </row>
    <row r="799" spans="15:21">
      <c r="O799" s="4"/>
      <c r="P799" s="4"/>
      <c r="Q799" s="4"/>
      <c r="R799" s="4"/>
      <c r="S799" s="4"/>
      <c r="T799" s="4"/>
      <c r="U799" s="4"/>
    </row>
    <row r="800" spans="15:21">
      <c r="O800" s="4"/>
      <c r="P800" s="4"/>
      <c r="Q800" s="4"/>
      <c r="R800" s="4"/>
      <c r="S800" s="4"/>
      <c r="T800" s="4"/>
      <c r="U800" s="4"/>
    </row>
    <row r="801" spans="15:21">
      <c r="O801" s="4"/>
      <c r="P801" s="4"/>
      <c r="Q801" s="4"/>
      <c r="R801" s="4"/>
      <c r="S801" s="4"/>
      <c r="T801" s="4"/>
      <c r="U801" s="4"/>
    </row>
    <row r="802" spans="15:21">
      <c r="O802" s="4"/>
      <c r="P802" s="4"/>
      <c r="Q802" s="4"/>
      <c r="R802" s="4"/>
      <c r="S802" s="4"/>
      <c r="T802" s="4"/>
      <c r="U802" s="4"/>
    </row>
    <row r="803" spans="15:21">
      <c r="O803" s="4"/>
      <c r="P803" s="4"/>
      <c r="Q803" s="4"/>
      <c r="R803" s="4"/>
      <c r="S803" s="4"/>
      <c r="T803" s="4"/>
      <c r="U803" s="4"/>
    </row>
    <row r="804" spans="15:21">
      <c r="O804" s="4"/>
      <c r="P804" s="4"/>
      <c r="Q804" s="4"/>
      <c r="R804" s="4"/>
      <c r="S804" s="4"/>
      <c r="T804" s="4"/>
      <c r="U804" s="4"/>
    </row>
    <row r="805" spans="15:21">
      <c r="O805" s="4"/>
      <c r="P805" s="4"/>
      <c r="Q805" s="4"/>
      <c r="R805" s="4"/>
      <c r="S805" s="4"/>
      <c r="T805" s="4"/>
      <c r="U805" s="4"/>
    </row>
    <row r="806" spans="15:21">
      <c r="O806" s="4"/>
      <c r="P806" s="4"/>
      <c r="Q806" s="4"/>
      <c r="R806" s="4"/>
      <c r="S806" s="4"/>
      <c r="T806" s="4"/>
      <c r="U806" s="4"/>
    </row>
    <row r="807" spans="15:21">
      <c r="O807" s="4"/>
      <c r="P807" s="4"/>
      <c r="Q807" s="4"/>
      <c r="R807" s="4"/>
      <c r="S807" s="4"/>
      <c r="T807" s="4"/>
      <c r="U807" s="4"/>
    </row>
    <row r="808" spans="15:21">
      <c r="O808" s="4"/>
      <c r="P808" s="4"/>
      <c r="Q808" s="4"/>
      <c r="R808" s="4"/>
      <c r="S808" s="4"/>
      <c r="T808" s="4"/>
      <c r="U808" s="4"/>
    </row>
    <row r="809" spans="15:21">
      <c r="O809" s="4"/>
      <c r="P809" s="4"/>
      <c r="Q809" s="4"/>
      <c r="R809" s="4"/>
      <c r="S809" s="4"/>
      <c r="T809" s="4"/>
      <c r="U809" s="4"/>
    </row>
    <row r="810" spans="15:21">
      <c r="O810" s="4"/>
      <c r="P810" s="4"/>
      <c r="Q810" s="4"/>
      <c r="R810" s="4"/>
      <c r="S810" s="4"/>
      <c r="T810" s="4"/>
      <c r="U810" s="4"/>
    </row>
    <row r="811" spans="15:21">
      <c r="O811" s="4"/>
      <c r="P811" s="4"/>
      <c r="Q811" s="4"/>
      <c r="R811" s="4"/>
      <c r="S811" s="4"/>
      <c r="T811" s="4"/>
      <c r="U811" s="4"/>
    </row>
    <row r="812" spans="15:21">
      <c r="O812" s="4"/>
      <c r="P812" s="4"/>
      <c r="Q812" s="4"/>
      <c r="R812" s="4"/>
      <c r="S812" s="4"/>
      <c r="T812" s="4"/>
      <c r="U812" s="4"/>
    </row>
    <row r="813" spans="15:21">
      <c r="O813" s="4"/>
      <c r="P813" s="4"/>
      <c r="Q813" s="4"/>
      <c r="R813" s="4"/>
      <c r="S813" s="4"/>
      <c r="T813" s="4"/>
      <c r="U813" s="4"/>
    </row>
    <row r="814" spans="15:21">
      <c r="O814" s="4"/>
      <c r="P814" s="4"/>
      <c r="Q814" s="4"/>
      <c r="R814" s="4"/>
      <c r="S814" s="4"/>
      <c r="T814" s="4"/>
      <c r="U814" s="4"/>
    </row>
    <row r="815" spans="15:21">
      <c r="O815" s="4"/>
      <c r="P815" s="4"/>
      <c r="Q815" s="4"/>
      <c r="R815" s="4"/>
      <c r="S815" s="4"/>
      <c r="T815" s="4"/>
      <c r="U815" s="4"/>
    </row>
    <row r="816" spans="15:21">
      <c r="O816" s="4"/>
      <c r="P816" s="4"/>
      <c r="Q816" s="4"/>
      <c r="R816" s="4"/>
      <c r="S816" s="4"/>
      <c r="T816" s="4"/>
      <c r="U816" s="4"/>
    </row>
    <row r="817" spans="15:21">
      <c r="O817" s="4"/>
      <c r="P817" s="4"/>
      <c r="Q817" s="4"/>
      <c r="R817" s="4"/>
      <c r="S817" s="4"/>
      <c r="T817" s="4"/>
      <c r="U817" s="4"/>
    </row>
    <row r="818" spans="15:21">
      <c r="O818" s="4"/>
      <c r="P818" s="4"/>
      <c r="Q818" s="4"/>
      <c r="R818" s="4"/>
      <c r="S818" s="4"/>
      <c r="T818" s="4"/>
      <c r="U818" s="4"/>
    </row>
    <row r="819" spans="15:21">
      <c r="O819" s="4"/>
      <c r="P819" s="4"/>
      <c r="Q819" s="4"/>
      <c r="R819" s="4"/>
      <c r="S819" s="4"/>
      <c r="T819" s="4"/>
      <c r="U819" s="4"/>
    </row>
    <row r="820" spans="15:21">
      <c r="O820" s="4"/>
      <c r="P820" s="4"/>
      <c r="Q820" s="4"/>
      <c r="R820" s="4"/>
      <c r="S820" s="4"/>
      <c r="T820" s="4"/>
      <c r="U820" s="4"/>
    </row>
    <row r="821" spans="15:21">
      <c r="O821" s="4"/>
      <c r="P821" s="4"/>
      <c r="Q821" s="4"/>
      <c r="R821" s="4"/>
      <c r="S821" s="4"/>
      <c r="T821" s="4"/>
      <c r="U821" s="4"/>
    </row>
    <row r="822" spans="15:21">
      <c r="O822" s="4"/>
      <c r="P822" s="4"/>
      <c r="Q822" s="4"/>
      <c r="R822" s="4"/>
      <c r="S822" s="4"/>
      <c r="T822" s="4"/>
      <c r="U822" s="4"/>
    </row>
    <row r="823" spans="15:21">
      <c r="O823" s="4"/>
      <c r="P823" s="4"/>
      <c r="Q823" s="4"/>
      <c r="R823" s="4"/>
      <c r="S823" s="4"/>
      <c r="T823" s="4"/>
      <c r="U823" s="4"/>
    </row>
    <row r="824" spans="15:21">
      <c r="O824" s="4"/>
      <c r="P824" s="4"/>
      <c r="Q824" s="4"/>
      <c r="R824" s="4"/>
      <c r="S824" s="4"/>
      <c r="T824" s="4"/>
      <c r="U824" s="4"/>
    </row>
    <row r="825" spans="15:21">
      <c r="O825" s="4"/>
      <c r="P825" s="4"/>
      <c r="Q825" s="4"/>
      <c r="R825" s="4"/>
      <c r="S825" s="4"/>
      <c r="T825" s="4"/>
      <c r="U825" s="4"/>
    </row>
    <row r="826" spans="15:21">
      <c r="O826" s="4"/>
      <c r="P826" s="4"/>
      <c r="Q826" s="4"/>
      <c r="R826" s="4"/>
      <c r="S826" s="4"/>
      <c r="T826" s="4"/>
      <c r="U826" s="4"/>
    </row>
    <row r="827" spans="15:21">
      <c r="O827" s="4"/>
      <c r="P827" s="4"/>
      <c r="Q827" s="4"/>
      <c r="R827" s="4"/>
      <c r="S827" s="4"/>
      <c r="T827" s="4"/>
      <c r="U827" s="4"/>
    </row>
    <row r="828" spans="15:21">
      <c r="O828" s="4"/>
      <c r="P828" s="4"/>
      <c r="Q828" s="4"/>
      <c r="R828" s="4"/>
      <c r="S828" s="4"/>
      <c r="T828" s="4"/>
      <c r="U828" s="4"/>
    </row>
    <row r="829" spans="15:21">
      <c r="O829" s="4"/>
      <c r="P829" s="4"/>
      <c r="Q829" s="4"/>
      <c r="R829" s="4"/>
      <c r="S829" s="4"/>
      <c r="T829" s="4"/>
      <c r="U829" s="4"/>
    </row>
    <row r="830" spans="15:21">
      <c r="O830" s="4"/>
      <c r="P830" s="4"/>
      <c r="Q830" s="4"/>
      <c r="R830" s="4"/>
      <c r="S830" s="4"/>
      <c r="T830" s="4"/>
      <c r="U830" s="4"/>
    </row>
    <row r="831" spans="15:21">
      <c r="O831" s="4"/>
      <c r="P831" s="4"/>
      <c r="Q831" s="4"/>
      <c r="R831" s="4"/>
      <c r="S831" s="4"/>
      <c r="T831" s="4"/>
      <c r="U831" s="4"/>
    </row>
    <row r="832" spans="15:21">
      <c r="O832" s="4"/>
      <c r="P832" s="4"/>
      <c r="Q832" s="4"/>
      <c r="R832" s="4"/>
      <c r="S832" s="4"/>
      <c r="T832" s="4"/>
      <c r="U832" s="4"/>
    </row>
    <row r="833" spans="15:21">
      <c r="O833" s="4"/>
      <c r="P833" s="4"/>
      <c r="Q833" s="4"/>
      <c r="R833" s="4"/>
      <c r="S833" s="4"/>
      <c r="T833" s="4"/>
      <c r="U833" s="4"/>
    </row>
    <row r="834" spans="15:21">
      <c r="O834" s="4"/>
      <c r="P834" s="4"/>
      <c r="Q834" s="4"/>
      <c r="R834" s="4"/>
      <c r="S834" s="4"/>
      <c r="T834" s="4"/>
      <c r="U834" s="4"/>
    </row>
    <row r="835" spans="15:21">
      <c r="O835" s="4"/>
      <c r="P835" s="4"/>
      <c r="Q835" s="4"/>
      <c r="R835" s="4"/>
      <c r="S835" s="4"/>
      <c r="T835" s="4"/>
      <c r="U835" s="4"/>
    </row>
    <row r="836" spans="15:21">
      <c r="O836" s="4"/>
      <c r="P836" s="4"/>
      <c r="Q836" s="4"/>
      <c r="R836" s="4"/>
      <c r="S836" s="4"/>
      <c r="T836" s="4"/>
      <c r="U836" s="4"/>
    </row>
    <row r="837" spans="15:21">
      <c r="O837" s="4"/>
      <c r="P837" s="4"/>
      <c r="Q837" s="4"/>
      <c r="R837" s="4"/>
      <c r="S837" s="4"/>
      <c r="T837" s="4"/>
      <c r="U837" s="4"/>
    </row>
    <row r="838" spans="15:21">
      <c r="O838" s="4"/>
      <c r="P838" s="4"/>
      <c r="Q838" s="4"/>
      <c r="R838" s="4"/>
      <c r="S838" s="4"/>
      <c r="T838" s="4"/>
      <c r="U838" s="4"/>
    </row>
    <row r="839" spans="15:21">
      <c r="O839" s="4"/>
      <c r="P839" s="4"/>
      <c r="Q839" s="4"/>
      <c r="R839" s="4"/>
      <c r="S839" s="4"/>
      <c r="T839" s="4"/>
      <c r="U839" s="4"/>
    </row>
    <row r="840" spans="15:21">
      <c r="O840" s="4"/>
      <c r="P840" s="4"/>
      <c r="Q840" s="4"/>
      <c r="R840" s="4"/>
      <c r="S840" s="4"/>
      <c r="T840" s="4"/>
      <c r="U840" s="4"/>
    </row>
    <row r="841" spans="15:21">
      <c r="O841" s="4"/>
      <c r="P841" s="4"/>
      <c r="Q841" s="4"/>
      <c r="R841" s="4"/>
      <c r="S841" s="4"/>
      <c r="T841" s="4"/>
      <c r="U841" s="4"/>
    </row>
    <row r="842" spans="15:21">
      <c r="O842" s="4"/>
      <c r="P842" s="4"/>
      <c r="Q842" s="4"/>
      <c r="R842" s="4"/>
      <c r="S842" s="4"/>
      <c r="T842" s="4"/>
      <c r="U842" s="4"/>
    </row>
    <row r="843" spans="15:21">
      <c r="O843" s="4"/>
      <c r="P843" s="4"/>
      <c r="Q843" s="4"/>
      <c r="R843" s="4"/>
      <c r="S843" s="4"/>
      <c r="T843" s="4"/>
      <c r="U843" s="4"/>
    </row>
    <row r="844" spans="15:21">
      <c r="O844" s="4"/>
      <c r="P844" s="4"/>
      <c r="Q844" s="4"/>
      <c r="R844" s="4"/>
      <c r="S844" s="4"/>
      <c r="T844" s="4"/>
      <c r="U844" s="4"/>
    </row>
    <row r="845" spans="15:21">
      <c r="O845" s="4"/>
      <c r="P845" s="4"/>
      <c r="Q845" s="4"/>
      <c r="R845" s="4"/>
      <c r="S845" s="4"/>
      <c r="T845" s="4"/>
      <c r="U845" s="4"/>
    </row>
    <row r="846" spans="15:21">
      <c r="O846" s="4"/>
      <c r="P846" s="4"/>
      <c r="Q846" s="4"/>
      <c r="R846" s="4"/>
      <c r="S846" s="4"/>
      <c r="T846" s="4"/>
      <c r="U846" s="4"/>
    </row>
    <row r="847" spans="15:21">
      <c r="O847" s="4"/>
      <c r="P847" s="4"/>
      <c r="Q847" s="4"/>
      <c r="R847" s="4"/>
      <c r="S847" s="4"/>
      <c r="T847" s="4"/>
      <c r="U847" s="4"/>
    </row>
    <row r="848" spans="15:21">
      <c r="O848" s="4"/>
      <c r="P848" s="4"/>
      <c r="Q848" s="4"/>
      <c r="R848" s="4"/>
      <c r="S848" s="4"/>
      <c r="T848" s="4"/>
      <c r="U848" s="4"/>
    </row>
    <row r="849" spans="15:21">
      <c r="O849" s="4"/>
      <c r="P849" s="4"/>
      <c r="Q849" s="4"/>
      <c r="R849" s="4"/>
      <c r="S849" s="4"/>
      <c r="T849" s="4"/>
      <c r="U849" s="4"/>
    </row>
    <row r="850" spans="15:21">
      <c r="O850" s="4"/>
      <c r="P850" s="4"/>
      <c r="Q850" s="4"/>
      <c r="R850" s="4"/>
      <c r="S850" s="4"/>
      <c r="T850" s="4"/>
      <c r="U850" s="4"/>
    </row>
    <row r="851" spans="15:21">
      <c r="O851" s="4"/>
      <c r="P851" s="4"/>
      <c r="Q851" s="4"/>
      <c r="R851" s="4"/>
      <c r="S851" s="4"/>
      <c r="T851" s="4"/>
      <c r="U851" s="4"/>
    </row>
    <row r="852" spans="15:21">
      <c r="O852" s="4"/>
      <c r="P852" s="4"/>
      <c r="Q852" s="4"/>
      <c r="R852" s="4"/>
      <c r="S852" s="4"/>
      <c r="T852" s="4"/>
      <c r="U852" s="4"/>
    </row>
    <row r="853" spans="15:21">
      <c r="O853" s="4"/>
      <c r="P853" s="4"/>
      <c r="Q853" s="4"/>
      <c r="R853" s="4"/>
      <c r="S853" s="4"/>
      <c r="T853" s="4"/>
      <c r="U853" s="4"/>
    </row>
    <row r="854" spans="15:21">
      <c r="O854" s="4"/>
      <c r="P854" s="4"/>
      <c r="Q854" s="4"/>
      <c r="R854" s="4"/>
      <c r="S854" s="4"/>
      <c r="T854" s="4"/>
      <c r="U854" s="4"/>
    </row>
    <row r="855" spans="15:21">
      <c r="O855" s="4"/>
      <c r="P855" s="4"/>
      <c r="Q855" s="4"/>
      <c r="R855" s="4"/>
      <c r="S855" s="4"/>
      <c r="T855" s="4"/>
      <c r="U855" s="4"/>
    </row>
    <row r="856" spans="15:21">
      <c r="O856" s="4"/>
      <c r="P856" s="4"/>
      <c r="Q856" s="4"/>
      <c r="R856" s="4"/>
      <c r="S856" s="4"/>
      <c r="T856" s="4"/>
      <c r="U856" s="4"/>
    </row>
    <row r="857" spans="15:21">
      <c r="O857" s="4"/>
      <c r="P857" s="4"/>
      <c r="Q857" s="4"/>
      <c r="R857" s="4"/>
      <c r="S857" s="4"/>
      <c r="T857" s="4"/>
      <c r="U857" s="4"/>
    </row>
    <row r="858" spans="15:21">
      <c r="O858" s="4"/>
      <c r="P858" s="4"/>
      <c r="Q858" s="4"/>
      <c r="R858" s="4"/>
      <c r="S858" s="4"/>
      <c r="T858" s="4"/>
      <c r="U858" s="4"/>
    </row>
    <row r="859" spans="15:21">
      <c r="O859" s="4"/>
      <c r="P859" s="4"/>
      <c r="Q859" s="4"/>
      <c r="R859" s="4"/>
      <c r="S859" s="4"/>
      <c r="T859" s="4"/>
      <c r="U859" s="4"/>
    </row>
    <row r="860" spans="15:21">
      <c r="O860" s="4"/>
      <c r="P860" s="4"/>
      <c r="Q860" s="4"/>
      <c r="R860" s="4"/>
      <c r="S860" s="4"/>
      <c r="T860" s="4"/>
      <c r="U860" s="4"/>
    </row>
    <row r="861" spans="15:21">
      <c r="O861" s="4"/>
      <c r="P861" s="4"/>
      <c r="Q861" s="4"/>
      <c r="R861" s="4"/>
      <c r="S861" s="4"/>
      <c r="T861" s="4"/>
      <c r="U861" s="4"/>
    </row>
    <row r="862" spans="15:21">
      <c r="O862" s="4"/>
      <c r="P862" s="4"/>
      <c r="Q862" s="4"/>
      <c r="R862" s="4"/>
      <c r="S862" s="4"/>
      <c r="T862" s="4"/>
      <c r="U862" s="4"/>
    </row>
    <row r="863" spans="15:21">
      <c r="O863" s="4"/>
      <c r="P863" s="4"/>
      <c r="Q863" s="4"/>
      <c r="R863" s="4"/>
      <c r="S863" s="4"/>
      <c r="T863" s="4"/>
      <c r="U863" s="4"/>
    </row>
    <row r="864" spans="15:21">
      <c r="O864" s="4"/>
      <c r="P864" s="4"/>
      <c r="Q864" s="4"/>
      <c r="R864" s="4"/>
      <c r="S864" s="4"/>
      <c r="T864" s="4"/>
      <c r="U864" s="4"/>
    </row>
    <row r="865" spans="15:21">
      <c r="O865" s="4"/>
      <c r="P865" s="4"/>
      <c r="Q865" s="4"/>
      <c r="R865" s="4"/>
      <c r="S865" s="4"/>
      <c r="T865" s="4"/>
      <c r="U865" s="4"/>
    </row>
    <row r="866" spans="15:21">
      <c r="O866" s="4"/>
      <c r="P866" s="4"/>
      <c r="Q866" s="4"/>
      <c r="R866" s="4"/>
      <c r="S866" s="4"/>
      <c r="T866" s="4"/>
      <c r="U866" s="4"/>
    </row>
    <row r="867" spans="15:21">
      <c r="O867" s="4"/>
      <c r="P867" s="4"/>
      <c r="Q867" s="4"/>
      <c r="R867" s="4"/>
      <c r="S867" s="4"/>
      <c r="T867" s="4"/>
      <c r="U867" s="4"/>
    </row>
    <row r="868" spans="15:21">
      <c r="O868" s="4"/>
      <c r="P868" s="4"/>
      <c r="Q868" s="4"/>
      <c r="R868" s="4"/>
      <c r="S868" s="4"/>
      <c r="T868" s="4"/>
      <c r="U868" s="4"/>
    </row>
    <row r="869" spans="15:21">
      <c r="O869" s="4"/>
      <c r="P869" s="4"/>
      <c r="Q869" s="4"/>
      <c r="R869" s="4"/>
      <c r="S869" s="4"/>
      <c r="T869" s="4"/>
      <c r="U869" s="4"/>
    </row>
    <row r="870" spans="15:21">
      <c r="O870" s="4"/>
      <c r="P870" s="4"/>
      <c r="Q870" s="4"/>
      <c r="R870" s="4"/>
      <c r="S870" s="4"/>
      <c r="T870" s="4"/>
      <c r="U870" s="4"/>
    </row>
    <row r="871" spans="15:21">
      <c r="O871" s="4"/>
      <c r="P871" s="4"/>
      <c r="Q871" s="4"/>
      <c r="R871" s="4"/>
      <c r="S871" s="4"/>
      <c r="T871" s="4"/>
      <c r="U871" s="4"/>
    </row>
    <row r="872" spans="15:21">
      <c r="O872" s="4"/>
      <c r="P872" s="4"/>
      <c r="Q872" s="4"/>
      <c r="R872" s="4"/>
      <c r="S872" s="4"/>
      <c r="T872" s="4"/>
      <c r="U872" s="4"/>
    </row>
    <row r="873" spans="15:21">
      <c r="O873" s="4"/>
      <c r="P873" s="4"/>
      <c r="Q873" s="4"/>
      <c r="R873" s="4"/>
      <c r="S873" s="4"/>
      <c r="T873" s="4"/>
      <c r="U873" s="4"/>
    </row>
    <row r="874" spans="15:21">
      <c r="O874" s="4"/>
      <c r="P874" s="4"/>
      <c r="Q874" s="4"/>
      <c r="R874" s="4"/>
      <c r="S874" s="4"/>
      <c r="T874" s="4"/>
      <c r="U874" s="4"/>
    </row>
    <row r="875" spans="15:21">
      <c r="O875" s="4"/>
      <c r="P875" s="4"/>
      <c r="Q875" s="4"/>
      <c r="R875" s="4"/>
      <c r="S875" s="4"/>
      <c r="T875" s="4"/>
      <c r="U875" s="4"/>
    </row>
    <row r="876" spans="15:21">
      <c r="O876" s="4"/>
      <c r="P876" s="4"/>
      <c r="Q876" s="4"/>
      <c r="R876" s="4"/>
      <c r="S876" s="4"/>
      <c r="T876" s="4"/>
      <c r="U876" s="4"/>
    </row>
    <row r="877" spans="15:21">
      <c r="O877" s="4"/>
      <c r="P877" s="4"/>
      <c r="Q877" s="4"/>
      <c r="R877" s="4"/>
      <c r="S877" s="4"/>
      <c r="T877" s="4"/>
      <c r="U877" s="4"/>
    </row>
    <row r="878" spans="15:21">
      <c r="O878" s="4"/>
      <c r="P878" s="4"/>
      <c r="Q878" s="4"/>
      <c r="R878" s="4"/>
      <c r="S878" s="4"/>
      <c r="T878" s="4"/>
      <c r="U878" s="4"/>
    </row>
    <row r="879" spans="15:21">
      <c r="O879" s="4"/>
      <c r="P879" s="4"/>
      <c r="Q879" s="4"/>
      <c r="R879" s="4"/>
      <c r="S879" s="4"/>
      <c r="T879" s="4"/>
      <c r="U879" s="4"/>
    </row>
    <row r="880" spans="15:21">
      <c r="O880" s="4"/>
      <c r="P880" s="4"/>
      <c r="Q880" s="4"/>
      <c r="R880" s="4"/>
      <c r="S880" s="4"/>
      <c r="T880" s="4"/>
      <c r="U880" s="4"/>
    </row>
    <row r="881" spans="15:21">
      <c r="O881" s="4"/>
      <c r="P881" s="4"/>
      <c r="Q881" s="4"/>
      <c r="R881" s="4"/>
      <c r="S881" s="4"/>
      <c r="T881" s="4"/>
      <c r="U881" s="4"/>
    </row>
    <row r="882" spans="15:21">
      <c r="O882" s="4"/>
      <c r="P882" s="4"/>
      <c r="Q882" s="4"/>
      <c r="R882" s="4"/>
      <c r="S882" s="4"/>
      <c r="T882" s="4"/>
      <c r="U882" s="4"/>
    </row>
    <row r="883" spans="15:21">
      <c r="O883" s="4"/>
      <c r="P883" s="4"/>
      <c r="Q883" s="4"/>
      <c r="R883" s="4"/>
      <c r="S883" s="4"/>
      <c r="T883" s="4"/>
      <c r="U883" s="4"/>
    </row>
    <row r="884" spans="15:21">
      <c r="O884" s="4"/>
      <c r="P884" s="4"/>
      <c r="Q884" s="4"/>
      <c r="R884" s="4"/>
      <c r="S884" s="4"/>
      <c r="T884" s="4"/>
      <c r="U884" s="4"/>
    </row>
    <row r="885" spans="15:21">
      <c r="O885" s="4"/>
      <c r="P885" s="4"/>
      <c r="Q885" s="4"/>
      <c r="R885" s="4"/>
      <c r="S885" s="4"/>
      <c r="T885" s="4"/>
      <c r="U885" s="4"/>
    </row>
    <row r="886" spans="15:21">
      <c r="O886" s="4"/>
      <c r="P886" s="4"/>
      <c r="Q886" s="4"/>
      <c r="R886" s="4"/>
      <c r="S886" s="4"/>
      <c r="T886" s="4"/>
      <c r="U886" s="4"/>
    </row>
    <row r="887" spans="15:21">
      <c r="O887" s="4"/>
      <c r="P887" s="4"/>
      <c r="Q887" s="4"/>
      <c r="R887" s="4"/>
      <c r="S887" s="4"/>
      <c r="T887" s="4"/>
      <c r="U887" s="4"/>
    </row>
    <row r="888" spans="15:21">
      <c r="O888" s="4"/>
      <c r="P888" s="4"/>
      <c r="Q888" s="4"/>
      <c r="R888" s="4"/>
      <c r="S888" s="4"/>
      <c r="T888" s="4"/>
      <c r="U888" s="4"/>
    </row>
    <row r="889" spans="15:21">
      <c r="O889" s="4"/>
      <c r="P889" s="4"/>
      <c r="Q889" s="4"/>
      <c r="R889" s="4"/>
      <c r="S889" s="4"/>
      <c r="T889" s="4"/>
      <c r="U889" s="4"/>
    </row>
    <row r="890" spans="15:21">
      <c r="O890" s="4"/>
      <c r="P890" s="4"/>
      <c r="Q890" s="4"/>
      <c r="R890" s="4"/>
      <c r="S890" s="4"/>
      <c r="T890" s="4"/>
      <c r="U890" s="4"/>
    </row>
    <row r="891" spans="15:21">
      <c r="O891" s="4"/>
      <c r="P891" s="4"/>
      <c r="Q891" s="4"/>
      <c r="R891" s="4"/>
      <c r="S891" s="4"/>
      <c r="T891" s="4"/>
      <c r="U891" s="4"/>
    </row>
    <row r="892" spans="15:21">
      <c r="O892" s="4"/>
      <c r="P892" s="4"/>
      <c r="Q892" s="4"/>
      <c r="R892" s="4"/>
      <c r="S892" s="4"/>
      <c r="T892" s="4"/>
      <c r="U892" s="4"/>
    </row>
    <row r="893" spans="15:21">
      <c r="O893" s="4"/>
      <c r="P893" s="4"/>
      <c r="Q893" s="4"/>
      <c r="R893" s="4"/>
      <c r="S893" s="4"/>
      <c r="T893" s="4"/>
      <c r="U893" s="4"/>
    </row>
    <row r="894" spans="15:21">
      <c r="O894" s="4"/>
      <c r="P894" s="4"/>
      <c r="Q894" s="4"/>
      <c r="R894" s="4"/>
      <c r="S894" s="4"/>
      <c r="T894" s="4"/>
      <c r="U894" s="4"/>
    </row>
    <row r="895" spans="15:21">
      <c r="O895" s="4"/>
      <c r="P895" s="4"/>
      <c r="Q895" s="4"/>
      <c r="R895" s="4"/>
      <c r="S895" s="4"/>
      <c r="T895" s="4"/>
      <c r="U895" s="4"/>
    </row>
    <row r="896" spans="15:21">
      <c r="O896" s="4"/>
      <c r="P896" s="4"/>
      <c r="Q896" s="4"/>
      <c r="R896" s="4"/>
      <c r="S896" s="4"/>
      <c r="T896" s="4"/>
      <c r="U896" s="4"/>
    </row>
    <row r="897" spans="15:21">
      <c r="O897" s="4"/>
      <c r="P897" s="4"/>
      <c r="Q897" s="4"/>
      <c r="R897" s="4"/>
      <c r="S897" s="4"/>
      <c r="T897" s="4"/>
      <c r="U897" s="4"/>
    </row>
    <row r="898" spans="15:21">
      <c r="O898" s="4"/>
      <c r="P898" s="4"/>
      <c r="Q898" s="4"/>
      <c r="R898" s="4"/>
      <c r="S898" s="4"/>
      <c r="T898" s="4"/>
      <c r="U898" s="4"/>
    </row>
    <row r="899" spans="15:21">
      <c r="O899" s="4"/>
      <c r="P899" s="4"/>
      <c r="Q899" s="4"/>
      <c r="R899" s="4"/>
      <c r="S899" s="4"/>
      <c r="T899" s="4"/>
      <c r="U899" s="4"/>
    </row>
    <row r="900" spans="15:21">
      <c r="O900" s="4"/>
      <c r="P900" s="4"/>
      <c r="Q900" s="4"/>
      <c r="R900" s="4"/>
      <c r="S900" s="4"/>
      <c r="T900" s="4"/>
      <c r="U900" s="4"/>
    </row>
    <row r="901" spans="15:21">
      <c r="O901" s="4"/>
      <c r="P901" s="4"/>
      <c r="Q901" s="4"/>
      <c r="R901" s="4"/>
      <c r="S901" s="4"/>
      <c r="T901" s="4"/>
      <c r="U901" s="4"/>
    </row>
    <row r="902" spans="15:21">
      <c r="O902" s="4"/>
      <c r="P902" s="4"/>
      <c r="Q902" s="4"/>
      <c r="R902" s="4"/>
      <c r="S902" s="4"/>
      <c r="T902" s="4"/>
      <c r="U902" s="4"/>
    </row>
    <row r="903" spans="15:21">
      <c r="O903" s="4"/>
      <c r="P903" s="4"/>
      <c r="Q903" s="4"/>
      <c r="R903" s="4"/>
      <c r="S903" s="4"/>
      <c r="T903" s="4"/>
      <c r="U903" s="4"/>
    </row>
    <row r="904" spans="15:21">
      <c r="O904" s="4"/>
      <c r="P904" s="4"/>
      <c r="Q904" s="4"/>
      <c r="R904" s="4"/>
      <c r="S904" s="4"/>
      <c r="T904" s="4"/>
      <c r="U904" s="4"/>
    </row>
    <row r="905" spans="15:21">
      <c r="O905" s="4"/>
      <c r="P905" s="4"/>
      <c r="Q905" s="4"/>
      <c r="R905" s="4"/>
      <c r="S905" s="4"/>
      <c r="T905" s="4"/>
      <c r="U905" s="4"/>
    </row>
    <row r="906" spans="15:21">
      <c r="O906" s="4"/>
      <c r="P906" s="4"/>
      <c r="Q906" s="4"/>
      <c r="R906" s="4"/>
      <c r="S906" s="4"/>
      <c r="T906" s="4"/>
      <c r="U906" s="4"/>
    </row>
    <row r="907" spans="15:21">
      <c r="O907" s="4"/>
      <c r="P907" s="4"/>
      <c r="Q907" s="4"/>
      <c r="R907" s="4"/>
      <c r="S907" s="4"/>
      <c r="T907" s="4"/>
      <c r="U907" s="4"/>
    </row>
    <row r="908" spans="15:21">
      <c r="O908" s="4"/>
      <c r="P908" s="4"/>
      <c r="Q908" s="4"/>
      <c r="R908" s="4"/>
      <c r="S908" s="4"/>
      <c r="T908" s="4"/>
      <c r="U908" s="4"/>
    </row>
    <row r="909" spans="15:21">
      <c r="O909" s="4"/>
      <c r="P909" s="4"/>
      <c r="Q909" s="4"/>
      <c r="R909" s="4"/>
      <c r="S909" s="4"/>
      <c r="T909" s="4"/>
      <c r="U909" s="4"/>
    </row>
    <row r="910" spans="15:21">
      <c r="O910" s="4"/>
      <c r="P910" s="4"/>
      <c r="Q910" s="4"/>
      <c r="R910" s="4"/>
      <c r="S910" s="4"/>
      <c r="T910" s="4"/>
      <c r="U910" s="4"/>
    </row>
    <row r="911" spans="15:21">
      <c r="O911" s="4"/>
      <c r="P911" s="4"/>
      <c r="Q911" s="4"/>
      <c r="R911" s="4"/>
      <c r="S911" s="4"/>
      <c r="T911" s="4"/>
      <c r="U911" s="4"/>
    </row>
    <row r="912" spans="15:21">
      <c r="O912" s="4"/>
      <c r="P912" s="4"/>
      <c r="Q912" s="4"/>
      <c r="R912" s="4"/>
      <c r="S912" s="4"/>
      <c r="T912" s="4"/>
      <c r="U912" s="4"/>
    </row>
    <row r="913" spans="15:21">
      <c r="O913" s="4"/>
      <c r="P913" s="4"/>
      <c r="Q913" s="4"/>
      <c r="R913" s="4"/>
      <c r="S913" s="4"/>
      <c r="T913" s="4"/>
      <c r="U913" s="4"/>
    </row>
    <row r="914" spans="15:21">
      <c r="O914" s="4"/>
      <c r="P914" s="4"/>
      <c r="Q914" s="4"/>
      <c r="R914" s="4"/>
      <c r="S914" s="4"/>
      <c r="T914" s="4"/>
      <c r="U914" s="4"/>
    </row>
    <row r="915" spans="15:21">
      <c r="O915" s="4"/>
      <c r="P915" s="4"/>
      <c r="Q915" s="4"/>
      <c r="R915" s="4"/>
      <c r="S915" s="4"/>
      <c r="T915" s="4"/>
      <c r="U915" s="4"/>
    </row>
    <row r="916" spans="15:21">
      <c r="O916" s="4"/>
      <c r="P916" s="4"/>
      <c r="Q916" s="4"/>
      <c r="R916" s="4"/>
      <c r="S916" s="4"/>
      <c r="T916" s="4"/>
      <c r="U916" s="4"/>
    </row>
    <row r="917" spans="15:21">
      <c r="O917" s="4"/>
      <c r="P917" s="4"/>
      <c r="Q917" s="4"/>
      <c r="R917" s="4"/>
      <c r="S917" s="4"/>
      <c r="T917" s="4"/>
      <c r="U917" s="4"/>
    </row>
    <row r="918" spans="15:21">
      <c r="O918" s="4"/>
      <c r="P918" s="4"/>
      <c r="Q918" s="4"/>
      <c r="R918" s="4"/>
      <c r="S918" s="4"/>
      <c r="T918" s="4"/>
      <c r="U918" s="4"/>
    </row>
    <row r="919" spans="15:21">
      <c r="O919" s="4"/>
      <c r="P919" s="4"/>
      <c r="Q919" s="4"/>
      <c r="R919" s="4"/>
      <c r="S919" s="4"/>
      <c r="T919" s="4"/>
      <c r="U919" s="4"/>
    </row>
    <row r="920" spans="15:21">
      <c r="O920" s="4"/>
      <c r="P920" s="4"/>
      <c r="Q920" s="4"/>
      <c r="R920" s="4"/>
      <c r="S920" s="4"/>
      <c r="T920" s="4"/>
      <c r="U920" s="4"/>
    </row>
    <row r="921" spans="15:21">
      <c r="O921" s="4"/>
      <c r="P921" s="4"/>
      <c r="Q921" s="4"/>
      <c r="R921" s="4"/>
      <c r="S921" s="4"/>
      <c r="T921" s="4"/>
      <c r="U921" s="4"/>
    </row>
    <row r="922" spans="15:21">
      <c r="O922" s="4"/>
      <c r="P922" s="4"/>
      <c r="Q922" s="4"/>
      <c r="R922" s="4"/>
      <c r="S922" s="4"/>
      <c r="T922" s="4"/>
      <c r="U922" s="4"/>
    </row>
    <row r="923" spans="15:21">
      <c r="O923" s="4"/>
      <c r="P923" s="4"/>
      <c r="Q923" s="4"/>
      <c r="R923" s="4"/>
      <c r="S923" s="4"/>
      <c r="T923" s="4"/>
      <c r="U923" s="4"/>
    </row>
    <row r="924" spans="15:21">
      <c r="O924" s="4"/>
      <c r="P924" s="4"/>
      <c r="Q924" s="4"/>
      <c r="R924" s="4"/>
      <c r="S924" s="4"/>
      <c r="T924" s="4"/>
      <c r="U924" s="4"/>
    </row>
    <row r="925" spans="15:21">
      <c r="O925" s="4"/>
      <c r="P925" s="4"/>
      <c r="Q925" s="4"/>
      <c r="R925" s="4"/>
      <c r="S925" s="4"/>
      <c r="T925" s="4"/>
      <c r="U925" s="4"/>
    </row>
    <row r="926" spans="15:21">
      <c r="O926" s="4"/>
      <c r="P926" s="4"/>
      <c r="Q926" s="4"/>
      <c r="R926" s="4"/>
      <c r="S926" s="4"/>
      <c r="T926" s="4"/>
      <c r="U926" s="4"/>
    </row>
    <row r="927" spans="15:21">
      <c r="O927" s="4"/>
      <c r="P927" s="4"/>
      <c r="Q927" s="4"/>
      <c r="R927" s="4"/>
      <c r="S927" s="4"/>
      <c r="T927" s="4"/>
      <c r="U927" s="4"/>
    </row>
    <row r="928" spans="15:21">
      <c r="O928" s="4"/>
      <c r="P928" s="4"/>
      <c r="Q928" s="4"/>
      <c r="R928" s="4"/>
      <c r="S928" s="4"/>
      <c r="T928" s="4"/>
      <c r="U928" s="4"/>
    </row>
    <row r="929" spans="15:21">
      <c r="O929" s="4"/>
      <c r="P929" s="4"/>
      <c r="Q929" s="4"/>
      <c r="R929" s="4"/>
      <c r="S929" s="4"/>
      <c r="T929" s="4"/>
      <c r="U929" s="4"/>
    </row>
    <row r="930" spans="15:21">
      <c r="O930" s="4"/>
      <c r="P930" s="4"/>
      <c r="Q930" s="4"/>
      <c r="R930" s="4"/>
      <c r="S930" s="4"/>
      <c r="T930" s="4"/>
      <c r="U930" s="4"/>
    </row>
  </sheetData>
  <autoFilter ref="A2:U2" xr:uid="{F4E4F64D-630B-4AE8-86A2-E5BE862AC9F1}"/>
  <mergeCells count="250">
    <mergeCell ref="G153:G155"/>
    <mergeCell ref="H153:H155"/>
    <mergeCell ref="A156:A158"/>
    <mergeCell ref="B156:B158"/>
    <mergeCell ref="C156:C158"/>
    <mergeCell ref="D156:D158"/>
    <mergeCell ref="E156:E158"/>
    <mergeCell ref="F156:F158"/>
    <mergeCell ref="G156:G158"/>
    <mergeCell ref="H156:H158"/>
    <mergeCell ref="A153:A155"/>
    <mergeCell ref="B153:B155"/>
    <mergeCell ref="C153:C155"/>
    <mergeCell ref="D153:D155"/>
    <mergeCell ref="E153:E155"/>
    <mergeCell ref="F153:F155"/>
    <mergeCell ref="G146:G148"/>
    <mergeCell ref="H146:H148"/>
    <mergeCell ref="A150:A152"/>
    <mergeCell ref="B150:B152"/>
    <mergeCell ref="C150:C152"/>
    <mergeCell ref="D150:D152"/>
    <mergeCell ref="E150:E152"/>
    <mergeCell ref="F150:F152"/>
    <mergeCell ref="G150:G152"/>
    <mergeCell ref="H150:H152"/>
    <mergeCell ref="A146:A148"/>
    <mergeCell ref="B146:B148"/>
    <mergeCell ref="C146:C148"/>
    <mergeCell ref="D146:D148"/>
    <mergeCell ref="E146:E148"/>
    <mergeCell ref="F146:F148"/>
    <mergeCell ref="G139:G142"/>
    <mergeCell ref="H139:H142"/>
    <mergeCell ref="A143:A145"/>
    <mergeCell ref="B143:B145"/>
    <mergeCell ref="C143:C145"/>
    <mergeCell ref="D143:D145"/>
    <mergeCell ref="E143:E145"/>
    <mergeCell ref="F143:F145"/>
    <mergeCell ref="G143:G145"/>
    <mergeCell ref="H143:H145"/>
    <mergeCell ref="A139:A142"/>
    <mergeCell ref="B139:B142"/>
    <mergeCell ref="C139:C142"/>
    <mergeCell ref="D139:D142"/>
    <mergeCell ref="E139:E142"/>
    <mergeCell ref="F139:F142"/>
    <mergeCell ref="G132:G135"/>
    <mergeCell ref="H132:H135"/>
    <mergeCell ref="A137:A138"/>
    <mergeCell ref="B137:B138"/>
    <mergeCell ref="C137:C138"/>
    <mergeCell ref="D137:D138"/>
    <mergeCell ref="E137:E138"/>
    <mergeCell ref="F137:F138"/>
    <mergeCell ref="G137:G138"/>
    <mergeCell ref="H137:H138"/>
    <mergeCell ref="A132:A135"/>
    <mergeCell ref="B132:B135"/>
    <mergeCell ref="C132:C135"/>
    <mergeCell ref="D132:D135"/>
    <mergeCell ref="E132:E135"/>
    <mergeCell ref="F132:F135"/>
    <mergeCell ref="G126:G127"/>
    <mergeCell ref="H126:H127"/>
    <mergeCell ref="A128:A131"/>
    <mergeCell ref="B128:B131"/>
    <mergeCell ref="C128:C131"/>
    <mergeCell ref="D128:D131"/>
    <mergeCell ref="E128:E131"/>
    <mergeCell ref="F128:F131"/>
    <mergeCell ref="G128:G131"/>
    <mergeCell ref="H128:H131"/>
    <mergeCell ref="A126:A127"/>
    <mergeCell ref="B126:B127"/>
    <mergeCell ref="C126:C127"/>
    <mergeCell ref="D126:D127"/>
    <mergeCell ref="E126:E127"/>
    <mergeCell ref="F126:F127"/>
    <mergeCell ref="G115:G122"/>
    <mergeCell ref="H115:H122"/>
    <mergeCell ref="A123:A125"/>
    <mergeCell ref="B123:B125"/>
    <mergeCell ref="C123:C125"/>
    <mergeCell ref="D123:D125"/>
    <mergeCell ref="E123:E125"/>
    <mergeCell ref="F123:F125"/>
    <mergeCell ref="G123:G125"/>
    <mergeCell ref="H123:H125"/>
    <mergeCell ref="A115:A122"/>
    <mergeCell ref="B115:B122"/>
    <mergeCell ref="C115:C122"/>
    <mergeCell ref="D115:D122"/>
    <mergeCell ref="E115:E122"/>
    <mergeCell ref="F115:F122"/>
    <mergeCell ref="G100:G105"/>
    <mergeCell ref="H100:H105"/>
    <mergeCell ref="A107:A114"/>
    <mergeCell ref="B107:B114"/>
    <mergeCell ref="C107:C114"/>
    <mergeCell ref="D107:D114"/>
    <mergeCell ref="E107:E114"/>
    <mergeCell ref="F107:F114"/>
    <mergeCell ref="G107:G114"/>
    <mergeCell ref="H107:H114"/>
    <mergeCell ref="A100:A105"/>
    <mergeCell ref="B100:B105"/>
    <mergeCell ref="C100:C105"/>
    <mergeCell ref="D100:D105"/>
    <mergeCell ref="E100:E105"/>
    <mergeCell ref="F100:F105"/>
    <mergeCell ref="G87:G93"/>
    <mergeCell ref="H87:H93"/>
    <mergeCell ref="A94:A99"/>
    <mergeCell ref="B94:B99"/>
    <mergeCell ref="C94:C99"/>
    <mergeCell ref="D94:D99"/>
    <mergeCell ref="E94:E99"/>
    <mergeCell ref="F94:F99"/>
    <mergeCell ref="G94:G99"/>
    <mergeCell ref="H94:H99"/>
    <mergeCell ref="A87:A93"/>
    <mergeCell ref="B87:B93"/>
    <mergeCell ref="C87:C93"/>
    <mergeCell ref="D87:D93"/>
    <mergeCell ref="E87:E93"/>
    <mergeCell ref="F87:F93"/>
    <mergeCell ref="G77:G80"/>
    <mergeCell ref="H77:H80"/>
    <mergeCell ref="A82:A86"/>
    <mergeCell ref="B82:B86"/>
    <mergeCell ref="C82:C86"/>
    <mergeCell ref="D82:D86"/>
    <mergeCell ref="E82:E86"/>
    <mergeCell ref="F82:F86"/>
    <mergeCell ref="G82:G86"/>
    <mergeCell ref="H82:H86"/>
    <mergeCell ref="A77:A80"/>
    <mergeCell ref="B77:B80"/>
    <mergeCell ref="C77:C80"/>
    <mergeCell ref="D77:D80"/>
    <mergeCell ref="E77:E80"/>
    <mergeCell ref="F77:F80"/>
    <mergeCell ref="G63:G69"/>
    <mergeCell ref="H63:H69"/>
    <mergeCell ref="A70:A76"/>
    <mergeCell ref="B70:B76"/>
    <mergeCell ref="C70:C76"/>
    <mergeCell ref="D70:D76"/>
    <mergeCell ref="E70:E76"/>
    <mergeCell ref="F70:F76"/>
    <mergeCell ref="G70:G76"/>
    <mergeCell ref="H70:H76"/>
    <mergeCell ref="A63:A69"/>
    <mergeCell ref="B63:B69"/>
    <mergeCell ref="C63:C69"/>
    <mergeCell ref="D63:D69"/>
    <mergeCell ref="E63:E69"/>
    <mergeCell ref="F63:F69"/>
    <mergeCell ref="G55:G57"/>
    <mergeCell ref="H55:H57"/>
    <mergeCell ref="A59:A62"/>
    <mergeCell ref="B59:B62"/>
    <mergeCell ref="C59:C62"/>
    <mergeCell ref="D59:D62"/>
    <mergeCell ref="E59:E62"/>
    <mergeCell ref="F59:F62"/>
    <mergeCell ref="G59:G62"/>
    <mergeCell ref="H59:H62"/>
    <mergeCell ref="A55:A57"/>
    <mergeCell ref="B55:B57"/>
    <mergeCell ref="C55:C57"/>
    <mergeCell ref="D55:D57"/>
    <mergeCell ref="E55:E57"/>
    <mergeCell ref="F55:F57"/>
    <mergeCell ref="G48:G51"/>
    <mergeCell ref="H48:H51"/>
    <mergeCell ref="A52:A54"/>
    <mergeCell ref="B52:B54"/>
    <mergeCell ref="C52:C54"/>
    <mergeCell ref="D52:D54"/>
    <mergeCell ref="E52:E54"/>
    <mergeCell ref="F52:F54"/>
    <mergeCell ref="G52:G54"/>
    <mergeCell ref="H52:H54"/>
    <mergeCell ref="A48:A51"/>
    <mergeCell ref="B48:B51"/>
    <mergeCell ref="C48:C51"/>
    <mergeCell ref="D48:D51"/>
    <mergeCell ref="E48:E51"/>
    <mergeCell ref="F48:F51"/>
    <mergeCell ref="G40:G43"/>
    <mergeCell ref="H40:H43"/>
    <mergeCell ref="A44:A46"/>
    <mergeCell ref="B44:B46"/>
    <mergeCell ref="C44:C46"/>
    <mergeCell ref="D44:D46"/>
    <mergeCell ref="E44:E46"/>
    <mergeCell ref="F44:F46"/>
    <mergeCell ref="G44:G46"/>
    <mergeCell ref="H44:H46"/>
    <mergeCell ref="A40:A43"/>
    <mergeCell ref="B40:B43"/>
    <mergeCell ref="C40:C43"/>
    <mergeCell ref="D40:D43"/>
    <mergeCell ref="E40:E43"/>
    <mergeCell ref="F40:F43"/>
    <mergeCell ref="G27:G34"/>
    <mergeCell ref="H27:H34"/>
    <mergeCell ref="A35:A39"/>
    <mergeCell ref="B35:B39"/>
    <mergeCell ref="C35:C39"/>
    <mergeCell ref="D35:D39"/>
    <mergeCell ref="E35:E39"/>
    <mergeCell ref="F35:F39"/>
    <mergeCell ref="G35:G39"/>
    <mergeCell ref="H35:H39"/>
    <mergeCell ref="A27:A34"/>
    <mergeCell ref="B27:B34"/>
    <mergeCell ref="C27:C34"/>
    <mergeCell ref="D27:D34"/>
    <mergeCell ref="E27:E34"/>
    <mergeCell ref="F27:F34"/>
    <mergeCell ref="G11:G17"/>
    <mergeCell ref="H11:H17"/>
    <mergeCell ref="A18:A26"/>
    <mergeCell ref="B18:B26"/>
    <mergeCell ref="C18:C26"/>
    <mergeCell ref="D18:D26"/>
    <mergeCell ref="E18:E26"/>
    <mergeCell ref="F18:F26"/>
    <mergeCell ref="G18:G26"/>
    <mergeCell ref="H18:H26"/>
    <mergeCell ref="A11:A17"/>
    <mergeCell ref="B11:B17"/>
    <mergeCell ref="C11:C17"/>
    <mergeCell ref="D11:D17"/>
    <mergeCell ref="E11:E17"/>
    <mergeCell ref="F11:F17"/>
    <mergeCell ref="A1:N1"/>
    <mergeCell ref="O1:U1"/>
    <mergeCell ref="A4:A10"/>
    <mergeCell ref="B4:B10"/>
    <mergeCell ref="C4:C10"/>
    <mergeCell ref="D4:D10"/>
    <mergeCell ref="E4:E10"/>
    <mergeCell ref="F4:F10"/>
    <mergeCell ref="G4:G10"/>
    <mergeCell ref="H4:H10"/>
  </mergeCells>
  <pageMargins left="0.7" right="0.7" top="0.75" bottom="0.75" header="0.3" footer="0.3"/>
  <pageSetup paperSize="9" scale="1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OKR X.ĐK 2025 Nội bộ</vt:lpstr>
      <vt:lpstr>OKR X.ĐK 2026</vt:lpstr>
      <vt:lpstr>Dashboard</vt:lpstr>
      <vt:lpstr>data</vt:lpstr>
      <vt:lpstr>TBHTĐK</vt:lpstr>
      <vt:lpstr>TBCH</vt:lpstr>
      <vt:lpstr>TBĐ</vt:lpstr>
      <vt:lpstr>TCDK</vt:lpstr>
      <vt:lpstr>TCĐG</vt:lpstr>
      <vt:lpstr>NTĐG</vt:lpstr>
      <vt:lpstr>OKR X.ĐK 2025 X.ĐK</vt:lpstr>
      <vt:lpstr>NTĐG!Print_Area</vt:lpstr>
      <vt:lpstr>TBCH!Print_Area</vt:lpstr>
      <vt:lpstr>TBĐ!Print_Area</vt:lpstr>
      <vt:lpstr>TBHTĐK!Print_Area</vt:lpstr>
      <vt:lpstr>TCDK!Print_Area</vt:lpstr>
      <vt:lpstr>TCĐG!Print_Area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Tuyet Nhung</dc:creator>
  <cp:lastModifiedBy>Bao Mai Thai</cp:lastModifiedBy>
  <cp:lastPrinted>2024-11-03T11:06:03Z</cp:lastPrinted>
  <dcterms:created xsi:type="dcterms:W3CDTF">2018-06-13T03:01:36Z</dcterms:created>
  <dcterms:modified xsi:type="dcterms:W3CDTF">2026-05-14T02:18:59Z</dcterms:modified>
</cp:coreProperties>
</file>
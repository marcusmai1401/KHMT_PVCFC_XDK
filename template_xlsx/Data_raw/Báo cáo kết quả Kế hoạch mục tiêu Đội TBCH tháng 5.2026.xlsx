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Desktop\KẾ HOẠCH MỤC TIÊU\KHMT Hàng tháng\template_xlsx\Data_raw\"/>
    </mc:Choice>
  </mc:AlternateContent>
  <xr:revisionPtr revIDLastSave="0" documentId="13_ncr:1_{61D3AE44-2475-436A-A970-14F0EF81DD29}" xr6:coauthVersionLast="47" xr6:coauthVersionMax="47" xr10:uidLastSave="{00000000-0000-0000-0000-000000000000}"/>
  <bookViews>
    <workbookView xWindow="-120" yWindow="-120" windowWidth="29040" windowHeight="15720" tabRatio="974" xr2:uid="{00000000-000D-0000-FFFF-FFFF00000000}"/>
  </bookViews>
  <sheets>
    <sheet name="BM OKR Đ.TBCH 2026" sheetId="29" r:id="rId1"/>
    <sheet name="PL1.1_CAM" sheetId="40" r:id="rId2"/>
    <sheet name="PL1.2_ĐTNB" sheetId="37" r:id="rId3"/>
    <sheet name="PL1.3_CHGT-TĐH" sheetId="33" r:id="rId4"/>
    <sheet name="PL1.4_HT" sheetId="34" r:id="rId5"/>
    <sheet name="PL1.5_HDBD" sheetId="39" r:id="rId6"/>
    <sheet name="NTĐG" sheetId="24" r:id="rId7"/>
    <sheet name="TCĐG" sheetId="23" r:id="rId8"/>
    <sheet name="Biểu 2.1 Mục tiêu Nhà máy" sheetId="25" state="hidden" r:id="rId9"/>
    <sheet name="OKR X.ĐK 2026" sheetId="36" state="hidden" r:id="rId10"/>
  </sheets>
  <definedNames>
    <definedName name="\0" localSheetId="8">#REF!</definedName>
    <definedName name="\0">#REF!</definedName>
    <definedName name="\a" localSheetId="8">#REF!</definedName>
    <definedName name="\a">#REF!</definedName>
    <definedName name="\b" localSheetId="8">#REF!</definedName>
    <definedName name="\b">#REF!</definedName>
    <definedName name="\c" localSheetId="8">#REF!</definedName>
    <definedName name="\c">#REF!</definedName>
    <definedName name="\d" localSheetId="8">#REF!</definedName>
    <definedName name="\d">#REF!</definedName>
    <definedName name="\e" localSheetId="8">#REF!</definedName>
    <definedName name="\e">#REF!</definedName>
    <definedName name="\f" localSheetId="8">#REF!</definedName>
    <definedName name="\f">#REF!</definedName>
    <definedName name="\g" localSheetId="8">#REF!</definedName>
    <definedName name="\g">#REF!</definedName>
    <definedName name="\h" localSheetId="8">#REF!</definedName>
    <definedName name="\h">#REF!</definedName>
    <definedName name="\i" localSheetId="8">#REF!</definedName>
    <definedName name="\i">#REF!</definedName>
    <definedName name="\j" localSheetId="8">#REF!</definedName>
    <definedName name="\j">#REF!</definedName>
    <definedName name="\k" localSheetId="8">#REF!</definedName>
    <definedName name="\k">#REF!</definedName>
    <definedName name="\l" localSheetId="8">#REF!</definedName>
    <definedName name="\l">#REF!</definedName>
    <definedName name="\m" localSheetId="8">#REF!</definedName>
    <definedName name="\m">#REF!</definedName>
    <definedName name="\n" localSheetId="8">#REF!</definedName>
    <definedName name="\n">#REF!</definedName>
    <definedName name="\o" localSheetId="8">#REF!</definedName>
    <definedName name="\o">#REF!</definedName>
    <definedName name="\p" localSheetId="8">#REF!</definedName>
    <definedName name="\p">#REF!</definedName>
    <definedName name="\T">#REF!</definedName>
    <definedName name="\v" localSheetId="8">#REF!</definedName>
    <definedName name="\v">#REF!</definedName>
    <definedName name="\z" localSheetId="8">#REF!</definedName>
    <definedName name="\z">#REF!</definedName>
    <definedName name="_" localSheetId="8">#REF!</definedName>
    <definedName name="_">#REF!</definedName>
    <definedName name="__" localSheetId="8">#REF!</definedName>
    <definedName name="__">#REF!</definedName>
    <definedName name="___" localSheetId="8">#REF!</definedName>
    <definedName name="___">#REF!</definedName>
    <definedName name="____" localSheetId="8">#REF!</definedName>
    <definedName name="____">#REF!</definedName>
    <definedName name="_____" localSheetId="8">#REF!</definedName>
    <definedName name="_____">#REF!</definedName>
    <definedName name="______" localSheetId="8">#REF!</definedName>
    <definedName name="______">#REF!</definedName>
    <definedName name="________CON1">#REF!</definedName>
    <definedName name="________CON2">#REF!</definedName>
    <definedName name="________NET2">#REF!</definedName>
    <definedName name="_______CON1">#REF!</definedName>
    <definedName name="_______CON2">#REF!</definedName>
    <definedName name="_______NET2">#REF!</definedName>
    <definedName name="______CON1">#REF!</definedName>
    <definedName name="______CON2">#REF!</definedName>
    <definedName name="______khi2">#REF!</definedName>
    <definedName name="______muc1">#REF!</definedName>
    <definedName name="______NET2">#REF!</definedName>
    <definedName name="_____a1" localSheetId="8" hidden="1">{"'Sheet1'!$L$16"}</definedName>
    <definedName name="_____a1" localSheetId="0" hidden="1">{"'Sheet1'!$L$16"}</definedName>
    <definedName name="_____a1" localSheetId="6" hidden="1">{"'Sheet1'!$L$16"}</definedName>
    <definedName name="_____a1" localSheetId="9" hidden="1">{"'Sheet1'!$L$16"}</definedName>
    <definedName name="_____a1" localSheetId="7" hidden="1">{"'Sheet1'!$L$16"}</definedName>
    <definedName name="_____a1" hidden="1">{"'Sheet1'!$L$16"}</definedName>
    <definedName name="_____CON1">#REF!</definedName>
    <definedName name="_____CON2">#REF!</definedName>
    <definedName name="_____khi2">#REF!</definedName>
    <definedName name="_____muc1">#REF!</definedName>
    <definedName name="_____NET2">#REF!</definedName>
    <definedName name="_____PR1">#REF!</definedName>
    <definedName name="____a1" localSheetId="8" hidden="1">{"'Sheet1'!$L$16"}</definedName>
    <definedName name="____a1" localSheetId="0" hidden="1">{"'Sheet1'!$L$16"}</definedName>
    <definedName name="____a1" localSheetId="6" hidden="1">{"'Sheet1'!$L$16"}</definedName>
    <definedName name="____a1" localSheetId="9" hidden="1">{"'Sheet1'!$L$16"}</definedName>
    <definedName name="____a1" localSheetId="7" hidden="1">{"'Sheet1'!$L$16"}</definedName>
    <definedName name="____a1" hidden="1">{"'Sheet1'!$L$16"}</definedName>
    <definedName name="____a129" localSheetId="8" hidden="1">{"Offgrid",#N/A,FALSE,"OFFGRID";"Region",#N/A,FALSE,"REGION";"Offgrid -2",#N/A,FALSE,"OFFGRID";"WTP",#N/A,FALSE,"WTP";"WTP -2",#N/A,FALSE,"WTP";"Project",#N/A,FALSE,"PROJECT";"Summary -2",#N/A,FALSE,"SUMMARY"}</definedName>
    <definedName name="____a129" localSheetId="0" hidden="1">{"Offgrid",#N/A,FALSE,"OFFGRID";"Region",#N/A,FALSE,"REGION";"Offgrid -2",#N/A,FALSE,"OFFGRID";"WTP",#N/A,FALSE,"WTP";"WTP -2",#N/A,FALSE,"WTP";"Project",#N/A,FALSE,"PROJECT";"Summary -2",#N/A,FALSE,"SUMMARY"}</definedName>
    <definedName name="____a129" localSheetId="6" hidden="1">{"Offgrid",#N/A,FALSE,"OFFGRID";"Region",#N/A,FALSE,"REGION";"Offgrid -2",#N/A,FALSE,"OFFGRID";"WTP",#N/A,FALSE,"WTP";"WTP -2",#N/A,FALSE,"WTP";"Project",#N/A,FALSE,"PROJECT";"Summary -2",#N/A,FALSE,"SUMMARY"}</definedName>
    <definedName name="____a129" localSheetId="9" hidden="1">{"Offgrid",#N/A,FALSE,"OFFGRID";"Region",#N/A,FALSE,"REGION";"Offgrid -2",#N/A,FALSE,"OFFGRID";"WTP",#N/A,FALSE,"WTP";"WTP -2",#N/A,FALSE,"WTP";"Project",#N/A,FALSE,"PROJECT";"Summary -2",#N/A,FALSE,"SUMMARY"}</definedName>
    <definedName name="____a129" localSheetId="7" hidden="1">{"Offgrid",#N/A,FALSE,"OFFGRID";"Region",#N/A,FALSE,"REGION";"Offgrid -2",#N/A,FALSE,"OFFGRID";"WTP",#N/A,FALSE,"WTP";"WTP -2",#N/A,FALSE,"WTP";"Project",#N/A,FALSE,"PROJECT";"Summary -2",#N/A,FALSE,"SUMMARY"}</definedName>
    <definedName name="____a129" hidden="1">{"Offgrid",#N/A,FALSE,"OFFGRID";"Region",#N/A,FALSE,"REGION";"Offgrid -2",#N/A,FALSE,"OFFGRID";"WTP",#N/A,FALSE,"WTP";"WTP -2",#N/A,FALSE,"WTP";"Project",#N/A,FALSE,"PROJECT";"Summary -2",#N/A,FALSE,"SUMMARY"}</definedName>
    <definedName name="____a130" localSheetId="8" hidden="1">{"Offgrid",#N/A,FALSE,"OFFGRID";"Region",#N/A,FALSE,"REGION";"Offgrid -2",#N/A,FALSE,"OFFGRID";"WTP",#N/A,FALSE,"WTP";"WTP -2",#N/A,FALSE,"WTP";"Project",#N/A,FALSE,"PROJECT";"Summary -2",#N/A,FALSE,"SUMMARY"}</definedName>
    <definedName name="____a130" localSheetId="0" hidden="1">{"Offgrid",#N/A,FALSE,"OFFGRID";"Region",#N/A,FALSE,"REGION";"Offgrid -2",#N/A,FALSE,"OFFGRID";"WTP",#N/A,FALSE,"WTP";"WTP -2",#N/A,FALSE,"WTP";"Project",#N/A,FALSE,"PROJECT";"Summary -2",#N/A,FALSE,"SUMMARY"}</definedName>
    <definedName name="____a130" localSheetId="6" hidden="1">{"Offgrid",#N/A,FALSE,"OFFGRID";"Region",#N/A,FALSE,"REGION";"Offgrid -2",#N/A,FALSE,"OFFGRID";"WTP",#N/A,FALSE,"WTP";"WTP -2",#N/A,FALSE,"WTP";"Project",#N/A,FALSE,"PROJECT";"Summary -2",#N/A,FALSE,"SUMMARY"}</definedName>
    <definedName name="____a130" localSheetId="9" hidden="1">{"Offgrid",#N/A,FALSE,"OFFGRID";"Region",#N/A,FALSE,"REGION";"Offgrid -2",#N/A,FALSE,"OFFGRID";"WTP",#N/A,FALSE,"WTP";"WTP -2",#N/A,FALSE,"WTP";"Project",#N/A,FALSE,"PROJECT";"Summary -2",#N/A,FALSE,"SUMMARY"}</definedName>
    <definedName name="____a130" localSheetId="7"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CON1">#REF!</definedName>
    <definedName name="____CON2">#REF!</definedName>
    <definedName name="____d1500" localSheetId="8" hidden="1">{"'Sheet1'!$L$16"}</definedName>
    <definedName name="____d1500" localSheetId="0" hidden="1">{"'Sheet1'!$L$16"}</definedName>
    <definedName name="____d1500" localSheetId="6" hidden="1">{"'Sheet1'!$L$16"}</definedName>
    <definedName name="____d1500" localSheetId="9" hidden="1">{"'Sheet1'!$L$16"}</definedName>
    <definedName name="____d1500" localSheetId="7" hidden="1">{"'Sheet1'!$L$16"}</definedName>
    <definedName name="____d1500" hidden="1">{"'Sheet1'!$L$16"}</definedName>
    <definedName name="____h1" localSheetId="8" hidden="1">{"'Sheet1'!$L$16"}</definedName>
    <definedName name="____h1" localSheetId="0" hidden="1">{"'Sheet1'!$L$16"}</definedName>
    <definedName name="____h1" localSheetId="6" hidden="1">{"'Sheet1'!$L$16"}</definedName>
    <definedName name="____h1" localSheetId="9" hidden="1">{"'Sheet1'!$L$16"}</definedName>
    <definedName name="____h1" localSheetId="7" hidden="1">{"'Sheet1'!$L$16"}</definedName>
    <definedName name="____h1" hidden="1">{"'Sheet1'!$L$16"}</definedName>
    <definedName name="____hu1" localSheetId="8" hidden="1">{"'Sheet1'!$L$16"}</definedName>
    <definedName name="____hu1" localSheetId="0" hidden="1">{"'Sheet1'!$L$16"}</definedName>
    <definedName name="____hu1" localSheetId="6" hidden="1">{"'Sheet1'!$L$16"}</definedName>
    <definedName name="____hu1" localSheetId="9" hidden="1">{"'Sheet1'!$L$16"}</definedName>
    <definedName name="____hu1" localSheetId="7" hidden="1">{"'Sheet1'!$L$16"}</definedName>
    <definedName name="____hu1" hidden="1">{"'Sheet1'!$L$16"}</definedName>
    <definedName name="____hu2" localSheetId="8" hidden="1">{"'Sheet1'!$L$16"}</definedName>
    <definedName name="____hu2" localSheetId="0" hidden="1">{"'Sheet1'!$L$16"}</definedName>
    <definedName name="____hu2" localSheetId="6" hidden="1">{"'Sheet1'!$L$16"}</definedName>
    <definedName name="____hu2" localSheetId="9" hidden="1">{"'Sheet1'!$L$16"}</definedName>
    <definedName name="____hu2" localSheetId="7" hidden="1">{"'Sheet1'!$L$16"}</definedName>
    <definedName name="____hu2" hidden="1">{"'Sheet1'!$L$16"}</definedName>
    <definedName name="____hu5" localSheetId="8" hidden="1">{"'Sheet1'!$L$16"}</definedName>
    <definedName name="____hu5" localSheetId="0" hidden="1">{"'Sheet1'!$L$16"}</definedName>
    <definedName name="____hu5" localSheetId="6" hidden="1">{"'Sheet1'!$L$16"}</definedName>
    <definedName name="____hu5" localSheetId="9" hidden="1">{"'Sheet1'!$L$16"}</definedName>
    <definedName name="____hu5" localSheetId="7" hidden="1">{"'Sheet1'!$L$16"}</definedName>
    <definedName name="____hu5" hidden="1">{"'Sheet1'!$L$16"}</definedName>
    <definedName name="____hu6" localSheetId="8" hidden="1">{"'Sheet1'!$L$16"}</definedName>
    <definedName name="____hu6" localSheetId="0" hidden="1">{"'Sheet1'!$L$16"}</definedName>
    <definedName name="____hu6" localSheetId="6" hidden="1">{"'Sheet1'!$L$16"}</definedName>
    <definedName name="____hu6" localSheetId="9" hidden="1">{"'Sheet1'!$L$16"}</definedName>
    <definedName name="____hu6" localSheetId="7" hidden="1">{"'Sheet1'!$L$16"}</definedName>
    <definedName name="____hu6" hidden="1">{"'Sheet1'!$L$16"}</definedName>
    <definedName name="____hu7" localSheetId="8" hidden="1">{"'Sheet1'!$L$16"}</definedName>
    <definedName name="____hu7" localSheetId="0" hidden="1">{"'Sheet1'!$L$16"}</definedName>
    <definedName name="____hu7" localSheetId="6" hidden="1">{"'Sheet1'!$L$16"}</definedName>
    <definedName name="____hu7" localSheetId="9" hidden="1">{"'Sheet1'!$L$16"}</definedName>
    <definedName name="____hu7" localSheetId="7" hidden="1">{"'Sheet1'!$L$16"}</definedName>
    <definedName name="____hu7" hidden="1">{"'Sheet1'!$L$16"}</definedName>
    <definedName name="____k10" localSheetId="8" hidden="1">{"'Sheet1'!$L$16"}</definedName>
    <definedName name="____k10" localSheetId="0" hidden="1">{"'Sheet1'!$L$16"}</definedName>
    <definedName name="____k10" localSheetId="6" hidden="1">{"'Sheet1'!$L$16"}</definedName>
    <definedName name="____k10" localSheetId="9" hidden="1">{"'Sheet1'!$L$16"}</definedName>
    <definedName name="____k10" localSheetId="7" hidden="1">{"'Sheet1'!$L$16"}</definedName>
    <definedName name="____k10" hidden="1">{"'Sheet1'!$L$16"}</definedName>
    <definedName name="____KS2" localSheetId="8" hidden="1">{"'Sheet1'!$L$16"}</definedName>
    <definedName name="____KS2" localSheetId="0" hidden="1">{"'Sheet1'!$L$16"}</definedName>
    <definedName name="____KS2" localSheetId="6" hidden="1">{"'Sheet1'!$L$16"}</definedName>
    <definedName name="____KS2" localSheetId="9" hidden="1">{"'Sheet1'!$L$16"}</definedName>
    <definedName name="____KS2" localSheetId="7" hidden="1">{"'Sheet1'!$L$16"}</definedName>
    <definedName name="____KS2" hidden="1">{"'Sheet1'!$L$16"}</definedName>
    <definedName name="____khi2">#REF!</definedName>
    <definedName name="____muc1">#REF!</definedName>
    <definedName name="____NET2">#REF!</definedName>
    <definedName name="____PA3" localSheetId="8" hidden="1">{"'Sheet1'!$L$16"}</definedName>
    <definedName name="____PA3" localSheetId="0" hidden="1">{"'Sheet1'!$L$16"}</definedName>
    <definedName name="____PA3" localSheetId="6" hidden="1">{"'Sheet1'!$L$16"}</definedName>
    <definedName name="____PA3" localSheetId="9" hidden="1">{"'Sheet1'!$L$16"}</definedName>
    <definedName name="____PA3" localSheetId="7" hidden="1">{"'Sheet1'!$L$16"}</definedName>
    <definedName name="____PA3" hidden="1">{"'Sheet1'!$L$16"}</definedName>
    <definedName name="____PR1">#REF!</definedName>
    <definedName name="____T10" localSheetId="8" hidden="1">{"'Sheet1'!$L$16"}</definedName>
    <definedName name="____T10" localSheetId="0" hidden="1">{"'Sheet1'!$L$16"}</definedName>
    <definedName name="____T10" localSheetId="6" hidden="1">{"'Sheet1'!$L$16"}</definedName>
    <definedName name="____T10" localSheetId="9" hidden="1">{"'Sheet1'!$L$16"}</definedName>
    <definedName name="____T10" localSheetId="7" hidden="1">{"'Sheet1'!$L$16"}</definedName>
    <definedName name="____T10" hidden="1">{"'Sheet1'!$L$16"}</definedName>
    <definedName name="____T12" localSheetId="8" hidden="1">{"'Sheet1'!$L$16"}</definedName>
    <definedName name="____T12" localSheetId="0" hidden="1">{"'Sheet1'!$L$16"}</definedName>
    <definedName name="____T12" localSheetId="6" hidden="1">{"'Sheet1'!$L$16"}</definedName>
    <definedName name="____T12" localSheetId="9" hidden="1">{"'Sheet1'!$L$16"}</definedName>
    <definedName name="____T12" localSheetId="7" hidden="1">{"'Sheet1'!$L$16"}</definedName>
    <definedName name="____T12" hidden="1">{"'Sheet1'!$L$16"}</definedName>
    <definedName name="____tct3" localSheetId="8">#REF!</definedName>
    <definedName name="____tct3">#REF!</definedName>
    <definedName name="___a1" localSheetId="8" hidden="1">{"'Sheet1'!$L$16"}</definedName>
    <definedName name="___a1" localSheetId="0" hidden="1">{"'Sheet1'!$L$16"}</definedName>
    <definedName name="___a1" localSheetId="6" hidden="1">{"'Sheet1'!$L$16"}</definedName>
    <definedName name="___a1" localSheetId="9" hidden="1">{"'Sheet1'!$L$16"}</definedName>
    <definedName name="___a1" localSheetId="7" hidden="1">{"'Sheet1'!$L$16"}</definedName>
    <definedName name="___a1" hidden="1">{"'Sheet1'!$L$16"}</definedName>
    <definedName name="___a129" localSheetId="8" hidden="1">{"Offgrid",#N/A,FALSE,"OFFGRID";"Region",#N/A,FALSE,"REGION";"Offgrid -2",#N/A,FALSE,"OFFGRID";"WTP",#N/A,FALSE,"WTP";"WTP -2",#N/A,FALSE,"WTP";"Project",#N/A,FALSE,"PROJECT";"Summary -2",#N/A,FALSE,"SUMMARY"}</definedName>
    <definedName name="___a129" localSheetId="0" hidden="1">{"Offgrid",#N/A,FALSE,"OFFGRID";"Region",#N/A,FALSE,"REGION";"Offgrid -2",#N/A,FALSE,"OFFGRID";"WTP",#N/A,FALSE,"WTP";"WTP -2",#N/A,FALSE,"WTP";"Project",#N/A,FALSE,"PROJECT";"Summary -2",#N/A,FALSE,"SUMMARY"}</definedName>
    <definedName name="___a129" localSheetId="6" hidden="1">{"Offgrid",#N/A,FALSE,"OFFGRID";"Region",#N/A,FALSE,"REGION";"Offgrid -2",#N/A,FALSE,"OFFGRID";"WTP",#N/A,FALSE,"WTP";"WTP -2",#N/A,FALSE,"WTP";"Project",#N/A,FALSE,"PROJECT";"Summary -2",#N/A,FALSE,"SUMMARY"}</definedName>
    <definedName name="___a129" localSheetId="9" hidden="1">{"Offgrid",#N/A,FALSE,"OFFGRID";"Region",#N/A,FALSE,"REGION";"Offgrid -2",#N/A,FALSE,"OFFGRID";"WTP",#N/A,FALSE,"WTP";"WTP -2",#N/A,FALSE,"WTP";"Project",#N/A,FALSE,"PROJECT";"Summary -2",#N/A,FALSE,"SUMMARY"}</definedName>
    <definedName name="___a129" localSheetId="7" hidden="1">{"Offgrid",#N/A,FALSE,"OFFGRID";"Region",#N/A,FALSE,"REGION";"Offgrid -2",#N/A,FALSE,"OFFGRID";"WTP",#N/A,FALSE,"WTP";"WTP -2",#N/A,FALSE,"WTP";"Project",#N/A,FALSE,"PROJECT";"Summary -2",#N/A,FALSE,"SUMMARY"}</definedName>
    <definedName name="___a129" hidden="1">{"Offgrid",#N/A,FALSE,"OFFGRID";"Region",#N/A,FALSE,"REGION";"Offgrid -2",#N/A,FALSE,"OFFGRID";"WTP",#N/A,FALSE,"WTP";"WTP -2",#N/A,FALSE,"WTP";"Project",#N/A,FALSE,"PROJECT";"Summary -2",#N/A,FALSE,"SUMMARY"}</definedName>
    <definedName name="___a130" localSheetId="8" hidden="1">{"Offgrid",#N/A,FALSE,"OFFGRID";"Region",#N/A,FALSE,"REGION";"Offgrid -2",#N/A,FALSE,"OFFGRID";"WTP",#N/A,FALSE,"WTP";"WTP -2",#N/A,FALSE,"WTP";"Project",#N/A,FALSE,"PROJECT";"Summary -2",#N/A,FALSE,"SUMMARY"}</definedName>
    <definedName name="___a130" localSheetId="0" hidden="1">{"Offgrid",#N/A,FALSE,"OFFGRID";"Region",#N/A,FALSE,"REGION";"Offgrid -2",#N/A,FALSE,"OFFGRID";"WTP",#N/A,FALSE,"WTP";"WTP -2",#N/A,FALSE,"WTP";"Project",#N/A,FALSE,"PROJECT";"Summary -2",#N/A,FALSE,"SUMMARY"}</definedName>
    <definedName name="___a130" localSheetId="6" hidden="1">{"Offgrid",#N/A,FALSE,"OFFGRID";"Region",#N/A,FALSE,"REGION";"Offgrid -2",#N/A,FALSE,"OFFGRID";"WTP",#N/A,FALSE,"WTP";"WTP -2",#N/A,FALSE,"WTP";"Project",#N/A,FALSE,"PROJECT";"Summary -2",#N/A,FALSE,"SUMMARY"}</definedName>
    <definedName name="___a130" localSheetId="9" hidden="1">{"Offgrid",#N/A,FALSE,"OFFGRID";"Region",#N/A,FALSE,"REGION";"Offgrid -2",#N/A,FALSE,"OFFGRID";"WTP",#N/A,FALSE,"WTP";"WTP -2",#N/A,FALSE,"WTP";"Project",#N/A,FALSE,"PROJECT";"Summary -2",#N/A,FALSE,"SUMMARY"}</definedName>
    <definedName name="___a130" localSheetId="7"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65700" localSheetId="8">#REF!</definedName>
    <definedName name="___A65700">#REF!</definedName>
    <definedName name="___A65800" localSheetId="8">#REF!</definedName>
    <definedName name="___A65800">#REF!</definedName>
    <definedName name="___A66000" localSheetId="8">#REF!</definedName>
    <definedName name="___A66000">#REF!</definedName>
    <definedName name="___A67000" localSheetId="8">#REF!</definedName>
    <definedName name="___A67000">#REF!</definedName>
    <definedName name="___A68000" localSheetId="8">#REF!</definedName>
    <definedName name="___A68000">#REF!</definedName>
    <definedName name="___A70000" localSheetId="8">#REF!</definedName>
    <definedName name="___A70000">#REF!</definedName>
    <definedName name="___A75000" localSheetId="8">#REF!</definedName>
    <definedName name="___A75000">#REF!</definedName>
    <definedName name="___A85000" localSheetId="8">#REF!</definedName>
    <definedName name="___A85000">#REF!</definedName>
    <definedName name="___bac1" localSheetId="8">#REF!</definedName>
    <definedName name="___bac1">#REF!</definedName>
    <definedName name="___bac2" localSheetId="8">#REF!</definedName>
    <definedName name="___bac2">#REF!</definedName>
    <definedName name="___boi1">#REF!</definedName>
    <definedName name="___boi2">#REF!</definedName>
    <definedName name="___CON1">#REF!</definedName>
    <definedName name="___CON2">#REF!</definedName>
    <definedName name="___d1500" localSheetId="8" hidden="1">{"'Sheet1'!$L$16"}</definedName>
    <definedName name="___d1500" localSheetId="0" hidden="1">{"'Sheet1'!$L$16"}</definedName>
    <definedName name="___d1500" localSheetId="6" hidden="1">{"'Sheet1'!$L$16"}</definedName>
    <definedName name="___d1500" localSheetId="9" hidden="1">{"'Sheet1'!$L$16"}</definedName>
    <definedName name="___d1500" localSheetId="7" hidden="1">{"'Sheet1'!$L$16"}</definedName>
    <definedName name="___d1500" hidden="1">{"'Sheet1'!$L$16"}</definedName>
    <definedName name="___dao1" localSheetId="8">#REF!</definedName>
    <definedName name="___dao1">#REF!</definedName>
    <definedName name="___dao2" localSheetId="8">#REF!</definedName>
    <definedName name="___dao2">#REF!</definedName>
    <definedName name="___dap2" localSheetId="8">#REF!</definedName>
    <definedName name="___dap2">#REF!</definedName>
    <definedName name="___day2" localSheetId="8">#REF!</definedName>
    <definedName name="___day2">#REF!</definedName>
    <definedName name="___dbu2" localSheetId="8">#REF!</definedName>
    <definedName name="___dbu2">#REF!</definedName>
    <definedName name="___h1" localSheetId="8" hidden="1">{"'Sheet1'!$L$16"}</definedName>
    <definedName name="___h1" localSheetId="0" hidden="1">{"'Sheet1'!$L$16"}</definedName>
    <definedName name="___h1" localSheetId="6" hidden="1">{"'Sheet1'!$L$16"}</definedName>
    <definedName name="___h1" localSheetId="9" hidden="1">{"'Sheet1'!$L$16"}</definedName>
    <definedName name="___h1" localSheetId="7" hidden="1">{"'Sheet1'!$L$16"}</definedName>
    <definedName name="___h1" hidden="1">{"'Sheet1'!$L$16"}</definedName>
    <definedName name="___hu1" localSheetId="8" hidden="1">{"'Sheet1'!$L$16"}</definedName>
    <definedName name="___hu1" localSheetId="0" hidden="1">{"'Sheet1'!$L$16"}</definedName>
    <definedName name="___hu1" localSheetId="6" hidden="1">{"'Sheet1'!$L$16"}</definedName>
    <definedName name="___hu1" localSheetId="9" hidden="1">{"'Sheet1'!$L$16"}</definedName>
    <definedName name="___hu1" localSheetId="7" hidden="1">{"'Sheet1'!$L$16"}</definedName>
    <definedName name="___hu1" hidden="1">{"'Sheet1'!$L$16"}</definedName>
    <definedName name="___hu2" localSheetId="8" hidden="1">{"'Sheet1'!$L$16"}</definedName>
    <definedName name="___hu2" localSheetId="0" hidden="1">{"'Sheet1'!$L$16"}</definedName>
    <definedName name="___hu2" localSheetId="6" hidden="1">{"'Sheet1'!$L$16"}</definedName>
    <definedName name="___hu2" localSheetId="9" hidden="1">{"'Sheet1'!$L$16"}</definedName>
    <definedName name="___hu2" localSheetId="7" hidden="1">{"'Sheet1'!$L$16"}</definedName>
    <definedName name="___hu2" hidden="1">{"'Sheet1'!$L$16"}</definedName>
    <definedName name="___hu5" localSheetId="8" hidden="1">{"'Sheet1'!$L$16"}</definedName>
    <definedName name="___hu5" localSheetId="0" hidden="1">{"'Sheet1'!$L$16"}</definedName>
    <definedName name="___hu5" localSheetId="6" hidden="1">{"'Sheet1'!$L$16"}</definedName>
    <definedName name="___hu5" localSheetId="9" hidden="1">{"'Sheet1'!$L$16"}</definedName>
    <definedName name="___hu5" localSheetId="7" hidden="1">{"'Sheet1'!$L$16"}</definedName>
    <definedName name="___hu5" hidden="1">{"'Sheet1'!$L$16"}</definedName>
    <definedName name="___hu6" localSheetId="8" hidden="1">{"'Sheet1'!$L$16"}</definedName>
    <definedName name="___hu6" localSheetId="0" hidden="1">{"'Sheet1'!$L$16"}</definedName>
    <definedName name="___hu6" localSheetId="6" hidden="1">{"'Sheet1'!$L$16"}</definedName>
    <definedName name="___hu6" localSheetId="9" hidden="1">{"'Sheet1'!$L$16"}</definedName>
    <definedName name="___hu6" localSheetId="7" hidden="1">{"'Sheet1'!$L$16"}</definedName>
    <definedName name="___hu6" hidden="1">{"'Sheet1'!$L$16"}</definedName>
    <definedName name="___hu7" localSheetId="8" hidden="1">{"'Sheet1'!$L$16"}</definedName>
    <definedName name="___hu7" localSheetId="0" hidden="1">{"'Sheet1'!$L$16"}</definedName>
    <definedName name="___hu7" localSheetId="6" hidden="1">{"'Sheet1'!$L$16"}</definedName>
    <definedName name="___hu7" localSheetId="9" hidden="1">{"'Sheet1'!$L$16"}</definedName>
    <definedName name="___hu7" localSheetId="7" hidden="1">{"'Sheet1'!$L$16"}</definedName>
    <definedName name="___hu7" hidden="1">{"'Sheet1'!$L$16"}</definedName>
    <definedName name="___k10" localSheetId="8" hidden="1">{"'Sheet1'!$L$16"}</definedName>
    <definedName name="___k10" localSheetId="0" hidden="1">{"'Sheet1'!$L$16"}</definedName>
    <definedName name="___k10" localSheetId="6" hidden="1">{"'Sheet1'!$L$16"}</definedName>
    <definedName name="___k10" localSheetId="9" hidden="1">{"'Sheet1'!$L$16"}</definedName>
    <definedName name="___k10" localSheetId="7" hidden="1">{"'Sheet1'!$L$16"}</definedName>
    <definedName name="___k10" hidden="1">{"'Sheet1'!$L$16"}</definedName>
    <definedName name="___KS2" localSheetId="8" hidden="1">{"'Sheet1'!$L$16"}</definedName>
    <definedName name="___KS2" localSheetId="0" hidden="1">{"'Sheet1'!$L$16"}</definedName>
    <definedName name="___KS2" localSheetId="6" hidden="1">{"'Sheet1'!$L$16"}</definedName>
    <definedName name="___KS2" localSheetId="9" hidden="1">{"'Sheet1'!$L$16"}</definedName>
    <definedName name="___KS2" localSheetId="7" hidden="1">{"'Sheet1'!$L$16"}</definedName>
    <definedName name="___KS2" hidden="1">{"'Sheet1'!$L$16"}</definedName>
    <definedName name="___khi2">#REF!</definedName>
    <definedName name="___lap1">#REF!</definedName>
    <definedName name="___lap2">#REF!</definedName>
    <definedName name="___muc1">#REF!</definedName>
    <definedName name="___NET2">#REF!</definedName>
    <definedName name="___NPV11" localSheetId="8">#REF!</definedName>
    <definedName name="___NPV11">#REF!</definedName>
    <definedName name="___npv22" localSheetId="8">#REF!</definedName>
    <definedName name="___npv22">#REF!</definedName>
    <definedName name="___oto10" localSheetId="8">#REF!</definedName>
    <definedName name="___oto10">#REF!</definedName>
    <definedName name="___PA3" localSheetId="8" hidden="1">{"'Sheet1'!$L$16"}</definedName>
    <definedName name="___PA3" localSheetId="0" hidden="1">{"'Sheet1'!$L$16"}</definedName>
    <definedName name="___PA3" localSheetId="6" hidden="1">{"'Sheet1'!$L$16"}</definedName>
    <definedName name="___PA3" localSheetId="9" hidden="1">{"'Sheet1'!$L$16"}</definedName>
    <definedName name="___PA3" localSheetId="7" hidden="1">{"'Sheet1'!$L$16"}</definedName>
    <definedName name="___PA3" hidden="1">{"'Sheet1'!$L$16"}</definedName>
    <definedName name="___PR1">#REF!</definedName>
    <definedName name="___T10" localSheetId="8" hidden="1">{"'Sheet1'!$L$16"}</definedName>
    <definedName name="___T10" localSheetId="0" hidden="1">{"'Sheet1'!$L$16"}</definedName>
    <definedName name="___T10" localSheetId="6" hidden="1">{"'Sheet1'!$L$16"}</definedName>
    <definedName name="___T10" localSheetId="9" hidden="1">{"'Sheet1'!$L$16"}</definedName>
    <definedName name="___T10" localSheetId="7" hidden="1">{"'Sheet1'!$L$16"}</definedName>
    <definedName name="___T10" hidden="1">{"'Sheet1'!$L$16"}</definedName>
    <definedName name="___T12" localSheetId="8" hidden="1">{"'Sheet1'!$L$16"}</definedName>
    <definedName name="___T12" localSheetId="0" hidden="1">{"'Sheet1'!$L$16"}</definedName>
    <definedName name="___T12" localSheetId="6" hidden="1">{"'Sheet1'!$L$16"}</definedName>
    <definedName name="___T12" localSheetId="9" hidden="1">{"'Sheet1'!$L$16"}</definedName>
    <definedName name="___T12" localSheetId="7" hidden="1">{"'Sheet1'!$L$16"}</definedName>
    <definedName name="___T12" hidden="1">{"'Sheet1'!$L$16"}</definedName>
    <definedName name="___tct3" localSheetId="8">#REF!</definedName>
    <definedName name="___tct3">#REF!</definedName>
    <definedName name="___vc1" localSheetId="8">#REF!</definedName>
    <definedName name="___vc1">#REF!</definedName>
    <definedName name="___vc2" localSheetId="8">#REF!</definedName>
    <definedName name="___vc2">#REF!</definedName>
    <definedName name="___vc3" localSheetId="8">#REF!</definedName>
    <definedName name="___vc3">#REF!</definedName>
    <definedName name="__a1" localSheetId="8" hidden="1">{"'Sheet1'!$L$16"}</definedName>
    <definedName name="__a1" localSheetId="0" hidden="1">{"'Sheet1'!$L$16"}</definedName>
    <definedName name="__a1" localSheetId="6" hidden="1">{"'Sheet1'!$L$16"}</definedName>
    <definedName name="__a1" localSheetId="9" hidden="1">{"'Sheet1'!$L$16"}</definedName>
    <definedName name="__a1" localSheetId="7" hidden="1">{"'Sheet1'!$L$16"}</definedName>
    <definedName name="__a1" hidden="1">{"'Sheet1'!$L$16"}</definedName>
    <definedName name="__a129" localSheetId="8" hidden="1">{"Offgrid",#N/A,FALSE,"OFFGRID";"Region",#N/A,FALSE,"REGION";"Offgrid -2",#N/A,FALSE,"OFFGRID";"WTP",#N/A,FALSE,"WTP";"WTP -2",#N/A,FALSE,"WTP";"Project",#N/A,FALSE,"PROJECT";"Summary -2",#N/A,FALSE,"SUMMARY"}</definedName>
    <definedName name="__a129" localSheetId="0" hidden="1">{"Offgrid",#N/A,FALSE,"OFFGRID";"Region",#N/A,FALSE,"REGION";"Offgrid -2",#N/A,FALSE,"OFFGRID";"WTP",#N/A,FALSE,"WTP";"WTP -2",#N/A,FALSE,"WTP";"Project",#N/A,FALSE,"PROJECT";"Summary -2",#N/A,FALSE,"SUMMARY"}</definedName>
    <definedName name="__a129" localSheetId="6" hidden="1">{"Offgrid",#N/A,FALSE,"OFFGRID";"Region",#N/A,FALSE,"REGION";"Offgrid -2",#N/A,FALSE,"OFFGRID";"WTP",#N/A,FALSE,"WTP";"WTP -2",#N/A,FALSE,"WTP";"Project",#N/A,FALSE,"PROJECT";"Summary -2",#N/A,FALSE,"SUMMARY"}</definedName>
    <definedName name="__a129" localSheetId="9" hidden="1">{"Offgrid",#N/A,FALSE,"OFFGRID";"Region",#N/A,FALSE,"REGION";"Offgrid -2",#N/A,FALSE,"OFFGRID";"WTP",#N/A,FALSE,"WTP";"WTP -2",#N/A,FALSE,"WTP";"Project",#N/A,FALSE,"PROJECT";"Summary -2",#N/A,FALSE,"SUMMARY"}</definedName>
    <definedName name="__a129" localSheetId="7" hidden="1">{"Offgrid",#N/A,FALSE,"OFFGRID";"Region",#N/A,FALSE,"REGION";"Offgrid -2",#N/A,FALSE,"OFFGRID";"WTP",#N/A,FALSE,"WTP";"WTP -2",#N/A,FALSE,"WTP";"Project",#N/A,FALSE,"PROJECT";"Summary -2",#N/A,FALSE,"SUMMARY"}</definedName>
    <definedName name="__a129" hidden="1">{"Offgrid",#N/A,FALSE,"OFFGRID";"Region",#N/A,FALSE,"REGION";"Offgrid -2",#N/A,FALSE,"OFFGRID";"WTP",#N/A,FALSE,"WTP";"WTP -2",#N/A,FALSE,"WTP";"Project",#N/A,FALSE,"PROJECT";"Summary -2",#N/A,FALSE,"SUMMARY"}</definedName>
    <definedName name="__a130" localSheetId="8" hidden="1">{"Offgrid",#N/A,FALSE,"OFFGRID";"Region",#N/A,FALSE,"REGION";"Offgrid -2",#N/A,FALSE,"OFFGRID";"WTP",#N/A,FALSE,"WTP";"WTP -2",#N/A,FALSE,"WTP";"Project",#N/A,FALSE,"PROJECT";"Summary -2",#N/A,FALSE,"SUMMARY"}</definedName>
    <definedName name="__a130" localSheetId="0" hidden="1">{"Offgrid",#N/A,FALSE,"OFFGRID";"Region",#N/A,FALSE,"REGION";"Offgrid -2",#N/A,FALSE,"OFFGRID";"WTP",#N/A,FALSE,"WTP";"WTP -2",#N/A,FALSE,"WTP";"Project",#N/A,FALSE,"PROJECT";"Summary -2",#N/A,FALSE,"SUMMARY"}</definedName>
    <definedName name="__a130" localSheetId="6" hidden="1">{"Offgrid",#N/A,FALSE,"OFFGRID";"Region",#N/A,FALSE,"REGION";"Offgrid -2",#N/A,FALSE,"OFFGRID";"WTP",#N/A,FALSE,"WTP";"WTP -2",#N/A,FALSE,"WTP";"Project",#N/A,FALSE,"PROJECT";"Summary -2",#N/A,FALSE,"SUMMARY"}</definedName>
    <definedName name="__a130" localSheetId="9" hidden="1">{"Offgrid",#N/A,FALSE,"OFFGRID";"Region",#N/A,FALSE,"REGION";"Offgrid -2",#N/A,FALSE,"OFFGRID";"WTP",#N/A,FALSE,"WTP";"WTP -2",#N/A,FALSE,"WTP";"Project",#N/A,FALSE,"PROJECT";"Summary -2",#N/A,FALSE,"SUMMARY"}</definedName>
    <definedName name="__a130" localSheetId="7"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65700" localSheetId="8">#REF!</definedName>
    <definedName name="__A65700">#REF!</definedName>
    <definedName name="__A65800" localSheetId="8">#REF!</definedName>
    <definedName name="__A65800">#REF!</definedName>
    <definedName name="__A66000" localSheetId="8">#REF!</definedName>
    <definedName name="__A66000">#REF!</definedName>
    <definedName name="__A67000" localSheetId="8">#REF!</definedName>
    <definedName name="__A67000">#REF!</definedName>
    <definedName name="__A68000" localSheetId="8">#REF!</definedName>
    <definedName name="__A68000">#REF!</definedName>
    <definedName name="__A70000" localSheetId="8">#REF!</definedName>
    <definedName name="__A70000">#REF!</definedName>
    <definedName name="__A75000" localSheetId="8">#REF!</definedName>
    <definedName name="__A75000">#REF!</definedName>
    <definedName name="__A85000" localSheetId="8">#REF!</definedName>
    <definedName name="__A85000">#REF!</definedName>
    <definedName name="__abb91" localSheetId="8">#REF!</definedName>
    <definedName name="__abb91">#REF!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ac1" localSheetId="8">#REF!</definedName>
    <definedName name="__bac1">#REF!</definedName>
    <definedName name="__bac2" localSheetId="8">#REF!</definedName>
    <definedName name="__bac2">#REF!</definedName>
    <definedName name="__BTM250">#REF!</definedName>
    <definedName name="__Cau2">#REF!</definedName>
    <definedName name="__CON1">#REF!</definedName>
    <definedName name="__CON2">#REF!</definedName>
    <definedName name="__Count">9</definedName>
    <definedName name="__cpd1">#REF!</definedName>
    <definedName name="__cpd2">#REF!</definedName>
    <definedName name="__CT250" localSheetId="8">#REF!</definedName>
    <definedName name="__CT250">#REF!</definedName>
    <definedName name="__d1500" localSheetId="8" hidden="1">{"'Sheet1'!$L$16"}</definedName>
    <definedName name="__d1500" localSheetId="0" hidden="1">{"'Sheet1'!$L$16"}</definedName>
    <definedName name="__d1500" localSheetId="6" hidden="1">{"'Sheet1'!$L$16"}</definedName>
    <definedName name="__d1500" localSheetId="9" hidden="1">{"'Sheet1'!$L$16"}</definedName>
    <definedName name="__d1500" localSheetId="7" hidden="1">{"'Sheet1'!$L$16"}</definedName>
    <definedName name="__d1500" hidden="1">{"'Sheet1'!$L$16"}</definedName>
    <definedName name="__day1" localSheetId="8">#REF!</definedName>
    <definedName name="__day1">#REF!</definedName>
    <definedName name="__dbu1" localSheetId="8">#REF!</definedName>
    <definedName name="__dbu1">#REF!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 localSheetId="8">#REF!</definedName>
    <definedName name="__doi3">#REF!</definedName>
    <definedName name="__E99999">#REF!</definedName>
    <definedName name="__gon4">#REF!</definedName>
    <definedName name="__h1" localSheetId="8" hidden="1">{"'Sheet1'!$L$16"}</definedName>
    <definedName name="__h1" localSheetId="0" hidden="1">{"'Sheet1'!$L$16"}</definedName>
    <definedName name="__h1" localSheetId="6" hidden="1">{"'Sheet1'!$L$16"}</definedName>
    <definedName name="__h1" localSheetId="9" hidden="1">{"'Sheet1'!$L$16"}</definedName>
    <definedName name="__h1" localSheetId="7" hidden="1">{"'Sheet1'!$L$16"}</definedName>
    <definedName name="__h1" hidden="1">{"'Sheet1'!$L$16"}</definedName>
    <definedName name="__han23" localSheetId="8">#REF!</definedName>
    <definedName name="__han23">#REF!</definedName>
    <definedName name="__hu1" localSheetId="8" hidden="1">{"'Sheet1'!$L$16"}</definedName>
    <definedName name="__hu1" localSheetId="0" hidden="1">{"'Sheet1'!$L$16"}</definedName>
    <definedName name="__hu1" localSheetId="6" hidden="1">{"'Sheet1'!$L$16"}</definedName>
    <definedName name="__hu1" localSheetId="9" hidden="1">{"'Sheet1'!$L$16"}</definedName>
    <definedName name="__hu1" localSheetId="7" hidden="1">{"'Sheet1'!$L$16"}</definedName>
    <definedName name="__hu1" hidden="1">{"'Sheet1'!$L$16"}</definedName>
    <definedName name="__hu2" localSheetId="8" hidden="1">{"'Sheet1'!$L$16"}</definedName>
    <definedName name="__hu2" localSheetId="0" hidden="1">{"'Sheet1'!$L$16"}</definedName>
    <definedName name="__hu2" localSheetId="6" hidden="1">{"'Sheet1'!$L$16"}</definedName>
    <definedName name="__hu2" localSheetId="9" hidden="1">{"'Sheet1'!$L$16"}</definedName>
    <definedName name="__hu2" localSheetId="7" hidden="1">{"'Sheet1'!$L$16"}</definedName>
    <definedName name="__hu2" hidden="1">{"'Sheet1'!$L$16"}</definedName>
    <definedName name="__hu5" localSheetId="8" hidden="1">{"'Sheet1'!$L$16"}</definedName>
    <definedName name="__hu5" localSheetId="0" hidden="1">{"'Sheet1'!$L$16"}</definedName>
    <definedName name="__hu5" localSheetId="6" hidden="1">{"'Sheet1'!$L$16"}</definedName>
    <definedName name="__hu5" localSheetId="9" hidden="1">{"'Sheet1'!$L$16"}</definedName>
    <definedName name="__hu5" localSheetId="7" hidden="1">{"'Sheet1'!$L$16"}</definedName>
    <definedName name="__hu5" hidden="1">{"'Sheet1'!$L$16"}</definedName>
    <definedName name="__hu6" localSheetId="8" hidden="1">{"'Sheet1'!$L$16"}</definedName>
    <definedName name="__hu6" localSheetId="0" hidden="1">{"'Sheet1'!$L$16"}</definedName>
    <definedName name="__hu6" localSheetId="6" hidden="1">{"'Sheet1'!$L$16"}</definedName>
    <definedName name="__hu6" localSheetId="9" hidden="1">{"'Sheet1'!$L$16"}</definedName>
    <definedName name="__hu6" localSheetId="7" hidden="1">{"'Sheet1'!$L$16"}</definedName>
    <definedName name="__hu6" hidden="1">{"'Sheet1'!$L$16"}</definedName>
    <definedName name="__hu7" localSheetId="8" hidden="1">{"'Sheet1'!$L$16"}</definedName>
    <definedName name="__hu7" localSheetId="0" hidden="1">{"'Sheet1'!$L$16"}</definedName>
    <definedName name="__hu7" localSheetId="6" hidden="1">{"'Sheet1'!$L$16"}</definedName>
    <definedName name="__hu7" localSheetId="9" hidden="1">{"'Sheet1'!$L$16"}</definedName>
    <definedName name="__hu7" localSheetId="7" hidden="1">{"'Sheet1'!$L$16"}</definedName>
    <definedName name="__hu7" hidden="1">{"'Sheet1'!$L$16"}</definedName>
    <definedName name="__IntlFixup" hidden="1">TRUE</definedName>
    <definedName name="__k10" localSheetId="8" hidden="1">{"'Sheet1'!$L$16"}</definedName>
    <definedName name="__k10" localSheetId="0" hidden="1">{"'Sheet1'!$L$16"}</definedName>
    <definedName name="__k10" localSheetId="6" hidden="1">{"'Sheet1'!$L$16"}</definedName>
    <definedName name="__k10" localSheetId="9" hidden="1">{"'Sheet1'!$L$16"}</definedName>
    <definedName name="__k10" localSheetId="7" hidden="1">{"'Sheet1'!$L$16"}</definedName>
    <definedName name="__k10" hidden="1">{"'Sheet1'!$L$16"}</definedName>
    <definedName name="__KS2" localSheetId="8" hidden="1">{"'Sheet1'!$L$16"}</definedName>
    <definedName name="__KS2" localSheetId="0" hidden="1">{"'Sheet1'!$L$16"}</definedName>
    <definedName name="__KS2" localSheetId="6" hidden="1">{"'Sheet1'!$L$16"}</definedName>
    <definedName name="__KS2" localSheetId="9" hidden="1">{"'Sheet1'!$L$16"}</definedName>
    <definedName name="__KS2" localSheetId="7" hidden="1">{"'Sheet1'!$L$16"}</definedName>
    <definedName name="__KS2" hidden="1">{"'Sheet1'!$L$16"}</definedName>
    <definedName name="__khi2">#REF!</definedName>
    <definedName name="__khu7">#REF!</definedName>
    <definedName name="__MB1">#REF!</definedName>
    <definedName name="__MB2">#REF!</definedName>
    <definedName name="__MN1">#REF!</definedName>
    <definedName name="__MN2">#REF!</definedName>
    <definedName name="__MT1">#REF!</definedName>
    <definedName name="__MT2">#REF!</definedName>
    <definedName name="__muc1">#REF!</definedName>
    <definedName name="__nc151">#REF!</definedName>
    <definedName name="__nc27" localSheetId="8">#REF!</definedName>
    <definedName name="__nc27">#REF!</definedName>
    <definedName name="__NET2">#REF!</definedName>
    <definedName name="__NPV11" localSheetId="8">#REF!</definedName>
    <definedName name="__NPV11">#REF!</definedName>
    <definedName name="__npv22" localSheetId="8">#REF!</definedName>
    <definedName name="__npv22">#REF!</definedName>
    <definedName name="__NSO2" localSheetId="8" hidden="1">{"'Sheet1'!$L$16"}</definedName>
    <definedName name="__NSO2" localSheetId="0" hidden="1">{"'Sheet1'!$L$16"}</definedName>
    <definedName name="__NSO2" localSheetId="6" hidden="1">{"'Sheet1'!$L$16"}</definedName>
    <definedName name="__NSO2" localSheetId="9" hidden="1">{"'Sheet1'!$L$16"}</definedName>
    <definedName name="__NSO2" localSheetId="7" hidden="1">{"'Sheet1'!$L$16"}</definedName>
    <definedName name="__NSO2" hidden="1">{"'Sheet1'!$L$16"}</definedName>
    <definedName name="__nga3" localSheetId="8">#REF!</definedName>
    <definedName name="__nga3">#REF!</definedName>
    <definedName name="__oto10" localSheetId="8">#REF!</definedName>
    <definedName name="__oto10">#REF!</definedName>
    <definedName name="__PA3" localSheetId="8" hidden="1">{"'Sheet1'!$L$16"}</definedName>
    <definedName name="__PA3" localSheetId="0" hidden="1">{"'Sheet1'!$L$16"}</definedName>
    <definedName name="__PA3" localSheetId="6" hidden="1">{"'Sheet1'!$L$16"}</definedName>
    <definedName name="__PA3" localSheetId="9" hidden="1">{"'Sheet1'!$L$16"}</definedName>
    <definedName name="__PA3" localSheetId="7" hidden="1">{"'Sheet1'!$L$16"}</definedName>
    <definedName name="__PA3" hidden="1">{"'Sheet1'!$L$16"}</definedName>
    <definedName name="__pc30" localSheetId="8">#REF!</definedName>
    <definedName name="__pc30">#REF!</definedName>
    <definedName name="__pc40" localSheetId="8">#REF!</definedName>
    <definedName name="__pc40">#REF!</definedName>
    <definedName name="__PR1">#REF!</definedName>
    <definedName name="__san110" localSheetId="8">#REF!</definedName>
    <definedName name="__san110">#REF!</definedName>
    <definedName name="__SPL4" localSheetId="8">#REF!</definedName>
    <definedName name="__SPL4">#REF!</definedName>
    <definedName name="__STD0898">#REF!</definedName>
    <definedName name="__T10" localSheetId="8" hidden="1">{"'Sheet1'!$L$16"}</definedName>
    <definedName name="__T10" localSheetId="0" hidden="1">{"'Sheet1'!$L$16"}</definedName>
    <definedName name="__T10" localSheetId="6" hidden="1">{"'Sheet1'!$L$16"}</definedName>
    <definedName name="__T10" localSheetId="9" hidden="1">{"'Sheet1'!$L$16"}</definedName>
    <definedName name="__T10" localSheetId="7" hidden="1">{"'Sheet1'!$L$16"}</definedName>
    <definedName name="__T10" hidden="1">{"'Sheet1'!$L$16"}</definedName>
    <definedName name="__T12" localSheetId="8" hidden="1">{"'Sheet1'!$L$16"}</definedName>
    <definedName name="__T12" localSheetId="0" hidden="1">{"'Sheet1'!$L$16"}</definedName>
    <definedName name="__T12" localSheetId="6" hidden="1">{"'Sheet1'!$L$16"}</definedName>
    <definedName name="__T12" localSheetId="9" hidden="1">{"'Sheet1'!$L$16"}</definedName>
    <definedName name="__T12" localSheetId="7" hidden="1">{"'Sheet1'!$L$16"}</definedName>
    <definedName name="__T12" hidden="1">{"'Sheet1'!$L$16"}</definedName>
    <definedName name="__tam1" localSheetId="8">#REF!</definedName>
    <definedName name="__tam1">#REF!</definedName>
    <definedName name="__tct3" localSheetId="8">#REF!</definedName>
    <definedName name="__tct3">#REF!</definedName>
    <definedName name="__tct5">#REF!</definedName>
    <definedName name="__tg427">#REF!</definedName>
    <definedName name="__TH20">#REF!</definedName>
    <definedName name="__ui110" localSheetId="8">#REF!</definedName>
    <definedName name="__ui110">#REF!</definedName>
    <definedName name="__UT2">#REF!</definedName>
    <definedName name="__XM30" localSheetId="8">#REF!</definedName>
    <definedName name="__XM30">#REF!</definedName>
    <definedName name="__xx1" localSheetId="8">#REF!</definedName>
    <definedName name="__xx1">#REF!</definedName>
    <definedName name="__xx12" localSheetId="8">#REF!</definedName>
    <definedName name="__xx12">#REF!</definedName>
    <definedName name="__xx2" localSheetId="8">#REF!</definedName>
    <definedName name="__xx2">#REF!</definedName>
    <definedName name="__xx3">#REF!</definedName>
    <definedName name="__xx4">#REF!</definedName>
    <definedName name="__xx5">#REF!</definedName>
    <definedName name="__xx6">#REF!</definedName>
    <definedName name="__xx7">#REF!</definedName>
    <definedName name="__yy1" localSheetId="8">#REF!</definedName>
    <definedName name="__yy1">#REF!</definedName>
    <definedName name="__yy2" localSheetId="8">#REF!</definedName>
    <definedName name="__yy2">#REF!</definedName>
    <definedName name="__zx1" localSheetId="8">#REF!</definedName>
    <definedName name="__zx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09_2019">#REF!</definedName>
    <definedName name="_1">#REF!</definedName>
    <definedName name="_1____0DATA_DATA2_L" localSheetId="8">#REF!</definedName>
    <definedName name="_1____0DATA_DATA2_L">#REF!</definedName>
    <definedName name="_10__TRÒ_GIAÙ">#REF!</definedName>
    <definedName name="_10_2019">#REF!</definedName>
    <definedName name="_1000A01">#N/A</definedName>
    <definedName name="_102_2019">#REF!</definedName>
    <definedName name="_104_2019">#REF!</definedName>
    <definedName name="_105_2019">#REF!</definedName>
    <definedName name="_106_2019">#REF!</definedName>
    <definedName name="_11__TRÒ_GIAÙ__VAT">#REF!</definedName>
    <definedName name="_12_2019">#REF!</definedName>
    <definedName name="_121_2019">#REF!</definedName>
    <definedName name="_122_2019">#REF!</definedName>
    <definedName name="_13_2019">#REF!</definedName>
    <definedName name="_141_2019">#REF!</definedName>
    <definedName name="_146_2019">#REF!</definedName>
    <definedName name="_15_2019">#REF!</definedName>
    <definedName name="_150_2019">#REF!</definedName>
    <definedName name="_161_2019">#REF!</definedName>
    <definedName name="_17_2019">#REF!</definedName>
    <definedName name="_181_2019">#REF!</definedName>
    <definedName name="_182_2019">#REF!</definedName>
    <definedName name="_183_2019">#REF!</definedName>
    <definedName name="_185_2019">#REF!</definedName>
    <definedName name="_186_2019">#REF!</definedName>
    <definedName name="_192_2019">#REF!</definedName>
    <definedName name="_193_2019">#REF!</definedName>
    <definedName name="_196_2019">#REF!</definedName>
    <definedName name="_198_2019">#REF!</definedName>
    <definedName name="_199_2019">#REF!</definedName>
    <definedName name="_1BA1025" localSheetId="8">#REF!</definedName>
    <definedName name="_1BA1025">#REF!</definedName>
    <definedName name="_1BA1037" localSheetId="8">#REF!</definedName>
    <definedName name="_1BA1037">#REF!</definedName>
    <definedName name="_1BA1050" localSheetId="8">#REF!</definedName>
    <definedName name="_1BA1050">#REF!</definedName>
    <definedName name="_1BA1075" localSheetId="8">#REF!</definedName>
    <definedName name="_1BA1075">#REF!</definedName>
    <definedName name="_1BA1100" localSheetId="8">#REF!</definedName>
    <definedName name="_1BA1100">#REF!</definedName>
    <definedName name="_1BA2500">#REF!</definedName>
    <definedName name="_1BA3025" localSheetId="8">#REF!</definedName>
    <definedName name="_1BA3025">#REF!</definedName>
    <definedName name="_1BA3037" localSheetId="8">#REF!</definedName>
    <definedName name="_1BA3037">#REF!</definedName>
    <definedName name="_1BA3050" localSheetId="8">#REF!</definedName>
    <definedName name="_1BA3050">#REF!</definedName>
    <definedName name="_1BA305G" localSheetId="8">#REF!</definedName>
    <definedName name="_1BA305G">#REF!</definedName>
    <definedName name="_1BA3075" localSheetId="8">#REF!</definedName>
    <definedName name="_1BA3075">#REF!</definedName>
    <definedName name="_1BA3100" localSheetId="8">#REF!</definedName>
    <definedName name="_1BA3100">#REF!</definedName>
    <definedName name="_1BA3160" localSheetId="8">#REF!</definedName>
    <definedName name="_1BA3160">#REF!</definedName>
    <definedName name="_1BA3250">#REF!</definedName>
    <definedName name="_1BA3320" localSheetId="8">#REF!</definedName>
    <definedName name="_1BA3320">#REF!</definedName>
    <definedName name="_1BA3400" localSheetId="8">#REF!</definedName>
    <definedName name="_1BA3400">#REF!</definedName>
    <definedName name="_1BA400P">#REF!</definedName>
    <definedName name="_1CAP001">#REF!</definedName>
    <definedName name="_1CAP002" localSheetId="8">#REF!</definedName>
    <definedName name="_1CAP002">#REF!</definedName>
    <definedName name="_1CAP003" localSheetId="8">#REF!</definedName>
    <definedName name="_1CAP003">#REF!</definedName>
    <definedName name="_1CAPTU1" localSheetId="8">#REF!</definedName>
    <definedName name="_1CAPTU1">#REF!</definedName>
    <definedName name="_1CDHT01" localSheetId="8">#REF!</definedName>
    <definedName name="_1CDHT01">#REF!</definedName>
    <definedName name="_1CDHT02" localSheetId="8">#REF!</definedName>
    <definedName name="_1CDHT02">#REF!</definedName>
    <definedName name="_1CHANG1" localSheetId="8">#REF!</definedName>
    <definedName name="_1CHANG1">#REF!</definedName>
    <definedName name="_1DA0801" localSheetId="8">#REF!</definedName>
    <definedName name="_1DA0801">#REF!</definedName>
    <definedName name="_1DA0802" localSheetId="8">#REF!</definedName>
    <definedName name="_1DA0802">#REF!</definedName>
    <definedName name="_1DA1201" localSheetId="8">#REF!</definedName>
    <definedName name="_1DA1201">#REF!</definedName>
    <definedName name="_1DA2001" localSheetId="8">#REF!</definedName>
    <definedName name="_1DA2001">#REF!</definedName>
    <definedName name="_1DA2401" localSheetId="8">#REF!</definedName>
    <definedName name="_1DA2401">#REF!</definedName>
    <definedName name="_1DA2402" localSheetId="8">#REF!</definedName>
    <definedName name="_1DA2402">#REF!</definedName>
    <definedName name="_1DA3201" localSheetId="8">#REF!</definedName>
    <definedName name="_1DA3201">#REF!</definedName>
    <definedName name="_1DA3202" localSheetId="8">#REF!</definedName>
    <definedName name="_1DA3202">#REF!</definedName>
    <definedName name="_1DA3203" localSheetId="8">#REF!</definedName>
    <definedName name="_1DA3203">#REF!</definedName>
    <definedName name="_1DA3204" localSheetId="8">#REF!</definedName>
    <definedName name="_1DA3204">#REF!</definedName>
    <definedName name="_1DAU001" localSheetId="8">#REF!</definedName>
    <definedName name="_1DAU001">#REF!</definedName>
    <definedName name="_1DAU002">#REF!</definedName>
    <definedName name="_1DAU003" localSheetId="8">#REF!</definedName>
    <definedName name="_1DAU003">#REF!</definedName>
    <definedName name="_1DCTT48" localSheetId="8">#REF!</definedName>
    <definedName name="_1DCTT48">#REF!</definedName>
    <definedName name="_1DDAY03">#REF!</definedName>
    <definedName name="_1DDTT01">#REF!</definedName>
    <definedName name="_1DK1001" localSheetId="8">#REF!</definedName>
    <definedName name="_1DK1001">#REF!</definedName>
    <definedName name="_1DK3001" localSheetId="8">#REF!</definedName>
    <definedName name="_1DK3001">#REF!</definedName>
    <definedName name="_1FCO101">#REF!</definedName>
    <definedName name="_1GIA101">#REF!</definedName>
    <definedName name="_1KD22B1" localSheetId="8">#REF!</definedName>
    <definedName name="_1KD22B1">#REF!</definedName>
    <definedName name="_1KDM22T" localSheetId="8">#REF!</definedName>
    <definedName name="_1KDM22T">#REF!</definedName>
    <definedName name="_1KEP001" localSheetId="8">#REF!</definedName>
    <definedName name="_1KEP001">#REF!</definedName>
    <definedName name="_1LA1001">#REF!</definedName>
    <definedName name="_1LCAP01" localSheetId="8">#REF!</definedName>
    <definedName name="_1LCAP01">#REF!</definedName>
    <definedName name="_1MCCBO2">#REF!</definedName>
    <definedName name="_1NEO001" localSheetId="8">#REF!</definedName>
    <definedName name="_1NEO001">#REF!</definedName>
    <definedName name="_1PKCAP1">#REF!</definedName>
    <definedName name="_1PKIEN1" localSheetId="8">#REF!</definedName>
    <definedName name="_1PKIEN1">#REF!</definedName>
    <definedName name="_1PKTT01">#REF!</definedName>
    <definedName name="_1SDUNG1" localSheetId="8">#REF!</definedName>
    <definedName name="_1SDUNG1">#REF!</definedName>
    <definedName name="_1STREO1" localSheetId="8">#REF!</definedName>
    <definedName name="_1STREO1">#REF!</definedName>
    <definedName name="_1STREO2" localSheetId="8">#REF!</definedName>
    <definedName name="_1STREO2">#REF!</definedName>
    <definedName name="_1STREO3" localSheetId="8">#REF!</definedName>
    <definedName name="_1STREO3">#REF!</definedName>
    <definedName name="_1TCD101">#REF!</definedName>
    <definedName name="_1TCD201">#REF!</definedName>
    <definedName name="_1TD1001" localSheetId="8">#REF!</definedName>
    <definedName name="_1TD1001">#REF!</definedName>
    <definedName name="_1TD1002" localSheetId="8">#REF!</definedName>
    <definedName name="_1TD1002">#REF!</definedName>
    <definedName name="_1TD2001">#REF!</definedName>
    <definedName name="_1TIHT01">#REF!</definedName>
    <definedName name="_1TIHT02" localSheetId="8">#REF!</definedName>
    <definedName name="_1TIHT02">#REF!</definedName>
    <definedName name="_1TIHT03" localSheetId="8">#REF!</definedName>
    <definedName name="_1TIHT03">#REF!</definedName>
    <definedName name="_1TIHT04" localSheetId="8">#REF!</definedName>
    <definedName name="_1TIHT04">#REF!</definedName>
    <definedName name="_1TIHT05" localSheetId="8">#REF!</definedName>
    <definedName name="_1TIHT05">#REF!</definedName>
    <definedName name="_1TRU121">#REF!</definedName>
    <definedName name="_1UCLEV1" localSheetId="8">#REF!</definedName>
    <definedName name="_1UCLEV1">#REF!</definedName>
    <definedName name="_2">#REF!</definedName>
    <definedName name="_2__MAÕ_HAØNG">#REF!</definedName>
    <definedName name="_201_2019">#REF!</definedName>
    <definedName name="_202_2019">#REF!</definedName>
    <definedName name="_204_2019">#REF!</definedName>
    <definedName name="_205_2019">#REF!</definedName>
    <definedName name="_2BLA100">#REF!</definedName>
    <definedName name="_2COTT48" localSheetId="8">#REF!</definedName>
    <definedName name="_2COTT48">#REF!</definedName>
    <definedName name="_2CHAG01" localSheetId="8">#REF!</definedName>
    <definedName name="_2CHAG01">#REF!</definedName>
    <definedName name="_2CHAG02" localSheetId="8">#REF!</definedName>
    <definedName name="_2CHAG02">#REF!</definedName>
    <definedName name="_2CHDG01" localSheetId="8">#REF!</definedName>
    <definedName name="_2CHDG01">#REF!</definedName>
    <definedName name="_2CHDG02" localSheetId="8">#REF!</definedName>
    <definedName name="_2CHDG02">#REF!</definedName>
    <definedName name="_2CHGI01" localSheetId="8">#REF!</definedName>
    <definedName name="_2CHGI01">#REF!</definedName>
    <definedName name="_2CHSG01" localSheetId="8">#REF!</definedName>
    <definedName name="_2CHSG01">#REF!</definedName>
    <definedName name="_2DA0801" localSheetId="8">#REF!</definedName>
    <definedName name="_2DA0801">#REF!</definedName>
    <definedName name="_2DA0802" localSheetId="8">#REF!</definedName>
    <definedName name="_2DA0802">#REF!</definedName>
    <definedName name="_2DA2001" localSheetId="8">#REF!</definedName>
    <definedName name="_2DA2001">#REF!</definedName>
    <definedName name="_2DA2002" localSheetId="8">#REF!</definedName>
    <definedName name="_2DA2002">#REF!</definedName>
    <definedName name="_2DA2401" localSheetId="8">#REF!</definedName>
    <definedName name="_2DA2401">#REF!</definedName>
    <definedName name="_2DA2402" localSheetId="8">#REF!</definedName>
    <definedName name="_2DA2402">#REF!</definedName>
    <definedName name="_2DA2403" localSheetId="8">#REF!</definedName>
    <definedName name="_2DA2403">#REF!</definedName>
    <definedName name="_2DA2404" localSheetId="8">#REF!</definedName>
    <definedName name="_2DA2404">#REF!</definedName>
    <definedName name="_2DA2405" localSheetId="8">#REF!</definedName>
    <definedName name="_2DA2405">#REF!</definedName>
    <definedName name="_2DA2406" localSheetId="8">#REF!</definedName>
    <definedName name="_2DA2406">#REF!</definedName>
    <definedName name="_2DA3202" localSheetId="8">#REF!</definedName>
    <definedName name="_2DA3202">#REF!</definedName>
    <definedName name="_2DAL201">#REF!</definedName>
    <definedName name="_2DCT001" localSheetId="8">#REF!</definedName>
    <definedName name="_2DCT001">#REF!</definedName>
    <definedName name="_2DDAY01" localSheetId="8">#REF!</definedName>
    <definedName name="_2DDAY01">#REF!</definedName>
    <definedName name="_2DS1P01" localSheetId="8">#REF!</definedName>
    <definedName name="_2DS1P01">#REF!</definedName>
    <definedName name="_2DS3P01" localSheetId="8">#REF!</definedName>
    <definedName name="_2DS3P01">#REF!</definedName>
    <definedName name="_2FCO100" localSheetId="8">#REF!</definedName>
    <definedName name="_2FCO100">#REF!</definedName>
    <definedName name="_2FCO200" localSheetId="8">#REF!</definedName>
    <definedName name="_2FCO200">#REF!</definedName>
    <definedName name="_2KD0221" localSheetId="8">#REF!</definedName>
    <definedName name="_2KD0221">#REF!</definedName>
    <definedName name="_2KD0223" localSheetId="8">#REF!</definedName>
    <definedName name="_2KD0223">#REF!</definedName>
    <definedName name="_2KD0481" localSheetId="8">#REF!</definedName>
    <definedName name="_2KD0481">#REF!</definedName>
    <definedName name="_2KD0500" localSheetId="8">#REF!</definedName>
    <definedName name="_2KD0500">#REF!</definedName>
    <definedName name="_2KD0501" localSheetId="8">#REF!</definedName>
    <definedName name="_2KD0501">#REF!</definedName>
    <definedName name="_2KD0502" localSheetId="8">#REF!</definedName>
    <definedName name="_2KD0502">#REF!</definedName>
    <definedName name="_2KD0700" localSheetId="8">#REF!</definedName>
    <definedName name="_2KD0700">#REF!</definedName>
    <definedName name="_2KD0701" localSheetId="8">#REF!</definedName>
    <definedName name="_2KD0701">#REF!</definedName>
    <definedName name="_2KD0702" localSheetId="8">#REF!</definedName>
    <definedName name="_2KD0702">#REF!</definedName>
    <definedName name="_2KD0950" localSheetId="8">#REF!</definedName>
    <definedName name="_2KD0950">#REF!</definedName>
    <definedName name="_2KD0951" localSheetId="8">#REF!</definedName>
    <definedName name="_2KD0951">#REF!</definedName>
    <definedName name="_2KD1501" localSheetId="8">#REF!</definedName>
    <definedName name="_2KD1501">#REF!</definedName>
    <definedName name="_2KD1502" localSheetId="8">#REF!</definedName>
    <definedName name="_2KD1502">#REF!</definedName>
    <definedName name="_2KD22B1" localSheetId="8">#REF!</definedName>
    <definedName name="_2KD22B1">#REF!</definedName>
    <definedName name="_2KD2401" localSheetId="8">#REF!</definedName>
    <definedName name="_2KD2401">#REF!</definedName>
    <definedName name="_2KD48B1" localSheetId="8">#REF!</definedName>
    <definedName name="_2KD48B1">#REF!</definedName>
    <definedName name="_2LA1001" localSheetId="8">#REF!</definedName>
    <definedName name="_2LA1001">#REF!</definedName>
    <definedName name="_2LBCO01" localSheetId="8">#REF!</definedName>
    <definedName name="_2LBCO01">#REF!</definedName>
    <definedName name="_2LBS001" localSheetId="8">#REF!</definedName>
    <definedName name="_2LBS001">#REF!</definedName>
    <definedName name="_2MONG01" localSheetId="8">#REF!</definedName>
    <definedName name="_2MONG01">#REF!</definedName>
    <definedName name="_2NEO001" localSheetId="8">#REF!</definedName>
    <definedName name="_2NEO001">#REF!</definedName>
    <definedName name="_2NHANH1" localSheetId="8">#REF!</definedName>
    <definedName name="_2NHANH1">#REF!</definedName>
    <definedName name="_2OILS01" localSheetId="8">#REF!</definedName>
    <definedName name="_2OILS01">#REF!</definedName>
    <definedName name="_2PKTT01" localSheetId="8">#REF!</definedName>
    <definedName name="_2PKTT01">#REF!</definedName>
    <definedName name="_2RECLO1" localSheetId="8">#REF!</definedName>
    <definedName name="_2RECLO1">#REF!</definedName>
    <definedName name="_2SDINH1" localSheetId="8">#REF!</definedName>
    <definedName name="_2SDINH1">#REF!</definedName>
    <definedName name="_2SDUNG1" localSheetId="8">#REF!</definedName>
    <definedName name="_2SDUNG1">#REF!</definedName>
    <definedName name="_2SDUNG4" localSheetId="8">#REF!</definedName>
    <definedName name="_2SDUNG4">#REF!</definedName>
    <definedName name="_2STREO1" localSheetId="8">#REF!</definedName>
    <definedName name="_2STREO1">#REF!</definedName>
    <definedName name="_2STREO2" localSheetId="8">#REF!</definedName>
    <definedName name="_2STREO2">#REF!</definedName>
    <definedName name="_2STREO3" localSheetId="8">#REF!</definedName>
    <definedName name="_2STREO3">#REF!</definedName>
    <definedName name="_2STREO4" localSheetId="8">#REF!</definedName>
    <definedName name="_2STREO4">#REF!</definedName>
    <definedName name="_2STREO7" localSheetId="8">#REF!</definedName>
    <definedName name="_2STREO7">#REF!</definedName>
    <definedName name="_2SUDO01" localSheetId="8">#REF!</definedName>
    <definedName name="_2SUDO01">#REF!</definedName>
    <definedName name="_2TDIA01" localSheetId="8">#REF!</definedName>
    <definedName name="_2TDIA01">#REF!</definedName>
    <definedName name="_2TDTD01" localSheetId="8">#REF!</definedName>
    <definedName name="_2TDTD01">#REF!</definedName>
    <definedName name="_2TU3100" localSheetId="8">#REF!</definedName>
    <definedName name="_2TU3100">#REF!</definedName>
    <definedName name="_2TU6100" localSheetId="8">#REF!</definedName>
    <definedName name="_2TU6100">#REF!</definedName>
    <definedName name="_2TRU121" localSheetId="8">#REF!</definedName>
    <definedName name="_2TRU121">#REF!</definedName>
    <definedName name="_2TRU122" localSheetId="8">#REF!</definedName>
    <definedName name="_2TRU122">#REF!</definedName>
    <definedName name="_2TRU141" localSheetId="8">#REF!</definedName>
    <definedName name="_2TRU141">#REF!</definedName>
    <definedName name="_2UCLEV1" localSheetId="8">#REF!</definedName>
    <definedName name="_2UCLEV1">#REF!</definedName>
    <definedName name="_2UCLEV2" localSheetId="8">#REF!</definedName>
    <definedName name="_2UCLEV2">#REF!</definedName>
    <definedName name="_2VTLT01" localSheetId="8">#REF!</definedName>
    <definedName name="_2VTLT01">#REF!</definedName>
    <definedName name="_3" localSheetId="8">#REF!</definedName>
    <definedName name="_3">#REF!</definedName>
    <definedName name="_3__MAÕ_SOÁ_THUEÁ">#REF!</definedName>
    <definedName name="_33_2019">#REF!</definedName>
    <definedName name="_35_2019">#REF!</definedName>
    <definedName name="_36_2019">#REF!</definedName>
    <definedName name="_3ABC501" localSheetId="8">#REF!</definedName>
    <definedName name="_3ABC501">#REF!</definedName>
    <definedName name="_3ABC701" localSheetId="8">#REF!</definedName>
    <definedName name="_3ABC701">#REF!</definedName>
    <definedName name="_3ABC951" localSheetId="8">#REF!</definedName>
    <definedName name="_3ABC951">#REF!</definedName>
    <definedName name="_3BLXMD">#REF!</definedName>
    <definedName name="_3BRANCH" localSheetId="8">#REF!</definedName>
    <definedName name="_3BRANCH">#REF!</definedName>
    <definedName name="_3BTHT01" localSheetId="8">#REF!</definedName>
    <definedName name="_3BTHT01">#REF!</definedName>
    <definedName name="_3BTHT02" localSheetId="8">#REF!</definedName>
    <definedName name="_3BTHT02">#REF!</definedName>
    <definedName name="_3BTHT11" localSheetId="8">#REF!</definedName>
    <definedName name="_3BTHT11">#REF!</definedName>
    <definedName name="_3CLHT01" localSheetId="8">#REF!</definedName>
    <definedName name="_3CLHT01">#REF!</definedName>
    <definedName name="_3CLHT02" localSheetId="8">#REF!</definedName>
    <definedName name="_3CLHT02">#REF!</definedName>
    <definedName name="_3CLHT03" localSheetId="8">#REF!</definedName>
    <definedName name="_3CLHT03">#REF!</definedName>
    <definedName name="_3COABC1" localSheetId="8">#REF!</definedName>
    <definedName name="_3COABC1">#REF!</definedName>
    <definedName name="_3CPHA01" localSheetId="8">#REF!</definedName>
    <definedName name="_3CPHA01">#REF!</definedName>
    <definedName name="_3CHAG01" localSheetId="8">#REF!</definedName>
    <definedName name="_3CHAG01">#REF!</definedName>
    <definedName name="_3CHAG02" localSheetId="8">#REF!</definedName>
    <definedName name="_3CHAG02">#REF!</definedName>
    <definedName name="_3CHAG03" localSheetId="8">#REF!</definedName>
    <definedName name="_3CHAG03">#REF!</definedName>
    <definedName name="_3CHAG04" localSheetId="8">#REF!</definedName>
    <definedName name="_3CHAG04">#REF!</definedName>
    <definedName name="_3CHDG01" localSheetId="8">#REF!</definedName>
    <definedName name="_3CHDG01">#REF!</definedName>
    <definedName name="_3CHDG02" localSheetId="8">#REF!</definedName>
    <definedName name="_3CHDG02">#REF!</definedName>
    <definedName name="_3CHDG03" localSheetId="8">#REF!</definedName>
    <definedName name="_3CHDG03">#REF!</definedName>
    <definedName name="_3CHDG04" localSheetId="8">#REF!</definedName>
    <definedName name="_3CHDG04">#REF!</definedName>
    <definedName name="_3CHSG01" localSheetId="8">#REF!</definedName>
    <definedName name="_3CHSG01">#REF!</definedName>
    <definedName name="_3CHSG02" localSheetId="8">#REF!</definedName>
    <definedName name="_3CHSG02">#REF!</definedName>
    <definedName name="_3DA0001" localSheetId="8">#REF!</definedName>
    <definedName name="_3DA0001">#REF!</definedName>
    <definedName name="_3DA0002" localSheetId="8">#REF!</definedName>
    <definedName name="_3DA0002">#REF!</definedName>
    <definedName name="_3DCT001" localSheetId="8">#REF!</definedName>
    <definedName name="_3DCT001">#REF!</definedName>
    <definedName name="_3DUPLEX" localSheetId="8">#REF!</definedName>
    <definedName name="_3DUPLEX">#REF!</definedName>
    <definedName name="_3FERRU1" localSheetId="8">#REF!</definedName>
    <definedName name="_3FERRU1">#REF!</definedName>
    <definedName name="_3FERRU2" localSheetId="8">#REF!</definedName>
    <definedName name="_3FERRU2">#REF!</definedName>
    <definedName name="_3KD3501" localSheetId="8">#REF!</definedName>
    <definedName name="_3KD3501">#REF!</definedName>
    <definedName name="_3KD3502" localSheetId="8">#REF!</definedName>
    <definedName name="_3KD3502">#REF!</definedName>
    <definedName name="_3KD3511" localSheetId="8">#REF!</definedName>
    <definedName name="_3KD3511">#REF!</definedName>
    <definedName name="_3KD3801" localSheetId="8">#REF!</definedName>
    <definedName name="_3KD3801">#REF!</definedName>
    <definedName name="_3KD4801" localSheetId="8">#REF!</definedName>
    <definedName name="_3KD4801">#REF!</definedName>
    <definedName name="_3KD5011" localSheetId="8">#REF!</definedName>
    <definedName name="_3KD5011">#REF!</definedName>
    <definedName name="_3KD7501" localSheetId="8">#REF!</definedName>
    <definedName name="_3KD7501">#REF!</definedName>
    <definedName name="_3KD9501" localSheetId="8">#REF!</definedName>
    <definedName name="_3KD9501">#REF!</definedName>
    <definedName name="_3LABC01" localSheetId="8">#REF!</definedName>
    <definedName name="_3LABC01">#REF!</definedName>
    <definedName name="_3LONG01" localSheetId="8">#REF!</definedName>
    <definedName name="_3LONG01">#REF!</definedName>
    <definedName name="_3LONG02" localSheetId="8">#REF!</definedName>
    <definedName name="_3LONG02">#REF!</definedName>
    <definedName name="_3LONG03" localSheetId="8">#REF!</definedName>
    <definedName name="_3LONG03">#REF!</definedName>
    <definedName name="_3LONG04" localSheetId="8">#REF!</definedName>
    <definedName name="_3LONG04">#REF!</definedName>
    <definedName name="_3LSON01" localSheetId="8">#REF!</definedName>
    <definedName name="_3LSON01">#REF!</definedName>
    <definedName name="_3LSON02" localSheetId="8">#REF!</definedName>
    <definedName name="_3LSON02">#REF!</definedName>
    <definedName name="_3LSON03" localSheetId="8">#REF!</definedName>
    <definedName name="_3LSON03">#REF!</definedName>
    <definedName name="_3LSON04" localSheetId="8">#REF!</definedName>
    <definedName name="_3LSON04">#REF!</definedName>
    <definedName name="_3LSON05" localSheetId="8">#REF!</definedName>
    <definedName name="_3LSON05">#REF!</definedName>
    <definedName name="_3LSON06" localSheetId="8">#REF!</definedName>
    <definedName name="_3LSON06">#REF!</definedName>
    <definedName name="_3LSON07" localSheetId="8">#REF!</definedName>
    <definedName name="_3LSON07">#REF!</definedName>
    <definedName name="_3LSON08" localSheetId="8">#REF!</definedName>
    <definedName name="_3LSON08">#REF!</definedName>
    <definedName name="_3LSON09" localSheetId="8">#REF!</definedName>
    <definedName name="_3LSON09">#REF!</definedName>
    <definedName name="_3LSON10" localSheetId="8">#REF!</definedName>
    <definedName name="_3LSON10">#REF!</definedName>
    <definedName name="_3LSON11" localSheetId="8">#REF!</definedName>
    <definedName name="_3LSON11">#REF!</definedName>
    <definedName name="_3LSON12" localSheetId="8">#REF!</definedName>
    <definedName name="_3LSON12">#REF!</definedName>
    <definedName name="_3LSON13" localSheetId="8">#REF!</definedName>
    <definedName name="_3LSON13">#REF!</definedName>
    <definedName name="_3LSON14" localSheetId="8">#REF!</definedName>
    <definedName name="_3LSON14">#REF!</definedName>
    <definedName name="_3LSON15" localSheetId="8">#REF!</definedName>
    <definedName name="_3LSON15">#REF!</definedName>
    <definedName name="_3LSON16" localSheetId="8">#REF!</definedName>
    <definedName name="_3LSON16">#REF!</definedName>
    <definedName name="_3LSON17" localSheetId="8">#REF!</definedName>
    <definedName name="_3LSON17">#REF!</definedName>
    <definedName name="_3LSON18" localSheetId="8">#REF!</definedName>
    <definedName name="_3LSON18">#REF!</definedName>
    <definedName name="_3LSON19" localSheetId="8">#REF!</definedName>
    <definedName name="_3LSON19">#REF!</definedName>
    <definedName name="_3MONG01" localSheetId="8">#REF!</definedName>
    <definedName name="_3MONG01">#REF!</definedName>
    <definedName name="_3N" localSheetId="8">#REF!</definedName>
    <definedName name="_3N">#REF!</definedName>
    <definedName name="_3NEO001" localSheetId="8">#REF!</definedName>
    <definedName name="_3NEO001">#REF!</definedName>
    <definedName name="_3NEO002" localSheetId="8">#REF!</definedName>
    <definedName name="_3NEO002">#REF!</definedName>
    <definedName name="_3PKABC1" localSheetId="8">#REF!</definedName>
    <definedName name="_3PKABC1">#REF!</definedName>
    <definedName name="_3PKHT01" localSheetId="8">#REF!</definedName>
    <definedName name="_3PKHT01">#REF!</definedName>
    <definedName name="_3QUARTD" localSheetId="8">#REF!</definedName>
    <definedName name="_3QUARTD">#REF!</definedName>
    <definedName name="_3RACK31" localSheetId="8">#REF!</definedName>
    <definedName name="_3RACK31">#REF!</definedName>
    <definedName name="_3RACK41" localSheetId="8">#REF!</definedName>
    <definedName name="_3RACK41">#REF!</definedName>
    <definedName name="_3TDIA01" localSheetId="8">#REF!</definedName>
    <definedName name="_3TDIA01">#REF!</definedName>
    <definedName name="_3TDIA02" localSheetId="8">#REF!</definedName>
    <definedName name="_3TDIA02">#REF!</definedName>
    <definedName name="_3TU0601" localSheetId="8">#REF!</definedName>
    <definedName name="_3TU0601">#REF!</definedName>
    <definedName name="_3TU0602" localSheetId="8">#REF!</definedName>
    <definedName name="_3TU0602">#REF!</definedName>
    <definedName name="_3TU0603" localSheetId="8">#REF!</definedName>
    <definedName name="_3TU0603">#REF!</definedName>
    <definedName name="_3TU0609">#REF!</definedName>
    <definedName name="_3TU0901" localSheetId="8">#REF!</definedName>
    <definedName name="_3TU0901">#REF!</definedName>
    <definedName name="_3TU0902" localSheetId="8">#REF!</definedName>
    <definedName name="_3TU0902">#REF!</definedName>
    <definedName name="_3TU0903" localSheetId="8">#REF!</definedName>
    <definedName name="_3TU0903">#REF!</definedName>
    <definedName name="_3TRU091" localSheetId="8">#REF!</definedName>
    <definedName name="_3TRU091">#REF!</definedName>
    <definedName name="_3TRU101" localSheetId="8">#REF!</definedName>
    <definedName name="_3TRU101">#REF!</definedName>
    <definedName name="_3TRU102" localSheetId="8">#REF!</definedName>
    <definedName name="_3TRU102">#REF!</definedName>
    <definedName name="_3TRU121" localSheetId="8">#REF!</definedName>
    <definedName name="_3TRU121">#REF!</definedName>
    <definedName name="_3TRU731" localSheetId="8">#REF!</definedName>
    <definedName name="_3TRU731">#REF!</definedName>
    <definedName name="_3TRU841" localSheetId="8">#REF!</definedName>
    <definedName name="_3TRU841">#REF!</definedName>
    <definedName name="_3TRU842" localSheetId="8">#REF!</definedName>
    <definedName name="_3TRU842">#REF!</definedName>
    <definedName name="_3TRU843" localSheetId="8">#REF!</definedName>
    <definedName name="_3TRU843">#REF!</definedName>
    <definedName name="_4" localSheetId="8">#REF!</definedName>
    <definedName name="_4">#REF!</definedName>
    <definedName name="_4__ÑÔN_GIAÙ">#REF!</definedName>
    <definedName name="_40x4">5100</definedName>
    <definedName name="_419_2018">#REF!</definedName>
    <definedName name="_421_2018">#REF!</definedName>
    <definedName name="_424_2018">#REF!</definedName>
    <definedName name="_442_2018">#REF!</definedName>
    <definedName name="_47_2019">#REF!</definedName>
    <definedName name="_4CDTT01" localSheetId="8">#REF!</definedName>
    <definedName name="_4CDTT01">#REF!</definedName>
    <definedName name="_4CNT050" localSheetId="8">#REF!</definedName>
    <definedName name="_4CNT050">#REF!</definedName>
    <definedName name="_4CNT095" localSheetId="8">#REF!</definedName>
    <definedName name="_4CNT095">#REF!</definedName>
    <definedName name="_4CNT150" localSheetId="8">#REF!</definedName>
    <definedName name="_4CNT150">#REF!</definedName>
    <definedName name="_4CNT240">#REF!</definedName>
    <definedName name="_4CTL050" localSheetId="8">#REF!</definedName>
    <definedName name="_4CTL050">#REF!</definedName>
    <definedName name="_4CTL095" localSheetId="8">#REF!</definedName>
    <definedName name="_4CTL095">#REF!</definedName>
    <definedName name="_4CTL150" localSheetId="8">#REF!</definedName>
    <definedName name="_4CTL150">#REF!</definedName>
    <definedName name="_4CTL240">#REF!</definedName>
    <definedName name="_4ED2062" localSheetId="8">#REF!</definedName>
    <definedName name="_4ED2062">#REF!</definedName>
    <definedName name="_4ED2063" localSheetId="8">#REF!</definedName>
    <definedName name="_4ED2063">#REF!</definedName>
    <definedName name="_4ED2064" localSheetId="8">#REF!</definedName>
    <definedName name="_4ED2064">#REF!</definedName>
    <definedName name="_4FCO100">#REF!</definedName>
    <definedName name="_4FCO101" localSheetId="8">#REF!</definedName>
    <definedName name="_4FCO101">#REF!</definedName>
    <definedName name="_4GOIC01" localSheetId="8">#REF!</definedName>
    <definedName name="_4GOIC01">#REF!</definedName>
    <definedName name="_4GIA101" localSheetId="8">#REF!</definedName>
    <definedName name="_4GIA101">#REF!</definedName>
    <definedName name="_4HDCTT1" localSheetId="8">#REF!</definedName>
    <definedName name="_4HDCTT1">#REF!</definedName>
    <definedName name="_4HDCTT2" localSheetId="8">#REF!</definedName>
    <definedName name="_4HDCTT2">#REF!</definedName>
    <definedName name="_4HDCTT3" localSheetId="8">#REF!</definedName>
    <definedName name="_4HDCTT3">#REF!</definedName>
    <definedName name="_4HDCTT4">#REF!</definedName>
    <definedName name="_4HNCTT1" localSheetId="8">#REF!</definedName>
    <definedName name="_4HNCTT1">#REF!</definedName>
    <definedName name="_4HNCTT2" localSheetId="8">#REF!</definedName>
    <definedName name="_4HNCTT2">#REF!</definedName>
    <definedName name="_4HNCTT3" localSheetId="8">#REF!</definedName>
    <definedName name="_4HNCTT3">#REF!</definedName>
    <definedName name="_4HNCTT4">#REF!</definedName>
    <definedName name="_4KEPC01" localSheetId="8">#REF!</definedName>
    <definedName name="_4KEPC01">#REF!</definedName>
    <definedName name="_4LBCO01">#REF!</definedName>
    <definedName name="_4OSLCTT" localSheetId="8">#REF!</definedName>
    <definedName name="_4OSLCTT">#REF!</definedName>
    <definedName name="_5__SOÁ_CTÖØ">#REF!</definedName>
    <definedName name="_5_1_2019">#REF!</definedName>
    <definedName name="_5_2_2019">#REF!</definedName>
    <definedName name="_5_3_2019">#REF!</definedName>
    <definedName name="_51_2019">#REF!</definedName>
    <definedName name="_53_2019">#REF!</definedName>
    <definedName name="_5CNHT95" localSheetId="8">#REF!</definedName>
    <definedName name="_5CNHT95">#REF!</definedName>
    <definedName name="_5GOIC01" localSheetId="8">#REF!</definedName>
    <definedName name="_5GOIC01">#REF!</definedName>
    <definedName name="_5HDCHT1" localSheetId="8">#REF!</definedName>
    <definedName name="_5HDCHT1">#REF!</definedName>
    <definedName name="_5KEPC01" localSheetId="8">#REF!</definedName>
    <definedName name="_5KEPC01">#REF!</definedName>
    <definedName name="_5OSLCHT" localSheetId="8">#REF!</definedName>
    <definedName name="_5OSLCHT">#REF!</definedName>
    <definedName name="_5TU120" localSheetId="8">#REF!</definedName>
    <definedName name="_5TU120">#REF!</definedName>
    <definedName name="_5TU130" localSheetId="8">#REF!</definedName>
    <definedName name="_5TU130">#REF!</definedName>
    <definedName name="_6" localSheetId="8">#REF!</definedName>
    <definedName name="_6">#REF!</definedName>
    <definedName name="_6__SOÁ_LÖÔÏNG">#REF!</definedName>
    <definedName name="_60_2019">#REF!</definedName>
    <definedName name="_6BNTTTH" localSheetId="8">#REF!</definedName>
    <definedName name="_6BNTTTH">#REF!</definedName>
    <definedName name="_6DCTTBO" localSheetId="8">#REF!</definedName>
    <definedName name="_6DCTTBO">#REF!</definedName>
    <definedName name="_6DD24TT" localSheetId="8">#REF!</definedName>
    <definedName name="_6DD24TT">#REF!</definedName>
    <definedName name="_6FCOTBU" localSheetId="8">#REF!</definedName>
    <definedName name="_6FCOTBU">#REF!</definedName>
    <definedName name="_6LATUBU" localSheetId="8">#REF!</definedName>
    <definedName name="_6LATUBU">#REF!</definedName>
    <definedName name="_6SDTT24" localSheetId="8">#REF!</definedName>
    <definedName name="_6SDTT24">#REF!</definedName>
    <definedName name="_6TBUDTT" localSheetId="8">#REF!</definedName>
    <definedName name="_6TBUDTT">#REF!</definedName>
    <definedName name="_6TDDDTT" localSheetId="8">#REF!</definedName>
    <definedName name="_6TDDDTT">#REF!</definedName>
    <definedName name="_6TLTTTH" localSheetId="8">#REF!</definedName>
    <definedName name="_6TLTTTH">#REF!</definedName>
    <definedName name="_6TUBUTT" localSheetId="8">#REF!</definedName>
    <definedName name="_6TUBUTT">#REF!</definedName>
    <definedName name="_6UCLVIS" localSheetId="8">#REF!</definedName>
    <definedName name="_6UCLVIS">#REF!</definedName>
    <definedName name="_7" localSheetId="8">#REF!</definedName>
    <definedName name="_7">#REF!</definedName>
    <definedName name="_7__TEÂN_HAØNG">#REF!</definedName>
    <definedName name="_77_1_2019">#REF!</definedName>
    <definedName name="_77_2_2019">#REF!</definedName>
    <definedName name="_7DNCABC" localSheetId="8">#REF!</definedName>
    <definedName name="_7DNCABC">#REF!</definedName>
    <definedName name="_7HDCTBU" localSheetId="8">#REF!</definedName>
    <definedName name="_7HDCTBU">#REF!</definedName>
    <definedName name="_7PKTUBU" localSheetId="8">#REF!</definedName>
    <definedName name="_7PKTUBU">#REF!</definedName>
    <definedName name="_7TBHT20" localSheetId="8">#REF!</definedName>
    <definedName name="_7TBHT20">#REF!</definedName>
    <definedName name="_7TBHT30" localSheetId="8">#REF!</definedName>
    <definedName name="_7TBHT30">#REF!</definedName>
    <definedName name="_7TDCABC" localSheetId="8">#REF!</definedName>
    <definedName name="_7TDCABC">#REF!</definedName>
    <definedName name="_8__TEÂN_KHAÙCH_HAØ">#REF!</definedName>
    <definedName name="_81_2_2019">#REF!</definedName>
    <definedName name="_81_7_2019">#REF!</definedName>
    <definedName name="_82_1_2019">#REF!</definedName>
    <definedName name="_82_3_2019">#REF!</definedName>
    <definedName name="_83_1_2019">#REF!</definedName>
    <definedName name="_84_2_2019">#REF!</definedName>
    <definedName name="_84_3_2019">#REF!</definedName>
    <definedName name="_84_4_2019">#REF!</definedName>
    <definedName name="_85_1_2019">#REF!</definedName>
    <definedName name="_85_2_2019">#REF!</definedName>
    <definedName name="_85_4_2019">#REF!</definedName>
    <definedName name="_87_1_2019">#REF!</definedName>
    <definedName name="_87_2_2019">#REF!</definedName>
    <definedName name="_87_4_2019">#REF!</definedName>
    <definedName name="_87_5_2019">#REF!</definedName>
    <definedName name="_87_6_2019">#REF!</definedName>
    <definedName name="_87_7_2019">#REF!</definedName>
    <definedName name="_87_8_2019">#REF!</definedName>
    <definedName name="_87_9_2019">#REF!</definedName>
    <definedName name="_88_2019">#REF!</definedName>
    <definedName name="_89_2_2019">#REF!</definedName>
    <definedName name="_9__THAØNH_TIEÀN">#REF!</definedName>
    <definedName name="_90_1_2019">#REF!</definedName>
    <definedName name="_92_1_2019">#REF!</definedName>
    <definedName name="_93_2019">#REF!</definedName>
    <definedName name="_95_5_2019">#REF!</definedName>
    <definedName name="_a1" localSheetId="8">{"'Sheet1'!$L$16"}</definedName>
    <definedName name="_a1" localSheetId="0">{"'Sheet1'!$L$16"}</definedName>
    <definedName name="_a1" localSheetId="6">{"'Sheet1'!$L$16"}</definedName>
    <definedName name="_a1" localSheetId="9">{"'Sheet1'!$L$16"}</definedName>
    <definedName name="_a1" localSheetId="7">{"'Sheet1'!$L$16"}</definedName>
    <definedName name="_a1">{"'Sheet1'!$L$16"}</definedName>
    <definedName name="_a129" localSheetId="8" hidden="1">{"Offgrid",#N/A,FALSE,"OFFGRID";"Region",#N/A,FALSE,"REGION";"Offgrid -2",#N/A,FALSE,"OFFGRID";"WTP",#N/A,FALSE,"WTP";"WTP -2",#N/A,FALSE,"WTP";"Project",#N/A,FALSE,"PROJECT";"Summary -2",#N/A,FALSE,"SUMMARY"}</definedName>
    <definedName name="_a129" localSheetId="0" hidden="1">{"Offgrid",#N/A,FALSE,"OFFGRID";"Region",#N/A,FALSE,"REGION";"Offgrid -2",#N/A,FALSE,"OFFGRID";"WTP",#N/A,FALSE,"WTP";"WTP -2",#N/A,FALSE,"WTP";"Project",#N/A,FALSE,"PROJECT";"Summary -2",#N/A,FALSE,"SUMMARY"}</definedName>
    <definedName name="_a129" localSheetId="6" hidden="1">{"Offgrid",#N/A,FALSE,"OFFGRID";"Region",#N/A,FALSE,"REGION";"Offgrid -2",#N/A,FALSE,"OFFGRID";"WTP",#N/A,FALSE,"WTP";"WTP -2",#N/A,FALSE,"WTP";"Project",#N/A,FALSE,"PROJECT";"Summary -2",#N/A,FALSE,"SUMMARY"}</definedName>
    <definedName name="_a129" localSheetId="9" hidden="1">{"Offgrid",#N/A,FALSE,"OFFGRID";"Region",#N/A,FALSE,"REGION";"Offgrid -2",#N/A,FALSE,"OFFGRID";"WTP",#N/A,FALSE,"WTP";"WTP -2",#N/A,FALSE,"WTP";"Project",#N/A,FALSE,"PROJECT";"Summary -2",#N/A,FALSE,"SUMMARY"}</definedName>
    <definedName name="_a129" localSheetId="7"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8" hidden="1">{"Offgrid",#N/A,FALSE,"OFFGRID";"Region",#N/A,FALSE,"REGION";"Offgrid -2",#N/A,FALSE,"OFFGRID";"WTP",#N/A,FALSE,"WTP";"WTP -2",#N/A,FALSE,"WTP";"Project",#N/A,FALSE,"PROJECT";"Summary -2",#N/A,FALSE,"SUMMARY"}</definedName>
    <definedName name="_a130" localSheetId="0" hidden="1">{"Offgrid",#N/A,FALSE,"OFFGRID";"Region",#N/A,FALSE,"REGION";"Offgrid -2",#N/A,FALSE,"OFFGRID";"WTP",#N/A,FALSE,"WTP";"WTP -2",#N/A,FALSE,"WTP";"Project",#N/A,FALSE,"PROJECT";"Summary -2",#N/A,FALSE,"SUMMARY"}</definedName>
    <definedName name="_a130" localSheetId="6" hidden="1">{"Offgrid",#N/A,FALSE,"OFFGRID";"Region",#N/A,FALSE,"REGION";"Offgrid -2",#N/A,FALSE,"OFFGRID";"WTP",#N/A,FALSE,"WTP";"WTP -2",#N/A,FALSE,"WTP";"Project",#N/A,FALSE,"PROJECT";"Summary -2",#N/A,FALSE,"SUMMARY"}</definedName>
    <definedName name="_a130" localSheetId="9" hidden="1">{"Offgrid",#N/A,FALSE,"OFFGRID";"Region",#N/A,FALSE,"REGION";"Offgrid -2",#N/A,FALSE,"OFFGRID";"WTP",#N/A,FALSE,"WTP";"WTP -2",#N/A,FALSE,"WTP";"Project",#N/A,FALSE,"PROJECT";"Summary -2",#N/A,FALSE,"SUMMARY"}</definedName>
    <definedName name="_a130" localSheetId="7"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6550" localSheetId="8">#REF!</definedName>
    <definedName name="_a16550">#REF!</definedName>
    <definedName name="_a2" localSheetId="8" hidden="1">{"'Sheet1'!$L$16"}</definedName>
    <definedName name="_a2" localSheetId="0" hidden="1">{"'Sheet1'!$L$16"}</definedName>
    <definedName name="_a2" localSheetId="6" hidden="1">{"'Sheet1'!$L$16"}</definedName>
    <definedName name="_a2" localSheetId="9" hidden="1">{"'Sheet1'!$L$16"}</definedName>
    <definedName name="_a2" localSheetId="7" hidden="1">{"'Sheet1'!$L$16"}</definedName>
    <definedName name="_a2" hidden="1">{"'Sheet1'!$L$16"}</definedName>
    <definedName name="_A65700" localSheetId="8">#REF!</definedName>
    <definedName name="_A65700">#REF!</definedName>
    <definedName name="_A65800" localSheetId="8">#REF!</definedName>
    <definedName name="_A65800">#REF!</definedName>
    <definedName name="_A66000" localSheetId="8">#REF!</definedName>
    <definedName name="_A66000">#REF!</definedName>
    <definedName name="_A67000" localSheetId="8">#REF!</definedName>
    <definedName name="_A67000">#REF!</definedName>
    <definedName name="_A68000" localSheetId="8">#REF!</definedName>
    <definedName name="_A68000">#REF!</definedName>
    <definedName name="_A70000" localSheetId="8">#REF!</definedName>
    <definedName name="_A70000">#REF!</definedName>
    <definedName name="_A75000" localSheetId="8">#REF!</definedName>
    <definedName name="_A75000">#REF!</definedName>
    <definedName name="_A85000" localSheetId="8">#REF!</definedName>
    <definedName name="_A85000">#REF!</definedName>
    <definedName name="_abb91" localSheetId="8">#REF!</definedName>
    <definedName name="_abb91">#REF!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ac1" localSheetId="8">#REF!</definedName>
    <definedName name="_bac1">#REF!</definedName>
    <definedName name="_bac2" localSheetId="8">#REF!</definedName>
    <definedName name="_bac2">#REF!</definedName>
    <definedName name="_bac3" localSheetId="8">#REF!</definedName>
    <definedName name="_bac3">#REF!</definedName>
    <definedName name="_bac4" localSheetId="8">#REF!</definedName>
    <definedName name="_bac4">#REF!</definedName>
    <definedName name="_BEP1">#REF!</definedName>
    <definedName name="_boi1">#REF!</definedName>
    <definedName name="_boi2">#REF!</definedName>
    <definedName name="_boi3">#REF!</definedName>
    <definedName name="_boi4">#REF!</definedName>
    <definedName name="_btm10">#REF!</definedName>
    <definedName name="_btm100">#REF!</definedName>
    <definedName name="_btm150" localSheetId="8">#REF!</definedName>
    <definedName name="_btm150">#REF!</definedName>
    <definedName name="_btm200" localSheetId="8">#REF!</definedName>
    <definedName name="_btm200">#REF!</definedName>
    <definedName name="_BTM250">#REF!</definedName>
    <definedName name="_btM300">#REF!</definedName>
    <definedName name="_btm50" localSheetId="8">#REF!</definedName>
    <definedName name="_btm50">#REF!</definedName>
    <definedName name="_C_Lphi_4ab">#REF!</definedName>
    <definedName name="_cap2005" localSheetId="8">#REF!</definedName>
    <definedName name="_cap2005">#REF!</definedName>
    <definedName name="_cau10">#REF!</definedName>
    <definedName name="_cau16">#REF!</definedName>
    <definedName name="_Cau2">#REF!</definedName>
    <definedName name="_cau25">#REF!</definedName>
    <definedName name="_cau40">#REF!</definedName>
    <definedName name="_cau50">#REF!</definedName>
    <definedName name="_ckn12">#REF!</definedName>
    <definedName name="_CON1">#REF!</definedName>
    <definedName name="_CON2">#REF!</definedName>
    <definedName name="_con3">#REF!</definedName>
    <definedName name="_Cot" localSheetId="8">#REF!</definedName>
    <definedName name="_Cot">#REF!</definedName>
    <definedName name="_Count">4</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CT250" localSheetId="8">#REF!</definedName>
    <definedName name="_CT250">#REF!</definedName>
    <definedName name="_d1500" localSheetId="8" hidden="1">{"'Sheet1'!$L$16"}</definedName>
    <definedName name="_d1500" localSheetId="0" hidden="1">{"'Sheet1'!$L$16"}</definedName>
    <definedName name="_d1500" localSheetId="6" hidden="1">{"'Sheet1'!$L$16"}</definedName>
    <definedName name="_d1500" localSheetId="9" hidden="1">{"'Sheet1'!$L$16"}</definedName>
    <definedName name="_d1500" localSheetId="7" hidden="1">{"'Sheet1'!$L$16"}</definedName>
    <definedName name="_d1500" hidden="1">{"'Sheet1'!$L$16"}</definedName>
    <definedName name="_dao1">#REF!</definedName>
    <definedName name="_dao2" localSheetId="8">#REF!</definedName>
    <definedName name="_dao2">#REF!</definedName>
    <definedName name="_dap2" localSheetId="8">#REF!</definedName>
    <definedName name="_dap2">#REF!</definedName>
    <definedName name="_day1" localSheetId="8">#REF!</definedName>
    <definedName name="_day1">#REF!</definedName>
    <definedName name="_day2" localSheetId="8">#REF!</definedName>
    <definedName name="_day2">#REF!</definedName>
    <definedName name="_DayNeo" localSheetId="8">#REF!</definedName>
    <definedName name="_DayNeo">#REF!</definedName>
    <definedName name="_dbu1">#REF!</definedName>
    <definedName name="_dbu2">#REF!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gt1">#REF!</definedName>
    <definedName name="_dgt100" localSheetId="8">#REF!</definedName>
    <definedName name="_dgt100">#REF!</definedName>
    <definedName name="_dui15" localSheetId="8">#REF!</definedName>
    <definedName name="_dui15">#REF!</definedName>
    <definedName name="_E99999">#REF!</definedName>
    <definedName name="_f5" localSheetId="8" hidden="1">{"'Sheet1'!$L$16"}</definedName>
    <definedName name="_f5" localSheetId="0" hidden="1">{"'Sheet1'!$L$16"}</definedName>
    <definedName name="_f5" localSheetId="6" hidden="1">{"'Sheet1'!$L$16"}</definedName>
    <definedName name="_f5" localSheetId="9" hidden="1">{"'Sheet1'!$L$16"}</definedName>
    <definedName name="_f5" localSheetId="7" hidden="1">{"'Sheet1'!$L$16"}</definedName>
    <definedName name="_f5" hidden="1">{"'Sheet1'!$L$16"}</definedName>
    <definedName name="_Fill" hidden="1">#REF!</definedName>
    <definedName name="_xlnm._FilterDatabase" localSheetId="8" hidden="1">'Biểu 2.1 Mục tiêu Nhà máy'!$C$9:$K$42</definedName>
    <definedName name="_xlnm._FilterDatabase" localSheetId="0" hidden="1">'BM OKR Đ.TBCH 2026'!$A$2:$X$2</definedName>
    <definedName name="_xlnm._FilterDatabase" localSheetId="1" hidden="1">'PL1.1_CAM'!$A$2:$M$72</definedName>
    <definedName name="_xlnm._FilterDatabase" localSheetId="2" hidden="1">'PL1.2_ĐTNB'!$A$3:$Q$16</definedName>
    <definedName name="_xlnm._FilterDatabase" localSheetId="3" hidden="1">'PL1.3_CHGT-TĐH'!$A$2:$K$12</definedName>
    <definedName name="_xlnm._FilterDatabase" localSheetId="5" hidden="1">'PL1.5_HDBD'!$A$3:$H$19</definedName>
    <definedName name="_xlnm._FilterDatabase" hidden="1">#REF!</definedName>
    <definedName name="_G1" localSheetId="8">#REF!</definedName>
    <definedName name="_G1">#REF!</definedName>
    <definedName name="_Goi8" localSheetId="8" hidden="1">{"'Sheet1'!$L$16"}</definedName>
    <definedName name="_Goi8" localSheetId="0" hidden="1">{"'Sheet1'!$L$16"}</definedName>
    <definedName name="_Goi8" localSheetId="6" hidden="1">{"'Sheet1'!$L$16"}</definedName>
    <definedName name="_Goi8" localSheetId="9" hidden="1">{"'Sheet1'!$L$16"}</definedName>
    <definedName name="_Goi8" localSheetId="7" hidden="1">{"'Sheet1'!$L$16"}</definedName>
    <definedName name="_Goi8" hidden="1">{"'Sheet1'!$L$16"}</definedName>
    <definedName name="_gon4">#REF!</definedName>
    <definedName name="_gvl1">#REF!</definedName>
    <definedName name="_GID1" localSheetId="8">#REF!</definedName>
    <definedName name="_GID1">#REF!</definedName>
    <definedName name="_h1" localSheetId="8" hidden="1">{"'Sheet1'!$L$16"}</definedName>
    <definedName name="_h1" localSheetId="0" hidden="1">{"'Sheet1'!$L$16"}</definedName>
    <definedName name="_h1" localSheetId="6" hidden="1">{"'Sheet1'!$L$16"}</definedName>
    <definedName name="_h1" localSheetId="9" hidden="1">{"'Sheet1'!$L$16"}</definedName>
    <definedName name="_h1" localSheetId="7" hidden="1">{"'Sheet1'!$L$16"}</definedName>
    <definedName name="_h1" hidden="1">{"'Sheet1'!$L$16"}</definedName>
    <definedName name="_han23">#REF!</definedName>
    <definedName name="_hh1" localSheetId="8">#REF!</definedName>
    <definedName name="_hh1">#REF!</definedName>
    <definedName name="_hh2" localSheetId="8">#REF!</definedName>
    <definedName name="_hh2">#REF!</definedName>
    <definedName name="_HKy2" localSheetId="8">#REF!</definedName>
    <definedName name="_HKy2">#REF!</definedName>
    <definedName name="_hom2">#REF!</definedName>
    <definedName name="_hom4" localSheetId="8">#REF!</definedName>
    <definedName name="_hom4">#REF!</definedName>
    <definedName name="_hsm2">1.1289</definedName>
    <definedName name="_HTD1">#REF!</definedName>
    <definedName name="_HTN1">#REF!</definedName>
    <definedName name="_hu1" localSheetId="8" hidden="1">{"'Sheet1'!$L$16"}</definedName>
    <definedName name="_hu1" localSheetId="0" hidden="1">{"'Sheet1'!$L$16"}</definedName>
    <definedName name="_hu1" localSheetId="6" hidden="1">{"'Sheet1'!$L$16"}</definedName>
    <definedName name="_hu1" localSheetId="9" hidden="1">{"'Sheet1'!$L$16"}</definedName>
    <definedName name="_hu1" localSheetId="7" hidden="1">{"'Sheet1'!$L$16"}</definedName>
    <definedName name="_hu1" hidden="1">{"'Sheet1'!$L$16"}</definedName>
    <definedName name="_hu2" localSheetId="8" hidden="1">{"'Sheet1'!$L$16"}</definedName>
    <definedName name="_hu2" localSheetId="0" hidden="1">{"'Sheet1'!$L$16"}</definedName>
    <definedName name="_hu2" localSheetId="6" hidden="1">{"'Sheet1'!$L$16"}</definedName>
    <definedName name="_hu2" localSheetId="9" hidden="1">{"'Sheet1'!$L$16"}</definedName>
    <definedName name="_hu2" localSheetId="7" hidden="1">{"'Sheet1'!$L$16"}</definedName>
    <definedName name="_hu2" hidden="1">{"'Sheet1'!$L$16"}</definedName>
    <definedName name="_hu5" localSheetId="8" hidden="1">{"'Sheet1'!$L$16"}</definedName>
    <definedName name="_hu5" localSheetId="0" hidden="1">{"'Sheet1'!$L$16"}</definedName>
    <definedName name="_hu5" localSheetId="6" hidden="1">{"'Sheet1'!$L$16"}</definedName>
    <definedName name="_hu5" localSheetId="9" hidden="1">{"'Sheet1'!$L$16"}</definedName>
    <definedName name="_hu5" localSheetId="7" hidden="1">{"'Sheet1'!$L$16"}</definedName>
    <definedName name="_hu5" hidden="1">{"'Sheet1'!$L$16"}</definedName>
    <definedName name="_hu6" localSheetId="8" hidden="1">{"'Sheet1'!$L$16"}</definedName>
    <definedName name="_hu6" localSheetId="0" hidden="1">{"'Sheet1'!$L$16"}</definedName>
    <definedName name="_hu6" localSheetId="6" hidden="1">{"'Sheet1'!$L$16"}</definedName>
    <definedName name="_hu6" localSheetId="9" hidden="1">{"'Sheet1'!$L$16"}</definedName>
    <definedName name="_hu6" localSheetId="7" hidden="1">{"'Sheet1'!$L$16"}</definedName>
    <definedName name="_hu6" hidden="1">{"'Sheet1'!$L$16"}</definedName>
    <definedName name="_hu7" localSheetId="8" hidden="1">{"'Sheet1'!$L$16"}</definedName>
    <definedName name="_hu7" localSheetId="0" hidden="1">{"'Sheet1'!$L$16"}</definedName>
    <definedName name="_hu7" localSheetId="6" hidden="1">{"'Sheet1'!$L$16"}</definedName>
    <definedName name="_hu7" localSheetId="9" hidden="1">{"'Sheet1'!$L$16"}</definedName>
    <definedName name="_hu7" localSheetId="7" hidden="1">{"'Sheet1'!$L$16"}</definedName>
    <definedName name="_hu7" hidden="1">{"'Sheet1'!$L$16"}</definedName>
    <definedName name="_k10" localSheetId="8" hidden="1">{"'Sheet1'!$L$16"}</definedName>
    <definedName name="_k10" localSheetId="0" hidden="1">{"'Sheet1'!$L$16"}</definedName>
    <definedName name="_k10" localSheetId="6" hidden="1">{"'Sheet1'!$L$16"}</definedName>
    <definedName name="_k10" localSheetId="9" hidden="1">{"'Sheet1'!$L$16"}</definedName>
    <definedName name="_k10" localSheetId="7" hidden="1">{"'Sheet1'!$L$16"}</definedName>
    <definedName name="_k10" hidden="1">{"'Sheet1'!$L$16"}</definedName>
    <definedName name="_Kcdon" localSheetId="8">#REF!</definedName>
    <definedName name="_Kcdon">#REF!</definedName>
    <definedName name="_Key1" hidden="1">#REF!</definedName>
    <definedName name="_Key2" hidden="1">#REF!</definedName>
    <definedName name="_kl1">#REF!</definedName>
    <definedName name="_KM188">#REF!</definedName>
    <definedName name="_km189">#REF!</definedName>
    <definedName name="_km190">#REF!</definedName>
    <definedName name="_km191">#REF!</definedName>
    <definedName name="_km192">#REF!</definedName>
    <definedName name="_km193">#REF!</definedName>
    <definedName name="_km194">#REF!</definedName>
    <definedName name="_km195">#REF!</definedName>
    <definedName name="_km196">#REF!</definedName>
    <definedName name="_km197">#REF!</definedName>
    <definedName name="_km198">#REF!</definedName>
    <definedName name="_Km36">#REF!</definedName>
    <definedName name="_kn12">#REF!</definedName>
    <definedName name="_Knc1" localSheetId="8">#REF!</definedName>
    <definedName name="_Knc1">#REF!</definedName>
    <definedName name="_Knc36">#REF!</definedName>
    <definedName name="_Knc57">#REF!</definedName>
    <definedName name="_KS2" localSheetId="8" hidden="1">{"'Sheet1'!$L$16"}</definedName>
    <definedName name="_KS2" localSheetId="0" hidden="1">{"'Sheet1'!$L$16"}</definedName>
    <definedName name="_KS2" localSheetId="6" hidden="1">{"'Sheet1'!$L$16"}</definedName>
    <definedName name="_KS2" localSheetId="9" hidden="1">{"'Sheet1'!$L$16"}</definedName>
    <definedName name="_KS2" localSheetId="7" hidden="1">{"'Sheet1'!$L$16"}</definedName>
    <definedName name="_KS2" hidden="1">{"'Sheet1'!$L$16"}</definedName>
    <definedName name="_Kvl36">#REF!</definedName>
    <definedName name="_KyHieu" localSheetId="8">#REF!</definedName>
    <definedName name="_KyHieu">#REF!</definedName>
    <definedName name="_khi2">#REF!</definedName>
    <definedName name="_khu7">#REF!</definedName>
    <definedName name="_L1" localSheetId="8">#REF!</definedName>
    <definedName name="_L1">#REF!</definedName>
    <definedName name="_L6" localSheetId="8">#REF!</definedName>
    <definedName name="_L6">#REF!</definedName>
    <definedName name="_Lan1" localSheetId="8" hidden="1">{"'Sheet1'!$L$16"}</definedName>
    <definedName name="_Lan1" localSheetId="0" hidden="1">{"'Sheet1'!$L$16"}</definedName>
    <definedName name="_Lan1" localSheetId="6" hidden="1">{"'Sheet1'!$L$16"}</definedName>
    <definedName name="_Lan1" localSheetId="9" hidden="1">{"'Sheet1'!$L$16"}</definedName>
    <definedName name="_Lan1" localSheetId="7" hidden="1">{"'Sheet1'!$L$16"}</definedName>
    <definedName name="_Lan1" hidden="1">{"'Sheet1'!$L$16"}</definedName>
    <definedName name="_LAN3" localSheetId="8" hidden="1">{"'Sheet1'!$L$16"}</definedName>
    <definedName name="_LAN3" localSheetId="0" hidden="1">{"'Sheet1'!$L$16"}</definedName>
    <definedName name="_LAN3" localSheetId="6" hidden="1">{"'Sheet1'!$L$16"}</definedName>
    <definedName name="_LAN3" localSheetId="9" hidden="1">{"'Sheet1'!$L$16"}</definedName>
    <definedName name="_LAN3" localSheetId="7" hidden="1">{"'Sheet1'!$L$16"}</definedName>
    <definedName name="_LAN3" hidden="1">{"'Sheet1'!$L$16"}</definedName>
    <definedName name="_lap1">#REF!</definedName>
    <definedName name="_lap2">#REF!</definedName>
    <definedName name="_LCB1">#REF!</definedName>
    <definedName name="_M1" localSheetId="8">#REF!</definedName>
    <definedName name="_M1">#REF!</definedName>
    <definedName name="_MAC12">#REF!</definedName>
    <definedName name="_MAC46">#REF!</definedName>
    <definedName name="_MB1">#REF!</definedName>
    <definedName name="_MB2">#REF!</definedName>
    <definedName name="_mdc1" localSheetId="8">#REF!</definedName>
    <definedName name="_mdc1">#REF!</definedName>
    <definedName name="_mdc2" localSheetId="8">#REF!</definedName>
    <definedName name="_mdc2">#REF!</definedName>
    <definedName name="_mgl4" localSheetId="8">#REF!</definedName>
    <definedName name="_mgl4">#REF!</definedName>
    <definedName name="_mgl8" localSheetId="8">#REF!</definedName>
    <definedName name="_mgl8">#REF!</definedName>
    <definedName name="_mix6">#REF!</definedName>
    <definedName name="_MN1">#REF!</definedName>
    <definedName name="_MN2">#REF!</definedName>
    <definedName name="_Mong" localSheetId="8">#REF!</definedName>
    <definedName name="_Mong">#REF!</definedName>
    <definedName name="_MongCotNeo" localSheetId="8">#REF!</definedName>
    <definedName name="_MongCotNeo">#REF!</definedName>
    <definedName name="_MongNeo" localSheetId="8">#REF!</definedName>
    <definedName name="_MongNeo">#REF!</definedName>
    <definedName name="_MT1">#REF!</definedName>
    <definedName name="_MT2">#REF!</definedName>
    <definedName name="_mtc3">#REF!</definedName>
    <definedName name="_muc1">#REF!</definedName>
    <definedName name="_MVL486" localSheetId="8">#REF!</definedName>
    <definedName name="_MVL486">#REF!</definedName>
    <definedName name="_mw2" localSheetId="8">#REF!</definedName>
    <definedName name="_mw2">#REF!</definedName>
    <definedName name="_NC100">#REF!</definedName>
    <definedName name="_NC150">#REF!</definedName>
    <definedName name="_nc151">#REF!</definedName>
    <definedName name="_NC200" localSheetId="8">#REF!</definedName>
    <definedName name="_NC200">#REF!</definedName>
    <definedName name="_nc3" localSheetId="8">#REF!</definedName>
    <definedName name="_nc3">#REF!</definedName>
    <definedName name="_nc35" localSheetId="8">#REF!</definedName>
    <definedName name="_nc35">#REF!</definedName>
    <definedName name="_nc4" localSheetId="8">#REF!</definedName>
    <definedName name="_nc4">#REF!</definedName>
    <definedName name="_Nc50" localSheetId="8">#REF!</definedName>
    <definedName name="_Nc50">#REF!</definedName>
    <definedName name="_nc6">#REF!</definedName>
    <definedName name="_nc7">#REF!</definedName>
    <definedName name="_NCL100">#REF!</definedName>
    <definedName name="_NCL200">#REF!</definedName>
    <definedName name="_NCL250">#REF!</definedName>
    <definedName name="_NET2">#REF!</definedName>
    <definedName name="_nin190">#REF!</definedName>
    <definedName name="_NO1">#REF!</definedName>
    <definedName name="_NPV11" localSheetId="8">#REF!</definedName>
    <definedName name="_NPV11">#REF!</definedName>
    <definedName name="_npv22" localSheetId="8">#REF!</definedName>
    <definedName name="_npv22">#REF!</definedName>
    <definedName name="_NSO2" localSheetId="8" hidden="1">{"'Sheet1'!$L$16"}</definedName>
    <definedName name="_NSO2" localSheetId="0" hidden="1">{"'Sheet1'!$L$16"}</definedName>
    <definedName name="_NSO2" localSheetId="6" hidden="1">{"'Sheet1'!$L$16"}</definedName>
    <definedName name="_NSO2" localSheetId="9" hidden="1">{"'Sheet1'!$L$16"}</definedName>
    <definedName name="_NSO2" localSheetId="7" hidden="1">{"'Sheet1'!$L$16"}</definedName>
    <definedName name="_NSO2" hidden="1">{"'Sheet1'!$L$16"}</definedName>
    <definedName name="_Order1" hidden="1">255</definedName>
    <definedName name="_Order2" hidden="1">255</definedName>
    <definedName name="_oto10" localSheetId="8">#REF!</definedName>
    <definedName name="_oto10">#REF!</definedName>
    <definedName name="_oto12">#REF!</definedName>
    <definedName name="_p01" localSheetId="8" hidden="1">{"'Sheet1'!$L$16"}</definedName>
    <definedName name="_p01" localSheetId="0" hidden="1">{"'Sheet1'!$L$16"}</definedName>
    <definedName name="_p01" localSheetId="6" hidden="1">{"'Sheet1'!$L$16"}</definedName>
    <definedName name="_p01" localSheetId="9" hidden="1">{"'Sheet1'!$L$16"}</definedName>
    <definedName name="_p01" localSheetId="7" hidden="1">{"'Sheet1'!$L$16"}</definedName>
    <definedName name="_p01" hidden="1">{"'Sheet1'!$L$16"}</definedName>
    <definedName name="_PA3" localSheetId="8" hidden="1">{"'Sheet1'!$L$16"}</definedName>
    <definedName name="_PA3" localSheetId="0" hidden="1">{"'Sheet1'!$L$16"}</definedName>
    <definedName name="_PA3" localSheetId="6" hidden="1">{"'Sheet1'!$L$16"}</definedName>
    <definedName name="_PA3" localSheetId="9" hidden="1">{"'Sheet1'!$L$16"}</definedName>
    <definedName name="_PA3" localSheetId="7" hidden="1">{"'Sheet1'!$L$16"}</definedName>
    <definedName name="_PA3" hidden="1">{"'Sheet1'!$L$16"}</definedName>
    <definedName name="_Parse_Out" localSheetId="8" hidden="1">#REF!</definedName>
    <definedName name="_Parse_Out" hidden="1">#REF!</definedName>
    <definedName name="_pc30" localSheetId="8">#REF!</definedName>
    <definedName name="_pc30">#REF!</definedName>
    <definedName name="_pc40" localSheetId="8">#REF!</definedName>
    <definedName name="_pc40">#REF!</definedName>
    <definedName name="_PR1">#REF!</definedName>
    <definedName name="_Pt1" localSheetId="8">#REF!</definedName>
    <definedName name="_Pt1">#REF!</definedName>
    <definedName name="_Pt2" localSheetId="8">#REF!</definedName>
    <definedName name="_Pt2">#REF!</definedName>
    <definedName name="_pZ1">#REF!</definedName>
    <definedName name="_pZ2">#REF!</definedName>
    <definedName name="_pZ3">#REF!</definedName>
    <definedName name="_RFZ3">#REF!</definedName>
    <definedName name="_RHH1">#REF!</definedName>
    <definedName name="_RHH10">#REF!</definedName>
    <definedName name="_RHP1">#REF!</definedName>
    <definedName name="_RHP10">#REF!</definedName>
    <definedName name="_RI1">#REF!</definedName>
    <definedName name="_RI10">#REF!</definedName>
    <definedName name="_RII1">#REF!</definedName>
    <definedName name="_RII10">#REF!</definedName>
    <definedName name="_RIP1">#REF!</definedName>
    <definedName name="_RIP10">#REF!</definedName>
    <definedName name="_ro1">#REF!</definedName>
    <definedName name="_SA2">#REF!</definedName>
    <definedName name="_SA3">#REF!</definedName>
    <definedName name="_SA4">#REF!</definedName>
    <definedName name="_san108">#REF!</definedName>
    <definedName name="_sat10" localSheetId="8">#REF!</definedName>
    <definedName name="_sat10">#REF!</definedName>
    <definedName name="_sat12" localSheetId="8">#REF!</definedName>
    <definedName name="_sat12">#REF!</definedName>
    <definedName name="_sat14" localSheetId="8">#REF!</definedName>
    <definedName name="_sat14">#REF!</definedName>
    <definedName name="_sat16" localSheetId="8">#REF!</definedName>
    <definedName name="_sat16">#REF!</definedName>
    <definedName name="_sat20" localSheetId="8">#REF!</definedName>
    <definedName name="_sat20">#REF!</definedName>
    <definedName name="_Sat27" localSheetId="8">#REF!</definedName>
    <definedName name="_Sat27">#REF!</definedName>
    <definedName name="_Sat6" localSheetId="8">#REF!</definedName>
    <definedName name="_Sat6">#REF!</definedName>
    <definedName name="_sat8" localSheetId="8">#REF!</definedName>
    <definedName name="_sat8">#REF!</definedName>
    <definedName name="_sc1">#REF!</definedName>
    <definedName name="_SC2">#REF!</definedName>
    <definedName name="_sc3">#REF!</definedName>
    <definedName name="_sl2">#REF!</definedName>
    <definedName name="_sm100" localSheetId="8">#REF!</definedName>
    <definedName name="_sm100">#REF!</definedName>
    <definedName name="_SN3">#REF!</definedName>
    <definedName name="_Sort" hidden="1">#REF!</definedName>
    <definedName name="_STD0898">#REF!</definedName>
    <definedName name="_Su" localSheetId="8">#REF!</definedName>
    <definedName name="_Su">#REF!</definedName>
    <definedName name="_su12" localSheetId="8">#REF!</definedName>
    <definedName name="_su12">#REF!</definedName>
    <definedName name="_Su70" localSheetId="8">#REF!</definedName>
    <definedName name="_Su70">#REF!</definedName>
    <definedName name="_sua20">#REF!</definedName>
    <definedName name="_sua30">#REF!</definedName>
    <definedName name="_sw70609" localSheetId="8">#REF!</definedName>
    <definedName name="_sw70609">#REF!</definedName>
    <definedName name="_T10" localSheetId="8" hidden="1">{"'Sheet1'!$L$16"}</definedName>
    <definedName name="_T10" localSheetId="0" hidden="1">{"'Sheet1'!$L$16"}</definedName>
    <definedName name="_T10" localSheetId="6" hidden="1">{"'Sheet1'!$L$16"}</definedName>
    <definedName name="_T10" localSheetId="9" hidden="1">{"'Sheet1'!$L$16"}</definedName>
    <definedName name="_T10" localSheetId="7" hidden="1">{"'Sheet1'!$L$16"}</definedName>
    <definedName name="_T10" hidden="1">{"'Sheet1'!$L$16"}</definedName>
    <definedName name="_T12" localSheetId="8" hidden="1">{"'Sheet1'!$L$16"}</definedName>
    <definedName name="_T12" localSheetId="0" hidden="1">{"'Sheet1'!$L$16"}</definedName>
    <definedName name="_T12" localSheetId="6" hidden="1">{"'Sheet1'!$L$16"}</definedName>
    <definedName name="_T12" localSheetId="9" hidden="1">{"'Sheet1'!$L$16"}</definedName>
    <definedName name="_T12" localSheetId="7" hidden="1">{"'Sheet1'!$L$16"}</definedName>
    <definedName name="_T12" hidden="1">{"'Sheet1'!$L$16"}</definedName>
    <definedName name="_tam1" localSheetId="8">#REF!</definedName>
    <definedName name="_tam1">#REF!</definedName>
    <definedName name="_TB1">#REF!</definedName>
    <definedName name="_tct3" localSheetId="8">#REF!</definedName>
    <definedName name="_tct3">#REF!</definedName>
    <definedName name="_tct5">#REF!</definedName>
    <definedName name="_tg427">#REF!</definedName>
    <definedName name="_TK1" localSheetId="8">#REF!</definedName>
    <definedName name="_TK1">#REF!</definedName>
    <definedName name="_TK155">#REF!</definedName>
    <definedName name="_TK422">#REF!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no1" localSheetId="8">#REF!</definedName>
    <definedName name="_tno1">#REF!</definedName>
    <definedName name="_tt3" localSheetId="8" hidden="1">{"'Sheet1'!$L$16"}</definedName>
    <definedName name="_tt3" localSheetId="0" hidden="1">{"'Sheet1'!$L$16"}</definedName>
    <definedName name="_tt3" localSheetId="6" hidden="1">{"'Sheet1'!$L$16"}</definedName>
    <definedName name="_tt3" localSheetId="9" hidden="1">{"'Sheet1'!$L$16"}</definedName>
    <definedName name="_tt3" localSheetId="7" hidden="1">{"'Sheet1'!$L$16"}</definedName>
    <definedName name="_tt3" hidden="1">{"'Sheet1'!$L$16"}</definedName>
    <definedName name="_TX1">#REF!</definedName>
    <definedName name="_tz593">#REF!</definedName>
    <definedName name="_TH1">#REF!</definedName>
    <definedName name="_th100" localSheetId="8">#REF!</definedName>
    <definedName name="_th100">#REF!</definedName>
    <definedName name="_TH160" localSheetId="8">#REF!</definedName>
    <definedName name="_TH160">#REF!</definedName>
    <definedName name="_TH2">#REF!</definedName>
    <definedName name="_TH20">#REF!</definedName>
    <definedName name="_TH3">#REF!</definedName>
    <definedName name="_TR250" localSheetId="8">#REF!</definedName>
    <definedName name="_TR250">#REF!</definedName>
    <definedName name="_tr375" localSheetId="8">#REF!</definedName>
    <definedName name="_tr375">#REF!</definedName>
    <definedName name="_tra100">#REF!</definedName>
    <definedName name="_tra102">#REF!</definedName>
    <definedName name="_tra104">#REF!</definedName>
    <definedName name="_tra106">#REF!</definedName>
    <definedName name="_tra108">#REF!</definedName>
    <definedName name="_tra110">#REF!</definedName>
    <definedName name="_tra112">#REF!</definedName>
    <definedName name="_tra114">#REF!</definedName>
    <definedName name="_tra116">#REF!</definedName>
    <definedName name="_tra118">#REF!</definedName>
    <definedName name="_tra120">#REF!</definedName>
    <definedName name="_tra122">#REF!</definedName>
    <definedName name="_tra124">#REF!</definedName>
    <definedName name="_tra126">#REF!</definedName>
    <definedName name="_tra128">#REF!</definedName>
    <definedName name="_tra130">#REF!</definedName>
    <definedName name="_tra132">#REF!</definedName>
    <definedName name="_tra134">#REF!</definedName>
    <definedName name="_tra136">#REF!</definedName>
    <definedName name="_tra138">#REF!</definedName>
    <definedName name="_tra140">#REF!</definedName>
    <definedName name="_tra70">#REF!</definedName>
    <definedName name="_tra72">#REF!</definedName>
    <definedName name="_tra74">#REF!</definedName>
    <definedName name="_tra76">#REF!</definedName>
    <definedName name="_tra78">#REF!</definedName>
    <definedName name="_tra80">#REF!</definedName>
    <definedName name="_tra82">#REF!</definedName>
    <definedName name="_tra84">#REF!</definedName>
    <definedName name="_tra86">#REF!</definedName>
    <definedName name="_tra88">#REF!</definedName>
    <definedName name="_tra90">#REF!</definedName>
    <definedName name="_tra92">#REF!</definedName>
    <definedName name="_tra94">#REF!</definedName>
    <definedName name="_tra96">#REF!</definedName>
    <definedName name="_tra98">#REF!</definedName>
    <definedName name="_ui108">#REF!</definedName>
    <definedName name="_ui180">#REF!</definedName>
    <definedName name="_UT2">#REF!</definedName>
    <definedName name="_v" localSheetId="8">#REF!</definedName>
    <definedName name="_v">#REF!</definedName>
    <definedName name="_va1" localSheetId="8">#REF!</definedName>
    <definedName name="_va1">#REF!</definedName>
    <definedName name="_VAN1" localSheetId="8">#REF!</definedName>
    <definedName name="_VAN1">#REF!</definedName>
    <definedName name="_vbt100" localSheetId="8">#REF!</definedName>
    <definedName name="_vbt100">#REF!</definedName>
    <definedName name="_vbt150" localSheetId="8">#REF!</definedName>
    <definedName name="_vbt150">#REF!</definedName>
    <definedName name="_vbt200" localSheetId="8">#REF!</definedName>
    <definedName name="_vbt200">#REF!</definedName>
    <definedName name="_vc1">#REF!</definedName>
    <definedName name="_vc2" localSheetId="8">#REF!</definedName>
    <definedName name="_vc2">#REF!</definedName>
    <definedName name="_vc3">#REF!</definedName>
    <definedName name="_VCD4" localSheetId="8">#REF!</definedName>
    <definedName name="_VCD4">#REF!</definedName>
    <definedName name="_VL100">#REF!</definedName>
    <definedName name="_VL150">#REF!</definedName>
    <definedName name="_VL200">#REF!</definedName>
    <definedName name="_VL250">#REF!</definedName>
    <definedName name="_VL50" localSheetId="8">#REF!</definedName>
    <definedName name="_VL50">#REF!</definedName>
    <definedName name="_VT22">#REF!</definedName>
    <definedName name="_Xa" localSheetId="8">#REF!</definedName>
    <definedName name="_Xa">#REF!</definedName>
    <definedName name="_xl1" localSheetId="8">#REF!</definedName>
    <definedName name="_xl1">#REF!</definedName>
    <definedName name="_xm30">#REF!</definedName>
    <definedName name="_xm40">#REF!</definedName>
    <definedName name="_xo1">#REF!</definedName>
    <definedName name="_xx3">#REF!</definedName>
    <definedName name="_xx4">#REF!</definedName>
    <definedName name="_xx5">#REF!</definedName>
    <definedName name="_xx6">#REF!</definedName>
    <definedName name="_xx7">#REF!</definedName>
    <definedName name="a" localSheetId="8">#REF!</definedName>
    <definedName name="a">#REF!</definedName>
    <definedName name="A.">#REF!</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_">#REF!</definedName>
    <definedName name="A_Text" localSheetId="8">#REF!</definedName>
    <definedName name="A_Text">#REF!</definedName>
    <definedName name="A_Tri_So" localSheetId="8">#REF!</definedName>
    <definedName name="A_Tri_So">#REF!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_" localSheetId="8">#REF!</definedName>
    <definedName name="a1_">#REF!</definedName>
    <definedName name="A120_">#REF!</definedName>
    <definedName name="a1B26">#REF!</definedName>
    <definedName name="a1B58">#REF!</definedName>
    <definedName name="A1Xc7">#REF!</definedName>
    <definedName name="a2_" localSheetId="8">#REF!</definedName>
    <definedName name="a2_">#REF!</definedName>
    <definedName name="a277Print_Titles">#REF!</definedName>
    <definedName name="a3_" localSheetId="8">#REF!</definedName>
    <definedName name="a3_">#REF!</definedName>
    <definedName name="A35_">#REF!</definedName>
    <definedName name="a4_" localSheetId="8">#REF!</definedName>
    <definedName name="a4_">#REF!</definedName>
    <definedName name="a5_" localSheetId="8">#REF!</definedName>
    <definedName name="a5_">#REF!</definedName>
    <definedName name="A50_">#REF!</definedName>
    <definedName name="a6_" localSheetId="8">#REF!</definedName>
    <definedName name="a6_">#REF!</definedName>
    <definedName name="A6N2">#REF!</definedName>
    <definedName name="A6N3" localSheetId="8">#REF!</definedName>
    <definedName name="A6N3">#REF!</definedName>
    <definedName name="a7_" localSheetId="8">#REF!</definedName>
    <definedName name="a7_">#REF!</definedName>
    <definedName name="A70_">#REF!</definedName>
    <definedName name="A95_">#REF!</definedName>
    <definedName name="AA">#REF!</definedName>
    <definedName name="AAA" localSheetId="8">#REF!</definedName>
    <definedName name="AAA">#REF!</definedName>
    <definedName name="AAG">#REF!</definedName>
    <definedName name="aâ77" localSheetId="8">#REF!</definedName>
    <definedName name="aâ77">#REF!</definedName>
    <definedName name="AB">#REF!</definedName>
    <definedName name="abc" localSheetId="8">#REF!</definedName>
    <definedName name="abc">#REF!</definedName>
    <definedName name="ac">#REF!</definedName>
    <definedName name="AC120_">#REF!</definedName>
    <definedName name="AC35_">#REF!</definedName>
    <definedName name="AC50_">#REF!</definedName>
    <definedName name="AC70_">#REF!</definedName>
    <definedName name="AC95_">#REF!</definedName>
    <definedName name="acb" localSheetId="8">#REF!</definedName>
    <definedName name="acb">#REF!</definedName>
    <definedName name="AccessDatabase" hidden="1">"C:\My Documents\LeBinh\Xls\VP Cong ty\FORM.mdb"</definedName>
    <definedName name="acscs">#REF!</definedName>
    <definedName name="Actual" localSheetId="9">(PeriodInActual*(#REF!&gt;0))*PeriodInPlan</definedName>
    <definedName name="Actual">(PeriodInActual*(#REF!&gt;0))*PeriodInPlan</definedName>
    <definedName name="ActualBeyond" localSheetId="9">PeriodInActual*(#REF!&gt;0)</definedName>
    <definedName name="ActualBeyond">PeriodInActual*(#REF!&gt;0)</definedName>
    <definedName name="AD" localSheetId="8" hidden="1">{"'Sheet1'!$L$16"}</definedName>
    <definedName name="AD" localSheetId="0" hidden="1">{"'Sheet1'!$L$16"}</definedName>
    <definedName name="AD" localSheetId="6" hidden="1">{"'Sheet1'!$L$16"}</definedName>
    <definedName name="AD" localSheetId="9" hidden="1">{"'Sheet1'!$L$16"}</definedName>
    <definedName name="AD" localSheetId="7" hidden="1">{"'Sheet1'!$L$16"}</definedName>
    <definedName name="AD" hidden="1">{"'Sheet1'!$L$16"}</definedName>
    <definedName name="ada">#REF!</definedName>
    <definedName name="ADAY">#REF!</definedName>
    <definedName name="ADEQ">#REF!</definedName>
    <definedName name="æ76" localSheetId="8">#REF!</definedName>
    <definedName name="æ76">#REF!</definedName>
    <definedName name="afasfsagfas" localSheetId="8" hidden="1">{#N/A,#N/A,FALSE,"Chi tiÆt"}</definedName>
    <definedName name="afasfsagfas" localSheetId="0" hidden="1">{#N/A,#N/A,FALSE,"Chi tiÆt"}</definedName>
    <definedName name="afasfsagfas" localSheetId="6" hidden="1">{#N/A,#N/A,FALSE,"Chi tiÆt"}</definedName>
    <definedName name="afasfsagfas" localSheetId="9" hidden="1">{#N/A,#N/A,FALSE,"Chi tiÆt"}</definedName>
    <definedName name="afasfsagfas" localSheetId="7" hidden="1">{#N/A,#N/A,FALSE,"Chi tiÆt"}</definedName>
    <definedName name="afasfsagfas" hidden="1">{#N/A,#N/A,FALSE,"Chi tiÆt"}</definedName>
    <definedName name="AG">#REF!</definedName>
    <definedName name="Ag_">#REF!</definedName>
    <definedName name="AG_Temp">#REF!</definedName>
    <definedName name="ag142X42" localSheetId="8">#REF!</definedName>
    <definedName name="ag142X42">#REF!</definedName>
    <definedName name="ag15F80">#REF!</definedName>
    <definedName name="ag267N59" localSheetId="8">#REF!</definedName>
    <definedName name="ag267N59">#REF!</definedName>
    <definedName name="agagag">#REF!</definedName>
    <definedName name="agd" localSheetId="8">#REF!</definedName>
    <definedName name="agd">#REF!</definedName>
    <definedName name="agsd" localSheetId="8">#REF!</definedName>
    <definedName name="agsd">#REF!</definedName>
    <definedName name="aï">#REF!</definedName>
    <definedName name="AÏ8">#REF!</definedName>
    <definedName name="aî74" localSheetId="8">#REF!</definedName>
    <definedName name="aî74">#REF!</definedName>
    <definedName name="ak" localSheetId="8" hidden="1">{"'Sheet1'!$L$16"}</definedName>
    <definedName name="ak" localSheetId="0" hidden="1">{"'Sheet1'!$L$16"}</definedName>
    <definedName name="ak" localSheetId="6" hidden="1">{"'Sheet1'!$L$16"}</definedName>
    <definedName name="ak" localSheetId="9" hidden="1">{"'Sheet1'!$L$16"}</definedName>
    <definedName name="ak" localSheetId="7" hidden="1">{"'Sheet1'!$L$16"}</definedName>
    <definedName name="ak" hidden="1">{"'Sheet1'!$L$16"}</definedName>
    <definedName name="All_Item">#REF!</definedName>
    <definedName name="ALPIN">#N/A</definedName>
    <definedName name="ALPJYOU">#N/A</definedName>
    <definedName name="ALPTOI">#N/A</definedName>
    <definedName name="alpha" localSheetId="8">#REF!</definedName>
    <definedName name="alpha">#REF!</definedName>
    <definedName name="amiang" localSheetId="8">#REF!</definedName>
    <definedName name="amiang">#REF!</definedName>
    <definedName name="AMP" localSheetId="8">#REF!</definedName>
    <definedName name="AMP">#REF!</definedName>
    <definedName name="an" localSheetId="8">#REF!</definedName>
    <definedName name="an">#REF!</definedName>
    <definedName name="anpha">#REF!</definedName>
    <definedName name="anscount" hidden="1">1</definedName>
    <definedName name="Antoan" localSheetId="8" hidden="1">{"'Sheet1'!$L$16"}</definedName>
    <definedName name="Antoan" localSheetId="0" hidden="1">{"'Sheet1'!$L$16"}</definedName>
    <definedName name="Antoan" localSheetId="6" hidden="1">{"'Sheet1'!$L$16"}</definedName>
    <definedName name="Antoan" localSheetId="9" hidden="1">{"'Sheet1'!$L$16"}</definedName>
    <definedName name="Antoan" localSheetId="7" hidden="1">{"'Sheet1'!$L$16"}</definedName>
    <definedName name="Antoan" hidden="1">{"'Sheet1'!$L$16"}</definedName>
    <definedName name="ao" localSheetId="8">#REF!</definedName>
    <definedName name="ao">#REF!</definedName>
    <definedName name="AppRoad">#REF!</definedName>
    <definedName name="Aq">#REF!</definedName>
    <definedName name="Area">#REF!</definedName>
    <definedName name="as" localSheetId="8">#REF!</definedName>
    <definedName name="as">#REF!</definedName>
    <definedName name="As_">#REF!</definedName>
    <definedName name="AS2DocOpenMode" hidden="1">"AS2DocumentEdit"</definedName>
    <definedName name="asdfgh" localSheetId="8">#REF!</definedName>
    <definedName name="asdfgh">#REF!</definedName>
    <definedName name="asf" localSheetId="8" hidden="1">{"'Sheet1'!$L$16"}</definedName>
    <definedName name="asf" localSheetId="0" hidden="1">{"'Sheet1'!$L$16"}</definedName>
    <definedName name="asf" localSheetId="6" hidden="1">{"'Sheet1'!$L$16"}</definedName>
    <definedName name="asf" localSheetId="9" hidden="1">{"'Sheet1'!$L$16"}</definedName>
    <definedName name="asf" localSheetId="7" hidden="1">{"'Sheet1'!$L$16"}</definedName>
    <definedName name="asf" hidden="1">{"'Sheet1'!$L$16"}</definedName>
    <definedName name="ATGT" localSheetId="8" hidden="1">{"'Sheet1'!$L$16"}</definedName>
    <definedName name="ATGT" localSheetId="0" hidden="1">{"'Sheet1'!$L$16"}</definedName>
    <definedName name="ATGT" localSheetId="6" hidden="1">{"'Sheet1'!$L$16"}</definedName>
    <definedName name="ATGT" localSheetId="9" hidden="1">{"'Sheet1'!$L$16"}</definedName>
    <definedName name="ATGT" localSheetId="7" hidden="1">{"'Sheet1'!$L$16"}</definedName>
    <definedName name="ATGT" hidden="1">{"'Sheet1'!$L$16"}</definedName>
    <definedName name="ATRAM">#REF!</definedName>
    <definedName name="AÙ">#REF!</definedName>
    <definedName name="aù0" localSheetId="8">#REF!</definedName>
    <definedName name="aù0">#REF!</definedName>
    <definedName name="avcn">#REF!</definedName>
    <definedName name="avkt">#REF!</definedName>
    <definedName name="avkt_ks">#REF!</definedName>
    <definedName name="B" localSheetId="8">#REF!</definedName>
    <definedName name="B">#REF!</definedName>
    <definedName name="b_1" localSheetId="8">#REF!</definedName>
    <definedName name="b_1">#REF!</definedName>
    <definedName name="b_2" localSheetId="8">#REF!</definedName>
    <definedName name="b_2">#REF!</definedName>
    <definedName name="b_240" localSheetId="8">#REF!</definedName>
    <definedName name="b_240">#REF!</definedName>
    <definedName name="b_280" localSheetId="8">#REF!</definedName>
    <definedName name="b_280">#REF!</definedName>
    <definedName name="b_3" localSheetId="8">#REF!</definedName>
    <definedName name="b_3">#REF!</definedName>
    <definedName name="b_320" localSheetId="8">#REF!</definedName>
    <definedName name="b_320">#REF!</definedName>
    <definedName name="b_4" localSheetId="8">#REF!</definedName>
    <definedName name="b_4">#REF!</definedName>
    <definedName name="b_5" localSheetId="8">#REF!</definedName>
    <definedName name="b_5">#REF!</definedName>
    <definedName name="b_6" localSheetId="8">#REF!</definedName>
    <definedName name="b_6">#REF!</definedName>
    <definedName name="B_Isc">#REF!</definedName>
    <definedName name="B_ng_dÝnh" localSheetId="8">#REF!</definedName>
    <definedName name="B_ng_dÝnh">#REF!</definedName>
    <definedName name="B_tinh">#REF!</definedName>
    <definedName name="b1_" localSheetId="8">#REF!</definedName>
    <definedName name="b1_">#REF!</definedName>
    <definedName name="b11_" localSheetId="8">#REF!</definedName>
    <definedName name="b11_">#REF!</definedName>
    <definedName name="B1cb" localSheetId="8">#REF!</definedName>
    <definedName name="B1cb">#REF!</definedName>
    <definedName name="b2_" localSheetId="8">#REF!</definedName>
    <definedName name="b2_">#REF!</definedName>
    <definedName name="b2__" localSheetId="8">#REF!</definedName>
    <definedName name="b2__">#REF!</definedName>
    <definedName name="b3_" localSheetId="8">#REF!</definedName>
    <definedName name="b3_">#REF!</definedName>
    <definedName name="b3__" localSheetId="8">#REF!</definedName>
    <definedName name="b3__">#REF!</definedName>
    <definedName name="b4_" localSheetId="8">#REF!</definedName>
    <definedName name="b4_">#REF!</definedName>
    <definedName name="b5_" localSheetId="8">#REF!</definedName>
    <definedName name="b5_">#REF!</definedName>
    <definedName name="b6_" localSheetId="8">#REF!</definedName>
    <definedName name="b6_">#REF!</definedName>
    <definedName name="b60x">#REF!</definedName>
    <definedName name="b7_" localSheetId="8">#REF!</definedName>
    <definedName name="b7_">#REF!</definedName>
    <definedName name="b8." localSheetId="8">#REF!</definedName>
    <definedName name="b8.">#REF!</definedName>
    <definedName name="b80x">#REF!</definedName>
    <definedName name="b9." localSheetId="8">#REF!</definedName>
    <definedName name="b9.">#REF!</definedName>
    <definedName name="ba" localSheetId="8">#REF!</definedName>
    <definedName name="ba">#REF!</definedName>
    <definedName name="ba." localSheetId="8">#REF!</definedName>
    <definedName name="ba.">#REF!</definedName>
    <definedName name="bac2.7" localSheetId="8">#REF!</definedName>
    <definedName name="bac2.7">#REF!</definedName>
    <definedName name="bac3.5" localSheetId="8">#REF!</definedName>
    <definedName name="bac3.5">#REF!</definedName>
    <definedName name="bac3.7" localSheetId="8">#REF!</definedName>
    <definedName name="bac3.7">#REF!</definedName>
    <definedName name="bac4.5" localSheetId="8">#REF!</definedName>
    <definedName name="bac4.5">#REF!</definedName>
    <definedName name="BacKan">#REF!</definedName>
    <definedName name="bachang">#REF!</definedName>
    <definedName name="ban">#REF!</definedName>
    <definedName name="BanForBcaothg" localSheetId="8">#REF!</definedName>
    <definedName name="BanForBcaothg">#REF!</definedName>
    <definedName name="banQL" localSheetId="8" hidden="1">{"'Sheet1'!$L$16"}</definedName>
    <definedName name="banQL" localSheetId="0" hidden="1">{"'Sheet1'!$L$16"}</definedName>
    <definedName name="banQL" localSheetId="6" hidden="1">{"'Sheet1'!$L$16"}</definedName>
    <definedName name="banQL" localSheetId="9" hidden="1">{"'Sheet1'!$L$16"}</definedName>
    <definedName name="banQL" localSheetId="7" hidden="1">{"'Sheet1'!$L$16"}</definedName>
    <definedName name="banQL" hidden="1">{"'Sheet1'!$L$16"}</definedName>
    <definedName name="Bang" localSheetId="8">#REF!</definedName>
    <definedName name="Bang">#REF!</definedName>
    <definedName name="Bang_cly">#REF!</definedName>
    <definedName name="Bang_CVC">#REF!</definedName>
    <definedName name="BANG_CHI_TIET_THI_NGHIEM_CONG_TO">#REF!</definedName>
    <definedName name="BANG_CHI_TIET_THI_NGHIEM_DZ0.4KV">#REF!</definedName>
    <definedName name="BANG_CHI_TIET_THI_NGHIEM_DZ22KV">#REF!</definedName>
    <definedName name="bang_gia">#REF!</definedName>
    <definedName name="BANG_TONG_HOP_CONG_TO">#REF!</definedName>
    <definedName name="BANG_TONG_HOP_DZ_0.4">#REF!</definedName>
    <definedName name="BANG_TONG_HOP_DZ0.4KV">#REF!</definedName>
    <definedName name="BANG_TONG_HOP_DZ22KV">#REF!</definedName>
    <definedName name="BANG_TONG_HOP_KHO_BAI">#REF!</definedName>
    <definedName name="BANG_TONG_HOP_TBA">#REF!</definedName>
    <definedName name="Bang_travl">#REF!</definedName>
    <definedName name="Bang1" localSheetId="8">#REF!</definedName>
    <definedName name="Bang1">#REF!</definedName>
    <definedName name="bang11">#REF!</definedName>
    <definedName name="bang2">#REF!</definedName>
    <definedName name="bang6">#REF!</definedName>
    <definedName name="bang9">#REF!</definedName>
    <definedName name="bangciti" localSheetId="8">#REF!</definedName>
    <definedName name="bangciti">#REF!</definedName>
    <definedName name="BangGia">#REF!</definedName>
    <definedName name="BangGiaVL_Q">#REF!</definedName>
    <definedName name="BangMa">#REF!</definedName>
    <definedName name="BangNhKy" localSheetId="8">#REF!</definedName>
    <definedName name="BangNhKy">#REF!</definedName>
    <definedName name="bangtinh">#REF!</definedName>
    <definedName name="Bar" localSheetId="8">#REF!</definedName>
    <definedName name="Bar">#REF!</definedName>
    <definedName name="BarData">#REF!</definedName>
    <definedName name="baro" localSheetId="8">#REF!</definedName>
    <definedName name="baro">#REF!</definedName>
    <definedName name="Bay">#REF!</definedName>
    <definedName name="BB">#REF!</definedName>
    <definedName name="bb." localSheetId="8">#REF!</definedName>
    <definedName name="bb.">#REF!</definedName>
    <definedName name="bbb" localSheetId="8">#REF!</definedName>
    <definedName name="bbb">#REF!</definedName>
    <definedName name="bbbbb" localSheetId="8">#REF!</definedName>
    <definedName name="bbbbb">#REF!</definedName>
    <definedName name="bc" localSheetId="8">#REF!</definedName>
    <definedName name="bc">#REF!</definedName>
    <definedName name="bc_1">#REF!</definedName>
    <definedName name="bc_2">#REF!</definedName>
    <definedName name="bcau">#N/A</definedName>
    <definedName name="bcc">#REF!</definedName>
    <definedName name="BCNS" localSheetId="8">#REF!</definedName>
    <definedName name="BCNS">#REF!</definedName>
    <definedName name="bd" localSheetId="8">#REF!</definedName>
    <definedName name="bd">#REF!</definedName>
    <definedName name="bd_" localSheetId="8">#REF!</definedName>
    <definedName name="bd_">#REF!</definedName>
    <definedName name="BDAY">#REF!</definedName>
    <definedName name="bdf" localSheetId="8">#REF!</definedName>
    <definedName name="bdf">#REF!</definedName>
    <definedName name="bDF_" localSheetId="8">#REF!</definedName>
    <definedName name="bDF_">#REF!</definedName>
    <definedName name="bdht15nc" localSheetId="8">#REF!</definedName>
    <definedName name="bdht15nc">#REF!</definedName>
    <definedName name="bdht15vl" localSheetId="8">#REF!</definedName>
    <definedName name="bdht15vl">#REF!</definedName>
    <definedName name="bdht25nc" localSheetId="8">#REF!</definedName>
    <definedName name="bdht25nc">#REF!</definedName>
    <definedName name="bdht25vl" localSheetId="8">#REF!</definedName>
    <definedName name="bdht25vl">#REF!</definedName>
    <definedName name="bdht325nc" localSheetId="8">#REF!</definedName>
    <definedName name="bdht325nc">#REF!</definedName>
    <definedName name="bdht325vl" localSheetId="8">#REF!</definedName>
    <definedName name="bdht325vl">#REF!</definedName>
    <definedName name="beepsound">#REF!</definedName>
    <definedName name="beff" localSheetId="8">#REF!</definedName>
    <definedName name="beff">#REF!</definedName>
    <definedName name="begin" localSheetId="8">#REF!</definedName>
    <definedName name="begin">#REF!</definedName>
    <definedName name="BELANG" localSheetId="8">#REF!</definedName>
    <definedName name="BELANG">#REF!</definedName>
    <definedName name="BELOC" localSheetId="8">#REF!</definedName>
    <definedName name="BELOC">#REF!</definedName>
    <definedName name="bentonite" localSheetId="8">#REF!</definedName>
    <definedName name="bentonite">#REF!</definedName>
    <definedName name="Bep">#REF!</definedName>
    <definedName name="beta">#REF!</definedName>
    <definedName name="betong" localSheetId="8">#REF!</definedName>
    <definedName name="betong">#REF!</definedName>
    <definedName name="betong100" localSheetId="8">#REF!</definedName>
    <definedName name="betong100">#REF!</definedName>
    <definedName name="betong200" localSheetId="8">#REF!</definedName>
    <definedName name="betong200">#REF!</definedName>
    <definedName name="BetongM150" localSheetId="8">#REF!,#REF!</definedName>
    <definedName name="BetongM150">#REF!,#REF!</definedName>
    <definedName name="BetongM200" localSheetId="8">#REF!,#REF!</definedName>
    <definedName name="BetongM200">#REF!,#REF!</definedName>
    <definedName name="BetongM50" localSheetId="8">#REF!,#REF!</definedName>
    <definedName name="BetongM50">#REF!,#REF!</definedName>
    <definedName name="BETRON" localSheetId="8">#REF!</definedName>
    <definedName name="BETRON">#REF!</definedName>
    <definedName name="BG" localSheetId="8">#REF!</definedName>
    <definedName name="BG">#REF!</definedName>
    <definedName name="BGTP" localSheetId="8">#REF!</definedName>
    <definedName name="BGTP">#REF!</definedName>
    <definedName name="Bgiang" localSheetId="8" hidden="1">{"'Sheet1'!$L$16"}</definedName>
    <definedName name="Bgiang" localSheetId="0" hidden="1">{"'Sheet1'!$L$16"}</definedName>
    <definedName name="Bgiang" localSheetId="6" hidden="1">{"'Sheet1'!$L$16"}</definedName>
    <definedName name="Bgiang" localSheetId="9" hidden="1">{"'Sheet1'!$L$16"}</definedName>
    <definedName name="Bgiang" localSheetId="7" hidden="1">{"'Sheet1'!$L$16"}</definedName>
    <definedName name="Bgiang" hidden="1">{"'Sheet1'!$L$16"}</definedName>
    <definedName name="bh" localSheetId="8">#REF!</definedName>
    <definedName name="bh">#REF!</definedName>
    <definedName name="bhy" localSheetId="8">#REF!</definedName>
    <definedName name="bhy">#REF!</definedName>
    <definedName name="bia">#REF!</definedName>
    <definedName name="Bia_0.4">#REF!</definedName>
    <definedName name="Bia_22">#REF!</definedName>
    <definedName name="Bia_truoc_cong_to">#REF!</definedName>
    <definedName name="bien" localSheetId="8">BlankMacro1</definedName>
    <definedName name="bien" localSheetId="0">BlankMacro1</definedName>
    <definedName name="bien" localSheetId="6">BlankMacro1</definedName>
    <definedName name="bien" localSheetId="9">BlankMacro1</definedName>
    <definedName name="bien" localSheetId="7">BlankMacro1</definedName>
    <definedName name="bien">BlankMacro1</definedName>
    <definedName name="bieu">#REF!</definedName>
    <definedName name="Bitum" localSheetId="8">#REF!</definedName>
    <definedName name="Bitum">#REF!</definedName>
    <definedName name="BK">#REF!</definedName>
    <definedName name="BKTB" localSheetId="8">#REF!</definedName>
    <definedName name="BKTB">#REF!</definedName>
    <definedName name="blang">#REF!</definedName>
    <definedName name="BLDG" localSheetId="8">#REF!</definedName>
    <definedName name="BLDG">#REF!</definedName>
    <definedName name="BLDGREV" localSheetId="8">#REF!</definedName>
    <definedName name="BLDGREV">#REF!</definedName>
    <definedName name="BLDGIMP" localSheetId="8">#REF!</definedName>
    <definedName name="BLDGIMP">#REF!</definedName>
    <definedName name="blf" localSheetId="8">#REF!</definedName>
    <definedName name="blf">#REF!</definedName>
    <definedName name="bLF_" localSheetId="8">#REF!</definedName>
    <definedName name="bLF_">#REF!</definedName>
    <definedName name="blkh">#REF!</definedName>
    <definedName name="blkh1">#REF!</definedName>
    <definedName name="BLOCK1">#REF!</definedName>
    <definedName name="BLOCK2">#REF!</definedName>
    <definedName name="BLOCK3">#REF!</definedName>
    <definedName name="blong">#REF!</definedName>
    <definedName name="blop" localSheetId="8">#REF!</definedName>
    <definedName name="blop">#REF!</definedName>
    <definedName name="boa" localSheetId="8">#REF!</definedName>
    <definedName name="boa">#REF!</definedName>
    <definedName name="bom" localSheetId="8">#REF!</definedName>
    <definedName name="bom">#REF!</definedName>
    <definedName name="bombt50">#REF!</definedName>
    <definedName name="bombt60">#REF!</definedName>
    <definedName name="bomnuoc20kw">#REF!</definedName>
    <definedName name="bomvua1.5">#REF!</definedName>
    <definedName name="Bon">#REF!</definedName>
    <definedName name="Book2">#REF!</definedName>
    <definedName name="BookName">"Bao_cao_cua_NVTK_tai_NPP_bieu_mau_moi_4___Mau_moi.xls"</definedName>
    <definedName name="BOQ">#REF!</definedName>
    <definedName name="Botanical2">#REF!</definedName>
    <definedName name="Botanical2.Jun">#REF!</definedName>
    <definedName name="botda">#REF!</definedName>
    <definedName name="BPCLL" localSheetId="8">#REF!</definedName>
    <definedName name="BPCLL">#REF!</definedName>
    <definedName name="BR_373">#REF!</definedName>
    <definedName name="BrName">#REF!</definedName>
    <definedName name="bS" localSheetId="8">#REF!</definedName>
    <definedName name="bS">#REF!</definedName>
    <definedName name="bs_" localSheetId="8">#REF!</definedName>
    <definedName name="bs_">#REF!</definedName>
    <definedName name="bsf" localSheetId="8">#REF!</definedName>
    <definedName name="bsf">#REF!</definedName>
    <definedName name="bSF_" localSheetId="8">#REF!</definedName>
    <definedName name="bSF_">#REF!</definedName>
    <definedName name="bson">#REF!</definedName>
    <definedName name="BT">#REF!</definedName>
    <definedName name="BT_125">#REF!</definedName>
    <definedName name="BT_A1">#REF!</definedName>
    <definedName name="BT_A2" localSheetId="8">#REF!</definedName>
    <definedName name="BT_A2">#REF!</definedName>
    <definedName name="BT_A2.1">#REF!</definedName>
    <definedName name="BT_A2.2">#REF!</definedName>
    <definedName name="BT_B1">#REF!</definedName>
    <definedName name="BT_B2">#REF!</definedName>
    <definedName name="BT_C1">#REF!</definedName>
    <definedName name="BT_loai_A2.1">#REF!</definedName>
    <definedName name="BT_P1">#REF!</definedName>
    <definedName name="BT_P10" localSheetId="8">#REF!</definedName>
    <definedName name="BT_P10">#REF!</definedName>
    <definedName name="BT_P11" localSheetId="8">#REF!</definedName>
    <definedName name="BT_P11">#REF!</definedName>
    <definedName name="BT_P2" localSheetId="8">#REF!</definedName>
    <definedName name="BT_P2">#REF!</definedName>
    <definedName name="BT_P3" localSheetId="8">#REF!</definedName>
    <definedName name="BT_P3">#REF!</definedName>
    <definedName name="BT_P4" localSheetId="8">#REF!</definedName>
    <definedName name="BT_P4">#REF!</definedName>
    <definedName name="BT_P5" localSheetId="8">#REF!</definedName>
    <definedName name="BT_P5">#REF!</definedName>
    <definedName name="BT_P6" localSheetId="8">#REF!</definedName>
    <definedName name="BT_P6">#REF!</definedName>
    <definedName name="BT_P7" localSheetId="8">#REF!</definedName>
    <definedName name="BT_P7">#REF!</definedName>
    <definedName name="BT_P8" localSheetId="8">#REF!</definedName>
    <definedName name="BT_P8">#REF!</definedName>
    <definedName name="BT_P9" localSheetId="8">#REF!</definedName>
    <definedName name="BT_P9">#REF!</definedName>
    <definedName name="BT200_50">#REF!</definedName>
    <definedName name="bt250.0" localSheetId="8">#REF!</definedName>
    <definedName name="bt250.0">#REF!</definedName>
    <definedName name="bt30_" localSheetId="8">#REF!</definedName>
    <definedName name="bt30_">#REF!</definedName>
    <definedName name="btai" localSheetId="8">#REF!</definedName>
    <definedName name="btai">#REF!</definedName>
    <definedName name="BTC" localSheetId="8">#REF!</definedName>
    <definedName name="BTC">#REF!</definedName>
    <definedName name="btcocM400">#REF!</definedName>
    <definedName name="btct">#REF!</definedName>
    <definedName name="btchiuaxitm300">#REF!</definedName>
    <definedName name="BTchiuaxm200">#REF!</definedName>
    <definedName name="btds" localSheetId="8">#REF!</definedName>
    <definedName name="btds">#REF!</definedName>
    <definedName name="btkn">#REF!</definedName>
    <definedName name="btl" localSheetId="8" hidden="1">{"'Sheet1'!$L$16"}</definedName>
    <definedName name="btl" localSheetId="0" hidden="1">{"'Sheet1'!$L$16"}</definedName>
    <definedName name="btl" localSheetId="6" hidden="1">{"'Sheet1'!$L$16"}</definedName>
    <definedName name="btl" localSheetId="9" hidden="1">{"'Sheet1'!$L$16"}</definedName>
    <definedName name="btl" localSheetId="7" hidden="1">{"'Sheet1'!$L$16"}</definedName>
    <definedName name="btl" hidden="1">{"'Sheet1'!$L$16"}</definedName>
    <definedName name="BTlotm100">#REF!</definedName>
    <definedName name="btm">#REF!</definedName>
    <definedName name="bton">#REF!</definedName>
    <definedName name="bttc" localSheetId="8">#REF!</definedName>
    <definedName name="bttc">#REF!</definedName>
    <definedName name="btthuongpham150" localSheetId="8">#REF!</definedName>
    <definedName name="btthuongpham150">#REF!</definedName>
    <definedName name="btthuongpham300" localSheetId="8">#REF!</definedName>
    <definedName name="btthuongpham300">#REF!</definedName>
    <definedName name="btham" localSheetId="8">#REF!</definedName>
    <definedName name="btham">#REF!</definedName>
    <definedName name="BTRAM">#REF!</definedName>
    <definedName name="BU_CHENH_LECH_DZ0.4KV">#REF!</definedName>
    <definedName name="BU_CHENH_LECH_DZ22KV">#REF!</definedName>
    <definedName name="BU_CHENH_LECH_TBA">#REF!</definedName>
    <definedName name="Bu_long" localSheetId="8">#REF!</definedName>
    <definedName name="Bu_long">#REF!</definedName>
    <definedName name="bua1.2">#REF!</definedName>
    <definedName name="bua1.8">#REF!</definedName>
    <definedName name="buarung170">#REF!</definedName>
    <definedName name="bùc" localSheetId="8">{"Book1","Dt tonghop.xls"}</definedName>
    <definedName name="bùc" localSheetId="0">{"Book1","Dt tonghop.xls"}</definedName>
    <definedName name="bùc" localSheetId="6">{"Book1","Dt tonghop.xls"}</definedName>
    <definedName name="bùc" localSheetId="9">{"Book1","Dt tonghop.xls"}</definedName>
    <definedName name="bùc" localSheetId="7">{"Book1","Dt tonghop.xls"}</definedName>
    <definedName name="bùc">{"Book1","Dt tonghop.xls"}</definedName>
    <definedName name="Bulongma">8700</definedName>
    <definedName name="buoc" localSheetId="8">#REF!</definedName>
    <definedName name="buoc">#REF!</definedName>
    <definedName name="Bust">#REF!</definedName>
    <definedName name="BVCISUMMARY">#REF!</definedName>
    <definedName name="bw_" localSheetId="8">#REF!</definedName>
    <definedName name="bw_">#REF!</definedName>
    <definedName name="bwf" localSheetId="8">#REF!</definedName>
    <definedName name="bwf">#REF!</definedName>
    <definedName name="bWF_" localSheetId="8">#REF!</definedName>
    <definedName name="bWF_">#REF!</definedName>
    <definedName name="bWL" localSheetId="8">#REF!</definedName>
    <definedName name="bWL">#REF!</definedName>
    <definedName name="bwlf" localSheetId="8">#REF!</definedName>
    <definedName name="bwlf">#REF!</definedName>
    <definedName name="bWLF_" localSheetId="8">#REF!</definedName>
    <definedName name="bWLF_">#REF!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 localSheetId="8">#REF!</definedName>
    <definedName name="c_">#REF!</definedName>
    <definedName name="c_1" localSheetId="8">#REF!</definedName>
    <definedName name="c_1">#REF!</definedName>
    <definedName name="c_2" localSheetId="8">#REF!</definedName>
    <definedName name="c_2">#REF!</definedName>
    <definedName name="c_n">#REF!</definedName>
    <definedName name="C2.7">#REF!</definedName>
    <definedName name="C3.0">#REF!</definedName>
    <definedName name="C3.5">#REF!</definedName>
    <definedName name="C3.7">#REF!</definedName>
    <definedName name="C4.0">#REF!</definedName>
    <definedName name="ca">#REF!</definedName>
    <definedName name="ca.1111">#REF!</definedName>
    <definedName name="ca.1111.th">#REF!</definedName>
    <definedName name="caa">#REF!</definedName>
    <definedName name="CABLE2" localSheetId="8">#REF!</definedName>
    <definedName name="CABLE2">#REF!</definedName>
    <definedName name="CACAU">298161</definedName>
    <definedName name="càda">#REF!</definedName>
    <definedName name="cam">#REF!</definedName>
    <definedName name="CAMAY" localSheetId="8">#REF!</definedName>
    <definedName name="CAMAY">#REF!</definedName>
    <definedName name="cancu2" localSheetId="8">#REF!</definedName>
    <definedName name="cancu2">#REF!</definedName>
    <definedName name="cap">#REF!</definedName>
    <definedName name="CAP_DIEN_AP" localSheetId="8">#REF!</definedName>
    <definedName name="CAP_DIEN_AP">#REF!</definedName>
    <definedName name="Cap_DUL_doc_B">#REF!</definedName>
    <definedName name="CAP_DUL_ngang_B">#REF!</definedName>
    <definedName name="cap0.7">#REF!</definedName>
    <definedName name="CAPDAT" localSheetId="8">#REF!</definedName>
    <definedName name="CAPDAT">#REF!</definedName>
    <definedName name="capdul">#REF!</definedName>
    <definedName name="Case_Linkw_AT_211_Fdd" localSheetId="8">#REF!</definedName>
    <definedName name="Case_Linkw_AT_211_Fdd">#REF!</definedName>
    <definedName name="Case_Linkw_ATX" localSheetId="8">#REF!</definedName>
    <definedName name="Case_Linkw_ATX">#REF!</definedName>
    <definedName name="Case_Linkw_ATX_218_Fdd" localSheetId="8">#REF!</definedName>
    <definedName name="Case_Linkw_ATX_218_Fdd">#REF!</definedName>
    <definedName name="casing">#REF!</definedName>
    <definedName name="Cat">#REF!</definedName>
    <definedName name="catcap">#REF!</definedName>
    <definedName name="Category_All">#REF!</definedName>
    <definedName name="CATIN">#N/A</definedName>
    <definedName name="CATJYOU">#N/A</definedName>
    <definedName name="catm">#REF!</definedName>
    <definedName name="catn">#REF!</definedName>
    <definedName name="CATSYU">#N/A</definedName>
    <definedName name="catuon" localSheetId="8">#REF!</definedName>
    <definedName name="catuon">#REF!</definedName>
    <definedName name="catvang" localSheetId="8">#REF!</definedName>
    <definedName name="catvang">#REF!</definedName>
    <definedName name="CatVang_HamYen" localSheetId="8">#REF!</definedName>
    <definedName name="CatVang_HamYen">#REF!</definedName>
    <definedName name="CATREC">#N/A</definedName>
    <definedName name="cau">#REF!</definedName>
    <definedName name="Cau_1">#REF!</definedName>
    <definedName name="Cau_tam">#REF!</definedName>
    <definedName name="caunoi30">#REF!</definedName>
    <definedName name="Caùp_ñoàng_traàn_75mm2">#REF!</definedName>
    <definedName name="Cb">#REF!</definedName>
    <definedName name="CBWorkbookPriority" hidden="1">-604668737</definedName>
    <definedName name="cc">#REF!</definedName>
    <definedName name="cc_" localSheetId="8">#REF!</definedName>
    <definedName name="cc_">#REF!</definedName>
    <definedName name="ccf">#REF!</definedName>
    <definedName name="CCNK" localSheetId="8">#REF!</definedName>
    <definedName name="CCNK">#REF!</definedName>
    <definedName name="CCS">#REF!</definedName>
    <definedName name="cd">#REF!</definedName>
    <definedName name="CDA">#REF!</definedName>
    <definedName name="CDADD" localSheetId="8">#REF!</definedName>
    <definedName name="CDADD">#REF!</definedName>
    <definedName name="CDAI">#REF!</definedName>
    <definedName name="CDAY">#REF!</definedName>
    <definedName name="CDD">#REF!</definedName>
    <definedName name="CDDB" localSheetId="8">#REF!</definedName>
    <definedName name="CDDB">#REF!</definedName>
    <definedName name="CDDD" localSheetId="8">#REF!</definedName>
    <definedName name="CDDD">#REF!</definedName>
    <definedName name="cddd1p" localSheetId="8">#REF!</definedName>
    <definedName name="cddd1p">#REF!</definedName>
    <definedName name="CDDD1PHA">#REF!</definedName>
    <definedName name="cddd3p" localSheetId="8">#REF!</definedName>
    <definedName name="cddd3p">#REF!</definedName>
    <definedName name="CDDD3PHA">#REF!</definedName>
    <definedName name="CDDR_Acer40X_IDE" localSheetId="8">#REF!</definedName>
    <definedName name="CDDR_Acer40X_IDE">#REF!</definedName>
    <definedName name="CDDR_Acer48X_IDE" localSheetId="8">#REF!</definedName>
    <definedName name="CDDR_Acer48X_IDE">#REF!</definedName>
    <definedName name="CDDR_Acer50X_IDE" localSheetId="8">#REF!</definedName>
    <definedName name="CDDR_Acer50X_IDE">#REF!</definedName>
    <definedName name="CDDT" localSheetId="8">#REF!</definedName>
    <definedName name="CDDT">#REF!</definedName>
    <definedName name="CDMD" localSheetId="8">#REF!</definedName>
    <definedName name="CDMD">#REF!</definedName>
    <definedName name="cdn">#REF!</definedName>
    <definedName name="Cdnum">#REF!</definedName>
    <definedName name="CDTRAMD1" localSheetId="8">#REF!</definedName>
    <definedName name="CDTRAMD1">#REF!</definedName>
    <definedName name="Céng">#REF!</definedName>
    <definedName name="cfc">#REF!</definedName>
    <definedName name="cfk">#REF!</definedName>
    <definedName name="cg" localSheetId="8" hidden="1">{"'Sheet1'!$L$16"}</definedName>
    <definedName name="cg" localSheetId="0" hidden="1">{"'Sheet1'!$L$16"}</definedName>
    <definedName name="cg" localSheetId="6" hidden="1">{"'Sheet1'!$L$16"}</definedName>
    <definedName name="cg" localSheetId="9" hidden="1">{"'Sheet1'!$L$16"}</definedName>
    <definedName name="cg" localSheetId="7" hidden="1">{"'Sheet1'!$L$16"}</definedName>
    <definedName name="cg" hidden="1">{"'Sheet1'!$L$16"}</definedName>
    <definedName name="cgionc" localSheetId="8">#REF!</definedName>
    <definedName name="cgionc">#REF!</definedName>
    <definedName name="cgiovl" localSheetId="8">#REF!</definedName>
    <definedName name="cgiovl">#REF!</definedName>
    <definedName name="citidd" localSheetId="8">#REF!</definedName>
    <definedName name="citidd">#REF!</definedName>
    <definedName name="CK">#REF!</definedName>
    <definedName name="ckn">#REF!</definedName>
    <definedName name="ckna">#REF!</definedName>
    <definedName name="cknc" localSheetId="8">#REF!</definedName>
    <definedName name="cknc">#REF!</definedName>
    <definedName name="ckvl" localSheetId="8">#REF!</definedName>
    <definedName name="ckvl">#REF!</definedName>
    <definedName name="CL">#REF!</definedName>
    <definedName name="CLECH_0.4">#REF!</definedName>
    <definedName name="CLech_22">#REF!</definedName>
    <definedName name="Clech_o.4">#REF!</definedName>
    <definedName name="CLIENT" localSheetId="8">#REF!</definedName>
    <definedName name="CLIENT">#REF!</definedName>
    <definedName name="CLS">#REF!</definedName>
    <definedName name="CLTMP" localSheetId="8">#REF!</definedName>
    <definedName name="CLTMP">#REF!</definedName>
    <definedName name="CLVC" localSheetId="8">#REF!</definedName>
    <definedName name="CLVC">#REF!</definedName>
    <definedName name="clvc1" localSheetId="8">#REF!</definedName>
    <definedName name="clvc1">#REF!</definedName>
    <definedName name="CLVC3">0.1</definedName>
    <definedName name="CLVC35">#REF!</definedName>
    <definedName name="CLVCTB">#REF!</definedName>
    <definedName name="CLVL" localSheetId="8">#REF!</definedName>
    <definedName name="CLVL">#REF!</definedName>
    <definedName name="cly" localSheetId="8">#REF!</definedName>
    <definedName name="cly">#REF!</definedName>
    <definedName name="CLyTC" localSheetId="8">#REF!</definedName>
    <definedName name="CLyTC">#REF!</definedName>
    <definedName name="CMG">#REF!</definedName>
    <definedName name="cn">#REF!</definedName>
    <definedName name="CN3p" localSheetId="8">#REF!</definedName>
    <definedName name="CN3p">#REF!</definedName>
    <definedName name="CNC">#REF!</definedName>
    <definedName name="CND">#REF!</definedName>
    <definedName name="cne">#REF!</definedName>
    <definedName name="Cñi" localSheetId="8">#REF!</definedName>
    <definedName name="Cñi">#REF!</definedName>
    <definedName name="CNG">#REF!</definedName>
    <definedName name="CO" localSheetId="8">#REF!</definedName>
    <definedName name="CO">#REF!</definedName>
    <definedName name="co.">#REF!</definedName>
    <definedName name="co..">#REF!</definedName>
    <definedName name="Coal_increase_ratio">#REF!</definedName>
    <definedName name="coar" localSheetId="8">#REF!</definedName>
    <definedName name="coar">#REF!</definedName>
    <definedName name="COAT" localSheetId="8">#REF!</definedName>
    <definedName name="COAT">#REF!</definedName>
    <definedName name="coc">#REF!</definedName>
    <definedName name="COC_1.2">#REF!</definedName>
    <definedName name="Coc_2m">#REF!</definedName>
    <definedName name="coc20x20" localSheetId="8">#REF!</definedName>
    <definedName name="coc20x20">#REF!</definedName>
    <definedName name="cocvt">#REF!</definedName>
    <definedName name="CODE">#REF!</definedName>
    <definedName name="CODE1">#REF!</definedName>
    <definedName name="CODE2">#REF!</definedName>
    <definedName name="CODE3">#REF!</definedName>
    <definedName name="Codedata">#REF!</definedName>
    <definedName name="CODL">#REF!</definedName>
    <definedName name="coi" localSheetId="8">#REF!</definedName>
    <definedName name="coi">#REF!</definedName>
    <definedName name="Cöï_ly_vaän_chuyeãn">#REF!</definedName>
    <definedName name="CÖÏ_LY_VAÄN_CHUYEÅN">#REF!</definedName>
    <definedName name="cokhihoachat" localSheetId="8">#REF!</definedName>
    <definedName name="cokhihoachat">#REF!</definedName>
    <definedName name="ColumnTitle1">" "</definedName>
    <definedName name="Comm" localSheetId="8">BlankMacro1</definedName>
    <definedName name="Comm" localSheetId="0">BlankMacro1</definedName>
    <definedName name="Comm" localSheetId="6">BlankMacro1</definedName>
    <definedName name="Comm" localSheetId="9">BlankMacro1</definedName>
    <definedName name="Comm" localSheetId="7">BlankMacro1</definedName>
    <definedName name="Comm">BlankMacro1</definedName>
    <definedName name="COMMON">#REF!</definedName>
    <definedName name="Comp">#REF!</definedName>
    <definedName name="CON_EQP_COS">#REF!</definedName>
    <definedName name="CON_EQP_COST">#REF!</definedName>
    <definedName name="Concrete" localSheetId="8">#REF!</definedName>
    <definedName name="Concrete">#REF!</definedName>
    <definedName name="conrua" localSheetId="8">#REF!</definedName>
    <definedName name="conrua">#REF!</definedName>
    <definedName name="CONST_EQ">#REF!</definedName>
    <definedName name="Continue">#REF!</definedName>
    <definedName name="ContractType">#REF!</definedName>
    <definedName name="cong">#REF!</definedName>
    <definedName name="cong_bq" localSheetId="8">#REF!</definedName>
    <definedName name="cong_bq">#REF!</definedName>
    <definedName name="cong_bv" localSheetId="8">#REF!</definedName>
    <definedName name="cong_bv">#REF!</definedName>
    <definedName name="cong_ck" localSheetId="8">#REF!</definedName>
    <definedName name="cong_ck">#REF!</definedName>
    <definedName name="cong_d1" localSheetId="8">#REF!</definedName>
    <definedName name="cong_d1">#REF!</definedName>
    <definedName name="cong_d2" localSheetId="8">#REF!</definedName>
    <definedName name="cong_d2">#REF!</definedName>
    <definedName name="cong_d3" localSheetId="8">#REF!</definedName>
    <definedName name="cong_d3">#REF!</definedName>
    <definedName name="cong_dl" localSheetId="8">#REF!</definedName>
    <definedName name="cong_dl">#REF!</definedName>
    <definedName name="Cong_HM_DTCT">#REF!</definedName>
    <definedName name="cong_kcs" localSheetId="8">#REF!</definedName>
    <definedName name="cong_kcs">#REF!</definedName>
    <definedName name="Cong_M_DTCT">#REF!</definedName>
    <definedName name="cong_nb" localSheetId="8">#REF!</definedName>
    <definedName name="cong_nb">#REF!</definedName>
    <definedName name="Cong_NC_DTCT">#REF!</definedName>
    <definedName name="cong_nv" localSheetId="8">#REF!</definedName>
    <definedName name="cong_nv">#REF!</definedName>
    <definedName name="cong_ngio" localSheetId="8">#REF!</definedName>
    <definedName name="cong_ngio">#REF!</definedName>
    <definedName name="Cong_suat" localSheetId="8">#REF!</definedName>
    <definedName name="Cong_suat">#REF!</definedName>
    <definedName name="Cong_suat_dat">#REF!</definedName>
    <definedName name="cong_t3" localSheetId="8">#REF!</definedName>
    <definedName name="cong_t3">#REF!</definedName>
    <definedName name="cong_t4" localSheetId="8">#REF!</definedName>
    <definedName name="cong_t4">#REF!</definedName>
    <definedName name="cong_t5" localSheetId="8">#REF!</definedName>
    <definedName name="cong_t5">#REF!</definedName>
    <definedName name="cong_t6" localSheetId="8">#REF!</definedName>
    <definedName name="cong_t6">#REF!</definedName>
    <definedName name="cong_tc" localSheetId="8">#REF!</definedName>
    <definedName name="cong_tc">#REF!</definedName>
    <definedName name="cong_tm" localSheetId="8">#REF!</definedName>
    <definedName name="cong_tm">#REF!</definedName>
    <definedName name="Cong_VL_DTCT">#REF!</definedName>
    <definedName name="cong_vs" localSheetId="8">#REF!</definedName>
    <definedName name="cong_vs">#REF!</definedName>
    <definedName name="cong_xh" localSheetId="8">#REF!</definedName>
    <definedName name="cong_xh">#REF!</definedName>
    <definedName name="cong1x15" localSheetId="8">#REF!</definedName>
    <definedName name="cong1x15">#REF!</definedName>
    <definedName name="Congdoc" localSheetId="8">#REF!</definedName>
    <definedName name="Congdoc">#REF!</definedName>
    <definedName name="copy" localSheetId="8">#REF!,#REF!,#REF!,#REF!</definedName>
    <definedName name="copy">#REF!,#REF!,#REF!,#REF!</definedName>
    <definedName name="copyl" localSheetId="8">#REF!,#REF!,#REF!,#REF!,#REF!</definedName>
    <definedName name="copyl">#REF!,#REF!,#REF!,#REF!,#REF!</definedName>
    <definedName name="core_cn">#REF!</definedName>
    <definedName name="core_ks">#REF!</definedName>
    <definedName name="CoreProgram_CN">#REF!</definedName>
    <definedName name="cot" localSheetId="8">#REF!</definedName>
    <definedName name="cot">#REF!</definedName>
    <definedName name="Cot_thep" localSheetId="8">#REF!</definedName>
    <definedName name="Cot_thep">#REF!</definedName>
    <definedName name="cot7.5">#REF!</definedName>
    <definedName name="cot8.5">#REF!</definedName>
    <definedName name="cotpha" localSheetId="8">#REF!</definedName>
    <definedName name="cotpha">#REF!</definedName>
    <definedName name="Cotsatma">9726</definedName>
    <definedName name="Cotthepma">9726</definedName>
    <definedName name="Country">#REF!</definedName>
    <definedName name="counxlkcs">#REF!</definedName>
    <definedName name="couxlkcs">#REF!</definedName>
    <definedName name="couxlkd">#REF!</definedName>
    <definedName name="couxlktnl">#REF!</definedName>
    <definedName name="couxlkttv">#REF!</definedName>
    <definedName name="couxlkh">#REF!</definedName>
    <definedName name="couxlpxsx">#REF!</definedName>
    <definedName name="couxltc">#REF!</definedName>
    <definedName name="COVER">#REF!</definedName>
    <definedName name="CP" localSheetId="8">#REF!</definedName>
    <definedName name="CP">#REF!</definedName>
    <definedName name="CPC">#REF!</definedName>
    <definedName name="CPCNT" localSheetId="8">#REF!</definedName>
    <definedName name="CPCNT">#REF!</definedName>
    <definedName name="cpd" localSheetId="8">#REF!</definedName>
    <definedName name="cpd">#REF!</definedName>
    <definedName name="cpdd" localSheetId="8">#REF!</definedName>
    <definedName name="cpdd">#REF!</definedName>
    <definedName name="cpdd1">#REF!</definedName>
    <definedName name="cpdd2" localSheetId="8">#REF!</definedName>
    <definedName name="cpdd2">#REF!</definedName>
    <definedName name="CPDD22cm" localSheetId="8">#REF!</definedName>
    <definedName name="CPDD22cm">#REF!</definedName>
    <definedName name="cpdd35cm" localSheetId="8">#REF!</definedName>
    <definedName name="cpdd35cm">#REF!</definedName>
    <definedName name="CPK" localSheetId="8">#REF!</definedName>
    <definedName name="CPK">#REF!</definedName>
    <definedName name="CPKSAT">#REF!</definedName>
    <definedName name="cplhsmt" localSheetId="8">#REF!</definedName>
    <definedName name="cplhsmt">#REF!</definedName>
    <definedName name="cpmtc">#REF!</definedName>
    <definedName name="cpnc">#REF!</definedName>
    <definedName name="CPNK" localSheetId="8">#REF!</definedName>
    <definedName name="CPNK">#REF!</definedName>
    <definedName name="CPPM" localSheetId="8">#REF!</definedName>
    <definedName name="CPPM">#REF!</definedName>
    <definedName name="CPTD" localSheetId="8">#REF!</definedName>
    <definedName name="CPTD">#REF!</definedName>
    <definedName name="cptdhsmt" localSheetId="8">#REF!</definedName>
    <definedName name="cptdhsmt">#REF!</definedName>
    <definedName name="cptdtdt" localSheetId="8">#REF!</definedName>
    <definedName name="cptdtdt">#REF!</definedName>
    <definedName name="cptdtkkt" localSheetId="8">#REF!</definedName>
    <definedName name="cptdtkkt">#REF!</definedName>
    <definedName name="CPTKE">#REF!</definedName>
    <definedName name="cptt">#REF!</definedName>
    <definedName name="CPTVAN">#REF!</definedName>
    <definedName name="CPU_AMD_K6II_550" localSheetId="8">#REF!</definedName>
    <definedName name="CPU_AMD_K6II_550">#REF!</definedName>
    <definedName name="CPU_Intel_P4_1.7_256K_256RIMM" localSheetId="8">#REF!</definedName>
    <definedName name="CPU_Intel_P4_1.7_256K_256RIMM">#REF!</definedName>
    <definedName name="CPU_Intel_PIII500E_256Kdie_Copp" localSheetId="8">#REF!</definedName>
    <definedName name="CPU_Intel_PIII500E_256Kdie_Copp">#REF!</definedName>
    <definedName name="CPU_Intel_PIII550E_256Kdie_Copp" localSheetId="8">#REF!</definedName>
    <definedName name="CPU_Intel_PIII550E_256Kdie_Copp">#REF!</definedName>
    <definedName name="cpvc">#REF!</definedName>
    <definedName name="CPVC100">#REF!</definedName>
    <definedName name="CPVC1KM" localSheetId="8">#REF!</definedName>
    <definedName name="CPVC1KM">#REF!</definedName>
    <definedName name="CPVC35">#REF!</definedName>
    <definedName name="CPVCDN" localSheetId="8">#REF!</definedName>
    <definedName name="CPVCDN">#REF!</definedName>
    <definedName name="cpvl">#REF!</definedName>
    <definedName name="CPX" localSheetId="8">#REF!</definedName>
    <definedName name="CPX">#REF!</definedName>
    <definedName name="CPXK" localSheetId="8">#REF!</definedName>
    <definedName name="CPXK">#REF!</definedName>
    <definedName name="CPY" localSheetId="8">#REF!</definedName>
    <definedName name="CPY">#REF!</definedName>
    <definedName name="CRD">#REF!</definedName>
    <definedName name="Crew" localSheetId="8">#REF!</definedName>
    <definedName name="Crew">#REF!</definedName>
    <definedName name="CRIT1">#REF!</definedName>
    <definedName name="CRIT10">#REF!</definedName>
    <definedName name="CRIT2">#REF!</definedName>
    <definedName name="CRIT3">#REF!</definedName>
    <definedName name="CRIT4">#REF!</definedName>
    <definedName name="CRIT5">#REF!</definedName>
    <definedName name="CRIT6">#REF!</definedName>
    <definedName name="CRIT7">#REF!</definedName>
    <definedName name="CRIT8">#REF!</definedName>
    <definedName name="CRIT9">#REF!</definedName>
    <definedName name="_xlnm.Criteria" localSheetId="8">#REF!</definedName>
    <definedName name="_xlnm.Criteria">#REF!</definedName>
    <definedName name="CRITINST">#REF!</definedName>
    <definedName name="CRITPURC">#REF!</definedName>
    <definedName name="CRS">#REF!</definedName>
    <definedName name="cs" localSheetId="8">#REF!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d3p">#REF!</definedName>
    <definedName name="csddg1p">#REF!</definedName>
    <definedName name="csddt1p">#REF!</definedName>
    <definedName name="csht3p">#REF!</definedName>
    <definedName name="CSX" localSheetId="8">#REF!</definedName>
    <definedName name="CSX">#REF!</definedName>
    <definedName name="CSY" localSheetId="8">#REF!</definedName>
    <definedName name="CSY">#REF!</definedName>
    <definedName name="CT">#REF!</definedName>
    <definedName name="CT_03" localSheetId="8">#REF!</definedName>
    <definedName name="CT_03">#REF!</definedName>
    <definedName name="CT_50">#REF!</definedName>
    <definedName name="CT_KSTK">#REF!</definedName>
    <definedName name="CT_MCX">#REF!</definedName>
    <definedName name="ct3_" localSheetId="8">#REF!</definedName>
    <definedName name="ct3_">#REF!</definedName>
    <definedName name="ct5_" localSheetId="8">#REF!</definedName>
    <definedName name="ct5_">#REF!</definedName>
    <definedName name="Ctb" localSheetId="8">#REF!</definedName>
    <definedName name="Ctb">#REF!</definedName>
    <definedName name="CTBT" localSheetId="8">#REF!</definedName>
    <definedName name="CTBT">#REF!</definedName>
    <definedName name="CTBT1" localSheetId="8">#REF!</definedName>
    <definedName name="CTBT1">#REF!</definedName>
    <definedName name="CTBT2" localSheetId="8">#REF!</definedName>
    <definedName name="CTBT2">#REF!</definedName>
    <definedName name="CTCT1" localSheetId="8" hidden="1">{"'Sheet1'!$L$16"}</definedName>
    <definedName name="CTCT1" localSheetId="0" hidden="1">{"'Sheet1'!$L$16"}</definedName>
    <definedName name="CTCT1" localSheetId="6" hidden="1">{"'Sheet1'!$L$16"}</definedName>
    <definedName name="CTCT1" localSheetId="9" hidden="1">{"'Sheet1'!$L$16"}</definedName>
    <definedName name="CTCT1" localSheetId="7" hidden="1">{"'Sheet1'!$L$16"}</definedName>
    <definedName name="CTCT1" hidden="1">{"'Sheet1'!$L$16"}</definedName>
    <definedName name="ctct2" localSheetId="8" hidden="1">{"'Sheet1'!$L$16"}</definedName>
    <definedName name="ctct2" localSheetId="0" hidden="1">{"'Sheet1'!$L$16"}</definedName>
    <definedName name="ctct2" localSheetId="6" hidden="1">{"'Sheet1'!$L$16"}</definedName>
    <definedName name="ctct2" localSheetId="9" hidden="1">{"'Sheet1'!$L$16"}</definedName>
    <definedName name="ctct2" localSheetId="7" hidden="1">{"'Sheet1'!$L$16"}</definedName>
    <definedName name="ctct2" hidden="1">{"'Sheet1'!$L$16"}</definedName>
    <definedName name="ctdg" localSheetId="8">#REF!</definedName>
    <definedName name="ctdg">#REF!</definedName>
    <definedName name="CTDL" localSheetId="8">#REF!</definedName>
    <definedName name="CTDL">#REF!</definedName>
    <definedName name="ctdn9697">#REF!</definedName>
    <definedName name="ctgt">#REF!</definedName>
    <definedName name="ctgt1">#REF!</definedName>
    <definedName name="cti3x15" localSheetId="8">#REF!</definedName>
    <definedName name="cti3x15">#REF!</definedName>
    <definedName name="ctiep">#REF!</definedName>
    <definedName name="CTIET">#REF!</definedName>
    <definedName name="ctieu" localSheetId="8" hidden="1">{"'Sheet1'!$L$16"}</definedName>
    <definedName name="ctieu" localSheetId="0" hidden="1">{"'Sheet1'!$L$16"}</definedName>
    <definedName name="ctieu" localSheetId="6" hidden="1">{"'Sheet1'!$L$16"}</definedName>
    <definedName name="ctieu" localSheetId="9" hidden="1">{"'Sheet1'!$L$16"}</definedName>
    <definedName name="ctieu" localSheetId="7" hidden="1">{"'Sheet1'!$L$16"}</definedName>
    <definedName name="ctieu" hidden="1">{"'Sheet1'!$L$16"}</definedName>
    <definedName name="ctinh" localSheetId="8">#REF!</definedName>
    <definedName name="ctinh">#REF!</definedName>
    <definedName name="CTL">#REF!</definedName>
    <definedName name="ctmai">#REF!</definedName>
    <definedName name="cto" localSheetId="8">#REF!</definedName>
    <definedName name="cto">#REF!</definedName>
    <definedName name="ctong">#REF!</definedName>
    <definedName name="CTsu" localSheetId="8" hidden="1">{"'Sheet1'!$L$16"}</definedName>
    <definedName name="CTsu" localSheetId="0" hidden="1">{"'Sheet1'!$L$16"}</definedName>
    <definedName name="CTsu" localSheetId="6" hidden="1">{"'Sheet1'!$L$16"}</definedName>
    <definedName name="CTsu" localSheetId="9" hidden="1">{"'Sheet1'!$L$16"}</definedName>
    <definedName name="CTsu" localSheetId="7" hidden="1">{"'Sheet1'!$L$16"}</definedName>
    <definedName name="CTsu" hidden="1">{"'Sheet1'!$L$16"}</definedName>
    <definedName name="ctxd">#REF!</definedName>
    <definedName name="CTH">#REF!</definedName>
    <definedName name="CTHT">#REF!</definedName>
    <definedName name="CTRAM">#REF!</definedName>
    <definedName name="ctre">#REF!</definedName>
    <definedName name="cu">#REF!</definedName>
    <definedName name="CU_LY">#REF!</definedName>
    <definedName name="cu_ly_1" localSheetId="8">#REF!</definedName>
    <definedName name="cu_ly_1">#REF!</definedName>
    <definedName name="CU_LY_VAN_CHUYEN_GIA_QUYEN">#REF!</definedName>
    <definedName name="CU_LY_VAN_CHUYEN_THU_CONG">#REF!</definedName>
    <definedName name="cui">#REF!</definedName>
    <definedName name="CuLy">#REF!</definedName>
    <definedName name="CuLy_Q">#REF!</definedName>
    <definedName name="culy1" localSheetId="8">#REF!</definedName>
    <definedName name="culy1">#REF!</definedName>
    <definedName name="culy2" localSheetId="8">#REF!</definedName>
    <definedName name="culy2">#REF!</definedName>
    <definedName name="culy3" localSheetId="8">#REF!</definedName>
    <definedName name="culy3">#REF!</definedName>
    <definedName name="culy4" localSheetId="8">#REF!</definedName>
    <definedName name="culy4">#REF!</definedName>
    <definedName name="culy5" localSheetId="8">#REF!</definedName>
    <definedName name="culy5">#REF!</definedName>
    <definedName name="cung" localSheetId="8" hidden="1">{"'Sheet1'!$L$16"}</definedName>
    <definedName name="cung" localSheetId="0" hidden="1">{"'Sheet1'!$L$16"}</definedName>
    <definedName name="cung" localSheetId="6" hidden="1">{"'Sheet1'!$L$16"}</definedName>
    <definedName name="cung" localSheetId="9" hidden="1">{"'Sheet1'!$L$16"}</definedName>
    <definedName name="cung" localSheetId="7" hidden="1">{"'Sheet1'!$L$16"}</definedName>
    <definedName name="cung" hidden="1">{"'Sheet1'!$L$16"}</definedName>
    <definedName name="cuoc" localSheetId="8">#REF!</definedName>
    <definedName name="cuoc">#REF!</definedName>
    <definedName name="cuoc_vc">#REF!</definedName>
    <definedName name="Cuoc_vc_1" localSheetId="8">#REF!</definedName>
    <definedName name="Cuoc_vc_1">#REF!</definedName>
    <definedName name="CuocVC">#REF!</definedName>
    <definedName name="cuond">#REF!</definedName>
    <definedName name="CURRENCY">#REF!</definedName>
    <definedName name="Current">#REF!</definedName>
    <definedName name="cutback">#REF!</definedName>
    <definedName name="cv" localSheetId="8">#REF!</definedName>
    <definedName name="cv">#REF!</definedName>
    <definedName name="CVC_Q">#REF!</definedName>
    <definedName name="cx">#REF!</definedName>
    <definedName name="cxhtnc" localSheetId="8">#REF!</definedName>
    <definedName name="cxhtnc">#REF!</definedName>
    <definedName name="cxhtvl" localSheetId="8">#REF!</definedName>
    <definedName name="cxhtvl">#REF!</definedName>
    <definedName name="cxnc" localSheetId="8">#REF!</definedName>
    <definedName name="cxnc">#REF!</definedName>
    <definedName name="cxvl" localSheetId="8">#REF!</definedName>
    <definedName name="cxvl">#REF!</definedName>
    <definedName name="cxxnc" localSheetId="8">#REF!</definedName>
    <definedName name="cxxnc">#REF!</definedName>
    <definedName name="cxxvl" localSheetId="8">#REF!</definedName>
    <definedName name="cxxvl">#REF!</definedName>
    <definedName name="CH" localSheetId="8">#REF!</definedName>
    <definedName name="CH">#REF!</definedName>
    <definedName name="Ch_rong">#REF!</definedName>
    <definedName name="Chang" localSheetId="8">#REF!</definedName>
    <definedName name="Chang">#REF!</definedName>
    <definedName name="CHAR">#REF!</definedName>
    <definedName name="Characteristic">#REF!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htnc" localSheetId="8">#REF!</definedName>
    <definedName name="chhtnc">#REF!</definedName>
    <definedName name="chhtvl" localSheetId="8">#REF!</definedName>
    <definedName name="chhtvl">#REF!</definedName>
    <definedName name="Chi_phi_OM">#REF!</definedName>
    <definedName name="Chi_tieát_phi">#REF!</definedName>
    <definedName name="Chi_tiet_0.4">#REF!</definedName>
    <definedName name="Chi_Tiet_22">#REF!</definedName>
    <definedName name="Chi_tiet_TBA">#REF!</definedName>
    <definedName name="chi_tiÕt_vËt_liÖu___nh_n_c_ng___m_y_thi_c_ng">#REF!</definedName>
    <definedName name="chiemhoa" localSheetId="8">#REF!</definedName>
    <definedName name="chiemhoa">#REF!</definedName>
    <definedName name="Chiet_khau" localSheetId="8">#REF!</definedName>
    <definedName name="Chiet_khau">#REF!</definedName>
    <definedName name="Chin">#REF!</definedName>
    <definedName name="ChiPhiKhac">#REF!</definedName>
    <definedName name="chitietbgiang2" localSheetId="8" hidden="1">{"'Sheet1'!$L$16"}</definedName>
    <definedName name="chitietbgiang2" localSheetId="0" hidden="1">{"'Sheet1'!$L$16"}</definedName>
    <definedName name="chitietbgiang2" localSheetId="6" hidden="1">{"'Sheet1'!$L$16"}</definedName>
    <definedName name="chitietbgiang2" localSheetId="9" hidden="1">{"'Sheet1'!$L$16"}</definedName>
    <definedName name="chitietbgiang2" localSheetId="7" hidden="1">{"'Sheet1'!$L$16"}</definedName>
    <definedName name="chitietbgiang2" hidden="1">{"'Sheet1'!$L$16"}</definedName>
    <definedName name="chitietdao">#REF!</definedName>
    <definedName name="chl" localSheetId="8" hidden="1">{"'Sheet1'!$L$16"}</definedName>
    <definedName name="chl" localSheetId="0" hidden="1">{"'Sheet1'!$L$16"}</definedName>
    <definedName name="chl" localSheetId="6" hidden="1">{"'Sheet1'!$L$16"}</definedName>
    <definedName name="chl" localSheetId="9" hidden="1">{"'Sheet1'!$L$16"}</definedName>
    <definedName name="chl" localSheetId="7" hidden="1">{"'Sheet1'!$L$16"}</definedName>
    <definedName name="chl" hidden="1">{"'Sheet1'!$L$16"}</definedName>
    <definedName name="chnc" localSheetId="8">#REF!</definedName>
    <definedName name="chnc">#REF!</definedName>
    <definedName name="chon">#REF!</definedName>
    <definedName name="chon1">#REF!</definedName>
    <definedName name="chon2">#REF!</definedName>
    <definedName name="chon3">#REF!</definedName>
    <definedName name="Chu" localSheetId="8">#REF!</definedName>
    <definedName name="Chu">#REF!</definedName>
    <definedName name="Chu_dau_tu" localSheetId="8">#REF!</definedName>
    <definedName name="Chu_dau_tu">#REF!</definedName>
    <definedName name="chung">66</definedName>
    <definedName name="chuyen" localSheetId="8" hidden="1">{"'Sheet1'!$L$16"}</definedName>
    <definedName name="chuyen" localSheetId="0" hidden="1">{"'Sheet1'!$L$16"}</definedName>
    <definedName name="chuyen" localSheetId="6" hidden="1">{"'Sheet1'!$L$16"}</definedName>
    <definedName name="chuyen" localSheetId="9" hidden="1">{"'Sheet1'!$L$16"}</definedName>
    <definedName name="chuyen" localSheetId="7" hidden="1">{"'Sheet1'!$L$16"}</definedName>
    <definedName name="chuyen" hidden="1">{"'Sheet1'!$L$16"}</definedName>
    <definedName name="chvl" localSheetId="8">#REF!</definedName>
    <definedName name="chvl">#REF!</definedName>
    <definedName name="d" localSheetId="8">#REF!</definedName>
    <definedName name="d">#REF!</definedName>
    <definedName name="d.d" localSheetId="8">#REF!</definedName>
    <definedName name="d.d">#REF!</definedName>
    <definedName name="d.d1" localSheetId="8">#REF!</definedName>
    <definedName name="d.d1">#REF!</definedName>
    <definedName name="d.d2" localSheetId="8">#REF!</definedName>
    <definedName name="d.d2">#REF!</definedName>
    <definedName name="d_">#REF!</definedName>
    <definedName name="d_1" localSheetId="8">#REF!</definedName>
    <definedName name="d_1">#REF!</definedName>
    <definedName name="d_1I" localSheetId="8">#REF!</definedName>
    <definedName name="d_1I">#REF!</definedName>
    <definedName name="d_1II" localSheetId="8">#REF!</definedName>
    <definedName name="d_1II">#REF!</definedName>
    <definedName name="d_1III" localSheetId="8">#REF!</definedName>
    <definedName name="d_1III">#REF!</definedName>
    <definedName name="d_1IV" localSheetId="8">#REF!</definedName>
    <definedName name="d_1IV">#REF!</definedName>
    <definedName name="d_2" localSheetId="8">#REF!</definedName>
    <definedName name="d_2">#REF!</definedName>
    <definedName name="d_2I" localSheetId="8">#REF!</definedName>
    <definedName name="d_2I">#REF!</definedName>
    <definedName name="d_2II" localSheetId="8">#REF!</definedName>
    <definedName name="d_2II">#REF!</definedName>
    <definedName name="d_2III" localSheetId="8">#REF!</definedName>
    <definedName name="d_2III">#REF!</definedName>
    <definedName name="d_2IV" localSheetId="8">#REF!</definedName>
    <definedName name="d_2IV">#REF!</definedName>
    <definedName name="d_3" localSheetId="8">#REF!</definedName>
    <definedName name="d_3">#REF!</definedName>
    <definedName name="d_3I" localSheetId="8">#REF!</definedName>
    <definedName name="d_3I">#REF!</definedName>
    <definedName name="d_3II" localSheetId="8">#REF!</definedName>
    <definedName name="d_3II">#REF!</definedName>
    <definedName name="d_3III" localSheetId="8">#REF!</definedName>
    <definedName name="d_3III">#REF!</definedName>
    <definedName name="d_3IV" localSheetId="8">#REF!</definedName>
    <definedName name="d_3IV">#REF!</definedName>
    <definedName name="d_4" localSheetId="8">#REF!</definedName>
    <definedName name="d_4">#REF!</definedName>
    <definedName name="d_4I" localSheetId="8">#REF!</definedName>
    <definedName name="d_4I">#REF!</definedName>
    <definedName name="d_4II" localSheetId="8">#REF!</definedName>
    <definedName name="d_4II">#REF!</definedName>
    <definedName name="d_4III" localSheetId="8">#REF!</definedName>
    <definedName name="d_4III">#REF!</definedName>
    <definedName name="d_4IV" localSheetId="8">#REF!</definedName>
    <definedName name="d_4IV">#REF!</definedName>
    <definedName name="D_7101A_B">#REF!</definedName>
    <definedName name="d_9bI" localSheetId="8">#REF!</definedName>
    <definedName name="d_9bI">#REF!</definedName>
    <definedName name="d_9bII" localSheetId="8">#REF!</definedName>
    <definedName name="d_9bII">#REF!</definedName>
    <definedName name="d_9bIII" localSheetId="8">#REF!</definedName>
    <definedName name="d_9bIII">#REF!</definedName>
    <definedName name="d_9bIV" localSheetId="8">#REF!</definedName>
    <definedName name="d_9bIV">#REF!</definedName>
    <definedName name="d_9I" localSheetId="8">#REF!</definedName>
    <definedName name="d_9I">#REF!</definedName>
    <definedName name="d_9II" localSheetId="8">#REF!</definedName>
    <definedName name="d_9II">#REF!</definedName>
    <definedName name="d_9III" localSheetId="8">#REF!</definedName>
    <definedName name="d_9III">#REF!</definedName>
    <definedName name="d_9IV" localSheetId="8">#REF!</definedName>
    <definedName name="d_9IV">#REF!</definedName>
    <definedName name="D_Gia" localSheetId="8">#REF!</definedName>
    <definedName name="D_Gia">#REF!</definedName>
    <definedName name="D_giavt" localSheetId="8">#REF!</definedName>
    <definedName name="D_giavt">#REF!</definedName>
    <definedName name="D_kien" localSheetId="8">#REF!</definedName>
    <definedName name="D_kien">#REF!</definedName>
    <definedName name="D_L">#REF!</definedName>
    <definedName name="D_n">#REF!</definedName>
    <definedName name="D_y__ay" localSheetId="8">#REF!</definedName>
    <definedName name="D_y__ay">#REF!</definedName>
    <definedName name="d1_" localSheetId="8">#REF!</definedName>
    <definedName name="d1_">#REF!</definedName>
    <definedName name="D1x49" localSheetId="8">#REF!</definedName>
    <definedName name="D1x49">#REF!</definedName>
    <definedName name="D1x49x49" localSheetId="8">#REF!</definedName>
    <definedName name="D1x49x49">#REF!</definedName>
    <definedName name="d1x6" localSheetId="8">#REF!</definedName>
    <definedName name="d1x6">#REF!</definedName>
    <definedName name="d2.7" localSheetId="8">#REF!</definedName>
    <definedName name="d2.7">#REF!</definedName>
    <definedName name="d2_" localSheetId="8">#REF!</definedName>
    <definedName name="d2_">#REF!</definedName>
    <definedName name="d24nc" localSheetId="8">#REF!</definedName>
    <definedName name="d24nc">#REF!</definedName>
    <definedName name="d24vl" localSheetId="8">#REF!</definedName>
    <definedName name="d24vl">#REF!</definedName>
    <definedName name="d3.0" localSheetId="8">#REF!</definedName>
    <definedName name="d3.0">#REF!</definedName>
    <definedName name="d3.5" localSheetId="8">#REF!</definedName>
    <definedName name="d3.5">#REF!</definedName>
    <definedName name="d3_" localSheetId="8">#REF!</definedName>
    <definedName name="d3_">#REF!</definedName>
    <definedName name="D4.0" localSheetId="8">#REF!</definedName>
    <definedName name="D4.0">#REF!</definedName>
    <definedName name="d4_" localSheetId="8">#REF!</definedName>
    <definedName name="d4_">#REF!</definedName>
    <definedName name="d4x6" localSheetId="8">#REF!</definedName>
    <definedName name="d4x6">#REF!</definedName>
    <definedName name="d5_" localSheetId="8">#REF!</definedName>
    <definedName name="d5_">#REF!</definedName>
    <definedName name="DA">#REF!</definedName>
    <definedName name="da." localSheetId="8">#REF!</definedName>
    <definedName name="da.">#REF!</definedName>
    <definedName name="da_" localSheetId="8">#REF!</definedName>
    <definedName name="da_">#REF!</definedName>
    <definedName name="da0.5x1" localSheetId="8">#REF!</definedName>
    <definedName name="da0.5x1">#REF!</definedName>
    <definedName name="da1x1">#REF!</definedName>
    <definedName name="da1x2" localSheetId="8">#REF!</definedName>
    <definedName name="da1x2">#REF!</definedName>
    <definedName name="da2x4" localSheetId="8">#REF!</definedName>
    <definedName name="da2x4">#REF!</definedName>
    <definedName name="da4x6" localSheetId="8">#REF!</definedName>
    <definedName name="da4x6">#REF!</definedName>
    <definedName name="dadad" localSheetId="8">#REF!</definedName>
    <definedName name="dadad">#REF!</definedName>
    <definedName name="dadas" localSheetId="8">#REF!</definedName>
    <definedName name="dadas">#REF!</definedName>
    <definedName name="dáds" localSheetId="8">#REF!</definedName>
    <definedName name="dáds">#REF!</definedName>
    <definedName name="dah">#REF!</definedName>
    <definedName name="dahoc">#REF!</definedName>
    <definedName name="Dalan">#REF!</definedName>
    <definedName name="DALANPASTE">#REF!</definedName>
    <definedName name="dam">78000</definedName>
    <definedName name="dam_24">#REF!</definedName>
    <definedName name="damban1kw">#REF!</definedName>
    <definedName name="damcoc60">#REF!</definedName>
    <definedName name="damcoc80">#REF!</definedName>
    <definedName name="damdui1.5">#REF!</definedName>
    <definedName name="DamNgang">#REF!</definedName>
    <definedName name="DaName">#REF!</definedName>
    <definedName name="dao">#REF!</definedName>
    <definedName name="DAO_DAT">#REF!</definedName>
    <definedName name="dao0.65">#REF!</definedName>
    <definedName name="dao1.0">#REF!</definedName>
    <definedName name="Daodat" localSheetId="8">#REF!</definedName>
    <definedName name="Daodat">#REF!</definedName>
    <definedName name="daolay" localSheetId="8">#REF!</definedName>
    <definedName name="daolay">#REF!</definedName>
    <definedName name="daotd" localSheetId="8">#REF!</definedName>
    <definedName name="daotd">#REF!</definedName>
    <definedName name="dap" localSheetId="8">#REF!</definedName>
    <definedName name="dap">#REF!</definedName>
    <definedName name="Dapcat" localSheetId="8">#REF!</definedName>
    <definedName name="Dapcat">#REF!</definedName>
    <definedName name="daptd" localSheetId="8">#REF!</definedName>
    <definedName name="daptd">#REF!</definedName>
    <definedName name="Dat">#REF!</definedName>
    <definedName name="DAT5M" localSheetId="8">#REF!</definedName>
    <definedName name="DAT5M">#REF!</definedName>
    <definedName name="Data">#REF!</definedName>
    <definedName name="DATA_DATA2_List">#REF!</definedName>
    <definedName name="Data11">#REF!</definedName>
    <definedName name="Data41">#REF!</definedName>
    <definedName name="_xlnm.Database">#REF!</definedName>
    <definedName name="DataFilter" localSheetId="8">#REF!</definedName>
    <definedName name="DataFilter" localSheetId="0">#REF!</definedName>
    <definedName name="DataFilter" localSheetId="9">#REF!</definedName>
    <definedName name="DataFilter">#REF!</definedName>
    <definedName name="datak">#REF!</definedName>
    <definedName name="datal">#REF!</definedName>
    <definedName name="DataSort" localSheetId="8">#REF!</definedName>
    <definedName name="DataSort" localSheetId="0">#REF!</definedName>
    <definedName name="DataSort" localSheetId="9">#REF!</definedName>
    <definedName name="DataSort">#REF!</definedName>
    <definedName name="DATATKDT">#REF!</definedName>
    <definedName name="DataYear2001" localSheetId="8">#REF!</definedName>
    <definedName name="DataYear2001">#REF!</definedName>
    <definedName name="Datdoi" localSheetId="8">#REF!</definedName>
    <definedName name="Datdoi">#REF!</definedName>
    <definedName name="Date">#REF!</definedName>
    <definedName name="DATT" localSheetId="8">#REF!</definedName>
    <definedName name="DATT">#REF!</definedName>
    <definedName name="Dattt">#REF!</definedName>
    <definedName name="Datvv">#REF!</definedName>
    <definedName name="dathnho" localSheetId="8">#REF!</definedName>
    <definedName name="dathnho">#REF!</definedName>
    <definedName name="dathto" localSheetId="8">#REF!</definedName>
    <definedName name="dathto">#REF!</definedName>
    <definedName name="dauchi" localSheetId="8">#REF!</definedName>
    <definedName name="dauchi">#REF!</definedName>
    <definedName name="daybuoc" localSheetId="8">#REF!</definedName>
    <definedName name="daybuoc">#REF!</definedName>
    <definedName name="Daythep" localSheetId="8">#REF!</definedName>
    <definedName name="Daythep">#REF!</definedName>
    <definedName name="db" localSheetId="8">#REF!</definedName>
    <definedName name="db">#REF!</definedName>
    <definedName name="db." localSheetId="8">#REF!</definedName>
    <definedName name="db.">#REF!</definedName>
    <definedName name="DBASE">#REF!</definedName>
    <definedName name="dc">#REF!</definedName>
    <definedName name="dc." localSheetId="8">#REF!</definedName>
    <definedName name="dc.">#REF!</definedName>
    <definedName name="dca." localSheetId="8">#REF!</definedName>
    <definedName name="dca.">#REF!</definedName>
    <definedName name="Dcap" localSheetId="8">#REF!</definedName>
    <definedName name="Dcap">#REF!</definedName>
    <definedName name="dcb." localSheetId="8">#REF!</definedName>
    <definedName name="dcb.">#REF!</definedName>
    <definedName name="dcc" localSheetId="8">#REF!</definedName>
    <definedName name="dcc">#REF!</definedName>
    <definedName name="dcc." localSheetId="8">#REF!</definedName>
    <definedName name="dcc.">#REF!</definedName>
    <definedName name="dcl" localSheetId="8">#REF!</definedName>
    <definedName name="dcl">#REF!</definedName>
    <definedName name="DCL_22">12117600</definedName>
    <definedName name="DCL_35">25490000</definedName>
    <definedName name="DÇm_33">#REF!</definedName>
    <definedName name="Dcol" localSheetId="8">#REF!</definedName>
    <definedName name="Dcol">#REF!</definedName>
    <definedName name="Dch" localSheetId="8">#REF!</definedName>
    <definedName name="Dch">#REF!</definedName>
    <definedName name="dche">#REF!</definedName>
    <definedName name="DD">#REF!</definedName>
    <definedName name="dd0.5x1" localSheetId="8">#REF!</definedName>
    <definedName name="dd0.5x1">#REF!</definedName>
    <definedName name="dd1pnc" localSheetId="8">#REF!</definedName>
    <definedName name="dd1pnc">#REF!</definedName>
    <definedName name="dd1pvl" localSheetId="8">#REF!</definedName>
    <definedName name="dd1pvl">#REF!</definedName>
    <definedName name="dd1x2" localSheetId="8">#REF!</definedName>
    <definedName name="dd1x2">#REF!</definedName>
    <definedName name="dd2x4" localSheetId="8">#REF!</definedName>
    <definedName name="dd2x4">#REF!</definedName>
    <definedName name="dd3pctnc" localSheetId="8">#REF!</definedName>
    <definedName name="dd3pctnc">#REF!</definedName>
    <definedName name="dd3pctvl" localSheetId="8">#REF!</definedName>
    <definedName name="dd3pctvl">#REF!</definedName>
    <definedName name="dd3plmvl" localSheetId="8">#REF!</definedName>
    <definedName name="dd3plmvl">#REF!</definedName>
    <definedName name="dd3pnc" localSheetId="8">#REF!</definedName>
    <definedName name="dd3pnc">#REF!</definedName>
    <definedName name="dd3pvl" localSheetId="8">#REF!</definedName>
    <definedName name="dd3pvl">#REF!</definedName>
    <definedName name="dd4x6">#REF!</definedName>
    <definedName name="DD5M" localSheetId="8">#REF!</definedName>
    <definedName name="DD5M">#REF!</definedName>
    <definedName name="ddamco" localSheetId="8">#REF!</definedName>
    <definedName name="ddamco">#REF!</definedName>
    <definedName name="dday">#REF!</definedName>
    <definedName name="ddd" localSheetId="8" hidden="1">{"'Sheet1'!$L$16"}</definedName>
    <definedName name="ddd" localSheetId="0" hidden="1">{"'Sheet1'!$L$16"}</definedName>
    <definedName name="ddd" localSheetId="6" hidden="1">{"'Sheet1'!$L$16"}</definedName>
    <definedName name="ddd" localSheetId="9" hidden="1">{"'Sheet1'!$L$16"}</definedName>
    <definedName name="ddd" localSheetId="7" hidden="1">{"'Sheet1'!$L$16"}</definedName>
    <definedName name="ddd" hidden="1">{"'Sheet1'!$L$16"}</definedName>
    <definedName name="DDDD">#REF!</definedName>
    <definedName name="ddddđ">#REF!</definedName>
    <definedName name="DDDS" localSheetId="8">#REF!</definedName>
    <definedName name="DDDS">#REF!</definedName>
    <definedName name="dden">#REF!</definedName>
    <definedName name="ddhnho" localSheetId="8">#REF!</definedName>
    <definedName name="ddhnho">#REF!</definedName>
    <definedName name="ddhtnc" localSheetId="8">#REF!</definedName>
    <definedName name="ddhtnc">#REF!</definedName>
    <definedName name="ddhto" localSheetId="8">#REF!</definedName>
    <definedName name="ddhto">#REF!</definedName>
    <definedName name="ddhtvl" localSheetId="8">#REF!</definedName>
    <definedName name="ddhtvl">#REF!</definedName>
    <definedName name="ddia">#REF!</definedName>
    <definedName name="ddien" localSheetId="8">#REF!</definedName>
    <definedName name="ddien">#REF!</definedName>
    <definedName name="DDM" localSheetId="8">#REF!</definedName>
    <definedName name="DDM">#REF!</definedName>
    <definedName name="DDS" localSheetId="8">#REF!</definedName>
    <definedName name="DDS">#REF!</definedName>
    <definedName name="ddt2nc" localSheetId="8">#REF!</definedName>
    <definedName name="ddt2nc">#REF!</definedName>
    <definedName name="ddt2vl" localSheetId="8">#REF!</definedName>
    <definedName name="ddt2vl">#REF!</definedName>
    <definedName name="ddtd3pnc" localSheetId="8">#REF!</definedName>
    <definedName name="ddtd3pnc">#REF!</definedName>
    <definedName name="ddtt1pnc" localSheetId="8">#REF!</definedName>
    <definedName name="ddtt1pnc">#REF!</definedName>
    <definedName name="ddtt1pvl" localSheetId="8">#REF!</definedName>
    <definedName name="ddtt1pvl">#REF!</definedName>
    <definedName name="ddtt3pnc" localSheetId="8">#REF!</definedName>
    <definedName name="ddtt3pnc">#REF!</definedName>
    <definedName name="ddtt3pvl" localSheetId="8">#REF!</definedName>
    <definedName name="ddtt3pvl">#REF!</definedName>
    <definedName name="de_" localSheetId="8">#REF!</definedName>
    <definedName name="de_">#REF!</definedName>
    <definedName name="Default">#REF!</definedName>
    <definedName name="deff" localSheetId="8">#REF!</definedName>
    <definedName name="deff">#REF!</definedName>
    <definedName name="DEFINENAME" localSheetId="8">#REF!</definedName>
    <definedName name="DEFINENAME">#REF!</definedName>
    <definedName name="DEMI1">#N/A</definedName>
    <definedName name="DEMI2">#N/A</definedName>
    <definedName name="Den_bu">#REF!</definedName>
    <definedName name="DenBu">#REF!</definedName>
    <definedName name="DenDK" localSheetId="8" hidden="1">{"'Sheet1'!$L$16"}</definedName>
    <definedName name="DenDK" localSheetId="0" hidden="1">{"'Sheet1'!$L$16"}</definedName>
    <definedName name="DenDK" localSheetId="6" hidden="1">{"'Sheet1'!$L$16"}</definedName>
    <definedName name="DenDK" localSheetId="9" hidden="1">{"'Sheet1'!$L$16"}</definedName>
    <definedName name="DenDK" localSheetId="7" hidden="1">{"'Sheet1'!$L$16"}</definedName>
    <definedName name="DenDK" hidden="1">{"'Sheet1'!$L$16"}</definedName>
    <definedName name="det" localSheetId="8">#REF!</definedName>
    <definedName name="det">#REF!</definedName>
    <definedName name="Det32x3">#REF!</definedName>
    <definedName name="Det35x3">#REF!</definedName>
    <definedName name="Det40x4">#REF!</definedName>
    <definedName name="Det50x5">#REF!</definedName>
    <definedName name="Det63x6">#REF!</definedName>
    <definedName name="Det75x6">#REF!</definedName>
    <definedName name="Detour">#REF!</definedName>
    <definedName name="df">#REF!</definedName>
    <definedName name="DF_e" localSheetId="8">#REF!</definedName>
    <definedName name="DF_e">#REF!</definedName>
    <definedName name="DF_i" localSheetId="8">#REF!</definedName>
    <definedName name="DF_i">#REF!</definedName>
    <definedName name="DF_ve" localSheetId="8">#REF!</definedName>
    <definedName name="DF_ve">#REF!</definedName>
    <definedName name="DF_vi" localSheetId="8">#REF!</definedName>
    <definedName name="DF_vi">#REF!</definedName>
    <definedName name="dfas" localSheetId="8">#REF!</definedName>
    <definedName name="dfas">#REF!</definedName>
    <definedName name="dfdfd" localSheetId="8" hidden="1">{"'Sheet1'!$L$16"}</definedName>
    <definedName name="dfdfd" localSheetId="0" hidden="1">{"'Sheet1'!$L$16"}</definedName>
    <definedName name="dfdfd" localSheetId="6" hidden="1">{"'Sheet1'!$L$16"}</definedName>
    <definedName name="dfdfd" localSheetId="9" hidden="1">{"'Sheet1'!$L$16"}</definedName>
    <definedName name="dfdfd" localSheetId="7" hidden="1">{"'Sheet1'!$L$16"}</definedName>
    <definedName name="dfdfd" hidden="1">{"'Sheet1'!$L$16"}</definedName>
    <definedName name="dffr" localSheetId="8">#REF!</definedName>
    <definedName name="dffr">#REF!</definedName>
    <definedName name="dfggg" localSheetId="8" hidden="1">{"'Sheet1'!$L$16"}</definedName>
    <definedName name="dfggg" localSheetId="0" hidden="1">{"'Sheet1'!$L$16"}</definedName>
    <definedName name="dfggg" localSheetId="6" hidden="1">{"'Sheet1'!$L$16"}</definedName>
    <definedName name="dfggg" localSheetId="9" hidden="1">{"'Sheet1'!$L$16"}</definedName>
    <definedName name="dfggg" localSheetId="7" hidden="1">{"'Sheet1'!$L$16"}</definedName>
    <definedName name="dfggg" hidden="1">{"'Sheet1'!$L$16"}</definedName>
    <definedName name="dfh" localSheetId="8" hidden="1">{"'Sheet1'!$L$16"}</definedName>
    <definedName name="dfh" localSheetId="0" hidden="1">{"'Sheet1'!$L$16"}</definedName>
    <definedName name="dfh" localSheetId="6" hidden="1">{"'Sheet1'!$L$16"}</definedName>
    <definedName name="dfh" localSheetId="9" hidden="1">{"'Sheet1'!$L$16"}</definedName>
    <definedName name="dfh" localSheetId="7" hidden="1">{"'Sheet1'!$L$16"}</definedName>
    <definedName name="dfh" hidden="1">{"'Sheet1'!$L$16"}</definedName>
    <definedName name="dfpf" localSheetId="8">#REF!</definedName>
    <definedName name="dfpf">#REF!</definedName>
    <definedName name="dfsfsd" localSheetId="8" hidden="1">{"'Sheet1'!$L$16"}</definedName>
    <definedName name="dfsfsd" localSheetId="0" hidden="1">{"'Sheet1'!$L$16"}</definedName>
    <definedName name="dfsfsd" localSheetId="6" hidden="1">{"'Sheet1'!$L$16"}</definedName>
    <definedName name="dfsfsd" localSheetId="9" hidden="1">{"'Sheet1'!$L$16"}</definedName>
    <definedName name="dfsfsd" localSheetId="7" hidden="1">{"'Sheet1'!$L$16"}</definedName>
    <definedName name="dfsfsd" hidden="1">{"'Sheet1'!$L$16"}</definedName>
    <definedName name="DFv" localSheetId="8">#REF!</definedName>
    <definedName name="DFv">#REF!</definedName>
    <definedName name="dg" localSheetId="8">#REF!</definedName>
    <definedName name="dg">#REF!</definedName>
    <definedName name="dg_5cau">#REF!</definedName>
    <definedName name="dg_67" localSheetId="8">#REF!</definedName>
    <definedName name="dg_67">#REF!</definedName>
    <definedName name="DG_M_C_X">#REF!</definedName>
    <definedName name="dg67_1">#REF!</definedName>
    <definedName name="dgbdII">#REF!</definedName>
    <definedName name="dgc">#REF!</definedName>
    <definedName name="DGCT_L.SON1" localSheetId="8">#REF!</definedName>
    <definedName name="DGCT_L.SON1">#REF!</definedName>
    <definedName name="DGCT_T.Quy_P.Thuy_Q">#REF!</definedName>
    <definedName name="DGCT_TRAUQUYPHUTHUY_HN">#REF!</definedName>
    <definedName name="DGCTI592" localSheetId="8">#REF!</definedName>
    <definedName name="DGCTI592">#REF!</definedName>
    <definedName name="dgd">#REF!</definedName>
    <definedName name="dghp">#REF!</definedName>
    <definedName name="DGM" localSheetId="8">#REF!</definedName>
    <definedName name="DGM">#REF!</definedName>
    <definedName name="DGNC" localSheetId="8">#REF!</definedName>
    <definedName name="DGNC">#REF!</definedName>
    <definedName name="DGNCTT" localSheetId="8">#REF!</definedName>
    <definedName name="DGNCTT">#REF!</definedName>
    <definedName name="dgqndn">#REF!</definedName>
    <definedName name="DGTN" localSheetId="8">#REF!</definedName>
    <definedName name="DGTN">#REF!</definedName>
    <definedName name="DGTV">#REF!</definedName>
    <definedName name="DGTH">#REF!</definedName>
    <definedName name="DGTH1" localSheetId="8">#REF!</definedName>
    <definedName name="DGTH1">#REF!</definedName>
    <definedName name="dgth2" localSheetId="8">#REF!</definedName>
    <definedName name="dgth2">#REF!</definedName>
    <definedName name="dgthss3">#REF!</definedName>
    <definedName name="DGTR" localSheetId="8">#REF!</definedName>
    <definedName name="DGTR">#REF!</definedName>
    <definedName name="dgvc" localSheetId="8">#REF!</definedName>
    <definedName name="dgvc">#REF!</definedName>
    <definedName name="dgvl">#REF!</definedName>
    <definedName name="DGVL1" localSheetId="8">#REF!</definedName>
    <definedName name="DGVL1">#REF!</definedName>
    <definedName name="DGVT" localSheetId="8">#REF!</definedName>
    <definedName name="DGVT">#REF!</definedName>
    <definedName name="dgxhiencau" localSheetId="8">#REF!</definedName>
    <definedName name="dgxhiencau">#REF!</definedName>
    <definedName name="dgxhienduong">#REF!</definedName>
    <definedName name="DGia">#REF!</definedName>
    <definedName name="DGIA2">#REF!</definedName>
    <definedName name="DGiaT" localSheetId="8">#REF!</definedName>
    <definedName name="DGiaT">#REF!</definedName>
    <definedName name="DGiaTN" localSheetId="8">#REF!</definedName>
    <definedName name="DGiaTN">#REF!</definedName>
    <definedName name="dh">#REF!</definedName>
    <definedName name="dhom">#REF!</definedName>
    <definedName name="DIABAN" localSheetId="8">#REF!</definedName>
    <definedName name="DIABAN">#REF!</definedName>
    <definedName name="DICH11" localSheetId="8">#REF!</definedName>
    <definedName name="DICH11">#REF!</definedName>
    <definedName name="dich22" localSheetId="8">#REF!</definedName>
    <definedName name="dich22">#REF!</definedName>
    <definedName name="DICHSO" localSheetId="8">#REF!</definedName>
    <definedName name="DICHSO" localSheetId="0">#REF!</definedName>
    <definedName name="DICHSO" localSheetId="9">#REF!</definedName>
    <definedName name="DICHSO">#REF!</definedName>
    <definedName name="dien">#REF!</definedName>
    <definedName name="Dien_Luong_nam" localSheetId="8">#REF!</definedName>
    <definedName name="Dien_Luong_nam">#REF!</definedName>
    <definedName name="Dien_nang_so_cap" localSheetId="8">#REF!</definedName>
    <definedName name="Dien_nang_so_cap">#REF!</definedName>
    <definedName name="Dien_nang_thu_cap" localSheetId="8">#REF!</definedName>
    <definedName name="Dien_nang_thu_cap">#REF!</definedName>
    <definedName name="DIMM_64MB_ECC_PC133" localSheetId="8">#REF!</definedName>
    <definedName name="DIMM_64MB_ECC_PC133">#REF!</definedName>
    <definedName name="dinh" localSheetId="8">#REF!</definedName>
    <definedName name="dinh">#REF!</definedName>
    <definedName name="dinh2">#REF!</definedName>
    <definedName name="dinhdia" localSheetId="8">#REF!</definedName>
    <definedName name="dinhdia">#REF!</definedName>
    <definedName name="dinhmucamosanxuature" localSheetId="8">#REF!</definedName>
    <definedName name="dinhmucamosanxuature">#REF!</definedName>
    <definedName name="dinhmucamosanxuature1" localSheetId="8">#REF!</definedName>
    <definedName name="dinhmucamosanxuature1">#REF!</definedName>
    <definedName name="DK" localSheetId="8">#REF!</definedName>
    <definedName name="DK">#REF!</definedName>
    <definedName name="DKTT" localSheetId="8">#REF!</definedName>
    <definedName name="DKTT">#REF!</definedName>
    <definedName name="DL" localSheetId="8">#REF!</definedName>
    <definedName name="DL">#REF!</definedName>
    <definedName name="DL15HT" localSheetId="8">#REF!</definedName>
    <definedName name="DL15HT">#REF!</definedName>
    <definedName name="DL16HT" localSheetId="8">#REF!</definedName>
    <definedName name="DL16HT">#REF!</definedName>
    <definedName name="DL19HT" localSheetId="8">#REF!</definedName>
    <definedName name="DL19HT">#REF!</definedName>
    <definedName name="DL20HT" localSheetId="8">#REF!</definedName>
    <definedName name="DL20HT">#REF!</definedName>
    <definedName name="DLC">#REF!</definedName>
    <definedName name="DLCC">#REF!</definedName>
    <definedName name="DLdv" localSheetId="8">#REF!</definedName>
    <definedName name="DLdv">#REF!</definedName>
    <definedName name="DM">#REF!</definedName>
    <definedName name="DM_KH">#REF!</definedName>
    <definedName name="DM_SP">#REF!</definedName>
    <definedName name="DM_TK">#REF!</definedName>
    <definedName name="dm1." localSheetId="8">#REF!</definedName>
    <definedName name="dm1.">#REF!</definedName>
    <definedName name="dm2." localSheetId="8">#REF!</definedName>
    <definedName name="dm2.">#REF!</definedName>
    <definedName name="dm56bxd">#REF!</definedName>
    <definedName name="DMAmonia" localSheetId="8">#REF!</definedName>
    <definedName name="DMAmonia">#REF!</definedName>
    <definedName name="dmat">#REF!</definedName>
    <definedName name="dmdv">#REF!</definedName>
    <definedName name="DMHH">#REF!</definedName>
    <definedName name="dmoi">#REF!</definedName>
    <definedName name="DMTK" localSheetId="8">#REF!</definedName>
    <definedName name="DMTK">#REF!</definedName>
    <definedName name="DMUre" localSheetId="8">#REF!</definedName>
    <definedName name="DMUre">#REF!</definedName>
    <definedName name="dmz" localSheetId="8">#REF!</definedName>
    <definedName name="dmz">#REF!</definedName>
    <definedName name="DN">#REF!</definedName>
    <definedName name="DnbCx" localSheetId="8">#REF!</definedName>
    <definedName name="DnbCx">#REF!</definedName>
    <definedName name="dno" localSheetId="8">#REF!</definedName>
    <definedName name="dno">#REF!</definedName>
    <definedName name="DÑt45x4">#REF!</definedName>
    <definedName name="do">#REF!</definedName>
    <definedName name="dobgd" localSheetId="8">#REF!</definedName>
    <definedName name="dobgd">#REF!</definedName>
    <definedName name="dobt">#REF!</definedName>
    <definedName name="Doc_Name" localSheetId="8">#REF!</definedName>
    <definedName name="Doc_Name">#REF!</definedName>
    <definedName name="doclb">#REF!</definedName>
    <definedName name="Document_array" localSheetId="8">{"Thuxm2.xls","Sheet1"}</definedName>
    <definedName name="Document_array" localSheetId="0">{"Thuxm2.xls","Sheet1"}</definedName>
    <definedName name="Document_array" localSheetId="6">{"Thuxm2.xls","Sheet1"}</definedName>
    <definedName name="Document_array" localSheetId="9">{"Thuxm2.xls","Sheet1"}</definedName>
    <definedName name="Document_array" localSheetId="7">{"Thuxm2.xls","Sheet1"}</definedName>
    <definedName name="Document_array">{"Thuxm2.xls","Sheet1"}</definedName>
    <definedName name="dofinbo6t" localSheetId="8">#REF!</definedName>
    <definedName name="dofinbo6t">#REF!</definedName>
    <definedName name="dofinbonus6t" localSheetId="8">#REF!</definedName>
    <definedName name="dofinbonus6t">#REF!</definedName>
    <definedName name="dokcs" localSheetId="8">#REF!</definedName>
    <definedName name="dokcs">#REF!</definedName>
    <definedName name="dokd" localSheetId="8">#REF!</definedName>
    <definedName name="dokd">#REF!</definedName>
    <definedName name="dokt" localSheetId="8">#REF!</definedName>
    <definedName name="dokt">#REF!</definedName>
    <definedName name="doktnl" localSheetId="8">#REF!</definedName>
    <definedName name="doktnl">#REF!</definedName>
    <definedName name="dokh" localSheetId="8">#REF!</definedName>
    <definedName name="dokh">#REF!</definedName>
    <definedName name="dolcb">#REF!</definedName>
    <definedName name="Don_gia" localSheetId="8">#REF!</definedName>
    <definedName name="Don_gia">#REF!</definedName>
    <definedName name="DON_GIA_3282">#REF!</definedName>
    <definedName name="DON_GIA_3283">#REF!</definedName>
    <definedName name="DON_GIA_3285">#REF!</definedName>
    <definedName name="DON_GIA_VAN_CHUYEN_36">#REF!</definedName>
    <definedName name="DON_GIA_VAT_TU" localSheetId="8">#REF!</definedName>
    <definedName name="DON_GIA_VAT_TU">#REF!</definedName>
    <definedName name="Don_giahanam" localSheetId="8">#REF!</definedName>
    <definedName name="Don_giahanam">#REF!</definedName>
    <definedName name="Don_giaIII" localSheetId="8">#REF!</definedName>
    <definedName name="Don_giaIII">#REF!</definedName>
    <definedName name="Don_gianhanam" localSheetId="8">#REF!</definedName>
    <definedName name="Don_gianhanam">#REF!</definedName>
    <definedName name="Don_giatp" localSheetId="8">#REF!</definedName>
    <definedName name="Don_giatp">#REF!</definedName>
    <definedName name="Don_giavl" localSheetId="8">#REF!</definedName>
    <definedName name="Don_giavl">#REF!</definedName>
    <definedName name="doncxlcn2001" localSheetId="8">#REF!</definedName>
    <definedName name="doncxlcn2001">#REF!</definedName>
    <definedName name="doncxldn2001" localSheetId="8">#REF!</definedName>
    <definedName name="doncxldn2001">#REF!</definedName>
    <definedName name="DONVI" localSheetId="8">OFFSET(#REF!,1,0,COUNTA(#REF!)-1,5)</definedName>
    <definedName name="DONVI">OFFSET(#REF!,1,0,COUNTA(#REF!)-1,5)</definedName>
    <definedName name="DONVIDG" localSheetId="8">OFFSET(#REF!,COUNTIF(#REF!,"&lt;&gt;0")-1,0,1)</definedName>
    <definedName name="DONVIDG">OFFSET(#REF!,COUNTIF(#REF!,"&lt;&gt;0")-1,0,1)</definedName>
    <definedName name="Dongia">#REF!</definedName>
    <definedName name="Dongia_III" localSheetId="8">#REF!</definedName>
    <definedName name="Dongia_III">#REF!</definedName>
    <definedName name="dongia1" localSheetId="8">#REF!</definedName>
    <definedName name="dongia1">#REF!</definedName>
    <definedName name="dongiadien" localSheetId="8">#REF!</definedName>
    <definedName name="dongiadien">#REF!</definedName>
    <definedName name="dongiakhi" localSheetId="8">#REF!</definedName>
    <definedName name="dongiakhi">#REF!</definedName>
    <definedName name="dongiakhi1" localSheetId="8">#REF!</definedName>
    <definedName name="dongiakhi1">#REF!</definedName>
    <definedName name="dongiakhibinhquan">#REF!</definedName>
    <definedName name="dongiakhicuulong">#REF!</definedName>
    <definedName name="dongiakhiq1" localSheetId="8">#REF!</definedName>
    <definedName name="dongiakhiq1">#REF!</definedName>
    <definedName name="dongiakhiq1cuulong" localSheetId="8">#REF!</definedName>
    <definedName name="dongiakhiq1cuulong">#REF!</definedName>
    <definedName name="dongianamconson" localSheetId="8">#REF!</definedName>
    <definedName name="dongianamconson">#REF!</definedName>
    <definedName name="dongianuocsach">#REF!</definedName>
    <definedName name="DongiaPA1">#REF!</definedName>
    <definedName name="DongiaPA2">#REF!</definedName>
    <definedName name="DoorWindow" localSheetId="8">#REF!</definedName>
    <definedName name="DoorWindow">#REF!</definedName>
    <definedName name="dopxsx" localSheetId="8">#REF!</definedName>
    <definedName name="dopxsx">#REF!</definedName>
    <definedName name="dotc" localSheetId="8">#REF!</definedName>
    <definedName name="dotc">#REF!</definedName>
    <definedName name="dotchc" localSheetId="8">#REF!</definedName>
    <definedName name="dotchc">#REF!</definedName>
    <definedName name="dotdn" localSheetId="8">#REF!</definedName>
    <definedName name="dotdn">#REF!</definedName>
    <definedName name="dottchc" localSheetId="8">#REF!</definedName>
    <definedName name="dottchc">#REF!</definedName>
    <definedName name="doxcd" localSheetId="8">#REF!</definedName>
    <definedName name="doxcd">#REF!</definedName>
    <definedName name="dp" localSheetId="8">#REF!</definedName>
    <definedName name="dp">#REF!</definedName>
    <definedName name="drg" localSheetId="8">#REF!</definedName>
    <definedName name="drg">#REF!</definedName>
    <definedName name="Dry" localSheetId="8">#REF!</definedName>
    <definedName name="Dry">#REF!</definedName>
    <definedName name="dry." localSheetId="8">#REF!</definedName>
    <definedName name="dry.">#REF!</definedName>
    <definedName name="dry..">#REF!</definedName>
    <definedName name="ds">#REF!</definedName>
    <definedName name="DS_2">#REF!</definedName>
    <definedName name="DS_305">#REF!</definedName>
    <definedName name="DS_381">#REF!</definedName>
    <definedName name="DS1p1vc">#REF!</definedName>
    <definedName name="ds1p2nc" localSheetId="8">#REF!</definedName>
    <definedName name="ds1p2nc">#REF!</definedName>
    <definedName name="ds1p2vc" localSheetId="8">#REF!</definedName>
    <definedName name="ds1p2vc">#REF!</definedName>
    <definedName name="ds1p2vl" localSheetId="8">#REF!</definedName>
    <definedName name="ds1p2vl">#REF!</definedName>
    <definedName name="ds1pnc">#REF!</definedName>
    <definedName name="ds1pvl">#REF!</definedName>
    <definedName name="ds3pctnc">#REF!</definedName>
    <definedName name="ds3pctvc">#REF!</definedName>
    <definedName name="ds3pctvl">#REF!</definedName>
    <definedName name="ds3pmnc" localSheetId="8">#REF!</definedName>
    <definedName name="ds3pmnc">#REF!</definedName>
    <definedName name="ds3pmvc" localSheetId="8">#REF!</definedName>
    <definedName name="ds3pmvc">#REF!</definedName>
    <definedName name="ds3pmvl" localSheetId="8">#REF!</definedName>
    <definedName name="ds3pmvl">#REF!</definedName>
    <definedName name="ds3pnc">#REF!</definedName>
    <definedName name="ds3pvl">#REF!</definedName>
    <definedName name="dsct3pnc" localSheetId="8">#REF!</definedName>
    <definedName name="dsct3pnc">#REF!</definedName>
    <definedName name="dsct3pvl" localSheetId="8">#REF!</definedName>
    <definedName name="dsct3pvl">#REF!</definedName>
    <definedName name="DSD" localSheetId="8">#REF!</definedName>
    <definedName name="DSD">#REF!</definedName>
    <definedName name="DSDS" localSheetId="8">#REF!</definedName>
    <definedName name="DSDS">#REF!</definedName>
    <definedName name="dset" localSheetId="8">#REF!</definedName>
    <definedName name="dset">#REF!</definedName>
    <definedName name="DSKH" localSheetId="8">#REF!</definedName>
    <definedName name="DSKH">#REF!</definedName>
    <definedName name="dskhu">#REF!</definedName>
    <definedName name="dsm">#REF!</definedName>
    <definedName name="Dsoil" localSheetId="8">#REF!</definedName>
    <definedName name="Dsoil">#REF!</definedName>
    <definedName name="DSPK1p1nc">#REF!</definedName>
    <definedName name="DSPK1p1vl">#REF!</definedName>
    <definedName name="DSPK1pnc">#REF!</definedName>
    <definedName name="DSPK1pvl">#REF!</definedName>
    <definedName name="DSS" localSheetId="8">#REF!</definedName>
    <definedName name="DSS">#REF!</definedName>
    <definedName name="DSTD_Clear">#N/A</definedName>
    <definedName name="DSTinh">#REF!</definedName>
    <definedName name="DSUMDATA">#REF!</definedName>
    <definedName name="Dsup" localSheetId="8">#REF!</definedName>
    <definedName name="Dsup">#REF!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PM1_Sheet2_List">#REF!</definedName>
    <definedName name="DTXL_Gãi_thÇu_sè_9__Km0_000_Km0_0740" localSheetId="8">#REF!</definedName>
    <definedName name="DTXL_Gãi_thÇu_sè_9__Km0_000_Km0_0740">#REF!</definedName>
    <definedName name="Dù__n">#REF!</definedName>
    <definedName name="Du_phong">#REF!</definedName>
    <definedName name="DU_TOAN_CHI_TIET_CONG_TO">#REF!</definedName>
    <definedName name="DU_TOAN_CHI_TIET_DZ0.4KV" localSheetId="8">#REF!</definedName>
    <definedName name="DU_TOAN_CHI_TIET_DZ0.4KV">#REF!</definedName>
    <definedName name="DU_TOAN_CHI_TIET_DZ22KV">#REF!</definedName>
    <definedName name="DU_TOAN_CHI_TIET_KHO_BAI">#REF!</definedName>
    <definedName name="DU_TOAN_CHI_TIET_TBA">#REF!</definedName>
    <definedName name="ducBTN10" localSheetId="8">#REF!</definedName>
    <definedName name="ducBTN10">#REF!</definedName>
    <definedName name="DUCKY_CO_CD" localSheetId="8">#REF!</definedName>
    <definedName name="DUCKY_CO_CD">#REF!</definedName>
    <definedName name="DUCKY_NO_CD" localSheetId="8">#REF!</definedName>
    <definedName name="DUCKY_NO_CD">#REF!</definedName>
    <definedName name="DUDKY_CO_CD" localSheetId="8">#REF!</definedName>
    <definedName name="DUDKY_CO_CD">#REF!</definedName>
    <definedName name="DUDKY_NO_CD" localSheetId="8">#REF!</definedName>
    <definedName name="DUDKY_NO_CD">#REF!</definedName>
    <definedName name="dui1.5" localSheetId="8">#REF!</definedName>
    <definedName name="dui1.5">#REF!</definedName>
    <definedName name="duoi">#REF!</definedName>
    <definedName name="duong">#REF!</definedName>
    <definedName name="Duong_373">#REF!</definedName>
    <definedName name="Duong_tam">#REF!</definedName>
    <definedName name="duong04" localSheetId="8">#REF!</definedName>
    <definedName name="duong04">#REF!</definedName>
    <definedName name="duong1" localSheetId="8">#REF!</definedName>
    <definedName name="duong1">#REF!</definedName>
    <definedName name="duong2" localSheetId="8">#REF!</definedName>
    <definedName name="duong2">#REF!</definedName>
    <definedName name="duong3" localSheetId="8">#REF!</definedName>
    <definedName name="duong3">#REF!</definedName>
    <definedName name="duong35" localSheetId="8">#REF!</definedName>
    <definedName name="duong35">#REF!</definedName>
    <definedName name="duong4" localSheetId="8">#REF!</definedName>
    <definedName name="duong4">#REF!</definedName>
    <definedName name="duong5" localSheetId="8">#REF!</definedName>
    <definedName name="duong5">#REF!</definedName>
    <definedName name="DurationUOM" localSheetId="8">#REF!</definedName>
    <definedName name="DurationUOM">#REF!</definedName>
    <definedName name="DUT">#REF!</definedName>
    <definedName name="dutoan" localSheetId="8">#REF!</definedName>
    <definedName name="dutoan">#REF!</definedName>
    <definedName name="DutoanDongmo">#REF!</definedName>
    <definedName name="DV">#REF!</definedName>
    <definedName name="dva." localSheetId="8">#REF!</definedName>
    <definedName name="dva.">#REF!</definedName>
    <definedName name="dvb." localSheetId="8">#REF!</definedName>
    <definedName name="dvb.">#REF!</definedName>
    <definedName name="dvc." localSheetId="8">#REF!</definedName>
    <definedName name="dvc.">#REF!</definedName>
    <definedName name="dvql">#REF!</definedName>
    <definedName name="dw" localSheetId="8">#REF!</definedName>
    <definedName name="dw">#REF!</definedName>
    <definedName name="Dwall" localSheetId="8">#REF!</definedName>
    <definedName name="Dwall">#REF!</definedName>
    <definedName name="DWPRICE" localSheetId="8" hidden="1">#REF!</definedName>
    <definedName name="DWPRICE" hidden="1">#REF!</definedName>
    <definedName name="DX" localSheetId="8">#REF!</definedName>
    <definedName name="DX">#REF!</definedName>
    <definedName name="DX5M" localSheetId="8">#REF!</definedName>
    <definedName name="DX5M">#REF!</definedName>
    <definedName name="dxhnho" localSheetId="8">#REF!</definedName>
    <definedName name="dxhnho">#REF!</definedName>
    <definedName name="dxhto" localSheetId="8">#REF!</definedName>
    <definedName name="dxhto">#REF!</definedName>
    <definedName name="DXMT" localSheetId="8">#REF!</definedName>
    <definedName name="DXMT">#REF!</definedName>
    <definedName name="DZ" localSheetId="8">#REF!</definedName>
    <definedName name="DZ">#REF!</definedName>
    <definedName name="Dz_35" localSheetId="8">#REF!</definedName>
    <definedName name="Dz_35">#REF!</definedName>
    <definedName name="DZ6gd1" localSheetId="8">#REF!</definedName>
    <definedName name="DZ6gd1">#REF!</definedName>
    <definedName name="dzgd1" localSheetId="8">#REF!</definedName>
    <definedName name="dzgd1">#REF!</definedName>
    <definedName name="dztramtt" localSheetId="8">#REF!</definedName>
    <definedName name="dztramtt">#REF!</definedName>
    <definedName name="đtrẻtytyhtytu" localSheetId="8">#REF!</definedName>
    <definedName name="đtrẻtytyhtytu">#REF!</definedName>
    <definedName name="e" localSheetId="8">#REF!</definedName>
    <definedName name="e">#REF!</definedName>
    <definedName name="ẻ" localSheetId="8">#REF!</definedName>
    <definedName name="ẻ">#REF!</definedName>
    <definedName name="ë" localSheetId="8">#REF!</definedName>
    <definedName name="ë">#REF!</definedName>
    <definedName name="e_" localSheetId="8">#REF!</definedName>
    <definedName name="e_">#REF!</definedName>
    <definedName name="e__" localSheetId="8">#REF!</definedName>
    <definedName name="e__">#REF!</definedName>
    <definedName name="E1.000" localSheetId="8">#REF!</definedName>
    <definedName name="E1.000">#REF!</definedName>
    <definedName name="E1.010" localSheetId="8">#REF!</definedName>
    <definedName name="E1.010">#REF!</definedName>
    <definedName name="E1.020" localSheetId="8">#REF!</definedName>
    <definedName name="E1.020">#REF!</definedName>
    <definedName name="E1.200" localSheetId="8">#REF!</definedName>
    <definedName name="E1.200">#REF!</definedName>
    <definedName name="E1.210" localSheetId="8">#REF!</definedName>
    <definedName name="E1.210">#REF!</definedName>
    <definedName name="E1.220" localSheetId="8">#REF!</definedName>
    <definedName name="E1.220">#REF!</definedName>
    <definedName name="E1.300" localSheetId="8">#REF!</definedName>
    <definedName name="E1.300">#REF!</definedName>
    <definedName name="E1.310" localSheetId="8">#REF!</definedName>
    <definedName name="E1.310">#REF!</definedName>
    <definedName name="E1.320" localSheetId="8">#REF!</definedName>
    <definedName name="E1.320">#REF!</definedName>
    <definedName name="E1.400" localSheetId="8">#REF!</definedName>
    <definedName name="E1.400">#REF!</definedName>
    <definedName name="E1.410" localSheetId="8">#REF!</definedName>
    <definedName name="E1.410">#REF!</definedName>
    <definedName name="E1.420" localSheetId="8">#REF!</definedName>
    <definedName name="E1.420">#REF!</definedName>
    <definedName name="E1.500" localSheetId="8">#REF!</definedName>
    <definedName name="E1.500">#REF!</definedName>
    <definedName name="E1.510" localSheetId="8">#REF!</definedName>
    <definedName name="E1.510">#REF!</definedName>
    <definedName name="E1.520" localSheetId="8">#REF!</definedName>
    <definedName name="E1.520">#REF!</definedName>
    <definedName name="E1.600" localSheetId="8">#REF!</definedName>
    <definedName name="E1.600">#REF!</definedName>
    <definedName name="E1.611" localSheetId="8">#REF!</definedName>
    <definedName name="E1.611">#REF!</definedName>
    <definedName name="E1.631" localSheetId="8">#REF!</definedName>
    <definedName name="E1.631">#REF!</definedName>
    <definedName name="E190." localSheetId="8">#REF!</definedName>
    <definedName name="E190.">#REF!</definedName>
    <definedName name="E2.000" localSheetId="8">#REF!</definedName>
    <definedName name="E2.000">#REF!</definedName>
    <definedName name="E2.000A" localSheetId="8">#REF!</definedName>
    <definedName name="E2.000A">#REF!</definedName>
    <definedName name="E2.010" localSheetId="8">#REF!</definedName>
    <definedName name="E2.010">#REF!</definedName>
    <definedName name="E2.010A" localSheetId="8">#REF!</definedName>
    <definedName name="E2.010A">#REF!</definedName>
    <definedName name="E2.020" localSheetId="8">#REF!</definedName>
    <definedName name="E2.020">#REF!</definedName>
    <definedName name="E2.020A" localSheetId="8">#REF!</definedName>
    <definedName name="E2.020A">#REF!</definedName>
    <definedName name="E2.100" localSheetId="8">#REF!</definedName>
    <definedName name="E2.100">#REF!</definedName>
    <definedName name="E2.100A" localSheetId="8">#REF!</definedName>
    <definedName name="E2.100A">#REF!</definedName>
    <definedName name="E2.110" localSheetId="8">#REF!</definedName>
    <definedName name="E2.110">#REF!</definedName>
    <definedName name="E2.110A" localSheetId="8">#REF!</definedName>
    <definedName name="E2.110A">#REF!</definedName>
    <definedName name="E2.120" localSheetId="8">#REF!</definedName>
    <definedName name="E2.120">#REF!</definedName>
    <definedName name="E2.120A" localSheetId="8">#REF!</definedName>
    <definedName name="E2.120A">#REF!</definedName>
    <definedName name="E3.000" localSheetId="8">#REF!</definedName>
    <definedName name="E3.000">#REF!</definedName>
    <definedName name="E3.010" localSheetId="8">#REF!</definedName>
    <definedName name="E3.010">#REF!</definedName>
    <definedName name="E3.020" localSheetId="8">#REF!</definedName>
    <definedName name="E3.020">#REF!</definedName>
    <definedName name="E3.031" localSheetId="8">#REF!</definedName>
    <definedName name="E3.031">#REF!</definedName>
    <definedName name="E3.032" localSheetId="8">#REF!</definedName>
    <definedName name="E3.032">#REF!</definedName>
    <definedName name="E3.033" localSheetId="8">#REF!</definedName>
    <definedName name="E3.033">#REF!</definedName>
    <definedName name="E4.001" localSheetId="8">#REF!</definedName>
    <definedName name="E4.001">#REF!</definedName>
    <definedName name="E4.011" localSheetId="8">#REF!</definedName>
    <definedName name="E4.011">#REF!</definedName>
    <definedName name="E4.021" localSheetId="8">#REF!</definedName>
    <definedName name="E4.021">#REF!</definedName>
    <definedName name="E4.101" localSheetId="8">#REF!</definedName>
    <definedName name="E4.101">#REF!</definedName>
    <definedName name="E4.111" localSheetId="8">#REF!</definedName>
    <definedName name="E4.111">#REF!</definedName>
    <definedName name="E4.121" localSheetId="8">#REF!</definedName>
    <definedName name="E4.121">#REF!</definedName>
    <definedName name="E5.010" localSheetId="8">#REF!</definedName>
    <definedName name="E5.010">#REF!</definedName>
    <definedName name="E5.020" localSheetId="8">#REF!</definedName>
    <definedName name="E5.020">#REF!</definedName>
    <definedName name="E5.030" localSheetId="8">#REF!</definedName>
    <definedName name="E5.030">#REF!</definedName>
    <definedName name="E6.001" localSheetId="8">#REF!</definedName>
    <definedName name="E6.001">#REF!</definedName>
    <definedName name="E6.002" localSheetId="8">#REF!</definedName>
    <definedName name="E6.002">#REF!</definedName>
    <definedName name="E6.011" localSheetId="8">#REF!</definedName>
    <definedName name="E6.011">#REF!</definedName>
    <definedName name="E6.012" localSheetId="8">#REF!</definedName>
    <definedName name="E6.012">#REF!</definedName>
    <definedName name="ë74" localSheetId="8">#REF!</definedName>
    <definedName name="ë74">#REF!</definedName>
    <definedName name="Ea">#REF!</definedName>
    <definedName name="EARTH">#REF!</definedName>
    <definedName name="Earthwork" localSheetId="8">#REF!</definedName>
    <definedName name="Earthwork">#REF!</definedName>
    <definedName name="Eb" localSheetId="8">#REF!</definedName>
    <definedName name="Eb">#REF!</definedName>
    <definedName name="ec" localSheetId="8">#REF!</definedName>
    <definedName name="ec">#REF!</definedName>
    <definedName name="ecb" localSheetId="8">#REF!</definedName>
    <definedName name="ecb">#REF!</definedName>
    <definedName name="ecx" localSheetId="8">#REF!</definedName>
    <definedName name="ecx">#REF!</definedName>
    <definedName name="ech" localSheetId="8">#REF!</definedName>
    <definedName name="ech">#REF!</definedName>
    <definedName name="EDR">#REF!</definedName>
    <definedName name="ee" localSheetId="8">#REF!</definedName>
    <definedName name="ee">#REF!</definedName>
    <definedName name="eeeee" localSheetId="8">#REF!</definedName>
    <definedName name="eeeee">#REF!</definedName>
    <definedName name="EIRR11" localSheetId="8">#REF!</definedName>
    <definedName name="EIRR11">#REF!</definedName>
    <definedName name="EIRR22" localSheetId="8">#REF!</definedName>
    <definedName name="EIRR22">#REF!</definedName>
    <definedName name="EL2_" localSheetId="8">#REF!</definedName>
    <definedName name="EL2_">#REF!</definedName>
    <definedName name="EL3_" localSheetId="8">#REF!</definedName>
    <definedName name="EL3_">#REF!</definedName>
    <definedName name="EL4_" localSheetId="8">#REF!</definedName>
    <definedName name="EL4_">#REF!</definedName>
    <definedName name="EL5_" localSheetId="8">#REF!</definedName>
    <definedName name="EL5_">#REF!</definedName>
    <definedName name="EL6_" localSheetId="8">#REF!</definedName>
    <definedName name="EL6_">#REF!</definedName>
    <definedName name="ELa" localSheetId="8">#REF!</definedName>
    <definedName name="ELa">#REF!</definedName>
    <definedName name="ELb" localSheetId="8">#REF!</definedName>
    <definedName name="ELb">#REF!</definedName>
    <definedName name="ELc" localSheetId="8">#REF!</definedName>
    <definedName name="ELc">#REF!</definedName>
    <definedName name="elp" localSheetId="8">#REF!</definedName>
    <definedName name="elp">#REF!</definedName>
    <definedName name="ELsf" localSheetId="8">#REF!</definedName>
    <definedName name="ELsf">#REF!</definedName>
    <definedName name="ELso" localSheetId="8">#REF!</definedName>
    <definedName name="ELso">#REF!</definedName>
    <definedName name="emb">#REF!</definedName>
    <definedName name="en" localSheetId="8">#REF!</definedName>
    <definedName name="en">#REF!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tityClassification" localSheetId="8">#REF!</definedName>
    <definedName name="EntityClassification">#REF!</definedName>
    <definedName name="EntityCriticality" localSheetId="8">#REF!</definedName>
    <definedName name="EntityCriticality">#REF!</definedName>
    <definedName name="EntityLocation" localSheetId="8">#REF!</definedName>
    <definedName name="EntityLocation">#REF!</definedName>
    <definedName name="EntityStatus" localSheetId="8">#REF!</definedName>
    <definedName name="EntityStatus">#REF!</definedName>
    <definedName name="EntityType" localSheetId="8">#REF!</definedName>
    <definedName name="EntityType">#REF!</definedName>
    <definedName name="EQI">#REF!</definedName>
    <definedName name="ert" localSheetId="8">#REF!</definedName>
    <definedName name="ert">#REF!</definedName>
    <definedName name="Es" localSheetId="8">#REF!</definedName>
    <definedName name="Es">#REF!</definedName>
    <definedName name="EVNB">#REF!</definedName>
    <definedName name="EX">#REF!</definedName>
    <definedName name="Ex_L">#REF!</definedName>
    <definedName name="EX_Length_373">#REF!</definedName>
    <definedName name="EXC">#REF!</definedName>
    <definedName name="EXCH">#REF!</definedName>
    <definedName name="_xlnm.Extract">#REF!</definedName>
    <definedName name="ey" localSheetId="8">#REF!</definedName>
    <definedName name="ey">#REF!</definedName>
    <definedName name="f">#REF!</definedName>
    <definedName name="f_2" localSheetId="8">#REF!</definedName>
    <definedName name="f_2">#REF!</definedName>
    <definedName name="f_21" localSheetId="8">#REF!</definedName>
    <definedName name="f_21">#REF!</definedName>
    <definedName name="f_22" localSheetId="8">#REF!</definedName>
    <definedName name="f_22">#REF!</definedName>
    <definedName name="f_23" localSheetId="8">#REF!</definedName>
    <definedName name="f_23">#REF!</definedName>
    <definedName name="f_24" localSheetId="8">#REF!</definedName>
    <definedName name="f_24">#REF!</definedName>
    <definedName name="f_3" localSheetId="8">#REF!</definedName>
    <definedName name="f_3">#REF!</definedName>
    <definedName name="f_31" localSheetId="8">#REF!</definedName>
    <definedName name="f_31">#REF!</definedName>
    <definedName name="f_32" localSheetId="8">#REF!</definedName>
    <definedName name="f_32">#REF!</definedName>
    <definedName name="F_33" localSheetId="8">#REF!</definedName>
    <definedName name="F_33">#REF!</definedName>
    <definedName name="f_34" localSheetId="8">#REF!</definedName>
    <definedName name="f_34">#REF!</definedName>
    <definedName name="f_4" localSheetId="8">#REF!</definedName>
    <definedName name="f_4">#REF!</definedName>
    <definedName name="f_41" localSheetId="8">#REF!</definedName>
    <definedName name="f_41">#REF!</definedName>
    <definedName name="f_42" localSheetId="8">#REF!</definedName>
    <definedName name="f_42">#REF!</definedName>
    <definedName name="f_43" localSheetId="8">#REF!</definedName>
    <definedName name="f_43">#REF!</definedName>
    <definedName name="f_44" localSheetId="8">#REF!</definedName>
    <definedName name="f_44">#REF!</definedName>
    <definedName name="f_9a1" localSheetId="8">#REF!</definedName>
    <definedName name="f_9a1">#REF!</definedName>
    <definedName name="f_9a2" localSheetId="8">#REF!</definedName>
    <definedName name="f_9a2">#REF!</definedName>
    <definedName name="f_9a3" localSheetId="8">#REF!</definedName>
    <definedName name="f_9a3">#REF!</definedName>
    <definedName name="f_9a4" localSheetId="8">#REF!</definedName>
    <definedName name="f_9a4">#REF!</definedName>
    <definedName name="f_9b1" localSheetId="8">#REF!</definedName>
    <definedName name="f_9b1">#REF!</definedName>
    <definedName name="f_9b2" localSheetId="8">#REF!</definedName>
    <definedName name="f_9b2">#REF!</definedName>
    <definedName name="f_9b3" localSheetId="8">#REF!</definedName>
    <definedName name="f_9b3">#REF!</definedName>
    <definedName name="f_9b4" localSheetId="8">#REF!</definedName>
    <definedName name="f_9b4">#REF!</definedName>
    <definedName name="F_CongDon" localSheetId="8">MAX(#REF!)+#REF!</definedName>
    <definedName name="F_CongDon">MAX(#REF!)+#REF!</definedName>
    <definedName name="F_ChonMong" localSheetId="8">IF(LEFT(#REF!,2)="NG",#REF!&amp;'Biểu 2.1 Mục tiêu Nhà máy'!_MongCotNeo&amp;IF(#REF!&gt;12,"a",""),IF(LEFT(#REF!,3)="NCD","2MT-4",VLOOKUP(#REF!,'Biểu 2.1 Mục tiêu Nhà máy'!_Mong,MATCH(#REF!,'Biểu 2.1 Mục tiêu Nhà máy'!KcTieuChuan,0)+1,0)))</definedName>
    <definedName name="F_ChonMong" localSheetId="0">IF(LEFT(#REF!,2)="NG",#REF!&amp;[0]!_MongCotNeo&amp;IF(#REF!&gt;12,"a",""),IF(LEFT(#REF!,3)="NCD","2MT-4",VLOOKUP(#REF!,[0]!_Mong,MATCH(#REF!,[0]!KcTieuChuan,0)+1,0)))</definedName>
    <definedName name="F_ChonMong" localSheetId="6">IF(LEFT(#REF!,2)="NG",#REF!&amp;_MongCotNeo&amp;IF(#REF!&gt;12,"a",""),IF(LEFT(#REF!,3)="NCD","2MT-4",VLOOKUP(#REF!,_Mong,MATCH(#REF!,KcTieuChuan,0)+1,0)))</definedName>
    <definedName name="F_ChonMong" localSheetId="9">IF(LEFT(#REF!,2)="NG",#REF!&amp;[0]!_MongCotNeo&amp;IF(#REF!&gt;12,"a",""),IF(LEFT(#REF!,3)="NCD","2MT-4",VLOOKUP(#REF!,[0]!_Mong,MATCH(#REF!,[0]!KcTieuChuan,0)+1,0)))</definedName>
    <definedName name="F_ChonMong" localSheetId="7">IF(LEFT(#REF!,2)="NG",#REF!&amp;_MongCotNeo&amp;IF(#REF!&gt;12,"a",""),IF(LEFT(#REF!,3)="NCD","2MT-4",VLOOKUP(#REF!,_Mong,MATCH(#REF!,KcTieuChuan,0)+1,0)))</definedName>
    <definedName name="F_ChonMong">IF(LEFT(#REF!,2)="NG",#REF!&amp;_MongCotNeo&amp;IF(#REF!&gt;12,"a",""),IF(LEFT(#REF!,3)="NCD","2MT-4",VLOOKUP(#REF!,_Mong,MATCH(#REF!,KcTieuChuan,0)+1,0)))</definedName>
    <definedName name="F0.000" localSheetId="8">#REF!</definedName>
    <definedName name="F0.000">#REF!</definedName>
    <definedName name="F0.010" localSheetId="8">#REF!</definedName>
    <definedName name="F0.010">#REF!</definedName>
    <definedName name="F0.020" localSheetId="8">#REF!</definedName>
    <definedName name="F0.020">#REF!</definedName>
    <definedName name="F0.100" localSheetId="8">#REF!</definedName>
    <definedName name="F0.100">#REF!</definedName>
    <definedName name="F0.110" localSheetId="8">#REF!</definedName>
    <definedName name="F0.110">#REF!</definedName>
    <definedName name="F0.120" localSheetId="8">#REF!</definedName>
    <definedName name="F0.120">#REF!</definedName>
    <definedName name="F0.200" localSheetId="8">#REF!</definedName>
    <definedName name="F0.200">#REF!</definedName>
    <definedName name="F0.210" localSheetId="8">#REF!</definedName>
    <definedName name="F0.210">#REF!</definedName>
    <definedName name="F0.220" localSheetId="8">#REF!</definedName>
    <definedName name="F0.220">#REF!</definedName>
    <definedName name="F0.300" localSheetId="8">#REF!</definedName>
    <definedName name="F0.300">#REF!</definedName>
    <definedName name="F0.310" localSheetId="8">#REF!</definedName>
    <definedName name="F0.310">#REF!</definedName>
    <definedName name="F0.320" localSheetId="8">#REF!</definedName>
    <definedName name="F0.320">#REF!</definedName>
    <definedName name="F1.000" localSheetId="8">#REF!</definedName>
    <definedName name="F1.000">#REF!</definedName>
    <definedName name="F1.010" localSheetId="8">#REF!</definedName>
    <definedName name="F1.010">#REF!</definedName>
    <definedName name="F1.020" localSheetId="8">#REF!</definedName>
    <definedName name="F1.020">#REF!</definedName>
    <definedName name="F1.100" localSheetId="8">#REF!</definedName>
    <definedName name="F1.100">#REF!</definedName>
    <definedName name="F1.110" localSheetId="8">#REF!</definedName>
    <definedName name="F1.110">#REF!</definedName>
    <definedName name="F1.120" localSheetId="8">#REF!</definedName>
    <definedName name="F1.120">#REF!</definedName>
    <definedName name="F1.130" localSheetId="8">#REF!</definedName>
    <definedName name="F1.130">#REF!</definedName>
    <definedName name="F1.140" localSheetId="8">#REF!</definedName>
    <definedName name="F1.140">#REF!</definedName>
    <definedName name="F1.150" localSheetId="8">#REF!</definedName>
    <definedName name="F1.150">#REF!</definedName>
    <definedName name="F2.001" localSheetId="8">#REF!</definedName>
    <definedName name="F2.001">#REF!</definedName>
    <definedName name="F2.011" localSheetId="8">#REF!</definedName>
    <definedName name="F2.011">#REF!</definedName>
    <definedName name="F2.021" localSheetId="8">#REF!</definedName>
    <definedName name="F2.021">#REF!</definedName>
    <definedName name="F2.031" localSheetId="8">#REF!</definedName>
    <definedName name="F2.031">#REF!</definedName>
    <definedName name="F2.041" localSheetId="8">#REF!</definedName>
    <definedName name="F2.041">#REF!</definedName>
    <definedName name="F2.051" localSheetId="8">#REF!</definedName>
    <definedName name="F2.051">#REF!</definedName>
    <definedName name="F2.052" localSheetId="8">#REF!</definedName>
    <definedName name="F2.052">#REF!</definedName>
    <definedName name="F2.061" localSheetId="8">#REF!</definedName>
    <definedName name="F2.061">#REF!</definedName>
    <definedName name="F2.071" localSheetId="8">#REF!</definedName>
    <definedName name="F2.071">#REF!</definedName>
    <definedName name="F2.101" localSheetId="8">#REF!</definedName>
    <definedName name="F2.101">#REF!</definedName>
    <definedName name="F2.111" localSheetId="8">#REF!</definedName>
    <definedName name="F2.111">#REF!</definedName>
    <definedName name="F2.121" localSheetId="8">#REF!</definedName>
    <definedName name="F2.121">#REF!</definedName>
    <definedName name="F2.131" localSheetId="8">#REF!</definedName>
    <definedName name="F2.131">#REF!</definedName>
    <definedName name="F2.141" localSheetId="8">#REF!</definedName>
    <definedName name="F2.141">#REF!</definedName>
    <definedName name="F2.200" localSheetId="8">#REF!</definedName>
    <definedName name="F2.200">#REF!</definedName>
    <definedName name="F2.210" localSheetId="8">#REF!</definedName>
    <definedName name="F2.210">#REF!</definedName>
    <definedName name="F2.220" localSheetId="8">#REF!</definedName>
    <definedName name="F2.220">#REF!</definedName>
    <definedName name="F2.230" localSheetId="8">#REF!</definedName>
    <definedName name="F2.230">#REF!</definedName>
    <definedName name="F2.240" localSheetId="8">#REF!</definedName>
    <definedName name="F2.240">#REF!</definedName>
    <definedName name="F2.250" localSheetId="8">#REF!</definedName>
    <definedName name="F2.250">#REF!</definedName>
    <definedName name="F2.300" localSheetId="8">#REF!</definedName>
    <definedName name="F2.300">#REF!</definedName>
    <definedName name="F2.310" localSheetId="8">#REF!</definedName>
    <definedName name="F2.310">#REF!</definedName>
    <definedName name="F2.320" localSheetId="8">#REF!</definedName>
    <definedName name="F2.320">#REF!</definedName>
    <definedName name="F3.000" localSheetId="8">#REF!</definedName>
    <definedName name="F3.000">#REF!</definedName>
    <definedName name="F3.010" localSheetId="8">#REF!</definedName>
    <definedName name="F3.010">#REF!</definedName>
    <definedName name="F3.020" localSheetId="8">#REF!</definedName>
    <definedName name="F3.020">#REF!</definedName>
    <definedName name="F3.030" localSheetId="8">#REF!</definedName>
    <definedName name="F3.030">#REF!</definedName>
    <definedName name="F3.100" localSheetId="8">#REF!</definedName>
    <definedName name="F3.100">#REF!</definedName>
    <definedName name="F3.110" localSheetId="8">#REF!</definedName>
    <definedName name="F3.110">#REF!</definedName>
    <definedName name="F3.120" localSheetId="8">#REF!</definedName>
    <definedName name="F3.120">#REF!</definedName>
    <definedName name="F3.130" localSheetId="8">#REF!</definedName>
    <definedName name="F3.130">#REF!</definedName>
    <definedName name="F4.000" localSheetId="8">#REF!</definedName>
    <definedName name="F4.000">#REF!</definedName>
    <definedName name="F4.010" localSheetId="8">#REF!</definedName>
    <definedName name="F4.010">#REF!</definedName>
    <definedName name="F4.020" localSheetId="8">#REF!</definedName>
    <definedName name="F4.020">#REF!</definedName>
    <definedName name="F4.030" localSheetId="8">#REF!</definedName>
    <definedName name="F4.030">#REF!</definedName>
    <definedName name="F4.100" localSheetId="8">#REF!</definedName>
    <definedName name="F4.100">#REF!</definedName>
    <definedName name="F4.120" localSheetId="8">#REF!</definedName>
    <definedName name="F4.120">#REF!</definedName>
    <definedName name="F4.140" localSheetId="8">#REF!</definedName>
    <definedName name="F4.140">#REF!</definedName>
    <definedName name="F4.160" localSheetId="8">#REF!</definedName>
    <definedName name="F4.160">#REF!</definedName>
    <definedName name="F4.200" localSheetId="8">#REF!</definedName>
    <definedName name="F4.200">#REF!</definedName>
    <definedName name="F4.220" localSheetId="8">#REF!</definedName>
    <definedName name="F4.220">#REF!</definedName>
    <definedName name="F4.240" localSheetId="8">#REF!</definedName>
    <definedName name="F4.240">#REF!</definedName>
    <definedName name="F4.260" localSheetId="8">#REF!</definedName>
    <definedName name="F4.260">#REF!</definedName>
    <definedName name="F4.300" localSheetId="8">#REF!</definedName>
    <definedName name="F4.300">#REF!</definedName>
    <definedName name="F4.320" localSheetId="8">#REF!</definedName>
    <definedName name="F4.320">#REF!</definedName>
    <definedName name="F4.340" localSheetId="8">#REF!</definedName>
    <definedName name="F4.340">#REF!</definedName>
    <definedName name="F4.400" localSheetId="8">#REF!</definedName>
    <definedName name="F4.400">#REF!</definedName>
    <definedName name="F4.420" localSheetId="8">#REF!</definedName>
    <definedName name="F4.420">#REF!</definedName>
    <definedName name="F4.440" localSheetId="8">#REF!</definedName>
    <definedName name="F4.440">#REF!</definedName>
    <definedName name="F4.500" localSheetId="8">#REF!</definedName>
    <definedName name="F4.500">#REF!</definedName>
    <definedName name="F4.530" localSheetId="8">#REF!</definedName>
    <definedName name="F4.530">#REF!</definedName>
    <definedName name="F4.550" localSheetId="8">#REF!</definedName>
    <definedName name="F4.550">#REF!</definedName>
    <definedName name="F4.570" localSheetId="8">#REF!</definedName>
    <definedName name="F4.570">#REF!</definedName>
    <definedName name="F4.600" localSheetId="8">#REF!</definedName>
    <definedName name="F4.600">#REF!</definedName>
    <definedName name="F4.610" localSheetId="8">#REF!</definedName>
    <definedName name="F4.610">#REF!</definedName>
    <definedName name="F4.620" localSheetId="8">#REF!</definedName>
    <definedName name="F4.620">#REF!</definedName>
    <definedName name="F4.700" localSheetId="8">#REF!</definedName>
    <definedName name="F4.700">#REF!</definedName>
    <definedName name="F4.730" localSheetId="8">#REF!</definedName>
    <definedName name="F4.730">#REF!</definedName>
    <definedName name="F4.740" localSheetId="8">#REF!</definedName>
    <definedName name="F4.740">#REF!</definedName>
    <definedName name="F4.800" localSheetId="8">#REF!</definedName>
    <definedName name="F4.800">#REF!</definedName>
    <definedName name="F4.830" localSheetId="8">#REF!</definedName>
    <definedName name="F4.830">#REF!</definedName>
    <definedName name="F4.840" localSheetId="8">#REF!</definedName>
    <definedName name="F4.840">#REF!</definedName>
    <definedName name="F5.01" localSheetId="8">#REF!</definedName>
    <definedName name="F5.01">#REF!</definedName>
    <definedName name="F5.02" localSheetId="8">#REF!</definedName>
    <definedName name="F5.02">#REF!</definedName>
    <definedName name="F5.03" localSheetId="8">#REF!</definedName>
    <definedName name="F5.03">#REF!</definedName>
    <definedName name="F5.04" localSheetId="8">#REF!</definedName>
    <definedName name="F5.04">#REF!</definedName>
    <definedName name="F5.05" localSheetId="8">#REF!</definedName>
    <definedName name="F5.05">#REF!</definedName>
    <definedName name="F5.11" localSheetId="8">#REF!</definedName>
    <definedName name="F5.11">#REF!</definedName>
    <definedName name="F5.12" localSheetId="8">#REF!</definedName>
    <definedName name="F5.12">#REF!</definedName>
    <definedName name="F5.13" localSheetId="8">#REF!</definedName>
    <definedName name="F5.13">#REF!</definedName>
    <definedName name="F5.14" localSheetId="8">#REF!</definedName>
    <definedName name="F5.14">#REF!</definedName>
    <definedName name="F5.15" localSheetId="8">#REF!</definedName>
    <definedName name="F5.15">#REF!</definedName>
    <definedName name="F6.001" localSheetId="8">#REF!</definedName>
    <definedName name="F6.001">#REF!</definedName>
    <definedName name="F6.002" localSheetId="8">#REF!</definedName>
    <definedName name="F6.002">#REF!</definedName>
    <definedName name="F6.003" localSheetId="8">#REF!</definedName>
    <definedName name="F6.003">#REF!</definedName>
    <definedName name="F6.004" localSheetId="8">#REF!</definedName>
    <definedName name="F6.004">#REF!</definedName>
    <definedName name="f82E46">#REF!</definedName>
    <definedName name="f92F56" localSheetId="8">#REF!</definedName>
    <definedName name="f92F56">#REF!</definedName>
    <definedName name="fa" localSheetId="8">#REF!</definedName>
    <definedName name="fa">#REF!</definedName>
    <definedName name="fáaafafaf" localSheetId="8" hidden="1">{"'Sheet1'!$L$16"}</definedName>
    <definedName name="fáaafafaf" localSheetId="0" hidden="1">{"'Sheet1'!$L$16"}</definedName>
    <definedName name="fáaafafaf" localSheetId="6" hidden="1">{"'Sheet1'!$L$16"}</definedName>
    <definedName name="fáaafafaf" localSheetId="9" hidden="1">{"'Sheet1'!$L$16"}</definedName>
    <definedName name="fáaafafaf" localSheetId="7" hidden="1">{"'Sheet1'!$L$16"}</definedName>
    <definedName name="fáaafafaf" hidden="1">{"'Sheet1'!$L$16"}</definedName>
    <definedName name="FACTOR">#REF!</definedName>
    <definedName name="FADKJF" localSheetId="8" hidden="1">{"'Sheet1'!$L$16"}</definedName>
    <definedName name="FADKJF" localSheetId="0" hidden="1">{"'Sheet1'!$L$16"}</definedName>
    <definedName name="FADKJF" localSheetId="6" hidden="1">{"'Sheet1'!$L$16"}</definedName>
    <definedName name="FADKJF" localSheetId="9" hidden="1">{"'Sheet1'!$L$16"}</definedName>
    <definedName name="FADKJF" localSheetId="7" hidden="1">{"'Sheet1'!$L$16"}</definedName>
    <definedName name="FADKJF" hidden="1">{"'Sheet1'!$L$16"}</definedName>
    <definedName name="faf" localSheetId="8">#REF!</definedName>
    <definedName name="faf">#REF!</definedName>
    <definedName name="fasfaga" localSheetId="8" hidden="1">{"'Sheet1'!$L$16"}</definedName>
    <definedName name="fasfaga" localSheetId="0" hidden="1">{"'Sheet1'!$L$16"}</definedName>
    <definedName name="fasfaga" localSheetId="6" hidden="1">{"'Sheet1'!$L$16"}</definedName>
    <definedName name="fasfaga" localSheetId="9" hidden="1">{"'Sheet1'!$L$16"}</definedName>
    <definedName name="fasfaga" localSheetId="7" hidden="1">{"'Sheet1'!$L$16"}</definedName>
    <definedName name="fasfaga" hidden="1">{"'Sheet1'!$L$16"}</definedName>
    <definedName name="Fax">#REF!</definedName>
    <definedName name="Fay">#REF!</definedName>
    <definedName name="fb" localSheetId="8">#REF!</definedName>
    <definedName name="fb">#REF!</definedName>
    <definedName name="fbsdggdsf" localSheetId="8">{"DZ-TDTB2.XLS","Dcksat.xls"}</definedName>
    <definedName name="fbsdggdsf" localSheetId="0">{"DZ-TDTB2.XLS","Dcksat.xls"}</definedName>
    <definedName name="fbsdggdsf" localSheetId="6">{"DZ-TDTB2.XLS","Dcksat.xls"}</definedName>
    <definedName name="fbsdggdsf" localSheetId="9">{"DZ-TDTB2.XLS","Dcksat.xls"}</definedName>
    <definedName name="fbsdggdsf" localSheetId="7">{"DZ-TDTB2.XLS","Dcksat.xls"}</definedName>
    <definedName name="fbsdggdsf">{"DZ-TDTB2.XLS","Dcksat.xls"}</definedName>
    <definedName name="fc">#REF!</definedName>
    <definedName name="fÇ" localSheetId="8" hidden="1">{"'Sheet1'!$L$16"}</definedName>
    <definedName name="fÇ" localSheetId="0" hidden="1">{"'Sheet1'!$L$16"}</definedName>
    <definedName name="fÇ" localSheetId="6" hidden="1">{"'Sheet1'!$L$16"}</definedName>
    <definedName name="fÇ" localSheetId="9" hidden="1">{"'Sheet1'!$L$16"}</definedName>
    <definedName name="fÇ" localSheetId="7" hidden="1">{"'Sheet1'!$L$16"}</definedName>
    <definedName name="fÇ" hidden="1">{"'Sheet1'!$L$16"}</definedName>
    <definedName name="fc." localSheetId="8">#REF!</definedName>
    <definedName name="fc.">#REF!</definedName>
    <definedName name="fc_">#REF!</definedName>
    <definedName name="FC_TOTAL" localSheetId="8">#REF!</definedName>
    <definedName name="FC_TOTAL">#REF!</definedName>
    <definedName name="FC5_total">#REF!</definedName>
    <definedName name="FC6_total">#REF!</definedName>
    <definedName name="fd" localSheetId="8">#REF!</definedName>
    <definedName name="fd">#REF!</definedName>
    <definedName name="Fdaymong">#REF!</definedName>
    <definedName name="fddd" localSheetId="8">#REF!</definedName>
    <definedName name="fddd">#REF!</definedName>
    <definedName name="FDR">#REF!</definedName>
    <definedName name="fdsfsdfd" localSheetId="8" hidden="1">{"'Sheet1'!$L$16"}</definedName>
    <definedName name="fdsfsdfd" localSheetId="0" hidden="1">{"'Sheet1'!$L$16"}</definedName>
    <definedName name="fdsfsdfd" localSheetId="6" hidden="1">{"'Sheet1'!$L$16"}</definedName>
    <definedName name="fdsfsdfd" localSheetId="9" hidden="1">{"'Sheet1'!$L$16"}</definedName>
    <definedName name="fdsfsdfd" localSheetId="7" hidden="1">{"'Sheet1'!$L$16"}</definedName>
    <definedName name="fdsfsdfd" hidden="1">{"'Sheet1'!$L$16"}</definedName>
    <definedName name="FF" localSheetId="8">#REF!</definedName>
    <definedName name="FF">#REF!</definedName>
    <definedName name="FFF" localSheetId="8">BlankMacro1</definedName>
    <definedName name="FFF" localSheetId="0">BlankMacro1</definedName>
    <definedName name="FFF" localSheetId="6">BlankMacro1</definedName>
    <definedName name="FFF" localSheetId="9">BlankMacro1</definedName>
    <definedName name="FFF" localSheetId="7">BlankMacro1</definedName>
    <definedName name="FFF">BlankMacro1</definedName>
    <definedName name="FFFF">#REF!</definedName>
    <definedName name="fffffffffffffff" localSheetId="8" hidden="1">{"'Sheet1'!$L$16"}</definedName>
    <definedName name="fffffffffffffff" localSheetId="0" hidden="1">{"'Sheet1'!$L$16"}</definedName>
    <definedName name="fffffffffffffff" localSheetId="6" hidden="1">{"'Sheet1'!$L$16"}</definedName>
    <definedName name="fffffffffffffff" localSheetId="9" hidden="1">{"'Sheet1'!$L$16"}</definedName>
    <definedName name="fffffffffffffff" localSheetId="7" hidden="1">{"'Sheet1'!$L$16"}</definedName>
    <definedName name="fffffffffffffff" hidden="1">{"'Sheet1'!$L$16"}</definedName>
    <definedName name="Fg">#REF!</definedName>
    <definedName name="fghgjhgjhk">#REF!</definedName>
    <definedName name="fhgfjhjhkjh" localSheetId="8" hidden="1">{"'QT tong hop'!$B$7"}</definedName>
    <definedName name="fhgfjhjhkjh" localSheetId="0" hidden="1">{"'QT tong hop'!$B$7"}</definedName>
    <definedName name="fhgfjhjhkjh" localSheetId="6" hidden="1">{"'QT tong hop'!$B$7"}</definedName>
    <definedName name="fhgfjhjhkjh" localSheetId="9" hidden="1">{"'QT tong hop'!$B$7"}</definedName>
    <definedName name="fhgfjhjhkjh" localSheetId="7" hidden="1">{"'QT tong hop'!$B$7"}</definedName>
    <definedName name="fhgfjhjhkjh" hidden="1">{"'QT tong hop'!$B$7"}</definedName>
    <definedName name="Fi">#REF!</definedName>
    <definedName name="FI_12">4820</definedName>
    <definedName name="finclb">#REF!</definedName>
    <definedName name="fine" localSheetId="8">#REF!</definedName>
    <definedName name="fine">#REF!</definedName>
    <definedName name="FinishWork" localSheetId="8">#REF!</definedName>
    <definedName name="FinishWork">#REF!</definedName>
    <definedName name="FinTT" localSheetId="8">#REF!</definedName>
    <definedName name="FinTT">#REF!</definedName>
    <definedName name="FinXL" localSheetId="8">#REF!</definedName>
    <definedName name="FinXL">#REF!</definedName>
    <definedName name="FIT" localSheetId="8">BlankMacro1</definedName>
    <definedName name="FIT" localSheetId="0">BlankMacro1</definedName>
    <definedName name="FIT" localSheetId="6">BlankMacro1</definedName>
    <definedName name="FIT" localSheetId="9">BlankMacro1</definedName>
    <definedName name="FIT" localSheetId="7">BlankMacro1</definedName>
    <definedName name="FIT">BlankMacro1</definedName>
    <definedName name="Fitb" localSheetId="8">#REF!</definedName>
    <definedName name="Fitb">#REF!</definedName>
    <definedName name="FITT2" localSheetId="8">BlankMacro1</definedName>
    <definedName name="FITT2" localSheetId="0">BlankMacro1</definedName>
    <definedName name="FITT2" localSheetId="6">BlankMacro1</definedName>
    <definedName name="FITT2" localSheetId="9">BlankMacro1</definedName>
    <definedName name="FITT2" localSheetId="7">BlankMacro1</definedName>
    <definedName name="FITT2">BlankMacro1</definedName>
    <definedName name="FITTING2" localSheetId="8">BlankMacro1</definedName>
    <definedName name="FITTING2" localSheetId="0">BlankMacro1</definedName>
    <definedName name="FITTING2" localSheetId="6">BlankMacro1</definedName>
    <definedName name="FITTING2" localSheetId="9">BlankMacro1</definedName>
    <definedName name="FITTING2" localSheetId="7">BlankMacro1</definedName>
    <definedName name="FITTING2">BlankMacro1</definedName>
    <definedName name="fj" localSheetId="8">#REF!</definedName>
    <definedName name="fj">#REF!</definedName>
    <definedName name="fjh">#REF!</definedName>
    <definedName name="fjhghjkjhkj">#REF!</definedName>
    <definedName name="FlexZZ">#REF!</definedName>
    <definedName name="FLG" localSheetId="8">BlankMacro1</definedName>
    <definedName name="FLG" localSheetId="0">BlankMacro1</definedName>
    <definedName name="FLG" localSheetId="6">BlankMacro1</definedName>
    <definedName name="FLG" localSheetId="9">BlankMacro1</definedName>
    <definedName name="FLG" localSheetId="7">BlankMacro1</definedName>
    <definedName name="FLG">BlankMacro1</definedName>
    <definedName name="FO">#N/A</definedName>
    <definedName name="FORK" localSheetId="8">#REF!</definedName>
    <definedName name="FORK">#REF!</definedName>
    <definedName name="Foundation" localSheetId="8">#REF!</definedName>
    <definedName name="Foundation">#REF!</definedName>
    <definedName name="FP" localSheetId="8">#REF!</definedName>
    <definedName name="FP">#REF!</definedName>
    <definedName name="fpa" localSheetId="8">#REF!</definedName>
    <definedName name="fpa">#REF!</definedName>
    <definedName name="fpc" localSheetId="8">#REF!</definedName>
    <definedName name="fpc">#REF!</definedName>
    <definedName name="fpe" localSheetId="8">#REF!</definedName>
    <definedName name="fpe">#REF!</definedName>
    <definedName name="fpf" localSheetId="8">#REF!</definedName>
    <definedName name="fpf">#REF!</definedName>
    <definedName name="fpj" localSheetId="8">#REF!</definedName>
    <definedName name="fpj">#REF!</definedName>
    <definedName name="fps" localSheetId="8">#REF!</definedName>
    <definedName name="fps">#REF!</definedName>
    <definedName name="fpu" localSheetId="8">#REF!</definedName>
    <definedName name="fpu">#REF!</definedName>
    <definedName name="fs">#REF!</definedName>
    <definedName name="fsdfdsf" localSheetId="8" hidden="1">{"'Sheet1'!$L$16"}</definedName>
    <definedName name="fsdfdsf" localSheetId="0" hidden="1">{"'Sheet1'!$L$16"}</definedName>
    <definedName name="fsdfdsf" localSheetId="6" hidden="1">{"'Sheet1'!$L$16"}</definedName>
    <definedName name="fsdfdsf" localSheetId="9" hidden="1">{"'Sheet1'!$L$16"}</definedName>
    <definedName name="fsdfdsf" localSheetId="7" hidden="1">{"'Sheet1'!$L$16"}</definedName>
    <definedName name="fsdfdsf" hidden="1">{"'Sheet1'!$L$16"}</definedName>
    <definedName name="fses" localSheetId="8">#REF!</definedName>
    <definedName name="fses">#REF!</definedName>
    <definedName name="fuji">#REF!</definedName>
    <definedName name="Full" localSheetId="8">#REF!</definedName>
    <definedName name="Full">#REF!</definedName>
    <definedName name="fy">#REF!</definedName>
    <definedName name="fy." localSheetId="8">#REF!</definedName>
    <definedName name="fy.">#REF!</definedName>
    <definedName name="Fy_">#REF!</definedName>
    <definedName name="fys" localSheetId="8">#REF!</definedName>
    <definedName name="fys">#REF!</definedName>
    <definedName name="G">#REF!</definedName>
    <definedName name="g_">#REF!</definedName>
    <definedName name="G_C" localSheetId="8">#REF!</definedName>
    <definedName name="G_C">#REF!</definedName>
    <definedName name="G_ME">#REF!</definedName>
    <definedName name="G0.000" localSheetId="8">#REF!</definedName>
    <definedName name="G0.000">#REF!</definedName>
    <definedName name="G0.010" localSheetId="8">#REF!</definedName>
    <definedName name="G0.010">#REF!</definedName>
    <definedName name="G0.020" localSheetId="8">#REF!</definedName>
    <definedName name="G0.020">#REF!</definedName>
    <definedName name="G0.100" localSheetId="8">#REF!</definedName>
    <definedName name="G0.100">#REF!</definedName>
    <definedName name="G0.110" localSheetId="8">#REF!</definedName>
    <definedName name="G0.110">#REF!</definedName>
    <definedName name="G0.120" localSheetId="8">#REF!</definedName>
    <definedName name="G0.120">#REF!</definedName>
    <definedName name="g1." localSheetId="8">#REF!</definedName>
    <definedName name="g1.">#REF!</definedName>
    <definedName name="G1.000" localSheetId="8">#REF!</definedName>
    <definedName name="G1.000">#REF!</definedName>
    <definedName name="G1.011" localSheetId="8">#REF!</definedName>
    <definedName name="G1.011">#REF!</definedName>
    <definedName name="G1.021" localSheetId="8">#REF!</definedName>
    <definedName name="G1.021">#REF!</definedName>
    <definedName name="G1.031" localSheetId="8">#REF!</definedName>
    <definedName name="G1.031">#REF!</definedName>
    <definedName name="G1.041" localSheetId="8">#REF!</definedName>
    <definedName name="G1.041">#REF!</definedName>
    <definedName name="G1.051" localSheetId="8">#REF!</definedName>
    <definedName name="G1.051">#REF!</definedName>
    <definedName name="g2." localSheetId="8">#REF!</definedName>
    <definedName name="g2.">#REF!</definedName>
    <definedName name="G2.000" localSheetId="8">#REF!</definedName>
    <definedName name="G2.000">#REF!</definedName>
    <definedName name="G2.010" localSheetId="8">#REF!</definedName>
    <definedName name="G2.010">#REF!</definedName>
    <definedName name="G2.020" localSheetId="8">#REF!</definedName>
    <definedName name="G2.020">#REF!</definedName>
    <definedName name="G2.030" localSheetId="8">#REF!</definedName>
    <definedName name="G2.030">#REF!</definedName>
    <definedName name="G3.000" localSheetId="8">#REF!</definedName>
    <definedName name="G3.000">#REF!</definedName>
    <definedName name="G3.011" localSheetId="8">#REF!</definedName>
    <definedName name="G3.011">#REF!</definedName>
    <definedName name="G3.021" localSheetId="8">#REF!</definedName>
    <definedName name="G3.021">#REF!</definedName>
    <definedName name="G3.031" localSheetId="8">#REF!</definedName>
    <definedName name="G3.031">#REF!</definedName>
    <definedName name="G3.041" localSheetId="8">#REF!</definedName>
    <definedName name="G3.041">#REF!</definedName>
    <definedName name="G3.100" localSheetId="8">#REF!</definedName>
    <definedName name="G3.100">#REF!</definedName>
    <definedName name="G3.111" localSheetId="8">#REF!</definedName>
    <definedName name="G3.111">#REF!</definedName>
    <definedName name="G3.121" localSheetId="8">#REF!</definedName>
    <definedName name="G3.121">#REF!</definedName>
    <definedName name="G3.131" localSheetId="8">#REF!</definedName>
    <definedName name="G3.131">#REF!</definedName>
    <definedName name="G3.141" localSheetId="8">#REF!</definedName>
    <definedName name="G3.141">#REF!</definedName>
    <definedName name="G3.201" localSheetId="8">#REF!</definedName>
    <definedName name="G3.201">#REF!</definedName>
    <definedName name="G3.211" localSheetId="8">#REF!</definedName>
    <definedName name="G3.211">#REF!</definedName>
    <definedName name="G3.221" localSheetId="8">#REF!</definedName>
    <definedName name="G3.221">#REF!</definedName>
    <definedName name="G3.231" localSheetId="8">#REF!</definedName>
    <definedName name="G3.231">#REF!</definedName>
    <definedName name="G3.241" localSheetId="8">#REF!</definedName>
    <definedName name="G3.241">#REF!</definedName>
    <definedName name="G3.301" localSheetId="8">#REF!</definedName>
    <definedName name="G3.301">#REF!</definedName>
    <definedName name="G3.311" localSheetId="8">#REF!</definedName>
    <definedName name="G3.311">#REF!</definedName>
    <definedName name="G3.321" localSheetId="8">#REF!</definedName>
    <definedName name="G3.321">#REF!</definedName>
    <definedName name="G3.331" localSheetId="8">#REF!</definedName>
    <definedName name="G3.331">#REF!</definedName>
    <definedName name="G3.341" localSheetId="8">#REF!</definedName>
    <definedName name="G3.341">#REF!</definedName>
    <definedName name="G4.000" localSheetId="8">#REF!</definedName>
    <definedName name="G4.000">#REF!</definedName>
    <definedName name="G4.010" localSheetId="8">#REF!</definedName>
    <definedName name="G4.010">#REF!</definedName>
    <definedName name="G4.020" localSheetId="8">#REF!</definedName>
    <definedName name="G4.020">#REF!</definedName>
    <definedName name="G4.030" localSheetId="8">#REF!</definedName>
    <definedName name="G4.030">#REF!</definedName>
    <definedName name="G4.040" localSheetId="8">#REF!</definedName>
    <definedName name="G4.040">#REF!</definedName>
    <definedName name="G4.101" localSheetId="8">#REF!</definedName>
    <definedName name="G4.101">#REF!</definedName>
    <definedName name="G4.111" localSheetId="8">#REF!</definedName>
    <definedName name="G4.111">#REF!</definedName>
    <definedName name="G4.121" localSheetId="8">#REF!</definedName>
    <definedName name="G4.121">#REF!</definedName>
    <definedName name="G4.131" localSheetId="8">#REF!</definedName>
    <definedName name="G4.131">#REF!</definedName>
    <definedName name="G4.141" localSheetId="8">#REF!</definedName>
    <definedName name="G4.141">#REF!</definedName>
    <definedName name="G4.151" localSheetId="8">#REF!</definedName>
    <definedName name="G4.151">#REF!</definedName>
    <definedName name="G4.161" localSheetId="8">#REF!</definedName>
    <definedName name="G4.161">#REF!</definedName>
    <definedName name="G4.171" localSheetId="8">#REF!</definedName>
    <definedName name="G4.171">#REF!</definedName>
    <definedName name="G4.200" localSheetId="8">#REF!</definedName>
    <definedName name="G4.200">#REF!</definedName>
    <definedName name="G4.210" localSheetId="8">#REF!</definedName>
    <definedName name="G4.210">#REF!</definedName>
    <definedName name="G4.220" localSheetId="8">#REF!</definedName>
    <definedName name="G4.220">#REF!</definedName>
    <definedName name="g40g40">#REF!</definedName>
    <definedName name="Ga" localSheetId="8">#REF!</definedName>
    <definedName name="Ga">#REF!</definedName>
    <definedName name="gach" localSheetId="8">#REF!</definedName>
    <definedName name="gach">#REF!</definedName>
    <definedName name="gachblock" localSheetId="8">#REF!</definedName>
    <definedName name="gachblock">#REF!</definedName>
    <definedName name="gachlat">#REF!</definedName>
    <definedName name="gachllatnen30x30" localSheetId="8">#REF!</definedName>
    <definedName name="gachllatnen30x30">#REF!</definedName>
    <definedName name="gachllatnen40x40" localSheetId="8">#REF!</definedName>
    <definedName name="gachllatnen40x40">#REF!</definedName>
    <definedName name="gachllatnen50x50" localSheetId="8">#REF!</definedName>
    <definedName name="gachllatnen50x50">#REF!</definedName>
    <definedName name="gachxay">#REF!</definedName>
    <definedName name="GAHT">#REF!</definedName>
    <definedName name="gama" localSheetId="8">#REF!</definedName>
    <definedName name="gama">#REF!</definedName>
    <definedName name="gamatc" localSheetId="8">#REF!</definedName>
    <definedName name="gamatc">#REF!</definedName>
    <definedName name="gas">#REF!</definedName>
    <definedName name="Gb" localSheetId="8">#REF!</definedName>
    <definedName name="Gb">#REF!</definedName>
    <definedName name="gc" localSheetId="8">#REF!</definedName>
    <definedName name="gc">#REF!</definedName>
    <definedName name="GC_CT" localSheetId="8">#REF!</definedName>
    <definedName name="GC_CT">#REF!</definedName>
    <definedName name="GC_CT1" localSheetId="8">#REF!</definedName>
    <definedName name="GC_CT1">#REF!</definedName>
    <definedName name="GC_DN">#REF!</definedName>
    <definedName name="GC_HT">#REF!</definedName>
    <definedName name="GC_TD">#REF!</definedName>
    <definedName name="gcHT" localSheetId="8">#REF!</definedName>
    <definedName name="gcHT">#REF!</definedName>
    <definedName name="gcm" localSheetId="8">#REF!</definedName>
    <definedName name="gcm">#REF!</definedName>
    <definedName name="GCP" localSheetId="8">#REF!</definedName>
    <definedName name="GCP">#REF!</definedName>
    <definedName name="gcuoc">#REF!</definedName>
    <definedName name="gchi">#REF!</definedName>
    <definedName name="gd">#REF!</definedName>
    <definedName name="GD_1">#REF!</definedName>
    <definedName name="GD_2">#REF!</definedName>
    <definedName name="gdfgdfgdf" localSheetId="8" hidden="1">{"'Sheet1'!$L$16"}</definedName>
    <definedName name="gdfgdfgdf" localSheetId="0" hidden="1">{"'Sheet1'!$L$16"}</definedName>
    <definedName name="gdfgdfgdf" localSheetId="6" hidden="1">{"'Sheet1'!$L$16"}</definedName>
    <definedName name="gdfgdfgdf" localSheetId="9" hidden="1">{"'Sheet1'!$L$16"}</definedName>
    <definedName name="gdfgdfgdf" localSheetId="7" hidden="1">{"'Sheet1'!$L$16"}</definedName>
    <definedName name="gdfgdfgdf" hidden="1">{"'Sheet1'!$L$16"}</definedName>
    <definedName name="GdoanName">#REF!</definedName>
    <definedName name="geff">#REF!</definedName>
    <definedName name="geo">#REF!</definedName>
    <definedName name="GETVAR" localSheetId="8">#REF!</definedName>
    <definedName name="GETVAR">#REF!</definedName>
    <definedName name="gf">#REF!</definedName>
    <definedName name="gg" localSheetId="8">#REF!</definedName>
    <definedName name="gg">#REF!</definedName>
    <definedName name="GGG" localSheetId="8" hidden="1">{"'Sheet1'!$L$16"}</definedName>
    <definedName name="GGG" localSheetId="0" hidden="1">{"'Sheet1'!$L$16"}</definedName>
    <definedName name="GGG" localSheetId="6" hidden="1">{"'Sheet1'!$L$16"}</definedName>
    <definedName name="GGG" localSheetId="9" hidden="1">{"'Sheet1'!$L$16"}</definedName>
    <definedName name="GGG" localSheetId="7" hidden="1">{"'Sheet1'!$L$16"}</definedName>
    <definedName name="GGG" hidden="1">{"'Sheet1'!$L$16"}</definedName>
    <definedName name="ghghh" localSheetId="8">#REF!</definedName>
    <definedName name="ghghh">#REF!</definedName>
    <definedName name="ghip">#REF!</definedName>
    <definedName name="gkGTGT">#REF!</definedName>
    <definedName name="gl3p">#REF!</definedName>
    <definedName name="Glazing" localSheetId="8">#REF!</definedName>
    <definedName name="Glazing">#REF!</definedName>
    <definedName name="glc" localSheetId="8">#REF!</definedName>
    <definedName name="glc">#REF!</definedName>
    <definedName name="gld">#REF!</definedName>
    <definedName name="gnc" localSheetId="8">#REF!</definedName>
    <definedName name="gnc">#REF!</definedName>
    <definedName name="Gnd" localSheetId="8">#REF!</definedName>
    <definedName name="Gnd">#REF!</definedName>
    <definedName name="gnl">#REF!</definedName>
    <definedName name="Go" localSheetId="8">#REF!</definedName>
    <definedName name="Go">#REF!</definedName>
    <definedName name="GoBack" localSheetId="8">#REF!</definedName>
    <definedName name="GoBack" localSheetId="0">#REF!</definedName>
    <definedName name="GoBack" localSheetId="9">#REF!</definedName>
    <definedName name="GoBack">#REF!</definedName>
    <definedName name="goc" localSheetId="8">#REF!</definedName>
    <definedName name="goc">#REF!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cTieuChuan" localSheetId="8">#REF!</definedName>
    <definedName name="GocTieuChuan">#REF!</definedName>
    <definedName name="gochong" localSheetId="8">#REF!</definedName>
    <definedName name="gochong">#REF!</definedName>
    <definedName name="govan">#REF!</definedName>
    <definedName name="GPT_GROUNDING_PT" localSheetId="8">#REF!</definedName>
    <definedName name="GPT_GROUNDING_PT">#REF!</definedName>
    <definedName name="grC" localSheetId="8">#REF!</definedName>
    <definedName name="grC">#REF!</definedName>
    <definedName name="grD" localSheetId="8">#REF!</definedName>
    <definedName name="grD">#REF!</definedName>
    <definedName name="GRFICM">#REF!</definedName>
    <definedName name="Groups">#REF!</definedName>
    <definedName name="gs" localSheetId="8">#REF!</definedName>
    <definedName name="gs">#REF!</definedName>
    <definedName name="gse">#REF!</definedName>
    <definedName name="gsktxd" localSheetId="8">#REF!</definedName>
    <definedName name="gsktxd" localSheetId="0">#REF!</definedName>
    <definedName name="gsktxd" localSheetId="9">#REF!</definedName>
    <definedName name="gsktxd">#REF!</definedName>
    <definedName name="GT" localSheetId="8">#REF!</definedName>
    <definedName name="GT">#REF!</definedName>
    <definedName name="Gtb">#REF!</definedName>
    <definedName name="gtbt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localSheetId="8" hidden="1">{"'Sheet1'!$L$16"}</definedName>
    <definedName name="GTOTAL" localSheetId="0" hidden="1">{"'Sheet1'!$L$16"}</definedName>
    <definedName name="GTOTAL" localSheetId="6" hidden="1">{"'Sheet1'!$L$16"}</definedName>
    <definedName name="GTOTAL" localSheetId="9" hidden="1">{"'Sheet1'!$L$16"}</definedName>
    <definedName name="GTOTAL" localSheetId="7" hidden="1">{"'Sheet1'!$L$16"}</definedName>
    <definedName name="GTOTAL" hidden="1">{"'Sheet1'!$L$16"}</definedName>
    <definedName name="gtst">#REF!</definedName>
    <definedName name="GTTS" localSheetId="8">#REF!</definedName>
    <definedName name="GTTS">#REF!</definedName>
    <definedName name="GTXL">#REF!</definedName>
    <definedName name="Gthe">#REF!</definedName>
    <definedName name="GTRI">#REF!</definedName>
    <definedName name="gu" localSheetId="8">#REF!</definedName>
    <definedName name="gu">#REF!</definedName>
    <definedName name="gv" localSheetId="8">#REF!</definedName>
    <definedName name="gv">#REF!</definedName>
    <definedName name="gvl" localSheetId="8">#REF!</definedName>
    <definedName name="gvl">#REF!</definedName>
    <definedName name="GVL_LDT">#REF!</definedName>
    <definedName name="gvt" localSheetId="8">#REF!</definedName>
    <definedName name="gvt">#REF!</definedName>
    <definedName name="Gxl">#REF!</definedName>
    <definedName name="gxltt">#REF!</definedName>
    <definedName name="gxm">#REF!</definedName>
    <definedName name="gia" localSheetId="8">#REF!</definedName>
    <definedName name="gia">#REF!</definedName>
    <definedName name="Gia_ban_dien_sc" localSheetId="8">#REF!</definedName>
    <definedName name="Gia_ban_dien_sc">#REF!</definedName>
    <definedName name="Gia_ban_dien_tc" localSheetId="8">#REF!</definedName>
    <definedName name="Gia_ban_dien_tc">#REF!</definedName>
    <definedName name="Gia_CT">#REF!</definedName>
    <definedName name="GIA_CU_LY_VAN_CHUYEN">#REF!</definedName>
    <definedName name="GIA_LANGSON" localSheetId="8">#REF!</definedName>
    <definedName name="GIA_LANGSON">#REF!</definedName>
    <definedName name="gia_tien">#REF!</definedName>
    <definedName name="gia_tien_BTN">#REF!</definedName>
    <definedName name="GIA_THANH_VAN_CHUYEN_1M3_BE_TONG">#REF!</definedName>
    <definedName name="Gia_VT">#REF!</definedName>
    <definedName name="GIA_XEPANGHIENG_Q" localSheetId="8">#REF!</definedName>
    <definedName name="GIA_XEPANGHIENG_Q">#REF!</definedName>
    <definedName name="Giaban" localSheetId="8">#REF!</definedName>
    <definedName name="Giaban">#REF!</definedName>
    <definedName name="GiabanSP" localSheetId="8">#REF!</definedName>
    <definedName name="GiabanSP">#REF!</definedName>
    <definedName name="giabq" localSheetId="8">#REF!</definedName>
    <definedName name="giabq">#REF!</definedName>
    <definedName name="giaca" localSheetId="8">#REF!</definedName>
    <definedName name="giaca">#REF!</definedName>
    <definedName name="giacong" localSheetId="8">#REF!</definedName>
    <definedName name="giacong">#REF!</definedName>
    <definedName name="giaD10">#REF!</definedName>
    <definedName name="giaD12_22">#REF!</definedName>
    <definedName name="giadauthegioi2010" localSheetId="8">#REF!</definedName>
    <definedName name="giadauthegioi2010">#REF!</definedName>
    <definedName name="giadauthegioi2011" localSheetId="8">#REF!</definedName>
    <definedName name="giadauthegioi2011">#REF!</definedName>
    <definedName name="giadauthegioi2012">#REF!</definedName>
    <definedName name="giadien" localSheetId="8">#REF!</definedName>
    <definedName name="giadien">#REF!</definedName>
    <definedName name="GiaHaNoiT2_2002_Q" localSheetId="8">#REF!</definedName>
    <definedName name="GiaHaNoiT2_2002_Q">#REF!</definedName>
    <definedName name="Giai__o_n">#REF!</definedName>
    <definedName name="Giai_doan">#REF!</definedName>
    <definedName name="gianuoc" localSheetId="8">#REF!</definedName>
    <definedName name="gianuoc">#REF!</definedName>
    <definedName name="giatbco">#REF!</definedName>
    <definedName name="giatbdien">#REF!</definedName>
    <definedName name="Giathitruong">#REF!</definedName>
    <definedName name="GIAVL_TRALY">#REF!</definedName>
    <definedName name="GIAVLIEUTN">#REF!</definedName>
    <definedName name="giaxangdau" localSheetId="8">#REF!</definedName>
    <definedName name="giaxangdau">#REF!</definedName>
    <definedName name="gica_bq" localSheetId="8">#REF!</definedName>
    <definedName name="gica_bq">#REF!</definedName>
    <definedName name="gica_bv" localSheetId="8">#REF!</definedName>
    <definedName name="gica_bv">#REF!</definedName>
    <definedName name="gica_ck" localSheetId="8">#REF!</definedName>
    <definedName name="gica_ck">#REF!</definedName>
    <definedName name="gica_d1" localSheetId="8">#REF!</definedName>
    <definedName name="gica_d1">#REF!</definedName>
    <definedName name="gica_d2" localSheetId="8">#REF!</definedName>
    <definedName name="gica_d2">#REF!</definedName>
    <definedName name="gica_d3" localSheetId="8">#REF!</definedName>
    <definedName name="gica_d3">#REF!</definedName>
    <definedName name="gica_dl" localSheetId="8">#REF!</definedName>
    <definedName name="gica_dl">#REF!</definedName>
    <definedName name="gica_kcs" localSheetId="8">#REF!</definedName>
    <definedName name="gica_kcs">#REF!</definedName>
    <definedName name="gica_nb" localSheetId="8">#REF!</definedName>
    <definedName name="gica_nb">#REF!</definedName>
    <definedName name="gica_nv" localSheetId="8">#REF!</definedName>
    <definedName name="gica_nv">#REF!</definedName>
    <definedName name="gica_ngio" localSheetId="8">#REF!</definedName>
    <definedName name="gica_ngio">#REF!</definedName>
    <definedName name="gica_t3" localSheetId="8">#REF!</definedName>
    <definedName name="gica_t3">#REF!</definedName>
    <definedName name="gica_t4" localSheetId="8">#REF!</definedName>
    <definedName name="gica_t4">#REF!</definedName>
    <definedName name="gica_t5" localSheetId="8">#REF!</definedName>
    <definedName name="gica_t5">#REF!</definedName>
    <definedName name="gica_t6" localSheetId="8">#REF!</definedName>
    <definedName name="gica_t6">#REF!</definedName>
    <definedName name="gica_tc" localSheetId="8">#REF!</definedName>
    <definedName name="gica_tc">#REF!</definedName>
    <definedName name="gica_tm" localSheetId="8">#REF!</definedName>
    <definedName name="gica_tm">#REF!</definedName>
    <definedName name="gica_vs" localSheetId="8">#REF!</definedName>
    <definedName name="gica_vs">#REF!</definedName>
    <definedName name="gica_xh" localSheetId="8">#REF!</definedName>
    <definedName name="gica_xh">#REF!</definedName>
    <definedName name="gielau" localSheetId="8">#REF!</definedName>
    <definedName name="gielau">#REF!</definedName>
    <definedName name="gio_bq" localSheetId="8">#REF!</definedName>
    <definedName name="gio_bq">#REF!</definedName>
    <definedName name="gio_d1" localSheetId="8">#REF!</definedName>
    <definedName name="gio_d1">#REF!</definedName>
    <definedName name="gio_d2" localSheetId="8">#REF!</definedName>
    <definedName name="gio_d2">#REF!</definedName>
    <definedName name="gio_d3" localSheetId="8">#REF!</definedName>
    <definedName name="gio_d3">#REF!</definedName>
    <definedName name="gio_dl" localSheetId="8">#REF!</definedName>
    <definedName name="gio_dl">#REF!</definedName>
    <definedName name="gio_kcs" localSheetId="8">#REF!</definedName>
    <definedName name="gio_kcs">#REF!</definedName>
    <definedName name="gio_ngio" localSheetId="8">#REF!</definedName>
    <definedName name="gio_ngio">#REF!</definedName>
    <definedName name="gio_t3" localSheetId="8">#REF!</definedName>
    <definedName name="gio_t3">#REF!</definedName>
    <definedName name="gio_t4" localSheetId="8">#REF!</definedName>
    <definedName name="gio_t4">#REF!</definedName>
    <definedName name="gio_t5" localSheetId="8">#REF!</definedName>
    <definedName name="gio_t5">#REF!</definedName>
    <definedName name="gio_t6" localSheetId="8">#REF!</definedName>
    <definedName name="gio_t6">#REF!</definedName>
    <definedName name="gio_vs" localSheetId="8">#REF!</definedName>
    <definedName name="gio_vs">#REF!</definedName>
    <definedName name="gio_xh" localSheetId="8">#REF!</definedName>
    <definedName name="gio_xh">#REF!</definedName>
    <definedName name="Giocong">#REF!</definedName>
    <definedName name="gipa5" localSheetId="8">#REF!</definedName>
    <definedName name="gipa5">#REF!</definedName>
    <definedName name="h" localSheetId="8" hidden="1">{"'Sheet1'!$L$16"}</definedName>
    <definedName name="h" localSheetId="0" hidden="1">{"'Sheet1'!$L$16"}</definedName>
    <definedName name="h" localSheetId="6" hidden="1">{"'Sheet1'!$L$16"}</definedName>
    <definedName name="h" localSheetId="9" hidden="1">{"'Sheet1'!$L$16"}</definedName>
    <definedName name="h" localSheetId="7" hidden="1">{"'Sheet1'!$L$16"}</definedName>
    <definedName name="h" hidden="1">{"'Sheet1'!$L$16"}</definedName>
    <definedName name="H." localSheetId="8">#REF!</definedName>
    <definedName name="H.">#REF!</definedName>
    <definedName name="h.2" localSheetId="8">#REF!</definedName>
    <definedName name="h.2">#REF!</definedName>
    <definedName name="h_">#REF!</definedName>
    <definedName name="h__">#REF!</definedName>
    <definedName name="h_0">#REF!</definedName>
    <definedName name="H_1">#REF!</definedName>
    <definedName name="H_2">#REF!</definedName>
    <definedName name="H_3">#REF!</definedName>
    <definedName name="H_THUCTT">#REF!</definedName>
    <definedName name="H_THUCHTHH">#REF!</definedName>
    <definedName name="H0.001" localSheetId="8">#REF!</definedName>
    <definedName name="H0.001">#REF!</definedName>
    <definedName name="H0.011" localSheetId="8">#REF!</definedName>
    <definedName name="H0.011">#REF!</definedName>
    <definedName name="H0.021" localSheetId="8">#REF!</definedName>
    <definedName name="H0.021">#REF!</definedName>
    <definedName name="H0.031" localSheetId="8">#REF!</definedName>
    <definedName name="H0.031">#REF!</definedName>
    <definedName name="h1." localSheetId="8">#REF!</definedName>
    <definedName name="h1.">#REF!</definedName>
    <definedName name="h1_" localSheetId="8">#REF!</definedName>
    <definedName name="h1_">#REF!</definedName>
    <definedName name="h18x">#REF!</definedName>
    <definedName name="H1cb" localSheetId="8">#REF!</definedName>
    <definedName name="H1cb">#REF!</definedName>
    <definedName name="h2." localSheetId="8">#REF!</definedName>
    <definedName name="h2.">#REF!</definedName>
    <definedName name="h2_" localSheetId="8">#REF!</definedName>
    <definedName name="h2_">#REF!</definedName>
    <definedName name="H2canh" localSheetId="8">#REF!</definedName>
    <definedName name="H2canh">#REF!</definedName>
    <definedName name="H2cb" localSheetId="8">#REF!</definedName>
    <definedName name="H2cb">#REF!</definedName>
    <definedName name="h3." localSheetId="8">#REF!</definedName>
    <definedName name="h3.">#REF!</definedName>
    <definedName name="h3_" localSheetId="8">#REF!</definedName>
    <definedName name="h3_">#REF!</definedName>
    <definedName name="h30x">#REF!</definedName>
    <definedName name="H3canh" localSheetId="8">#REF!</definedName>
    <definedName name="H3canh">#REF!</definedName>
    <definedName name="h4." localSheetId="8">#REF!</definedName>
    <definedName name="h4.">#REF!</definedName>
    <definedName name="h4_" localSheetId="8">#REF!</definedName>
    <definedName name="h4_">#REF!</definedName>
    <definedName name="h5." localSheetId="8">#REF!</definedName>
    <definedName name="h5.">#REF!</definedName>
    <definedName name="h5_" localSheetId="8">#REF!</definedName>
    <definedName name="h5_">#REF!</definedName>
    <definedName name="h6." localSheetId="8">#REF!</definedName>
    <definedName name="h6.">#REF!</definedName>
    <definedName name="h6_" localSheetId="8">#REF!</definedName>
    <definedName name="h6_">#REF!</definedName>
    <definedName name="h7.5" localSheetId="8">#REF!</definedName>
    <definedName name="h7.5">#REF!</definedName>
    <definedName name="h7_" localSheetId="8">#REF!</definedName>
    <definedName name="h7_">#REF!</definedName>
    <definedName name="h8.5" localSheetId="8">#REF!</definedName>
    <definedName name="h8.5">#REF!</definedName>
    <definedName name="Ha">#REF!</definedName>
    <definedName name="ha." localSheetId="8">#REF!</definedName>
    <definedName name="ha.">#REF!</definedName>
    <definedName name="hai" localSheetId="8" hidden="1">{"'Sheet1'!$L$16"}</definedName>
    <definedName name="hai" localSheetId="0" hidden="1">{"'Sheet1'!$L$16"}</definedName>
    <definedName name="hai" localSheetId="6" hidden="1">{"'Sheet1'!$L$16"}</definedName>
    <definedName name="hai" localSheetId="9" hidden="1">{"'Sheet1'!$L$16"}</definedName>
    <definedName name="hai" localSheetId="7" hidden="1">{"'Sheet1'!$L$16"}</definedName>
    <definedName name="hai" hidden="1">{"'Sheet1'!$L$16"}</definedName>
    <definedName name="Hamyen" localSheetId="8">#REF!</definedName>
    <definedName name="Hamyen">#REF!</definedName>
    <definedName name="han" localSheetId="8">#REF!</definedName>
    <definedName name="han">#REF!</definedName>
    <definedName name="Hanoi" localSheetId="8">#REF!</definedName>
    <definedName name="Hanoi">#REF!</definedName>
    <definedName name="hangmuc">#REF!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 localSheetId="8">#REF!</definedName>
    <definedName name="Hb">#REF!</definedName>
    <definedName name="hb." localSheetId="8">#REF!</definedName>
    <definedName name="hb.">#REF!</definedName>
    <definedName name="hba" localSheetId="8">#REF!</definedName>
    <definedName name="hba">#REF!</definedName>
    <definedName name="HBC">#REF!</definedName>
    <definedName name="Hbe" localSheetId="8">#REF!</definedName>
    <definedName name="Hbe">#REF!</definedName>
    <definedName name="HBL">#REF!</definedName>
    <definedName name="hbon" localSheetId="8">#REF!</definedName>
    <definedName name="hbon">#REF!</definedName>
    <definedName name="hc" localSheetId="8">#REF!</definedName>
    <definedName name="hc">#REF!</definedName>
    <definedName name="hc." localSheetId="8">#REF!</definedName>
    <definedName name="hc.">#REF!</definedName>
    <definedName name="Hcb" localSheetId="8">#REF!</definedName>
    <definedName name="Hcb">#REF!</definedName>
    <definedName name="hcg" localSheetId="8">#REF!</definedName>
    <definedName name="hcg">#REF!</definedName>
    <definedName name="HCM">#REF!</definedName>
    <definedName name="HCNA" localSheetId="8" hidden="1">{"'Sheet1'!$L$16"}</definedName>
    <definedName name="HCNA" localSheetId="0" hidden="1">{"'Sheet1'!$L$16"}</definedName>
    <definedName name="HCNA" localSheetId="6" hidden="1">{"'Sheet1'!$L$16"}</definedName>
    <definedName name="HCNA" localSheetId="9" hidden="1">{"'Sheet1'!$L$16"}</definedName>
    <definedName name="HCNA" localSheetId="7" hidden="1">{"'Sheet1'!$L$16"}</definedName>
    <definedName name="HCNA" hidden="1">{"'Sheet1'!$L$16"}</definedName>
    <definedName name="HCNT" localSheetId="8">#REF!</definedName>
    <definedName name="HCNT">#REF!</definedName>
    <definedName name="HCPH">#REF!</definedName>
    <definedName name="HCS">#REF!</definedName>
    <definedName name="HCU">#REF!</definedName>
    <definedName name="HCHANH1">#REF!</definedName>
    <definedName name="hd">#REF!</definedName>
    <definedName name="HDC">#REF!</definedName>
    <definedName name="HDCCT" localSheetId="8">#REF!</definedName>
    <definedName name="HDCCT">#REF!</definedName>
    <definedName name="HDCD" localSheetId="8">#REF!</definedName>
    <definedName name="HDCD">#REF!</definedName>
    <definedName name="HDGT" localSheetId="8">#REF!</definedName>
    <definedName name="HDGT">#REF!</definedName>
    <definedName name="HDGTN" localSheetId="8">#REF!</definedName>
    <definedName name="HDGTN">#REF!</definedName>
    <definedName name="Hdinh">#N/A</definedName>
    <definedName name="hdong">#REF!</definedName>
    <definedName name="Hdt" localSheetId="8">#REF!</definedName>
    <definedName name="Hdt">#REF!</definedName>
    <definedName name="HDU">#REF!</definedName>
    <definedName name="He">#REF!</definedName>
    <definedName name="He_so">#REF!</definedName>
    <definedName name="He_So_Bat_Loi" localSheetId="8">#REF!</definedName>
    <definedName name="He_So_Bat_Loi">#REF!</definedName>
    <definedName name="HE_SO_KHO_KHAN_CANG_DAY">#REF!</definedName>
    <definedName name="Heä_soá_laép_xaø_H">1.7</definedName>
    <definedName name="heä_soá_sình_laày">#REF!</definedName>
    <definedName name="HEADDAYA3" localSheetId="8">#REF!,#REF!,#REF!,#REF!,#REF!,#REF!,#REF!,#REF!,#REF!,#REF!,#REF!,#REF!,#REF!</definedName>
    <definedName name="HEADDAYA3">#REF!,#REF!,#REF!,#REF!,#REF!,#REF!,#REF!,#REF!,#REF!,#REF!,#REF!,#REF!,#REF!</definedName>
    <definedName name="HEADDAYA4" localSheetId="8">#REF!,#REF!,#REF!,#REF!,#REF!,#REF!,#REF!,#REF!,#REF!,#REF!,#REF!,#REF!,#REF!,#REF!,#REF!,#REF!,#REF!</definedName>
    <definedName name="HEADDAYA4">#REF!,#REF!,#REF!,#REF!,#REF!,#REF!,#REF!,#REF!,#REF!,#REF!,#REF!,#REF!,#REF!,#REF!,#REF!,#REF!,#REF!</definedName>
    <definedName name="HEADWEEKA3" localSheetId="8">#REF!,#REF!,#REF!,#REF!,#REF!,#REF!,#REF!,#REF!,#REF!,#REF!,#REF!,#REF!</definedName>
    <definedName name="HEADWEEKA3">#REF!,#REF!,#REF!,#REF!,#REF!,#REF!,#REF!,#REF!,#REF!,#REF!,#REF!,#REF!</definedName>
    <definedName name="HEADWEEKA4" localSheetId="8">#REF!,#REF!,#REF!,#REF!,#REF!,#REF!,#REF!,#REF!,#REF!,#REF!,#REF!,#REF!</definedName>
    <definedName name="HEADWEEKA4">#REF!,#REF!,#REF!,#REF!,#REF!,#REF!,#REF!,#REF!,#REF!,#REF!,#REF!,#REF!</definedName>
    <definedName name="Hello">#REF!</definedName>
    <definedName name="Heso1" localSheetId="8">#REF!</definedName>
    <definedName name="Heso1">#REF!</definedName>
    <definedName name="hethonglanh" localSheetId="8">#REF!</definedName>
    <definedName name="hethonglanh">#REF!</definedName>
    <definedName name="hethongthoatnuocngoainha" hidden="1">#REF!</definedName>
    <definedName name="Hg">#REF!</definedName>
    <definedName name="HH">#REF!</definedName>
    <definedName name="HH15HT" localSheetId="8">#REF!</definedName>
    <definedName name="HH15HT">#REF!</definedName>
    <definedName name="HH16HT" localSheetId="8">#REF!</definedName>
    <definedName name="HH16HT">#REF!</definedName>
    <definedName name="HH19HT" localSheetId="8">#REF!</definedName>
    <definedName name="HH19HT">#REF!</definedName>
    <definedName name="HH20HT" localSheetId="8">#REF!</definedName>
    <definedName name="HH20HT">#REF!</definedName>
    <definedName name="hhaa">#REF!</definedName>
    <definedName name="hhai" localSheetId="8">#REF!</definedName>
    <definedName name="hhai">#REF!</definedName>
    <definedName name="HHcat" localSheetId="8">#REF!</definedName>
    <definedName name="HHcat">#REF!</definedName>
    <definedName name="hhcv" localSheetId="8">#REF!</definedName>
    <definedName name="hhcv">#REF!</definedName>
    <definedName name="HHda" localSheetId="8">#REF!</definedName>
    <definedName name="HHda">#REF!</definedName>
    <definedName name="hhda4x6" localSheetId="8">#REF!</definedName>
    <definedName name="hhda4x6">#REF!</definedName>
    <definedName name="hhhh">#REF!</definedName>
    <definedName name="hhhhhhhhhhhh" localSheetId="8">#REF!</definedName>
    <definedName name="hhhhhhhhhhhh">#REF!</definedName>
    <definedName name="HHIC">#REF!</definedName>
    <definedName name="hhsc" localSheetId="8">#REF!</definedName>
    <definedName name="hhsc">#REF!</definedName>
    <definedName name="HHT">#REF!</definedName>
    <definedName name="hhtd" localSheetId="8">#REF!</definedName>
    <definedName name="hhtd">#REF!</definedName>
    <definedName name="HHTT">#REF!</definedName>
    <definedName name="hhxm" localSheetId="8">#REF!</definedName>
    <definedName name="hhxm">#REF!</definedName>
    <definedName name="hien">#REF!</definedName>
    <definedName name="Hinh_thuc">#REF!</definedName>
    <definedName name="hjjkl" localSheetId="8" hidden="1">{"'Sheet1'!$L$16"}</definedName>
    <definedName name="hjjkl" localSheetId="0" hidden="1">{"'Sheet1'!$L$16"}</definedName>
    <definedName name="hjjkl" localSheetId="6" hidden="1">{"'Sheet1'!$L$16"}</definedName>
    <definedName name="hjjkl" localSheetId="9" hidden="1">{"'Sheet1'!$L$16"}</definedName>
    <definedName name="hjjkl" localSheetId="7" hidden="1">{"'Sheet1'!$L$16"}</definedName>
    <definedName name="hjjkl" hidden="1">{"'Sheet1'!$L$16"}</definedName>
    <definedName name="hjxghji" localSheetId="8">BlankMacro1</definedName>
    <definedName name="hjxghji" localSheetId="0">BlankMacro1</definedName>
    <definedName name="hjxghji" localSheetId="6">BlankMacro1</definedName>
    <definedName name="hjxghji" localSheetId="9">BlankMacro1</definedName>
    <definedName name="hjxghji" localSheetId="7">BlankMacro1</definedName>
    <definedName name="hjxghji">BlankMacro1</definedName>
    <definedName name="HKE">#REF!</definedName>
    <definedName name="HKL">#REF!</definedName>
    <definedName name="HKLHI">#REF!</definedName>
    <definedName name="HKLL">#REF!</definedName>
    <definedName name="HKLLLO">#REF!</definedName>
    <definedName name="hl">#REF!</definedName>
    <definedName name="HLC">#REF!</definedName>
    <definedName name="HLIC">#REF!</definedName>
    <definedName name="hlp." localSheetId="8">#REF!</definedName>
    <definedName name="hlp.">#REF!</definedName>
    <definedName name="HLU">#REF!</definedName>
    <definedName name="HLW" localSheetId="8">#REF!</definedName>
    <definedName name="HLW">#REF!</definedName>
    <definedName name="HM">#REF!</definedName>
    <definedName name="Hmong">#N/A</definedName>
    <definedName name="hmot" localSheetId="8">#REF!</definedName>
    <definedName name="hmot">#REF!</definedName>
    <definedName name="hn" localSheetId="8">#REF!</definedName>
    <definedName name="hn">#REF!</definedName>
    <definedName name="hnc" localSheetId="8">#REF!</definedName>
    <definedName name="hnc">#REF!</definedName>
    <definedName name="Ho">#REF!</definedName>
    <definedName name="HO_SO_DU_THAU_DZ0.4">#REF!</definedName>
    <definedName name="hoc">55000</definedName>
    <definedName name="HOME_MANP">#REF!</definedName>
    <definedName name="HOMEOFFICE_COST">#REF!</definedName>
    <definedName name="Hoten">#REF!</definedName>
    <definedName name="House">#REF!</definedName>
    <definedName name="hp" localSheetId="8">#REF!</definedName>
    <definedName name="hp">#REF!</definedName>
    <definedName name="Hpl" localSheetId="8">#REF!</definedName>
    <definedName name="Hpl">#REF!</definedName>
    <definedName name="HR">#REF!</definedName>
    <definedName name="hr_" localSheetId="8">#REF!</definedName>
    <definedName name="hr_">#REF!</definedName>
    <definedName name="HRC">#REF!</definedName>
    <definedName name="HS">#REF!</definedName>
    <definedName name="HS_may">#REF!</definedName>
    <definedName name="hs_vt">#REF!</definedName>
    <definedName name="HSBDVC" localSheetId="8">#REF!</definedName>
    <definedName name="HSBDVC">#REF!</definedName>
    <definedName name="hsbn" localSheetId="8">#REF!</definedName>
    <definedName name="hsbn">#REF!</definedName>
    <definedName name="Hsc">#REF!</definedName>
    <definedName name="HSCPC">#REF!</definedName>
    <definedName name="HSCT3">0.1</definedName>
    <definedName name="HSCTMR">#REF!</definedName>
    <definedName name="hsd">#REF!</definedName>
    <definedName name="hsdc">#REF!</definedName>
    <definedName name="hsdc1">#REF!</definedName>
    <definedName name="HSDD" localSheetId="8">#REF!</definedName>
    <definedName name="HSDD">#REF!</definedName>
    <definedName name="HSDN">2.5</definedName>
    <definedName name="hsdt" localSheetId="8">#REF!</definedName>
    <definedName name="hsdt">#REF!</definedName>
    <definedName name="hSF" localSheetId="8">#REF!</definedName>
    <definedName name="hSF">#REF!</definedName>
    <definedName name="HSGG">#REF!</definedName>
    <definedName name="HSHH">#REF!</definedName>
    <definedName name="HSHHUT">#REF!</definedName>
    <definedName name="hsk">#REF!</definedName>
    <definedName name="HSKD" localSheetId="8">#REF!</definedName>
    <definedName name="HSKD">#REF!</definedName>
    <definedName name="HSKK" localSheetId="8">#REF!</definedName>
    <definedName name="HSKK">#REF!</definedName>
    <definedName name="hskk1" localSheetId="8">#REF!</definedName>
    <definedName name="hskk1">#REF!</definedName>
    <definedName name="HSKK35">#REF!</definedName>
    <definedName name="HSKVXL_MTC" localSheetId="8">#REF!</definedName>
    <definedName name="HSKVXL_MTC">#REF!</definedName>
    <definedName name="HSKVXL_NC" localSheetId="8">#REF!</definedName>
    <definedName name="HSKVXL_NC">#REF!</definedName>
    <definedName name="hskhac" localSheetId="8">#REF!</definedName>
    <definedName name="hskhac">#REF!</definedName>
    <definedName name="HSlanxe" localSheetId="8">#REF!</definedName>
    <definedName name="HSlanxe">#REF!</definedName>
    <definedName name="HSLX">#REF!</definedName>
    <definedName name="HSLXH">1.7</definedName>
    <definedName name="HSLXP">#REF!</definedName>
    <definedName name="hsm">#REF!</definedName>
    <definedName name="HSMTC">#REF!</definedName>
    <definedName name="HSNC" localSheetId="8">#REF!</definedName>
    <definedName name="HSNC">#REF!</definedName>
    <definedName name="hsnc_cau2">1.626</definedName>
    <definedName name="hsnc_d">1.6356</definedName>
    <definedName name="hsnc_d2">1.6356</definedName>
    <definedName name="hso" localSheetId="8">#REF!</definedName>
    <definedName name="hso">#REF!</definedName>
    <definedName name="HSSL">#REF!</definedName>
    <definedName name="hßm4">#REF!</definedName>
    <definedName name="hstb">#REF!</definedName>
    <definedName name="hstdtk">#REF!</definedName>
    <definedName name="HSTK">#REF!</definedName>
    <definedName name="hsthep">#REF!</definedName>
    <definedName name="HSTHUE">#REF!</definedName>
    <definedName name="HSVAT">#REF!</definedName>
    <definedName name="HSVC1">#REF!</definedName>
    <definedName name="HSVC2">#REF!</definedName>
    <definedName name="HSVC3">#REF!</definedName>
    <definedName name="HsVCVLTH">#REF!</definedName>
    <definedName name="hsvl">#REF!</definedName>
    <definedName name="HT">#REF!</definedName>
    <definedName name="ht25nc" localSheetId="8">#REF!</definedName>
    <definedName name="ht25nc">#REF!</definedName>
    <definedName name="ht25vl" localSheetId="8">#REF!</definedName>
    <definedName name="ht25vl">#REF!</definedName>
    <definedName name="ht325nc" localSheetId="8">#REF!</definedName>
    <definedName name="ht325nc">#REF!</definedName>
    <definedName name="ht325vl" localSheetId="8">#REF!</definedName>
    <definedName name="ht325vl">#REF!</definedName>
    <definedName name="ht37k" localSheetId="8">#REF!</definedName>
    <definedName name="ht37k">#REF!</definedName>
    <definedName name="ht37nc" localSheetId="8">#REF!</definedName>
    <definedName name="ht37nc">#REF!</definedName>
    <definedName name="ht50nc" localSheetId="8">#REF!</definedName>
    <definedName name="ht50nc">#REF!</definedName>
    <definedName name="ht50vl" localSheetId="8">#REF!</definedName>
    <definedName name="ht50vl">#REF!</definedName>
    <definedName name="Htai" localSheetId="8">#REF!</definedName>
    <definedName name="Htai">#REF!</definedName>
    <definedName name="HTBVCap" localSheetId="8">#REF!</definedName>
    <definedName name="HTBVCap">#REF!</definedName>
    <definedName name="HTD">#REF!</definedName>
    <definedName name="htlm" localSheetId="8" hidden="1">{"'Sheet1'!$L$16"}</definedName>
    <definedName name="htlm" localSheetId="0" hidden="1">{"'Sheet1'!$L$16"}</definedName>
    <definedName name="htlm" localSheetId="6" hidden="1">{"'Sheet1'!$L$16"}</definedName>
    <definedName name="htlm" localSheetId="9" hidden="1">{"'Sheet1'!$L$16"}</definedName>
    <definedName name="htlm" localSheetId="7" hidden="1">{"'Sheet1'!$L$16"}</definedName>
    <definedName name="htlm" hidden="1">{"'Sheet1'!$L$16"}</definedName>
    <definedName name="HTML_CodePage" hidden="1">1252</definedName>
    <definedName name="HTML_Control" localSheetId="8" hidden="1">{"'QT tong hop'!$B$7"}</definedName>
    <definedName name="HTML_Control" localSheetId="0" hidden="1">{"'QT tong hop'!$B$7"}</definedName>
    <definedName name="HTML_Control" localSheetId="6" hidden="1">{"'QT tong hop'!$B$7"}</definedName>
    <definedName name="HTML_Control" localSheetId="9" hidden="1">{"'QT tong hop'!$B$7"}</definedName>
    <definedName name="HTML_Control" localSheetId="7" hidden="1">{"'QT tong hop'!$B$7"}</definedName>
    <definedName name="HTML_Control" hidden="1">{"'QT tong hop'!$B$7"}</definedName>
    <definedName name="HTML_Description" hidden="1">""</definedName>
    <definedName name="HTML_Email" hidden="1">""</definedName>
    <definedName name="HTML_Header" hidden="1">"QT tong hop"</definedName>
    <definedName name="HTML_LastUpdate" hidden="1">"26/02/02"</definedName>
    <definedName name="HTML_LineAfter" hidden="1">FALSE</definedName>
    <definedName name="HTML_LineBefore" hidden="1">FALSE</definedName>
    <definedName name="HTML_Name" hidden="1">"Xi Nghiep Xay Lap 301"</definedName>
    <definedName name="HTML_OBDlg2" hidden="1">TRUE</definedName>
    <definedName name="HTML_OBDlg4" hidden="1">TRUE</definedName>
    <definedName name="HTML_OS" hidden="1">0</definedName>
    <definedName name="HTML_PathFile" hidden="1">"C:\2002\hung\PCCC.htm"</definedName>
    <definedName name="HTML_Title" hidden="1">"HETHON~1"</definedName>
    <definedName name="HTN">#REF!</definedName>
    <definedName name="HTNC">#REF!</definedName>
    <definedName name="HTS">#REF!</definedName>
    <definedName name="HTU">#REF!</definedName>
    <definedName name="HTVL">#REF!</definedName>
    <definedName name="Hthan">#N/A</definedName>
    <definedName name="HTHH">#REF!</definedName>
    <definedName name="hu" localSheetId="8" hidden="1">{"'Sheet1'!$L$16"}</definedName>
    <definedName name="hu" localSheetId="0" hidden="1">{"'Sheet1'!$L$16"}</definedName>
    <definedName name="hu" localSheetId="6" hidden="1">{"'Sheet1'!$L$16"}</definedName>
    <definedName name="hu" localSheetId="9" hidden="1">{"'Sheet1'!$L$16"}</definedName>
    <definedName name="hu" localSheetId="7" hidden="1">{"'Sheet1'!$L$16"}</definedName>
    <definedName name="hu" hidden="1">{"'Sheet1'!$L$16"}</definedName>
    <definedName name="hui" localSheetId="8" hidden="1">{"'Sheet1'!$L$16"}</definedName>
    <definedName name="hui" localSheetId="0" hidden="1">{"'Sheet1'!$L$16"}</definedName>
    <definedName name="hui" localSheetId="6" hidden="1">{"'Sheet1'!$L$16"}</definedName>
    <definedName name="hui" localSheetId="9" hidden="1">{"'Sheet1'!$L$16"}</definedName>
    <definedName name="hui" localSheetId="7" hidden="1">{"'Sheet1'!$L$16"}</definedName>
    <definedName name="hui" hidden="1">{"'Sheet1'!$L$16"}</definedName>
    <definedName name="huong" localSheetId="8">#REF!</definedName>
    <definedName name="huong">#REF!</definedName>
    <definedName name="huy" localSheetId="8" hidden="1">{"'Sheet1'!$L$16"}</definedName>
    <definedName name="huy" localSheetId="0" hidden="1">{"'Sheet1'!$L$16"}</definedName>
    <definedName name="huy" localSheetId="6" hidden="1">{"'Sheet1'!$L$16"}</definedName>
    <definedName name="huy" localSheetId="9" hidden="1">{"'Sheet1'!$L$16"}</definedName>
    <definedName name="huy" localSheetId="7" hidden="1">{"'Sheet1'!$L$16"}</definedName>
    <definedName name="huy" hidden="1">{"'Sheet1'!$L$16"}</definedName>
    <definedName name="huyen" localSheetId="8" hidden="1">{"'Sheet1'!$L$16"}</definedName>
    <definedName name="huyen" localSheetId="0" hidden="1">{"'Sheet1'!$L$16"}</definedName>
    <definedName name="huyen" localSheetId="6" hidden="1">{"'Sheet1'!$L$16"}</definedName>
    <definedName name="huyen" localSheetId="9" hidden="1">{"'Sheet1'!$L$16"}</definedName>
    <definedName name="huyen" localSheetId="7" hidden="1">{"'Sheet1'!$L$16"}</definedName>
    <definedName name="huyen" hidden="1">{"'Sheet1'!$L$16"}</definedName>
    <definedName name="huynh" localSheetId="8">#REF!</definedName>
    <definedName name="huynh">#REF!</definedName>
    <definedName name="HV">#REF!</definedName>
    <definedName name="Hvb" localSheetId="8">#REF!</definedName>
    <definedName name="Hvb">#REF!</definedName>
    <definedName name="HVBC">#REF!</definedName>
    <definedName name="HVC">#REF!</definedName>
    <definedName name="HVL">#REF!</definedName>
    <definedName name="HVP">#REF!</definedName>
    <definedName name="hw" localSheetId="8">#REF!</definedName>
    <definedName name="hw">#REF!</definedName>
    <definedName name="hy" localSheetId="8">#REF!</definedName>
    <definedName name="hy">#REF!</definedName>
    <definedName name="i">#REF!</definedName>
    <definedName name="I_A">#REF!</definedName>
    <definedName name="I_B">#REF!</definedName>
    <definedName name="I_c">#REF!</definedName>
    <definedName name="I2É6" localSheetId="8">#REF!</definedName>
    <definedName name="I2É6">#REF!</definedName>
    <definedName name="I757." localSheetId="8">#REF!</definedName>
    <definedName name="I757.">#REF!</definedName>
    <definedName name="iakhinamconson">#REF!</definedName>
    <definedName name="Ic" localSheetId="8">#REF!</definedName>
    <definedName name="Ic">#REF!</definedName>
    <definedName name="iCount">3</definedName>
    <definedName name="IDLAB_COST">#REF!</definedName>
    <definedName name="Idm">#REF!</definedName>
    <definedName name="igd" localSheetId="8">#REF!</definedName>
    <definedName name="igd">#REF!</definedName>
    <definedName name="igs" localSheetId="8">#REF!</definedName>
    <definedName name="igs">#REF!</definedName>
    <definedName name="II_A">#REF!</definedName>
    <definedName name="II_B">#REF!</definedName>
    <definedName name="II_c">#REF!</definedName>
    <definedName name="III_a">#REF!</definedName>
    <definedName name="III_B">#REF!</definedName>
    <definedName name="III_c">#REF!</definedName>
    <definedName name="im." localSheetId="8">#REF!</definedName>
    <definedName name="im.">#REF!</definedName>
    <definedName name="Impact">#REF!</definedName>
    <definedName name="IND_LAB">#REF!</definedName>
    <definedName name="index">#REF!</definedName>
    <definedName name="INDMANP">#REF!</definedName>
    <definedName name="INF" localSheetId="8">#REF!</definedName>
    <definedName name="INF">#REF!</definedName>
    <definedName name="InfoDialog">"Dialogfeldrahmen 1"</definedName>
    <definedName name="inputCosti">#REF!</definedName>
    <definedName name="inputLf">#REF!</definedName>
    <definedName name="inputWTP">#REF!</definedName>
    <definedName name="INT">#REF!</definedName>
    <definedName name="Interim" localSheetId="8">#REF!</definedName>
    <definedName name="Interim">#REF!</definedName>
    <definedName name="Interim1" localSheetId="8">#REF!</definedName>
    <definedName name="Interim1">#REF!</definedName>
    <definedName name="InteriorWork" localSheetId="8">#REF!</definedName>
    <definedName name="InteriorWork">#REF!</definedName>
    <definedName name="IO" localSheetId="8">#REF!</definedName>
    <definedName name="IO">#REF!</definedName>
    <definedName name="Ip" localSheetId="8">#REF!</definedName>
    <definedName name="Ip">#REF!</definedName>
    <definedName name="IPX" localSheetId="8">#REF!</definedName>
    <definedName name="IPX">#REF!</definedName>
    <definedName name="IPY" localSheetId="8">#REF!</definedName>
    <definedName name="IPY">#REF!</definedName>
    <definedName name="IWTP">#REF!</definedName>
    <definedName name="IX" localSheetId="8">#REF!</definedName>
    <definedName name="IX">#REF!</definedName>
    <definedName name="IY" localSheetId="8">#REF!</definedName>
    <definedName name="IY">#REF!</definedName>
    <definedName name="j" localSheetId="8">#REF!</definedName>
    <definedName name="j">#REF!</definedName>
    <definedName name="J.O">#REF!</definedName>
    <definedName name="J.O_GT">#REF!</definedName>
    <definedName name="j356C8">#REF!</definedName>
    <definedName name="JGFK" localSheetId="8" hidden="1">{"'Sheet1'!$L$16"}</definedName>
    <definedName name="JGFK" localSheetId="0" hidden="1">{"'Sheet1'!$L$16"}</definedName>
    <definedName name="JGFK" localSheetId="6" hidden="1">{"'Sheet1'!$L$16"}</definedName>
    <definedName name="JGFK" localSheetId="9" hidden="1">{"'Sheet1'!$L$16"}</definedName>
    <definedName name="JGFK" localSheetId="7" hidden="1">{"'Sheet1'!$L$16"}</definedName>
    <definedName name="JGFK" hidden="1">{"'Sheet1'!$L$16"}</definedName>
    <definedName name="jidi1" localSheetId="8">#REF!</definedName>
    <definedName name="jidi1">#REF!</definedName>
    <definedName name="jj" localSheetId="8">#REF!</definedName>
    <definedName name="jj">#REF!</definedName>
    <definedName name="jkjk">#REF!</definedName>
    <definedName name="JPYVND1">#REF!</definedName>
    <definedName name="JPYVND2" localSheetId="8">#REF!</definedName>
    <definedName name="JPYVND2">#REF!</definedName>
    <definedName name="k" localSheetId="8">#REF!</definedName>
    <definedName name="k">#REF!</definedName>
    <definedName name="K_1" localSheetId="8">#REF!</definedName>
    <definedName name="K_1" localSheetId="0">#REF!</definedName>
    <definedName name="K_1" localSheetId="9">#REF!</definedName>
    <definedName name="K_1">#REF!</definedName>
    <definedName name="K_2" localSheetId="8">#REF!</definedName>
    <definedName name="K_2" localSheetId="0">#REF!</definedName>
    <definedName name="K_2" localSheetId="9">#REF!</definedName>
    <definedName name="K_2">#REF!</definedName>
    <definedName name="K_L">#REF!</definedName>
    <definedName name="K0.001" localSheetId="8">#REF!</definedName>
    <definedName name="K0.001">#REF!</definedName>
    <definedName name="K0.011" localSheetId="8">#REF!</definedName>
    <definedName name="K0.011">#REF!</definedName>
    <definedName name="K0.101" localSheetId="8">#REF!</definedName>
    <definedName name="K0.101">#REF!</definedName>
    <definedName name="K0.111" localSheetId="8">#REF!</definedName>
    <definedName name="K0.111">#REF!</definedName>
    <definedName name="K0.201" localSheetId="8">#REF!</definedName>
    <definedName name="K0.201">#REF!</definedName>
    <definedName name="K0.211" localSheetId="8">#REF!</definedName>
    <definedName name="K0.211">#REF!</definedName>
    <definedName name="K0.301" localSheetId="8">#REF!</definedName>
    <definedName name="K0.301">#REF!</definedName>
    <definedName name="K0.311" localSheetId="8">#REF!</definedName>
    <definedName name="K0.311">#REF!</definedName>
    <definedName name="K0.400" localSheetId="8">#REF!</definedName>
    <definedName name="K0.400">#REF!</definedName>
    <definedName name="K0.410" localSheetId="8">#REF!</definedName>
    <definedName name="K0.410">#REF!</definedName>
    <definedName name="K0.501" localSheetId="8">#REF!</definedName>
    <definedName name="K0.501">#REF!</definedName>
    <definedName name="K0.511" localSheetId="8">#REF!</definedName>
    <definedName name="K0.511">#REF!</definedName>
    <definedName name="K0.61" localSheetId="8">#REF!</definedName>
    <definedName name="K0.61">#REF!</definedName>
    <definedName name="K0.71" localSheetId="8">#REF!</definedName>
    <definedName name="K0.71">#REF!</definedName>
    <definedName name="K1.001" localSheetId="8">#REF!</definedName>
    <definedName name="K1.001">#REF!</definedName>
    <definedName name="K1.021" localSheetId="8">#REF!</definedName>
    <definedName name="K1.021">#REF!</definedName>
    <definedName name="K1.041" localSheetId="8">#REF!</definedName>
    <definedName name="K1.041">#REF!</definedName>
    <definedName name="K1.121" localSheetId="8">#REF!</definedName>
    <definedName name="K1.121">#REF!</definedName>
    <definedName name="K1.201" localSheetId="8">#REF!</definedName>
    <definedName name="K1.201">#REF!</definedName>
    <definedName name="K1.211" localSheetId="8">#REF!</definedName>
    <definedName name="K1.211">#REF!</definedName>
    <definedName name="K1.221" localSheetId="8">#REF!</definedName>
    <definedName name="K1.221">#REF!</definedName>
    <definedName name="K1.301" localSheetId="8">#REF!</definedName>
    <definedName name="K1.301">#REF!</definedName>
    <definedName name="K1.321" localSheetId="8">#REF!</definedName>
    <definedName name="K1.321">#REF!</definedName>
    <definedName name="K1.331" localSheetId="8">#REF!</definedName>
    <definedName name="K1.331">#REF!</definedName>
    <definedName name="K1.341" localSheetId="8">#REF!</definedName>
    <definedName name="K1.341">#REF!</definedName>
    <definedName name="K1.401" localSheetId="8">#REF!</definedName>
    <definedName name="K1.401">#REF!</definedName>
    <definedName name="K1.411" localSheetId="8">#REF!</definedName>
    <definedName name="K1.411">#REF!</definedName>
    <definedName name="K1.421" localSheetId="8">#REF!</definedName>
    <definedName name="K1.421">#REF!</definedName>
    <definedName name="K1.431" localSheetId="8">#REF!</definedName>
    <definedName name="K1.431">#REF!</definedName>
    <definedName name="K1.441" localSheetId="8">#REF!</definedName>
    <definedName name="K1.441">#REF!</definedName>
    <definedName name="k14s" localSheetId="8">#REF!</definedName>
    <definedName name="k14s">#REF!</definedName>
    <definedName name="K2.001" localSheetId="8">#REF!</definedName>
    <definedName name="K2.001">#REF!</definedName>
    <definedName name="K2.011" localSheetId="8">#REF!</definedName>
    <definedName name="K2.011">#REF!</definedName>
    <definedName name="K2.021" localSheetId="8">#REF!</definedName>
    <definedName name="K2.021">#REF!</definedName>
    <definedName name="K2.031" localSheetId="8">#REF!</definedName>
    <definedName name="K2.031">#REF!</definedName>
    <definedName name="K2.041" localSheetId="8">#REF!</definedName>
    <definedName name="K2.041">#REF!</definedName>
    <definedName name="K2.101" localSheetId="8">#REF!</definedName>
    <definedName name="K2.101">#REF!</definedName>
    <definedName name="K2.111" localSheetId="8">#REF!</definedName>
    <definedName name="K2.111">#REF!</definedName>
    <definedName name="K2.121" localSheetId="8">#REF!</definedName>
    <definedName name="K2.121">#REF!</definedName>
    <definedName name="K2.131" localSheetId="8">#REF!</definedName>
    <definedName name="K2.131">#REF!</definedName>
    <definedName name="K2.141" localSheetId="8">#REF!</definedName>
    <definedName name="K2.141">#REF!</definedName>
    <definedName name="K2.201" localSheetId="8">#REF!</definedName>
    <definedName name="K2.201">#REF!</definedName>
    <definedName name="K2.211" localSheetId="8">#REF!</definedName>
    <definedName name="K2.211">#REF!</definedName>
    <definedName name="K2.221" localSheetId="8">#REF!</definedName>
    <definedName name="K2.221">#REF!</definedName>
    <definedName name="K2.231" localSheetId="8">#REF!</definedName>
    <definedName name="K2.231">#REF!</definedName>
    <definedName name="K2.241" localSheetId="8">#REF!</definedName>
    <definedName name="K2.241">#REF!</definedName>
    <definedName name="K2.301" localSheetId="8">#REF!</definedName>
    <definedName name="K2.301">#REF!</definedName>
    <definedName name="K2.321" localSheetId="8">#REF!</definedName>
    <definedName name="K2.321">#REF!</definedName>
    <definedName name="K2.341" localSheetId="8">#REF!</definedName>
    <definedName name="K2.341">#REF!</definedName>
    <definedName name="K2.400" localSheetId="8">#REF!</definedName>
    <definedName name="K2.400">#REF!</definedName>
    <definedName name="K2.420" localSheetId="8">#REF!</definedName>
    <definedName name="K2.420">#REF!</definedName>
    <definedName name="K2.440" localSheetId="8">#REF!</definedName>
    <definedName name="K2.440">#REF!</definedName>
    <definedName name="K2.500" localSheetId="8">#REF!</definedName>
    <definedName name="K2.500">#REF!</definedName>
    <definedName name="K2.520" localSheetId="8">#REF!</definedName>
    <definedName name="K2.520">#REF!</definedName>
    <definedName name="K2.540" localSheetId="8">#REF!</definedName>
    <definedName name="K2.540">#REF!</definedName>
    <definedName name="k2b" localSheetId="8">#REF!</definedName>
    <definedName name="k2b">#REF!</definedName>
    <definedName name="K3.210" localSheetId="8">#REF!</definedName>
    <definedName name="K3.210">#REF!</definedName>
    <definedName name="K3.220" localSheetId="8">#REF!</definedName>
    <definedName name="K3.220">#REF!</definedName>
    <definedName name="K3.230" localSheetId="8">#REF!</definedName>
    <definedName name="K3.230">#REF!</definedName>
    <definedName name="K3.310" localSheetId="8">#REF!</definedName>
    <definedName name="K3.310">#REF!</definedName>
    <definedName name="K3.320" localSheetId="8">#REF!</definedName>
    <definedName name="K3.320">#REF!</definedName>
    <definedName name="K3.330" localSheetId="8">#REF!</definedName>
    <definedName name="K3.330">#REF!</definedName>
    <definedName name="K3.410" localSheetId="8">#REF!</definedName>
    <definedName name="K3.410">#REF!</definedName>
    <definedName name="K3.430" localSheetId="8">#REF!</definedName>
    <definedName name="K3.430">#REF!</definedName>
    <definedName name="K3.450" localSheetId="8">#REF!</definedName>
    <definedName name="K3.450">#REF!</definedName>
    <definedName name="K4.010" localSheetId="8">#REF!</definedName>
    <definedName name="K4.010">#REF!</definedName>
    <definedName name="K4.020" localSheetId="8">#REF!</definedName>
    <definedName name="K4.020">#REF!</definedName>
    <definedName name="K4.110" localSheetId="8">#REF!</definedName>
    <definedName name="K4.110">#REF!</definedName>
    <definedName name="K4.120" localSheetId="8">#REF!</definedName>
    <definedName name="K4.120">#REF!</definedName>
    <definedName name="K4.210" localSheetId="8">#REF!</definedName>
    <definedName name="K4.210">#REF!</definedName>
    <definedName name="K4.220" localSheetId="8">#REF!</definedName>
    <definedName name="K4.220">#REF!</definedName>
    <definedName name="K4.230" localSheetId="8">#REF!</definedName>
    <definedName name="K4.230">#REF!</definedName>
    <definedName name="K4.240" localSheetId="8">#REF!</definedName>
    <definedName name="K4.240">#REF!</definedName>
    <definedName name="Ka" localSheetId="8">#REF!</definedName>
    <definedName name="Ka">#REF!</definedName>
    <definedName name="KB">#N/A</definedName>
    <definedName name="Kc" localSheetId="8">#REF!</definedName>
    <definedName name="Kc">#REF!</definedName>
    <definedName name="kcong">#REF!</definedName>
    <definedName name="KcTieuChuan" localSheetId="8">#REF!</definedName>
    <definedName name="KcTieuChuan">#REF!</definedName>
    <definedName name="Kd" localSheetId="8">#REF!</definedName>
    <definedName name="Kd">#REF!</definedName>
    <definedName name="kdien">#REF!</definedName>
    <definedName name="KE_HOACH_VON_PHU_THU">#REF!</definedName>
    <definedName name="Kf" localSheetId="8">#REF!</definedName>
    <definedName name="Kf">#REF!</definedName>
    <definedName name="Kg_" localSheetId="8">#REF!</definedName>
    <definedName name="Kg_">#REF!</definedName>
    <definedName name="KgBM">#REF!</definedName>
    <definedName name="Kgcot">#REF!</definedName>
    <definedName name="KgCTd4">#REF!</definedName>
    <definedName name="KgCTt4">#REF!</definedName>
    <definedName name="Kgdamd4">#REF!</definedName>
    <definedName name="Kgdamt4">#REF!</definedName>
    <definedName name="Kgmong">#REF!</definedName>
    <definedName name="KgNXOLdk">#REF!</definedName>
    <definedName name="Kgsan">#REF!</definedName>
    <definedName name="kich250">#REF!</definedName>
    <definedName name="kich500">#REF!</definedName>
    <definedName name="kiem">#REF!</definedName>
    <definedName name="Kiem_tra_trung_ten">#REF!</definedName>
    <definedName name="KINH_PHI_DEN_BU">#REF!</definedName>
    <definedName name="KINH_PHI_DZ0.4KV">#REF!</definedName>
    <definedName name="KINH_PHI_DZ22KV">#REF!</definedName>
    <definedName name="KINH_PHI_KHAO_SAT__LAP_BCNCKT__TKKTTC">#REF!</definedName>
    <definedName name="KINH_PHI_KHO_BAI">#REF!</definedName>
    <definedName name="KINH_PHI_TBA">#REF!</definedName>
    <definedName name="kk" localSheetId="8">#REF!</definedName>
    <definedName name="kk">#REF!</definedName>
    <definedName name="kkkk">#REF!</definedName>
    <definedName name="KKTHO" localSheetId="8">#REF!</definedName>
    <definedName name="KKTHO">#REF!</definedName>
    <definedName name="kl" localSheetId="8">#REF!</definedName>
    <definedName name="kl">#REF!</definedName>
    <definedName name="KL_C" localSheetId="8">#REF!</definedName>
    <definedName name="KL_C">#REF!</definedName>
    <definedName name="kl_ME">#REF!</definedName>
    <definedName name="KLAM">#REF!</definedName>
    <definedName name="KLC">#REF!</definedName>
    <definedName name="kldd1p" localSheetId="8">#REF!</definedName>
    <definedName name="kldd1p">#REF!</definedName>
    <definedName name="kldd3p" localSheetId="8">#REF!</definedName>
    <definedName name="kldd3p">#REF!</definedName>
    <definedName name="KLDV" localSheetId="8">#REF!</definedName>
    <definedName name="KLDV">#REF!</definedName>
    <definedName name="KLGT1" localSheetId="8">#REF!</definedName>
    <definedName name="KLGT1">#REF!</definedName>
    <definedName name="KLGT2" localSheetId="8">#REF!</definedName>
    <definedName name="KLGT2">#REF!</definedName>
    <definedName name="KLGT3" localSheetId="8">#REF!</definedName>
    <definedName name="KLGT3">#REF!</definedName>
    <definedName name="KLTHDN">#REF!</definedName>
    <definedName name="kltho" localSheetId="8">#REF!</definedName>
    <definedName name="kltho">#REF!</definedName>
    <definedName name="KLVANKHUON">#REF!</definedName>
    <definedName name="KLVLD" localSheetId="8">#REF!</definedName>
    <definedName name="KLVLD">#REF!</definedName>
    <definedName name="KLVLD1" localSheetId="8">#REF!</definedName>
    <definedName name="KLVLD1">#REF!</definedName>
    <definedName name="kmong" localSheetId="8">#REF!</definedName>
    <definedName name="kmong">#REF!</definedName>
    <definedName name="kn" localSheetId="8">#REF!</definedName>
    <definedName name="kn">#REF!</definedName>
    <definedName name="kno" localSheetId="8">#REF!</definedName>
    <definedName name="kno">#REF!</definedName>
    <definedName name="kp1ph">#REF!</definedName>
    <definedName name="kplong" localSheetId="8">#REF!</definedName>
    <definedName name="kplong">#REF!</definedName>
    <definedName name="kq">#REF!</definedName>
    <definedName name="KS">#REF!</definedName>
    <definedName name="KS_1">#REF!</definedName>
    <definedName name="KS_2">#REF!</definedName>
    <definedName name="ksbn" localSheetId="8" hidden="1">{"'Sheet1'!$L$16"}</definedName>
    <definedName name="ksbn" localSheetId="0" hidden="1">{"'Sheet1'!$L$16"}</definedName>
    <definedName name="ksbn" localSheetId="6" hidden="1">{"'Sheet1'!$L$16"}</definedName>
    <definedName name="ksbn" localSheetId="9" hidden="1">{"'Sheet1'!$L$16"}</definedName>
    <definedName name="ksbn" localSheetId="7" hidden="1">{"'Sheet1'!$L$16"}</definedName>
    <definedName name="ksbn" hidden="1">{"'Sheet1'!$L$16"}</definedName>
    <definedName name="KSDA" localSheetId="8" hidden="1">{"'Sheet1'!$L$16"}</definedName>
    <definedName name="KSDA" localSheetId="0" hidden="1">{"'Sheet1'!$L$16"}</definedName>
    <definedName name="KSDA" localSheetId="6" hidden="1">{"'Sheet1'!$L$16"}</definedName>
    <definedName name="KSDA" localSheetId="9" hidden="1">{"'Sheet1'!$L$16"}</definedName>
    <definedName name="KSDA" localSheetId="7" hidden="1">{"'Sheet1'!$L$16"}</definedName>
    <definedName name="KSDA" hidden="1">{"'Sheet1'!$L$16"}</definedName>
    <definedName name="kshn" localSheetId="8" hidden="1">{"'Sheet1'!$L$16"}</definedName>
    <definedName name="kshn" localSheetId="0" hidden="1">{"'Sheet1'!$L$16"}</definedName>
    <definedName name="kshn" localSheetId="6" hidden="1">{"'Sheet1'!$L$16"}</definedName>
    <definedName name="kshn" localSheetId="9" hidden="1">{"'Sheet1'!$L$16"}</definedName>
    <definedName name="kshn" localSheetId="7" hidden="1">{"'Sheet1'!$L$16"}</definedName>
    <definedName name="kshn" hidden="1">{"'Sheet1'!$L$16"}</definedName>
    <definedName name="ksls" localSheetId="8" hidden="1">{"'Sheet1'!$L$16"}</definedName>
    <definedName name="ksls" localSheetId="0" hidden="1">{"'Sheet1'!$L$16"}</definedName>
    <definedName name="ksls" localSheetId="6" hidden="1">{"'Sheet1'!$L$16"}</definedName>
    <definedName name="ksls" localSheetId="9" hidden="1">{"'Sheet1'!$L$16"}</definedName>
    <definedName name="ksls" localSheetId="7" hidden="1">{"'Sheet1'!$L$16"}</definedName>
    <definedName name="ksls" hidden="1">{"'Sheet1'!$L$16"}</definedName>
    <definedName name="KSTK">#REF!</definedName>
    <definedName name="Kte">#REF!</definedName>
    <definedName name="KTTRAMD1" localSheetId="8">#REF!</definedName>
    <definedName name="KTTRAMD1">#REF!</definedName>
    <definedName name="KTHD" localSheetId="8">#REF!</definedName>
    <definedName name="KTHD">#REF!</definedName>
    <definedName name="KtraXau" localSheetId="8">#REF!</definedName>
    <definedName name="KtraXau">#REF!</definedName>
    <definedName name="KVC">#REF!</definedName>
    <definedName name="Ký_nép">#REF!</definedName>
    <definedName name="KH">#REF!</definedName>
    <definedName name="Kh_6t_1" localSheetId="8">#REF!</definedName>
    <definedName name="Kh_6t_1">#REF!</definedName>
    <definedName name="Kh_6t_10" localSheetId="8">#REF!</definedName>
    <definedName name="Kh_6t_10">#REF!</definedName>
    <definedName name="Kh_6t_11" localSheetId="8">#REF!</definedName>
    <definedName name="Kh_6t_11">#REF!</definedName>
    <definedName name="Kh_6t_12" localSheetId="8">#REF!</definedName>
    <definedName name="Kh_6t_12">#REF!</definedName>
    <definedName name="Kh_6t_17" localSheetId="8">#REF!</definedName>
    <definedName name="Kh_6t_17">#REF!</definedName>
    <definedName name="Kh_6t_19" localSheetId="8">#REF!</definedName>
    <definedName name="Kh_6t_19">#REF!</definedName>
    <definedName name="Kh_6t_2" localSheetId="8">#REF!</definedName>
    <definedName name="Kh_6t_2">#REF!</definedName>
    <definedName name="Kh_6t_3" localSheetId="8">#REF!</definedName>
    <definedName name="Kh_6t_3">#REF!</definedName>
    <definedName name="Kh_6t_4" localSheetId="8">#REF!</definedName>
    <definedName name="Kh_6t_4">#REF!</definedName>
    <definedName name="Kh_6t_5" localSheetId="8">#REF!</definedName>
    <definedName name="Kh_6t_5">#REF!</definedName>
    <definedName name="Kh_6t_6" localSheetId="8">#REF!</definedName>
    <definedName name="Kh_6t_6">#REF!</definedName>
    <definedName name="Kh_6t_7" localSheetId="8">#REF!</definedName>
    <definedName name="Kh_6t_7">#REF!</definedName>
    <definedName name="Kh_6t_8" localSheetId="8">#REF!</definedName>
    <definedName name="Kh_6t_8">#REF!</definedName>
    <definedName name="Kh_6t_9" localSheetId="8">#REF!</definedName>
    <definedName name="Kh_6t_9">#REF!</definedName>
    <definedName name="KH_Chang">#REF!</definedName>
    <definedName name="Kh_q3_1" localSheetId="8">#REF!</definedName>
    <definedName name="Kh_q3_1">#REF!</definedName>
    <definedName name="Kh_q3_10" localSheetId="8">#REF!</definedName>
    <definedName name="Kh_q3_10">#REF!</definedName>
    <definedName name="Kh_q3_11" localSheetId="8">#REF!</definedName>
    <definedName name="Kh_q3_11">#REF!</definedName>
    <definedName name="Kh_q3_12" localSheetId="8">#REF!</definedName>
    <definedName name="Kh_q3_12">#REF!</definedName>
    <definedName name="Kh_q3_17" localSheetId="8">#REF!</definedName>
    <definedName name="Kh_q3_17">#REF!</definedName>
    <definedName name="Kh_q3_19" localSheetId="8">#REF!</definedName>
    <definedName name="Kh_q3_19">#REF!</definedName>
    <definedName name="Kh_q3_2" localSheetId="8">#REF!</definedName>
    <definedName name="Kh_q3_2">#REF!</definedName>
    <definedName name="Kh_q3_3" localSheetId="8">#REF!</definedName>
    <definedName name="Kh_q3_3">#REF!</definedName>
    <definedName name="Kh_q3_4" localSheetId="8">#REF!</definedName>
    <definedName name="Kh_q3_4">#REF!</definedName>
    <definedName name="Kh_q3_5" localSheetId="8">#REF!</definedName>
    <definedName name="Kh_q3_5">#REF!</definedName>
    <definedName name="Kh_q3_6" localSheetId="8">#REF!</definedName>
    <definedName name="Kh_q3_6">#REF!</definedName>
    <definedName name="Kh_q3_7" localSheetId="8">#REF!</definedName>
    <definedName name="Kh_q3_7">#REF!</definedName>
    <definedName name="Kh_q3_8" localSheetId="8">#REF!</definedName>
    <definedName name="Kh_q3_8">#REF!</definedName>
    <definedName name="Kh_q3_9" localSheetId="8">#REF!</definedName>
    <definedName name="Kh_q3_9">#REF!</definedName>
    <definedName name="kh3.0" localSheetId="8">#REF!</definedName>
    <definedName name="kh3.0">#REF!</definedName>
    <definedName name="khac">2</definedName>
    <definedName name="khanang">#REF!</definedName>
    <definedName name="khi">#REF!</definedName>
    <definedName name="khidot">#REF!</definedName>
    <definedName name="khoa" localSheetId="8">#REF!</definedName>
    <definedName name="khoa">#REF!</definedName>
    <definedName name="khoan" localSheetId="8">#REF!</definedName>
    <definedName name="khoan">#REF!</definedName>
    <definedName name="khoanloBT" localSheetId="8">#REF!</definedName>
    <definedName name="khoanloBT">#REF!</definedName>
    <definedName name="khoannhoi">#REF!</definedName>
    <definedName name="Khocau" localSheetId="8">#REF!</definedName>
    <definedName name="Khocau">#REF!</definedName>
    <definedName name="KHOI_LUONG_DAT_DAO_DAP">#REF!</definedName>
    <definedName name="KHOILUONGTL" localSheetId="8">#REF!</definedName>
    <definedName name="KHOILUONGTL">#REF!</definedName>
    <definedName name="khong">#REF!</definedName>
    <definedName name="khongtruotgia" localSheetId="8" hidden="1">{"'Sheet1'!$L$16"}</definedName>
    <definedName name="khongtruotgia" localSheetId="0" hidden="1">{"'Sheet1'!$L$16"}</definedName>
    <definedName name="khongtruotgia" localSheetId="6" hidden="1">{"'Sheet1'!$L$16"}</definedName>
    <definedName name="khongtruotgia" localSheetId="9" hidden="1">{"'Sheet1'!$L$16"}</definedName>
    <definedName name="khongtruotgia" localSheetId="7" hidden="1">{"'Sheet1'!$L$16"}</definedName>
    <definedName name="khongtruotgia" hidden="1">{"'Sheet1'!$L$16"}</definedName>
    <definedName name="KhuyenmaiUPS">"AutoShape 264"</definedName>
    <definedName name="L">#REF!</definedName>
    <definedName name="L_" localSheetId="8">#REF!</definedName>
    <definedName name="L_">#REF!</definedName>
    <definedName name="L_1">#REF!</definedName>
    <definedName name="L_2">#REF!</definedName>
    <definedName name="L_mong">#REF!</definedName>
    <definedName name="L63x6">5800</definedName>
    <definedName name="la" localSheetId="8">#REF!</definedName>
    <definedName name="la">#REF!</definedName>
    <definedName name="laj" localSheetId="8">#REF!</definedName>
    <definedName name="laj">#REF!</definedName>
    <definedName name="Lam_phat">#REF!</definedName>
    <definedName name="LAMTUBE">#REF!</definedName>
    <definedName name="Lan" localSheetId="8">{"Thuxm2.xls","Sheet1"}</definedName>
    <definedName name="Lan" localSheetId="0">{"Thuxm2.xls","Sheet1"}</definedName>
    <definedName name="Lan" localSheetId="6">{"Thuxm2.xls","Sheet1"}</definedName>
    <definedName name="Lan" localSheetId="9">{"Thuxm2.xls","Sheet1"}</definedName>
    <definedName name="Lan" localSheetId="7">{"Thuxm2.xls","Sheet1"}</definedName>
    <definedName name="Lan">{"Thuxm2.xls","Sheet1"}</definedName>
    <definedName name="Land">#REF!</definedName>
    <definedName name="LANDIMP" localSheetId="8">#REF!</definedName>
    <definedName name="LANDIMP">#REF!</definedName>
    <definedName name="LANDREV" localSheetId="8">#REF!</definedName>
    <definedName name="LANDREV">#REF!</definedName>
    <definedName name="langson" localSheetId="8" hidden="1">{"'Sheet1'!$L$16"}</definedName>
    <definedName name="langson" localSheetId="0" hidden="1">{"'Sheet1'!$L$16"}</definedName>
    <definedName name="langson" localSheetId="6" hidden="1">{"'Sheet1'!$L$16"}</definedName>
    <definedName name="langson" localSheetId="9" hidden="1">{"'Sheet1'!$L$16"}</definedName>
    <definedName name="langson" localSheetId="7" hidden="1">{"'Sheet1'!$L$16"}</definedName>
    <definedName name="langson" hidden="1">{"'Sheet1'!$L$16"}</definedName>
    <definedName name="lanh_bq" localSheetId="8">#REF!</definedName>
    <definedName name="lanh_bq">#REF!</definedName>
    <definedName name="lanh_bv" localSheetId="8">#REF!</definedName>
    <definedName name="lanh_bv">#REF!</definedName>
    <definedName name="lanh_ck" localSheetId="8">#REF!</definedName>
    <definedName name="lanh_ck">#REF!</definedName>
    <definedName name="lanh_d1" localSheetId="8">#REF!</definedName>
    <definedName name="lanh_d1">#REF!</definedName>
    <definedName name="lanh_d2" localSheetId="8">#REF!</definedName>
    <definedName name="lanh_d2">#REF!</definedName>
    <definedName name="lanh_d3" localSheetId="8">#REF!</definedName>
    <definedName name="lanh_d3">#REF!</definedName>
    <definedName name="lanh_dl" localSheetId="8">#REF!</definedName>
    <definedName name="lanh_dl">#REF!</definedName>
    <definedName name="lanh_kcs" localSheetId="8">#REF!</definedName>
    <definedName name="lanh_kcs">#REF!</definedName>
    <definedName name="lanh_nb" localSheetId="8">#REF!</definedName>
    <definedName name="lanh_nb">#REF!</definedName>
    <definedName name="lanh_nv" localSheetId="8">#REF!</definedName>
    <definedName name="lanh_nv">#REF!</definedName>
    <definedName name="lanh_ngio" localSheetId="8">#REF!</definedName>
    <definedName name="lanh_ngio">#REF!</definedName>
    <definedName name="lanh_t3" localSheetId="8">#REF!</definedName>
    <definedName name="lanh_t3">#REF!</definedName>
    <definedName name="lanh_t4" localSheetId="8">#REF!</definedName>
    <definedName name="lanh_t4">#REF!</definedName>
    <definedName name="lanh_t5" localSheetId="8">#REF!</definedName>
    <definedName name="lanh_t5">#REF!</definedName>
    <definedName name="lanh_t6" localSheetId="8">#REF!</definedName>
    <definedName name="lanh_t6">#REF!</definedName>
    <definedName name="lanh_tc" localSheetId="8">#REF!</definedName>
    <definedName name="lanh_tc">#REF!</definedName>
    <definedName name="lanh_tm" localSheetId="8">#REF!</definedName>
    <definedName name="lanh_tm">#REF!</definedName>
    <definedName name="lanh_vs" localSheetId="8">#REF!</definedName>
    <definedName name="lanh_vs">#REF!</definedName>
    <definedName name="lanh_xh" localSheetId="8">#REF!</definedName>
    <definedName name="lanh_xh">#REF!</definedName>
    <definedName name="LAP_DAT_TBA">#REF!</definedName>
    <definedName name="Lap_dat_td" localSheetId="8">#REF!</definedName>
    <definedName name="Lap_dat_td">#REF!</definedName>
    <definedName name="lapa" localSheetId="8">#REF!</definedName>
    <definedName name="lapa">#REF!</definedName>
    <definedName name="lapb" localSheetId="8">#REF!</definedName>
    <definedName name="lapb">#REF!</definedName>
    <definedName name="lapc" localSheetId="8">#REF!</definedName>
    <definedName name="lapc">#REF!</definedName>
    <definedName name="Lapco">#REF!</definedName>
    <definedName name="Lapdien">#REF!</definedName>
    <definedName name="LapDungDam">#REF!</definedName>
    <definedName name="lapgheptayvin" localSheetId="8">#REF!</definedName>
    <definedName name="lapgheptayvin">#REF!</definedName>
    <definedName name="LargerSpan" localSheetId="8">IF(#REF!&gt;#REF!,#REF!,#REF!)</definedName>
    <definedName name="LargerSpan">IF(#REF!&gt;#REF!,#REF!,#REF!)</definedName>
    <definedName name="lasss">#REF!</definedName>
    <definedName name="Lb" localSheetId="8">#REF!</definedName>
    <definedName name="Lb">#REF!</definedName>
    <definedName name="lb1." localSheetId="8">#REF!</definedName>
    <definedName name="lb1.">#REF!</definedName>
    <definedName name="lb2." localSheetId="8">#REF!</definedName>
    <definedName name="lb2.">#REF!</definedName>
    <definedName name="lbcnckt" localSheetId="8">#REF!</definedName>
    <definedName name="lbcnckt" localSheetId="0">#REF!</definedName>
    <definedName name="lbcnckt" localSheetId="9">#REF!</definedName>
    <definedName name="lbcnckt">#REF!</definedName>
    <definedName name="Lbe" localSheetId="8">#REF!</definedName>
    <definedName name="Lbe">#REF!</definedName>
    <definedName name="LBS_22">107800000</definedName>
    <definedName name="lc" localSheetId="8">#REF!</definedName>
    <definedName name="lc">#REF!</definedName>
    <definedName name="LC_TOTAL" localSheetId="8">#REF!</definedName>
    <definedName name="LC_TOTAL">#REF!</definedName>
    <definedName name="LC5_total">#REF!</definedName>
    <definedName name="LC6_total">#REF!</definedName>
    <definedName name="Lcanh" localSheetId="8">#REF!</definedName>
    <definedName name="Lcanh">#REF!</definedName>
    <definedName name="LCB">#REF!</definedName>
    <definedName name="lcb_bq" localSheetId="8">#REF!</definedName>
    <definedName name="lcb_bq">#REF!</definedName>
    <definedName name="lcb_bv" localSheetId="8">#REF!</definedName>
    <definedName name="lcb_bv">#REF!</definedName>
    <definedName name="lcb_ck" localSheetId="8">#REF!</definedName>
    <definedName name="lcb_ck">#REF!</definedName>
    <definedName name="lcb_d1" localSheetId="8">#REF!</definedName>
    <definedName name="lcb_d1">#REF!</definedName>
    <definedName name="lcb_d2" localSheetId="8">#REF!</definedName>
    <definedName name="lcb_d2">#REF!</definedName>
    <definedName name="lcb_d3" localSheetId="8">#REF!</definedName>
    <definedName name="lcb_d3">#REF!</definedName>
    <definedName name="lcb_dl" localSheetId="8">#REF!</definedName>
    <definedName name="lcb_dl">#REF!</definedName>
    <definedName name="lcb_kcs" localSheetId="8">#REF!</definedName>
    <definedName name="lcb_kcs">#REF!</definedName>
    <definedName name="lcb_nb" localSheetId="8">#REF!</definedName>
    <definedName name="lcb_nb">#REF!</definedName>
    <definedName name="lcb_nv" localSheetId="8">#REF!</definedName>
    <definedName name="lcb_nv">#REF!</definedName>
    <definedName name="lcb_ngio" localSheetId="8">#REF!</definedName>
    <definedName name="lcb_ngio">#REF!</definedName>
    <definedName name="lcb_t3" localSheetId="8">#REF!</definedName>
    <definedName name="lcb_t3">#REF!</definedName>
    <definedName name="lcb_t4" localSheetId="8">#REF!</definedName>
    <definedName name="lcb_t4">#REF!</definedName>
    <definedName name="lcb_t5" localSheetId="8">#REF!</definedName>
    <definedName name="lcb_t5">#REF!</definedName>
    <definedName name="lcb_t6" localSheetId="8">#REF!</definedName>
    <definedName name="lcb_t6">#REF!</definedName>
    <definedName name="lcb_tc" localSheetId="8">#REF!</definedName>
    <definedName name="lcb_tc">#REF!</definedName>
    <definedName name="lcb_tm" localSheetId="8">#REF!</definedName>
    <definedName name="lcb_tm">#REF!</definedName>
    <definedName name="lcb_vs" localSheetId="8">#REF!</definedName>
    <definedName name="lcb_vs">#REF!</definedName>
    <definedName name="lcb_xh" localSheetId="8">#REF!</definedName>
    <definedName name="lcb_xh">#REF!</definedName>
    <definedName name="lcc">#REF!</definedName>
    <definedName name="LCN" localSheetId="8">#REF!</definedName>
    <definedName name="LCN">#REF!</definedName>
    <definedName name="ld" localSheetId="8">#REF!</definedName>
    <definedName name="ld">#REF!</definedName>
    <definedName name="Ldinh">#N/A</definedName>
    <definedName name="le_bq" localSheetId="8">#REF!</definedName>
    <definedName name="le_bq">#REF!</definedName>
    <definedName name="le_bv" localSheetId="8">#REF!</definedName>
    <definedName name="le_bv">#REF!</definedName>
    <definedName name="le_ck" localSheetId="8">#REF!</definedName>
    <definedName name="le_ck">#REF!</definedName>
    <definedName name="le_d1" localSheetId="8">#REF!</definedName>
    <definedName name="le_d1">#REF!</definedName>
    <definedName name="le_d2" localSheetId="8">#REF!</definedName>
    <definedName name="le_d2">#REF!</definedName>
    <definedName name="le_d3" localSheetId="8">#REF!</definedName>
    <definedName name="le_d3">#REF!</definedName>
    <definedName name="le_dl" localSheetId="8">#REF!</definedName>
    <definedName name="le_dl">#REF!</definedName>
    <definedName name="le_kcs" localSheetId="8">#REF!</definedName>
    <definedName name="le_kcs">#REF!</definedName>
    <definedName name="le_nb" localSheetId="8">#REF!</definedName>
    <definedName name="le_nb">#REF!</definedName>
    <definedName name="le_nv" localSheetId="8">#REF!</definedName>
    <definedName name="le_nv">#REF!</definedName>
    <definedName name="le_ngio" localSheetId="8">#REF!</definedName>
    <definedName name="le_ngio">#REF!</definedName>
    <definedName name="le_t3" localSheetId="8">#REF!</definedName>
    <definedName name="le_t3">#REF!</definedName>
    <definedName name="le_t4" localSheetId="8">#REF!</definedName>
    <definedName name="le_t4">#REF!</definedName>
    <definedName name="le_t5" localSheetId="8">#REF!</definedName>
    <definedName name="le_t5">#REF!</definedName>
    <definedName name="le_t6" localSheetId="8">#REF!</definedName>
    <definedName name="le_t6">#REF!</definedName>
    <definedName name="le_tc" localSheetId="8">#REF!</definedName>
    <definedName name="le_tc">#REF!</definedName>
    <definedName name="le_tm" localSheetId="8">#REF!</definedName>
    <definedName name="le_tm">#REF!</definedName>
    <definedName name="le_vs" localSheetId="8">#REF!</definedName>
    <definedName name="le_vs">#REF!</definedName>
    <definedName name="le_xh" localSheetId="8">#REF!</definedName>
    <definedName name="le_xh">#REF!</definedName>
    <definedName name="Lf" localSheetId="8">#REF!</definedName>
    <definedName name="Lf">#REF!</definedName>
    <definedName name="LFX" localSheetId="8">#REF!</definedName>
    <definedName name="LFX">#REF!</definedName>
    <definedName name="LFY" localSheetId="8">#REF!</definedName>
    <definedName name="LFY">#REF!</definedName>
    <definedName name="Lgoi" localSheetId="8">#REF!</definedName>
    <definedName name="Lgoi">#REF!</definedName>
    <definedName name="LH" localSheetId="8">#REF!</definedName>
    <definedName name="LH">#REF!</definedName>
    <definedName name="LHD" localSheetId="8">#REF!</definedName>
    <definedName name="LHD">#REF!</definedName>
    <definedName name="LHDS" localSheetId="8">#REF!</definedName>
    <definedName name="LHDS">#REF!</definedName>
    <definedName name="LHS" localSheetId="8">#REF!</definedName>
    <definedName name="LHS">#REF!</definedName>
    <definedName name="LI" localSheetId="8">#REF!</definedName>
    <definedName name="LI">#REF!</definedName>
    <definedName name="LIET_KE_VI_TRI_DZ0.4KV">#REF!</definedName>
    <definedName name="LIET_KE_VI_TRI_DZ22KV">#REF!</definedName>
    <definedName name="Line1">#REF!</definedName>
    <definedName name="Line2">#REF!</definedName>
    <definedName name="Line3">#REF!</definedName>
    <definedName name="list">#REF!</definedName>
    <definedName name="ListCompanyCode" localSheetId="8">#REF!</definedName>
    <definedName name="ListCompanyCode">#REF!</definedName>
    <definedName name="ListDivision" localSheetId="8">#REF!</definedName>
    <definedName name="ListDivision">#REF!</definedName>
    <definedName name="ListDVT" localSheetId="8">#REF!</definedName>
    <definedName name="ListDVT">#REF!</definedName>
    <definedName name="ListMRP" localSheetId="8">#REF!</definedName>
    <definedName name="ListMRP">#REF!</definedName>
    <definedName name="ListSalesOrg" localSheetId="8">#REF!</definedName>
    <definedName name="ListSalesOrg">#REF!</definedName>
    <definedName name="ListValuationClass" localSheetId="8">#REF!</definedName>
    <definedName name="ListValuationClass">#REF!</definedName>
    <definedName name="lj" localSheetId="8">#REF!</definedName>
    <definedName name="lj">#REF!</definedName>
    <definedName name="LK_hathe">#REF!</definedName>
    <definedName name="lkjjjjjj" localSheetId="8">#REF!</definedName>
    <definedName name="lkjjjjjj">#REF!</definedName>
    <definedName name="LL" localSheetId="8">#REF!</definedName>
    <definedName name="LL">#REF!</definedName>
    <definedName name="LLD" localSheetId="8">#REF!</definedName>
    <definedName name="LLD">#REF!</definedName>
    <definedName name="LLDS" localSheetId="8">#REF!</definedName>
    <definedName name="LLDS">#REF!</definedName>
    <definedName name="LLS" localSheetId="8">#REF!</definedName>
    <definedName name="LLS">#REF!</definedName>
    <definedName name="LM" localSheetId="8">#REF!</definedName>
    <definedName name="LM">#REF!</definedName>
    <definedName name="Lmk">#REF!</definedName>
    <definedName name="Lmong">#N/A</definedName>
    <definedName name="ln">#REF!</definedName>
    <definedName name="Lnsc">#REF!</definedName>
    <definedName name="lntt">#REF!</definedName>
    <definedName name="lnhuan" localSheetId="8">#REF!</definedName>
    <definedName name="lnhuan">#REF!</definedName>
    <definedName name="Lo">#REF!</definedName>
    <definedName name="LOAI_DUONG">#REF!</definedName>
    <definedName name="Loai_TD">#REF!</definedName>
    <definedName name="Loaiday" localSheetId="8">#REF!</definedName>
    <definedName name="Loaiday">#REF!</definedName>
    <definedName name="loaiduong">#REF!</definedName>
    <definedName name="loak">#REF!</definedName>
    <definedName name="LOCATION" localSheetId="8">#REF!</definedName>
    <definedName name="LOCATION">#REF!</definedName>
    <definedName name="lon" localSheetId="8">#REF!</definedName>
    <definedName name="lon">#REF!</definedName>
    <definedName name="lón2" localSheetId="8">#REF!</definedName>
    <definedName name="lón2">#REF!</definedName>
    <definedName name="lón3" localSheetId="8">#REF!</definedName>
    <definedName name="lón3">#REF!</definedName>
    <definedName name="lón5" localSheetId="8">#REF!</definedName>
    <definedName name="lón5">#REF!</definedName>
    <definedName name="lonthoi">#REF!</definedName>
    <definedName name="LOP1.7" localSheetId="8">IF(LEFT(#REF!,2)="NG",#REF!&amp;'Biểu 2.1 Mục tiêu Nhà máy'!_MongCotNeo&amp;IF(#REF!&gt;12,"a",""),IF(LEFT(#REF!,3)="NCD","2MT-4",VLOOKUP(#REF!,'Biểu 2.1 Mục tiêu Nhà máy'!_Mong,MATCH(#REF!,'Biểu 2.1 Mục tiêu Nhà máy'!KcTieuChuan,0)+1,0)))</definedName>
    <definedName name="LOP1.7" localSheetId="0">IF(LEFT(#REF!,2)="NG",#REF!&amp;[0]!_MongCotNeo&amp;IF(#REF!&gt;12,"a",""),IF(LEFT(#REF!,3)="NCD","2MT-4",VLOOKUP(#REF!,[0]!_Mong,MATCH(#REF!,[0]!KcTieuChuan,0)+1,0)))</definedName>
    <definedName name="LOP1.7" localSheetId="6">IF(LEFT(#REF!,2)="NG",#REF!&amp;_MongCotNeo&amp;IF(#REF!&gt;12,"a",""),IF(LEFT(#REF!,3)="NCD","2MT-4",VLOOKUP(#REF!,_Mong,MATCH(#REF!,KcTieuChuan,0)+1,0)))</definedName>
    <definedName name="LOP1.7" localSheetId="9">IF(LEFT(#REF!,2)="NG",#REF!&amp;[0]!_MongCotNeo&amp;IF(#REF!&gt;12,"a",""),IF(LEFT(#REF!,3)="NCD","2MT-4",VLOOKUP(#REF!,[0]!_Mong,MATCH(#REF!,[0]!KcTieuChuan,0)+1,0)))</definedName>
    <definedName name="LOP1.7" localSheetId="7">IF(LEFT(#REF!,2)="NG",#REF!&amp;_MongCotNeo&amp;IF(#REF!&gt;12,"a",""),IF(LEFT(#REF!,3)="NCD","2MT-4",VLOOKUP(#REF!,_Mong,MATCH(#REF!,KcTieuChuan,0)+1,0)))</definedName>
    <definedName name="LOP1.7">IF(LEFT(#REF!,2)="NG",#REF!&amp;_MongCotNeo&amp;IF(#REF!&gt;12,"a",""),IF(LEFT(#REF!,3)="NCD","2MT-4",VLOOKUP(#REF!,_Mong,MATCH(#REF!,KcTieuChuan,0)+1,0)))</definedName>
    <definedName name="LOSS" localSheetId="8">#REF!</definedName>
    <definedName name="LOSS">#REF!</definedName>
    <definedName name="Lp" localSheetId="8">#REF!</definedName>
    <definedName name="Lp">#REF!</definedName>
    <definedName name="LRAP">#REF!</definedName>
    <definedName name="LRMC">#REF!</definedName>
    <definedName name="ls" localSheetId="8">#REF!</definedName>
    <definedName name="ls">#REF!</definedName>
    <definedName name="lsbn" localSheetId="8">#REF!</definedName>
    <definedName name="lsbn">#REF!</definedName>
    <definedName name="lset" localSheetId="8">#REF!</definedName>
    <definedName name="lset">#REF!</definedName>
    <definedName name="lsp" localSheetId="8">#REF!</definedName>
    <definedName name="lsp">#REF!</definedName>
    <definedName name="lsr" localSheetId="8">#REF!</definedName>
    <definedName name="lsr">#REF!</definedName>
    <definedName name="lss" localSheetId="8">#REF!</definedName>
    <definedName name="lss">#REF!</definedName>
    <definedName name="lst" localSheetId="8">#REF!</definedName>
    <definedName name="lst">#REF!</definedName>
    <definedName name="lt" localSheetId="8">#REF!</definedName>
    <definedName name="lt">#REF!</definedName>
    <definedName name="lt1." localSheetId="8">#REF!</definedName>
    <definedName name="lt1.">#REF!</definedName>
    <definedName name="lt2." localSheetId="8">#REF!</definedName>
    <definedName name="lt2.">#REF!</definedName>
    <definedName name="Ltai" localSheetId="8">#REF!</definedName>
    <definedName name="Ltai">#REF!</definedName>
    <definedName name="ltbngoc" localSheetId="8">#REF!</definedName>
    <definedName name="ltbngoc">#REF!</definedName>
    <definedName name="Ltt" localSheetId="8">#REF!</definedName>
    <definedName name="Ltt">#REF!</definedName>
    <definedName name="Lthan">#N/A</definedName>
    <definedName name="ltre">#REF!</definedName>
    <definedName name="Luanthanh">#REF!</definedName>
    <definedName name="lulop16">#REF!</definedName>
    <definedName name="luoithephan" localSheetId="8">#REF!</definedName>
    <definedName name="luoithephan">#REF!</definedName>
    <definedName name="luoncap">#REF!</definedName>
    <definedName name="luong8">#REF!</definedName>
    <definedName name="lurung16">#REF!</definedName>
    <definedName name="luthep10">#REF!</definedName>
    <definedName name="Luyen" localSheetId="8">#REF!</definedName>
    <definedName name="Luyen">#REF!</definedName>
    <definedName name="lv" localSheetId="8">#REF!</definedName>
    <definedName name="lv">#REF!</definedName>
    <definedName name="lv." localSheetId="8">#REF!</definedName>
    <definedName name="lv.">#REF!</definedName>
    <definedName name="lv..">#REF!</definedName>
    <definedName name="lVC">#REF!</definedName>
    <definedName name="lvr" localSheetId="8">#REF!</definedName>
    <definedName name="lvr">#REF!</definedName>
    <definedName name="lvr." localSheetId="8">#REF!</definedName>
    <definedName name="lvr.">#REF!</definedName>
    <definedName name="lvr..">#REF!</definedName>
    <definedName name="lxenang" localSheetId="8">#REF!</definedName>
    <definedName name="lxenang">#REF!</definedName>
    <definedName name="Ly" localSheetId="8">#REF!</definedName>
    <definedName name="Ly">#REF!</definedName>
    <definedName name="M">#REF!</definedName>
    <definedName name="m_" localSheetId="8">#REF!</definedName>
    <definedName name="m_">#REF!</definedName>
    <definedName name="M_1">#REF!</definedName>
    <definedName name="M_2">#REF!</definedName>
    <definedName name="m_3" localSheetId="8">#REF!</definedName>
    <definedName name="m_3">#REF!</definedName>
    <definedName name="m_4" localSheetId="8">#REF!</definedName>
    <definedName name="m_4">#REF!</definedName>
    <definedName name="M0.4">#REF!</definedName>
    <definedName name="m1_" localSheetId="8">#REF!</definedName>
    <definedName name="m1_">#REF!</definedName>
    <definedName name="m100_" localSheetId="8">#REF!</definedName>
    <definedName name="m100_">#REF!</definedName>
    <definedName name="m102bnnc" localSheetId="8">#REF!</definedName>
    <definedName name="m102bnnc">#REF!</definedName>
    <definedName name="m102bnvl" localSheetId="8">#REF!</definedName>
    <definedName name="m102bnvl">#REF!</definedName>
    <definedName name="m10aamtc" localSheetId="8">#REF!</definedName>
    <definedName name="m10aamtc">#REF!</definedName>
    <definedName name="m10aanc" localSheetId="8">#REF!</definedName>
    <definedName name="m10aanc">#REF!</definedName>
    <definedName name="M10aavc" localSheetId="8">#REF!</definedName>
    <definedName name="M10aavc">#REF!</definedName>
    <definedName name="m10aavl" localSheetId="8">#REF!</definedName>
    <definedName name="m10aavl">#REF!</definedName>
    <definedName name="m10anc" localSheetId="8">#REF!</definedName>
    <definedName name="m10anc">#REF!</definedName>
    <definedName name="m10avl" localSheetId="8">#REF!</definedName>
    <definedName name="m10avl">#REF!</definedName>
    <definedName name="m10banc" localSheetId="8">#REF!</definedName>
    <definedName name="m10banc">#REF!</definedName>
    <definedName name="m10bavl" localSheetId="8">#REF!</definedName>
    <definedName name="m10bavl">#REF!</definedName>
    <definedName name="m122bnnc" localSheetId="8">#REF!</definedName>
    <definedName name="m122bnnc">#REF!</definedName>
    <definedName name="m122bnvl" localSheetId="8">#REF!</definedName>
    <definedName name="m122bnvl">#REF!</definedName>
    <definedName name="m12aanc" localSheetId="8">#REF!</definedName>
    <definedName name="m12aanc">#REF!</definedName>
    <definedName name="m12aavl" localSheetId="8">#REF!</definedName>
    <definedName name="m12aavl">#REF!</definedName>
    <definedName name="m12anc" localSheetId="8">#REF!</definedName>
    <definedName name="m12anc">#REF!</definedName>
    <definedName name="m12avl" localSheetId="8">#REF!</definedName>
    <definedName name="m12avl">#REF!</definedName>
    <definedName name="M12ba3p">#REF!</definedName>
    <definedName name="m12banc" localSheetId="8">#REF!</definedName>
    <definedName name="m12banc">#REF!</definedName>
    <definedName name="m12bavl" localSheetId="8">#REF!</definedName>
    <definedName name="m12bavl">#REF!</definedName>
    <definedName name="M12bb1p">#REF!</definedName>
    <definedName name="m12bbnc" localSheetId="8">#REF!</definedName>
    <definedName name="m12bbnc">#REF!</definedName>
    <definedName name="m12bbvl" localSheetId="8">#REF!</definedName>
    <definedName name="m12bbvl">#REF!</definedName>
    <definedName name="M12bnnc" localSheetId="8">#REF!</definedName>
    <definedName name="M12bnnc">#REF!</definedName>
    <definedName name="M12bnvl" localSheetId="8">#REF!</definedName>
    <definedName name="M12bnvl">#REF!</definedName>
    <definedName name="M12cbnc">#REF!</definedName>
    <definedName name="M12cbvl">#REF!</definedName>
    <definedName name="m142bnnc" localSheetId="8">#REF!</definedName>
    <definedName name="m142bnnc">#REF!</definedName>
    <definedName name="m142bnvl" localSheetId="8">#REF!</definedName>
    <definedName name="m142bnvl">#REF!</definedName>
    <definedName name="M14bb1p">#REF!</definedName>
    <definedName name="m14bbnc" localSheetId="8">#REF!</definedName>
    <definedName name="m14bbnc">#REF!</definedName>
    <definedName name="M14bbvc" localSheetId="8">#REF!</definedName>
    <definedName name="M14bbvc">#REF!</definedName>
    <definedName name="m14bbvl" localSheetId="8">#REF!</definedName>
    <definedName name="m14bbvl">#REF!</definedName>
    <definedName name="m150_" localSheetId="8">#REF!</definedName>
    <definedName name="m150_">#REF!</definedName>
    <definedName name="M150M" localSheetId="8">#REF!</definedName>
    <definedName name="M150M">#REF!</definedName>
    <definedName name="M150T" localSheetId="8">#REF!</definedName>
    <definedName name="M150T">#REF!</definedName>
    <definedName name="M8a" localSheetId="8">#REF!</definedName>
    <definedName name="M8a">#REF!</definedName>
    <definedName name="M8aa" localSheetId="8">#REF!</definedName>
    <definedName name="M8aa">#REF!</definedName>
    <definedName name="m8aanc">#REF!</definedName>
    <definedName name="m8aavl">#REF!</definedName>
    <definedName name="m8amtc" localSheetId="8">#REF!</definedName>
    <definedName name="m8amtc">#REF!</definedName>
    <definedName name="m8anc" localSheetId="8">#REF!</definedName>
    <definedName name="m8anc">#REF!</definedName>
    <definedName name="m8avl" localSheetId="8">#REF!</definedName>
    <definedName name="m8avl">#REF!</definedName>
    <definedName name="ma" localSheetId="8">#REF!</definedName>
    <definedName name="ma">#REF!</definedName>
    <definedName name="MA_CT" localSheetId="8">#REF!</definedName>
    <definedName name="MA_CT">#REF!</definedName>
    <definedName name="MA_KH">#REF!</definedName>
    <definedName name="Ma3pnc">#REF!</definedName>
    <definedName name="Ma3pvl">#REF!</definedName>
    <definedName name="Maa3pnc">#REF!</definedName>
    <definedName name="Maa3pvl">#REF!</definedName>
    <definedName name="MACP" localSheetId="8">#REF!</definedName>
    <definedName name="MACP">#REF!</definedName>
    <definedName name="Macro1" localSheetId="8">#REF!</definedName>
    <definedName name="Macro1">#REF!</definedName>
    <definedName name="Macro2">#REF!</definedName>
    <definedName name="Macro3">#REF!</definedName>
    <definedName name="MACTANG_BD">#REF!</definedName>
    <definedName name="MACTANG_HT_BD">#REF!</definedName>
    <definedName name="MACTANG_HT_KT">#REF!</definedName>
    <definedName name="MACTANG_KT">#REF!</definedName>
    <definedName name="MACTY" localSheetId="8">#REF!</definedName>
    <definedName name="MACTY">#REF!</definedName>
    <definedName name="MADONVI" localSheetId="8">OFFSET(#REF!,COUNTA(#REF!)-1,0,1)</definedName>
    <definedName name="MADONVI">OFFSET(#REF!,COUNTA(#REF!)-1,0,1)</definedName>
    <definedName name="MADONGIA" localSheetId="8">#REF!</definedName>
    <definedName name="MADONGIA">#REF!</definedName>
    <definedName name="mahang_tondk">#REF!</definedName>
    <definedName name="MAJ_CON_EQP">#REF!</definedName>
    <definedName name="MaMay_Q">#REF!</definedName>
    <definedName name="Manufacture" localSheetId="8">#REF!</definedName>
    <definedName name="Manufacture">#REF!</definedName>
    <definedName name="Masonry" localSheetId="8">#REF!</definedName>
    <definedName name="Masonry">#REF!</definedName>
    <definedName name="MAT" localSheetId="8">#REF!</definedName>
    <definedName name="MAT">#REF!</definedName>
    <definedName name="Material">#REF!</definedName>
    <definedName name="matit" localSheetId="8">#REF!</definedName>
    <definedName name="matit">#REF!</definedName>
    <definedName name="MATK_CD" localSheetId="8">#REF!</definedName>
    <definedName name="MATK_CD">#REF!</definedName>
    <definedName name="MATK_M" localSheetId="8">#REF!</definedName>
    <definedName name="MATK_M">#REF!</definedName>
    <definedName name="MATS" localSheetId="8">#REF!</definedName>
    <definedName name="MATS">#REF!</definedName>
    <definedName name="MAVANKHUON">#REF!</definedName>
    <definedName name="MAVL" localSheetId="8">#REF!</definedName>
    <definedName name="MAVL">#REF!</definedName>
    <definedName name="MAVLD" localSheetId="8">#REF!</definedName>
    <definedName name="MAVLD">#REF!</definedName>
    <definedName name="MAVLD1" localSheetId="8">#REF!</definedName>
    <definedName name="MAVLD1">#REF!</definedName>
    <definedName name="MAVLTHDN">#REF!</definedName>
    <definedName name="MAY">#REF!</definedName>
    <definedName name="mazut" localSheetId="8">#REF!</definedName>
    <definedName name="mazut">#REF!</definedName>
    <definedName name="MB_Intel_Server_C440GX_Dual_Sl2_ATX" localSheetId="8">#REF!</definedName>
    <definedName name="MB_Intel_Server_C440GX_Dual_Sl2_ATX">#REF!</definedName>
    <definedName name="MB_Tomato_810B_Twin" localSheetId="8">#REF!</definedName>
    <definedName name="MB_Tomato_810B_Twin">#REF!</definedName>
    <definedName name="Mba1p">#REF!</definedName>
    <definedName name="Mba3p">#REF!</definedName>
    <definedName name="Mbb3p">#REF!</definedName>
    <definedName name="Mbn1p">#REF!</definedName>
    <definedName name="mbnc" localSheetId="8">#REF!</definedName>
    <definedName name="mbnc">#REF!</definedName>
    <definedName name="mbvl" localSheetId="8">#REF!</definedName>
    <definedName name="mbvl">#REF!</definedName>
    <definedName name="mc">#REF!</definedName>
    <definedName name="Mcasea" localSheetId="8">#REF!</definedName>
    <definedName name="Mcasea">#REF!</definedName>
    <definedName name="Mcr" localSheetId="8">#REF!</definedName>
    <definedName name="Mcr">#REF!</definedName>
    <definedName name="md" localSheetId="8">#REF!</definedName>
    <definedName name="md">#REF!</definedName>
    <definedName name="MDC" localSheetId="8">#REF!</definedName>
    <definedName name="MDC">#REF!</definedName>
    <definedName name="mdna">#REF!</definedName>
    <definedName name="me">#REF!</definedName>
    <definedName name="Mè_A1">#REF!</definedName>
    <definedName name="Mè_A2">#REF!</definedName>
    <definedName name="MetalWork" localSheetId="8">#REF!</definedName>
    <definedName name="MetalWork">#REF!</definedName>
    <definedName name="MF" localSheetId="8">#REF!</definedName>
    <definedName name="MF">#REF!</definedName>
    <definedName name="mg" localSheetId="8">#REF!</definedName>
    <definedName name="mg">#REF!</definedName>
    <definedName name="MG_A">#REF!</definedName>
    <definedName name="mg1." localSheetId="8">#REF!</definedName>
    <definedName name="mg1.">#REF!</definedName>
    <definedName name="mg1h" localSheetId="8">#REF!</definedName>
    <definedName name="mg1h">#REF!</definedName>
    <definedName name="mg1l2" localSheetId="8">#REF!</definedName>
    <definedName name="mg1l2">#REF!</definedName>
    <definedName name="mg1x" localSheetId="8">#REF!</definedName>
    <definedName name="mg1x">#REF!</definedName>
    <definedName name="mg2." localSheetId="8">#REF!</definedName>
    <definedName name="mg2.">#REF!</definedName>
    <definedName name="mg3l8" localSheetId="8">#REF!</definedName>
    <definedName name="mg3l8">#REF!</definedName>
    <definedName name="mgh" localSheetId="8">#REF!</definedName>
    <definedName name="mgh">#REF!</definedName>
    <definedName name="mglai">#REF!</definedName>
    <definedName name="MH" localSheetId="8">#REF!</definedName>
    <definedName name="MH">#REF!</definedName>
    <definedName name="mi" localSheetId="8">#REF!</definedName>
    <definedName name="mi">#REF!</definedName>
    <definedName name="mis" localSheetId="8">#REF!</definedName>
    <definedName name="mis">#REF!</definedName>
    <definedName name="MiscellaneousWork" localSheetId="8">#REF!</definedName>
    <definedName name="MiscellaneousWork">#REF!</definedName>
    <definedName name="mjhhv" localSheetId="8">#REF!</definedName>
    <definedName name="mjhhv">#REF!</definedName>
    <definedName name="mk">#REF!</definedName>
    <definedName name="mktum">#REF!</definedName>
    <definedName name="ML" localSheetId="8">#REF!</definedName>
    <definedName name="ML">#REF!</definedName>
    <definedName name="MmExcelLinker_EB2011BA_99DB_4733_8E0D_2B063081EB57">#REF!</definedName>
    <definedName name="mmm" localSheetId="8">#REF!</definedName>
    <definedName name="mmm">#REF!</definedName>
    <definedName name="MN">#REF!</definedName>
    <definedName name="MNTN" localSheetId="8">#REF!</definedName>
    <definedName name="MNTN">#REF!</definedName>
    <definedName name="MNTT" localSheetId="8">#REF!</definedName>
    <definedName name="MNTT">#REF!</definedName>
    <definedName name="MNTHTH" localSheetId="8">#REF!</definedName>
    <definedName name="MNTHTH">#REF!</definedName>
    <definedName name="mo">#REF!</definedName>
    <definedName name="Mods" localSheetId="8">#REF!</definedName>
    <definedName name="Mods">#REF!</definedName>
    <definedName name="Module1.cplhsmt" localSheetId="8">#REF!</definedName>
    <definedName name="Module1.cplhsmt" localSheetId="0">#REF!</definedName>
    <definedName name="Module1.cplhsmt" localSheetId="9">#REF!</definedName>
    <definedName name="Module1.cplhsmt">#REF!</definedName>
    <definedName name="Module1.cptdhsmt" localSheetId="8">#REF!</definedName>
    <definedName name="Module1.cptdhsmt" localSheetId="0">#REF!</definedName>
    <definedName name="Module1.cptdhsmt" localSheetId="9">#REF!</definedName>
    <definedName name="Module1.cptdhsmt">#REF!</definedName>
    <definedName name="Module1.cptdtdt" localSheetId="8">#REF!</definedName>
    <definedName name="Module1.cptdtdt" localSheetId="0">#REF!</definedName>
    <definedName name="Module1.cptdtdt" localSheetId="9">#REF!</definedName>
    <definedName name="Module1.cptdtdt">#REF!</definedName>
    <definedName name="Module1.cptdtkkt" localSheetId="8">#REF!</definedName>
    <definedName name="Module1.cptdtkkt" localSheetId="0">#REF!</definedName>
    <definedName name="Module1.cptdtkkt" localSheetId="9">#REF!</definedName>
    <definedName name="Module1.cptdtkkt">#REF!</definedName>
    <definedName name="Module1.gsktxd" localSheetId="8">#REF!</definedName>
    <definedName name="Module1.gsktxd" localSheetId="0">#REF!</definedName>
    <definedName name="Module1.gsktxd" localSheetId="9">#REF!</definedName>
    <definedName name="Module1.gsktxd">#REF!</definedName>
    <definedName name="Module1.qlda" localSheetId="8">#REF!</definedName>
    <definedName name="Module1.qlda" localSheetId="0">#REF!</definedName>
    <definedName name="Module1.qlda" localSheetId="9">#REF!</definedName>
    <definedName name="Module1.qlda">#REF!</definedName>
    <definedName name="Module1.tinhqt" localSheetId="8">#REF!</definedName>
    <definedName name="Module1.tinhqt" localSheetId="0">#REF!</definedName>
    <definedName name="Module1.tinhqt" localSheetId="9">#REF!</definedName>
    <definedName name="Module1.tinhqt">#REF!</definedName>
    <definedName name="Moduyn_TK" localSheetId="8">#REF!</definedName>
    <definedName name="Moduyn_TK">#REF!</definedName>
    <definedName name="moi" localSheetId="8">#REF!</definedName>
    <definedName name="moi">#REF!</definedName>
    <definedName name="MOKthuat" localSheetId="8">#REF!</definedName>
    <definedName name="MOKthuat">#REF!</definedName>
    <definedName name="MoM0" localSheetId="8">#REF!</definedName>
    <definedName name="MoM0">#REF!</definedName>
    <definedName name="month">#REF!</definedName>
    <definedName name="Months" localSheetId="8">#REF!</definedName>
    <definedName name="Months">#REF!</definedName>
    <definedName name="MONG">#REF!</definedName>
    <definedName name="mophanchi" localSheetId="8">#REF!</definedName>
    <definedName name="mophanchi">#REF!</definedName>
    <definedName name="Morong">#REF!</definedName>
    <definedName name="Morong4054_85">#REF!</definedName>
    <definedName name="Moùng">#REF!</definedName>
    <definedName name="mp1x25" localSheetId="8">#REF!</definedName>
    <definedName name="mp1x25">#REF!</definedName>
    <definedName name="mqnam">#REF!</definedName>
    <definedName name="mqngai">#REF!</definedName>
    <definedName name="Mr" localSheetId="8">#REF!</definedName>
    <definedName name="Mr">#REF!</definedName>
    <definedName name="MRP">#REF!</definedName>
    <definedName name="MRPC">#REF!</definedName>
    <definedName name="MRPG">#REF!</definedName>
    <definedName name="MRPT">#REF!</definedName>
    <definedName name="ms">#REF!</definedName>
    <definedName name="MSCT">#REF!</definedName>
    <definedName name="MSHH">#REF!</definedName>
    <definedName name="mt" localSheetId="8">#REF!</definedName>
    <definedName name="mt">#REF!</definedName>
    <definedName name="MT_5" localSheetId="8">#REF!</definedName>
    <definedName name="MT_5">#REF!</definedName>
    <definedName name="MT_7" localSheetId="8">#REF!</definedName>
    <definedName name="MT_7">#REF!</definedName>
    <definedName name="MT_8" localSheetId="8">#REF!</definedName>
    <definedName name="MT_8">#REF!</definedName>
    <definedName name="MT_9" localSheetId="8">#REF!</definedName>
    <definedName name="MT_9">#REF!</definedName>
    <definedName name="MTC" localSheetId="8">#REF!</definedName>
    <definedName name="MTC">#REF!</definedName>
    <definedName name="MTC1P" localSheetId="8">#REF!</definedName>
    <definedName name="MTC1P">#REF!</definedName>
    <definedName name="MTC3P" localSheetId="8">#REF!</definedName>
    <definedName name="MTC3P">#REF!</definedName>
    <definedName name="mtcc" localSheetId="8">#REF!</definedName>
    <definedName name="mtcc">#REF!</definedName>
    <definedName name="mtcdg">#REF!</definedName>
    <definedName name="MTCLD">#REF!</definedName>
    <definedName name="MTCMB" localSheetId="8">#REF!</definedName>
    <definedName name="MTCMB">#REF!</definedName>
    <definedName name="MTCNT" localSheetId="8">#REF!</definedName>
    <definedName name="MTCNT">#REF!</definedName>
    <definedName name="MTCHC" localSheetId="8">#REF!</definedName>
    <definedName name="MTCHC">#REF!</definedName>
    <definedName name="MTMAC12">#REF!</definedName>
    <definedName name="MTN">#REF!</definedName>
    <definedName name="mttn" localSheetId="8">#REF!</definedName>
    <definedName name="mttn">#REF!</definedName>
    <definedName name="mtr" localSheetId="8">#REF!</definedName>
    <definedName name="mtr">#REF!</definedName>
    <definedName name="mtram">#REF!</definedName>
    <definedName name="Mtran" localSheetId="8">#REF!</definedName>
    <definedName name="Mtran">#REF!</definedName>
    <definedName name="Mu">#REF!</definedName>
    <definedName name="Mu_">#REF!</definedName>
    <definedName name="MV" localSheetId="8">#REF!</definedName>
    <definedName name="MV">#REF!</definedName>
    <definedName name="MVC" localSheetId="8">#REF!</definedName>
    <definedName name="MVC">#REF!</definedName>
    <definedName name="mw1_" localSheetId="8">#REF!</definedName>
    <definedName name="mw1_">#REF!</definedName>
    <definedName name="mx" localSheetId="8">#REF!</definedName>
    <definedName name="mx">#REF!</definedName>
    <definedName name="my">#REF!</definedName>
    <definedName name="myle">#REF!</definedName>
    <definedName name="n">#REF!</definedName>
    <definedName name="n.d1" localSheetId="8">#REF!</definedName>
    <definedName name="n.d1">#REF!</definedName>
    <definedName name="n.d2" localSheetId="8">#REF!</definedName>
    <definedName name="n.d2">#REF!</definedName>
    <definedName name="n_vÞ">#REF!</definedName>
    <definedName name="N1IN" localSheetId="8">#REF!</definedName>
    <definedName name="N1IN">#REF!</definedName>
    <definedName name="n1pig">#REF!</definedName>
    <definedName name="n1pignc" localSheetId="8">#REF!</definedName>
    <definedName name="n1pignc">#REF!</definedName>
    <definedName name="N1pIGvc">#REF!</definedName>
    <definedName name="n1pigvl" localSheetId="8">#REF!</definedName>
    <definedName name="n1pigvl">#REF!</definedName>
    <definedName name="n1pind">#REF!</definedName>
    <definedName name="n1pindnc" localSheetId="8">#REF!</definedName>
    <definedName name="n1pindnc">#REF!</definedName>
    <definedName name="N1pINDvc">#REF!</definedName>
    <definedName name="n1pindvl" localSheetId="8">#REF!</definedName>
    <definedName name="n1pindvl">#REF!</definedName>
    <definedName name="n1pint">#REF!</definedName>
    <definedName name="n1pintnc" localSheetId="8">#REF!</definedName>
    <definedName name="n1pintnc">#REF!</definedName>
    <definedName name="N1pINTvc" localSheetId="8">#REF!</definedName>
    <definedName name="N1pINTvc">#REF!</definedName>
    <definedName name="n1pintvl" localSheetId="8">#REF!</definedName>
    <definedName name="n1pintvl">#REF!</definedName>
    <definedName name="n1ping">#REF!</definedName>
    <definedName name="n1pingnc" localSheetId="8">#REF!</definedName>
    <definedName name="n1pingnc">#REF!</definedName>
    <definedName name="N1pINGvc">#REF!</definedName>
    <definedName name="n1pingvl" localSheetId="8">#REF!</definedName>
    <definedName name="n1pingvl">#REF!</definedName>
    <definedName name="N1pNLnc" localSheetId="8">#REF!</definedName>
    <definedName name="N1pNLnc">#REF!</definedName>
    <definedName name="N1pNLvc" localSheetId="8">#REF!</definedName>
    <definedName name="N1pNLvc">#REF!</definedName>
    <definedName name="N1pNLvl" localSheetId="8">#REF!</definedName>
    <definedName name="N1pNLvl">#REF!</definedName>
    <definedName name="n24nc" localSheetId="8">#REF!</definedName>
    <definedName name="n24nc">#REF!</definedName>
    <definedName name="n24vl" localSheetId="8">#REF!</definedName>
    <definedName name="n24vl">#REF!</definedName>
    <definedName name="n2mignc" localSheetId="8">#REF!</definedName>
    <definedName name="n2mignc">#REF!</definedName>
    <definedName name="n2migvl" localSheetId="8">#REF!</definedName>
    <definedName name="n2migvl">#REF!</definedName>
    <definedName name="n2min1nc" localSheetId="8">#REF!</definedName>
    <definedName name="n2min1nc">#REF!</definedName>
    <definedName name="n2min1vl" localSheetId="8">#REF!</definedName>
    <definedName name="n2min1vl">#REF!</definedName>
    <definedName name="Nam">#REF!</definedName>
    <definedName name="Nam_khoi_cong" localSheetId="8">#REF!</definedName>
    <definedName name="Nam_khoi_cong">#REF!</definedName>
    <definedName name="Nan_khoi_cong">#REF!</definedName>
    <definedName name="nanghang" localSheetId="8">#REF!</definedName>
    <definedName name="nanghang">#REF!</definedName>
    <definedName name="naovet" localSheetId="8">#REF!</definedName>
    <definedName name="naovet">#REF!</definedName>
    <definedName name="NC">#REF!</definedName>
    <definedName name="nc_betong200" localSheetId="8">#REF!</definedName>
    <definedName name="nc_betong200">#REF!</definedName>
    <definedName name="nc_btm10">#REF!</definedName>
    <definedName name="nc_btm100">#REF!</definedName>
    <definedName name="nc_btm150" localSheetId="8">#REF!</definedName>
    <definedName name="nc_btm150">#REF!</definedName>
    <definedName name="nc_btm200" localSheetId="8">#REF!</definedName>
    <definedName name="nc_btm200">#REF!</definedName>
    <definedName name="nc_btm50" localSheetId="8">#REF!</definedName>
    <definedName name="nc_btm50">#REF!</definedName>
    <definedName name="nc_cotpha" localSheetId="8">#REF!</definedName>
    <definedName name="nc_cotpha">#REF!</definedName>
    <definedName name="nc100a" localSheetId="8">#REF!</definedName>
    <definedName name="nc100a">#REF!</definedName>
    <definedName name="nc1nc" localSheetId="8">#REF!</definedName>
    <definedName name="nc1nc">#REF!</definedName>
    <definedName name="nc1p">#REF!</definedName>
    <definedName name="nc1vl" localSheetId="8">#REF!</definedName>
    <definedName name="nc1vl">#REF!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 localSheetId="8">#REF!</definedName>
    <definedName name="nc2.7">#REF!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4nc" localSheetId="8">#REF!</definedName>
    <definedName name="nc24nc">#REF!</definedName>
    <definedName name="nc24vl" localSheetId="8">#REF!</definedName>
    <definedName name="nc24vl">#REF!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 localSheetId="8">#REF!</definedName>
    <definedName name="nc3.5">#REF!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 localSheetId="8">#REF!</definedName>
    <definedName name="nc3.7">#REF!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_5" localSheetId="8">#REF!</definedName>
    <definedName name="nc3_5">#REF!</definedName>
    <definedName name="nc3I">#REF!</definedName>
    <definedName name="nc3II">#REF!</definedName>
    <definedName name="nc3III">#REF!</definedName>
    <definedName name="nc3IV">#REF!</definedName>
    <definedName name="nc3p">#REF!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 localSheetId="8">#REF!</definedName>
    <definedName name="nc4.5">#REF!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BD" localSheetId="8">#REF!</definedName>
    <definedName name="NCBD">#REF!</definedName>
    <definedName name="NCBD100">#REF!</definedName>
    <definedName name="NCBD200">#REF!</definedName>
    <definedName name="NCBD250">#REF!</definedName>
    <definedName name="ncc">#REF!</definedName>
    <definedName name="ncc3.5" localSheetId="8">#REF!</definedName>
    <definedName name="ncc3.5">#REF!</definedName>
    <definedName name="ncc3.7" localSheetId="8">#REF!</definedName>
    <definedName name="ncc3.7">#REF!</definedName>
    <definedName name="NCcap0.7">#REF!</definedName>
    <definedName name="NCcap1">#REF!</definedName>
    <definedName name="nccc2" localSheetId="8">#REF!</definedName>
    <definedName name="nccc2">#REF!</definedName>
    <definedName name="nccs">#REF!</definedName>
    <definedName name="NCCT3p">#REF!</definedName>
    <definedName name="ncd">#REF!</definedName>
    <definedName name="ncdd" localSheetId="8">#REF!</definedName>
    <definedName name="ncdd">#REF!</definedName>
    <definedName name="NCDD2" localSheetId="8">#REF!</definedName>
    <definedName name="NCDD2">#REF!</definedName>
    <definedName name="ncdg">#REF!</definedName>
    <definedName name="NCGF" localSheetId="8">#REF!</definedName>
    <definedName name="NCGF">#REF!</definedName>
    <definedName name="ncgff">#REF!</definedName>
    <definedName name="NCKday">#REF!</definedName>
    <definedName name="NCKT">#REF!</definedName>
    <definedName name="NCLD">#REF!</definedName>
    <definedName name="ncmt2" localSheetId="8">#REF!</definedName>
    <definedName name="ncmt2">#REF!</definedName>
    <definedName name="NCMTC">#REF!</definedName>
    <definedName name="NCNCS" localSheetId="8">#REF!</definedName>
    <definedName name="NCNCS">#REF!</definedName>
    <definedName name="Ncol" localSheetId="8">#REF!</definedName>
    <definedName name="Ncol">#REF!</definedName>
    <definedName name="ncong">#REF!</definedName>
    <definedName name="NCPP">#REF!</definedName>
    <definedName name="NCSBV" localSheetId="8">#REF!</definedName>
    <definedName name="NCSBV">#REF!</definedName>
    <definedName name="nctn">#REF!</definedName>
    <definedName name="nctr" localSheetId="8">#REF!</definedName>
    <definedName name="nctr">#REF!</definedName>
    <definedName name="nctram">#REF!</definedName>
    <definedName name="NCVC" localSheetId="8">#REF!</definedName>
    <definedName name="NCVC">#REF!</definedName>
    <definedName name="NCVC_BD" localSheetId="8">#REF!</definedName>
    <definedName name="NCVC_BD">#REF!</definedName>
    <definedName name="NCVC100">#REF!</definedName>
    <definedName name="NCVC200">#REF!</definedName>
    <definedName name="NCVC250">#REF!</definedName>
    <definedName name="NCVC3P">#REF!</definedName>
    <definedName name="NCXL" localSheetId="8">#REF!</definedName>
    <definedName name="NCXL">#REF!</definedName>
    <definedName name="ncxlkcs">#REF!</definedName>
    <definedName name="ncxlkd">#REF!</definedName>
    <definedName name="ncxlkt">#REF!</definedName>
    <definedName name="ncxlktda" localSheetId="8">#REF!</definedName>
    <definedName name="ncxlktda">#REF!</definedName>
    <definedName name="ncxlktnl">#REF!</definedName>
    <definedName name="ncxlkh">#REF!</definedName>
    <definedName name="ncxlpxsx">#REF!</definedName>
    <definedName name="ncxltc">#REF!</definedName>
    <definedName name="NCHC" localSheetId="8">#REF!</definedName>
    <definedName name="NCHC">#REF!</definedName>
    <definedName name="nd" localSheetId="8">#REF!</definedName>
    <definedName name="nd">#REF!</definedName>
    <definedName name="nd_8" localSheetId="8">#REF!</definedName>
    <definedName name="nd_8">#REF!</definedName>
    <definedName name="nd_9" localSheetId="8">#REF!</definedName>
    <definedName name="nd_9">#REF!</definedName>
    <definedName name="Ne" localSheetId="8" hidden="1">{"'Sheet1'!$L$16"}</definedName>
    <definedName name="Ne" localSheetId="0" hidden="1">{"'Sheet1'!$L$16"}</definedName>
    <definedName name="Ne" localSheetId="6" hidden="1">{"'Sheet1'!$L$16"}</definedName>
    <definedName name="Ne" localSheetId="9" hidden="1">{"'Sheet1'!$L$16"}</definedName>
    <definedName name="Ne" localSheetId="7" hidden="1">{"'Sheet1'!$L$16"}</definedName>
    <definedName name="Ne" hidden="1">{"'Sheet1'!$L$16"}</definedName>
    <definedName name="neff" localSheetId="8">#REF!</definedName>
    <definedName name="neff">#REF!</definedName>
    <definedName name="nenkhi10m3">#REF!</definedName>
    <definedName name="nenkhi1200">#REF!</definedName>
    <definedName name="neo32mm">#REF!</definedName>
    <definedName name="neo4T">#REF!</definedName>
    <definedName name="NET">#REF!</definedName>
    <definedName name="NET_1">#REF!</definedName>
    <definedName name="NET_ANA">#REF!</definedName>
    <definedName name="NET_ANA_1">#REF!</definedName>
    <definedName name="NET_ANA_2">#REF!</definedName>
    <definedName name="new" localSheetId="8">#REF!</definedName>
    <definedName name="new">#REF!</definedName>
    <definedName name="New_L">#REF!</definedName>
    <definedName name="NewPOS">#REF!</definedName>
    <definedName name="nig">#REF!</definedName>
    <definedName name="NIG13p" localSheetId="8">#REF!</definedName>
    <definedName name="NIG13p">#REF!</definedName>
    <definedName name="nig1p">#REF!</definedName>
    <definedName name="nig3p">#REF!</definedName>
    <definedName name="night" localSheetId="8">#REF!</definedName>
    <definedName name="night">#REF!</definedName>
    <definedName name="night." localSheetId="8">#REF!</definedName>
    <definedName name="night.">#REF!</definedName>
    <definedName name="nightnc" localSheetId="8">#REF!</definedName>
    <definedName name="nightnc">#REF!</definedName>
    <definedName name="nightvl" localSheetId="8">#REF!</definedName>
    <definedName name="nightvl">#REF!</definedName>
    <definedName name="NIGnc">#REF!</definedName>
    <definedName name="nignc1p">#REF!</definedName>
    <definedName name="nignc3p" localSheetId="8">#REF!</definedName>
    <definedName name="nignc3p">#REF!</definedName>
    <definedName name="NIGvc">#REF!</definedName>
    <definedName name="NIGvl">#REF!</definedName>
    <definedName name="nigvl1p">#REF!</definedName>
    <definedName name="nigvl3p" localSheetId="8">#REF!</definedName>
    <definedName name="nigvl3p">#REF!</definedName>
    <definedName name="nin">#REF!</definedName>
    <definedName name="nin14nc3p">#REF!</definedName>
    <definedName name="nin14vl3p">#REF!</definedName>
    <definedName name="nin1903p">#REF!</definedName>
    <definedName name="nin190nc" localSheetId="8">#REF!</definedName>
    <definedName name="nin190nc">#REF!</definedName>
    <definedName name="nin190nc3p">#REF!</definedName>
    <definedName name="nin190vl" localSheetId="8">#REF!</definedName>
    <definedName name="nin190vl">#REF!</definedName>
    <definedName name="nin190vl3p">#REF!</definedName>
    <definedName name="nin1pnc" localSheetId="8">#REF!</definedName>
    <definedName name="nin1pnc">#REF!</definedName>
    <definedName name="nin1pvl" localSheetId="8">#REF!</definedName>
    <definedName name="nin1pvl">#REF!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 localSheetId="8">#REF!</definedName>
    <definedName name="nindnc">#REF!</definedName>
    <definedName name="nindnc1p">#REF!</definedName>
    <definedName name="nindnc3p">#REF!</definedName>
    <definedName name="NINDvc">#REF!</definedName>
    <definedName name="nindvl" localSheetId="8">#REF!</definedName>
    <definedName name="nindvl">#REF!</definedName>
    <definedName name="nindvl1p">#REF!</definedName>
    <definedName name="nindvl3p">#REF!</definedName>
    <definedName name="ninnc" localSheetId="8">#REF!</definedName>
    <definedName name="ninnc">#REF!</definedName>
    <definedName name="ninnc3p">#REF!</definedName>
    <definedName name="nint1p">#REF!</definedName>
    <definedName name="nintnc1p">#REF!</definedName>
    <definedName name="nintvl1p">#REF!</definedName>
    <definedName name="NINvc">#REF!</definedName>
    <definedName name="ninvl" localSheetId="8">#REF!</definedName>
    <definedName name="ninvl">#REF!</definedName>
    <definedName name="ninvl3p">#REF!</definedName>
    <definedName name="ning1p">#REF!</definedName>
    <definedName name="ningnc1p">#REF!</definedName>
    <definedName name="ningvl1p">#REF!</definedName>
    <definedName name="nl">#REF!</definedName>
    <definedName name="NL12nc" localSheetId="8">#REF!</definedName>
    <definedName name="NL12nc">#REF!</definedName>
    <definedName name="NL12vl" localSheetId="8">#REF!</definedName>
    <definedName name="NL12vl">#REF!</definedName>
    <definedName name="nl1p">#REF!</definedName>
    <definedName name="nl3p">#REF!</definedName>
    <definedName name="NlapName">#REF!</definedName>
    <definedName name="nlht" localSheetId="8">#REF!</definedName>
    <definedName name="nlht">#REF!</definedName>
    <definedName name="nlmtc" localSheetId="8">#REF!</definedName>
    <definedName name="nlmtc">#REF!</definedName>
    <definedName name="nlnc" localSheetId="8">#REF!</definedName>
    <definedName name="nlnc">#REF!</definedName>
    <definedName name="nlnc3p">#REF!</definedName>
    <definedName name="nlnc3pha">#REF!</definedName>
    <definedName name="NLTK1p">#REF!</definedName>
    <definedName name="nlvl" localSheetId="8">#REF!</definedName>
    <definedName name="nlvl">#REF!</definedName>
    <definedName name="nlvl1" localSheetId="8">#REF!</definedName>
    <definedName name="nlvl1">#REF!</definedName>
    <definedName name="nlvl3p">#REF!</definedName>
    <definedName name="Nms">#REF!</definedName>
    <definedName name="nn">#REF!</definedName>
    <definedName name="nn1p">#REF!</definedName>
    <definedName name="nn3p">#REF!</definedName>
    <definedName name="nnn" localSheetId="8" hidden="1">{"'Sheet1'!$L$16"}</definedName>
    <definedName name="nnn" localSheetId="0" hidden="1">{"'Sheet1'!$L$16"}</definedName>
    <definedName name="nnn" localSheetId="6" hidden="1">{"'Sheet1'!$L$16"}</definedName>
    <definedName name="nnn" localSheetId="9" hidden="1">{"'Sheet1'!$L$16"}</definedName>
    <definedName name="nnn" localSheetId="7" hidden="1">{"'Sheet1'!$L$16"}</definedName>
    <definedName name="nnn" hidden="1">{"'Sheet1'!$L$16"}</definedName>
    <definedName name="nnnc" localSheetId="8">#REF!</definedName>
    <definedName name="nnnc">#REF!</definedName>
    <definedName name="nnnc3p">#REF!</definedName>
    <definedName name="nnvl" localSheetId="8">#REF!</definedName>
    <definedName name="nnvl">#REF!</definedName>
    <definedName name="nnvl3p">#REF!</definedName>
    <definedName name="NO" localSheetId="8">#REF!</definedName>
    <definedName name="NO">#REF!</definedName>
    <definedName name="NODL">#REF!</definedName>
    <definedName name="NOIDUNG" localSheetId="8">OFFSET(#REF!,COUNTA(#REF!)-1,0,1)</definedName>
    <definedName name="NOIDUNG">OFFSET(#REF!,COUNTA(#REF!)-1,0,1)</definedName>
    <definedName name="none" localSheetId="8">#REF!</definedName>
    <definedName name="none">#REF!</definedName>
    <definedName name="Notes">#REF!</definedName>
    <definedName name="Np" localSheetId="8">#REF!</definedName>
    <definedName name="Np">#REF!</definedName>
    <definedName name="NPK_SAP_1204_1299">#REF!</definedName>
    <definedName name="Nps" localSheetId="8">#REF!</definedName>
    <definedName name="Nps">#REF!</definedName>
    <definedName name="Nq">#REF!</definedName>
    <definedName name="NR">#REF!</definedName>
    <definedName name="ns" localSheetId="8">#REF!</definedName>
    <definedName name="ns">#REF!</definedName>
    <definedName name="ns." localSheetId="8">#REF!</definedName>
    <definedName name="ns.">#REF!</definedName>
    <definedName name="ns.." localSheetId="8">#REF!</definedName>
    <definedName name="ns..">#REF!</definedName>
    <definedName name="nsc">#REF!</definedName>
    <definedName name="nsk">#REF!</definedName>
    <definedName name="NsoatName">#REF!</definedName>
    <definedName name="Ntcd" localSheetId="8">#REF!</definedName>
    <definedName name="Ntcd">#REF!</definedName>
    <definedName name="NToS" localSheetId="8">#REF!</definedName>
    <definedName name="NToS" localSheetId="0">#REF!</definedName>
    <definedName name="NToS" localSheetId="9">#REF!</definedName>
    <definedName name="NToS">#REF!</definedName>
    <definedName name="Ntt" localSheetId="8">#REF!</definedName>
    <definedName name="Ntt">#REF!</definedName>
    <definedName name="nuoc" localSheetId="8">#REF!</definedName>
    <definedName name="nuoc">#REF!</definedName>
    <definedName name="nv" localSheetId="8">#REF!</definedName>
    <definedName name="nv">#REF!</definedName>
    <definedName name="NVH">#REF!</definedName>
    <definedName name="NVLCT" localSheetId="8">#REF!</definedName>
    <definedName name="NVLCT">#REF!</definedName>
    <definedName name="nx" localSheetId="8">#REF!</definedName>
    <definedName name="nx">#REF!</definedName>
    <definedName name="nxmtc" localSheetId="8">#REF!</definedName>
    <definedName name="nxmtc">#REF!</definedName>
    <definedName name="ng" localSheetId="8">#REF!</definedName>
    <definedName name="ng">#REF!</definedName>
    <definedName name="ng1." localSheetId="8">#REF!</definedName>
    <definedName name="ng1.">#REF!</definedName>
    <definedName name="ng2." localSheetId="8">#REF!</definedName>
    <definedName name="ng2.">#REF!</definedName>
    <definedName name="ngan" localSheetId="8">{"Thuxm2.xls","Sheet1"}</definedName>
    <definedName name="ngan" localSheetId="0">{"Thuxm2.xls","Sheet1"}</definedName>
    <definedName name="ngan" localSheetId="6">{"Thuxm2.xls","Sheet1"}</definedName>
    <definedName name="ngan" localSheetId="9">{"Thuxm2.xls","Sheet1"}</definedName>
    <definedName name="ngan" localSheetId="7">{"Thuxm2.xls","Sheet1"}</definedName>
    <definedName name="ngan">{"Thuxm2.xls","Sheet1"}</definedName>
    <definedName name="NGANHANG" localSheetId="8">OFFSET(#REF!,COUNTIF(#REF!,"&lt;&gt;0")-1,0,1)</definedName>
    <definedName name="NGANHANG">OFFSET(#REF!,COUNTIF(#REF!,"&lt;&gt;0")-1,0,1)</definedName>
    <definedName name="NGAØY">#REF!</definedName>
    <definedName name="ngau">#REF!</definedName>
    <definedName name="NGAY" localSheetId="8">OFFSET(#REF!,COUNTA(#REF!)-1,0,1)</definedName>
    <definedName name="NGAY">OFFSET(#REF!,COUNTA(#REF!)-1,0,1)</definedName>
    <definedName name="NGH" localSheetId="8">#REF!</definedName>
    <definedName name="NGH">#REF!</definedName>
    <definedName name="nghi_bq" localSheetId="8">#REF!</definedName>
    <definedName name="nghi_bq">#REF!</definedName>
    <definedName name="nghi_bv" localSheetId="8">#REF!</definedName>
    <definedName name="nghi_bv">#REF!</definedName>
    <definedName name="nghi_ck" localSheetId="8">#REF!</definedName>
    <definedName name="nghi_ck">#REF!</definedName>
    <definedName name="nghi_d1" localSheetId="8">#REF!</definedName>
    <definedName name="nghi_d1">#REF!</definedName>
    <definedName name="nghi_d2" localSheetId="8">#REF!</definedName>
    <definedName name="nghi_d2">#REF!</definedName>
    <definedName name="nghi_d3" localSheetId="8">#REF!</definedName>
    <definedName name="nghi_d3">#REF!</definedName>
    <definedName name="nghi_dl" localSheetId="8">#REF!</definedName>
    <definedName name="nghi_dl">#REF!</definedName>
    <definedName name="nghi_kcs" localSheetId="8">#REF!</definedName>
    <definedName name="nghi_kcs">#REF!</definedName>
    <definedName name="nghi_nb" localSheetId="8">#REF!</definedName>
    <definedName name="nghi_nb">#REF!</definedName>
    <definedName name="nghi_nv" localSheetId="8">#REF!</definedName>
    <definedName name="nghi_nv">#REF!</definedName>
    <definedName name="nghi_ngio" localSheetId="8">#REF!</definedName>
    <definedName name="nghi_ngio">#REF!</definedName>
    <definedName name="nghi_t3" localSheetId="8">#REF!</definedName>
    <definedName name="nghi_t3">#REF!</definedName>
    <definedName name="nghi_t4" localSheetId="8">#REF!</definedName>
    <definedName name="nghi_t4">#REF!</definedName>
    <definedName name="nghi_t5" localSheetId="8">#REF!</definedName>
    <definedName name="nghi_t5">#REF!</definedName>
    <definedName name="nghi_t6" localSheetId="8">#REF!</definedName>
    <definedName name="nghi_t6">#REF!</definedName>
    <definedName name="nghi_tc" localSheetId="8">#REF!</definedName>
    <definedName name="nghi_tc">#REF!</definedName>
    <definedName name="nghi_tm" localSheetId="8">#REF!</definedName>
    <definedName name="nghi_tm">#REF!</definedName>
    <definedName name="nghi_vs" localSheetId="8">#REF!</definedName>
    <definedName name="nghi_vs">#REF!</definedName>
    <definedName name="nghi_xh" localSheetId="8">#REF!</definedName>
    <definedName name="nghi_xh">#REF!</definedName>
    <definedName name="nght">#REF!</definedName>
    <definedName name="ngu" localSheetId="8" hidden="1">{"'Sheet1'!$L$16"}</definedName>
    <definedName name="ngu" localSheetId="0" hidden="1">{"'Sheet1'!$L$16"}</definedName>
    <definedName name="ngu" localSheetId="6" hidden="1">{"'Sheet1'!$L$16"}</definedName>
    <definedName name="ngu" localSheetId="9" hidden="1">{"'Sheet1'!$L$16"}</definedName>
    <definedName name="ngu" localSheetId="7" hidden="1">{"'Sheet1'!$L$16"}</definedName>
    <definedName name="ngu" hidden="1">{"'Sheet1'!$L$16"}</definedName>
    <definedName name="NH">#REF!</definedName>
    <definedName name="Nha">#REF!</definedName>
    <definedName name="NHAÂN_COÂNG">#N/A</definedName>
    <definedName name="Nhan_xet_cua_dai">"Picture 1"</definedName>
    <definedName name="NHChat" localSheetId="8">#REF!</definedName>
    <definedName name="NHChat">#REF!</definedName>
    <definedName name="NHChinh" localSheetId="8">#REF!</definedName>
    <definedName name="NHChinh">#REF!</definedName>
    <definedName name="nhfffd" localSheetId="8">{"DZ-TDTB2.XLS","Dcksat.xls"}</definedName>
    <definedName name="nhfffd" localSheetId="0">{"DZ-TDTB2.XLS","Dcksat.xls"}</definedName>
    <definedName name="nhfffd" localSheetId="6">{"DZ-TDTB2.XLS","Dcksat.xls"}</definedName>
    <definedName name="nhfffd" localSheetId="9">{"DZ-TDTB2.XLS","Dcksat.xls"}</definedName>
    <definedName name="nhfffd" localSheetId="7">{"DZ-TDTB2.XLS","Dcksat.xls"}</definedName>
    <definedName name="nhfffd">{"DZ-TDTB2.XLS","Dcksat.xls"}</definedName>
    <definedName name="nhiettri" localSheetId="8">#REF!</definedName>
    <definedName name="nhiettri">#REF!</definedName>
    <definedName name="nhiettrikhi">#REF!</definedName>
    <definedName name="nhn">#REF!</definedName>
    <definedName name="nhnnc" localSheetId="8">#REF!</definedName>
    <definedName name="nhnnc">#REF!</definedName>
    <definedName name="nhnvl" localSheetId="8">#REF!</definedName>
    <definedName name="nhnvl">#REF!</definedName>
    <definedName name="nhom">#REF!</definedName>
    <definedName name="NHot">#REF!</definedName>
    <definedName name="nhu">#REF!</definedName>
    <definedName name="nhua">#REF!</definedName>
    <definedName name="nhuad">#REF!</definedName>
    <definedName name="Nhuadan" localSheetId="8">#REF!</definedName>
    <definedName name="Nhuadan">#REF!</definedName>
    <definedName name="nhuaduong" localSheetId="8">#REF!</definedName>
    <definedName name="nhuaduong">#REF!</definedName>
    <definedName name="o">#REF!</definedName>
    <definedName name="O_M">#REF!</definedName>
    <definedName name="o_n_phÝ_1__thu_nhËp_th_ng">#REF!</definedName>
    <definedName name="O_TO" localSheetId="8">#REF!</definedName>
    <definedName name="O_TO">#REF!</definedName>
    <definedName name="oc" localSheetId="8">#REF!</definedName>
    <definedName name="oc">#REF!</definedName>
    <definedName name="òc76" localSheetId="8">#REF!</definedName>
    <definedName name="òc76">#REF!</definedName>
    <definedName name="OD">#REF!</definedName>
    <definedName name="ODC">#REF!</definedName>
    <definedName name="ODDT" localSheetId="8">#REF!</definedName>
    <definedName name="ODDT">#REF!</definedName>
    <definedName name="ODS">#REF!</definedName>
    <definedName name="ODU">#REF!</definedName>
    <definedName name="OE" localSheetId="8">#REF!</definedName>
    <definedName name="OE">#REF!</definedName>
    <definedName name="OHG">#REF!</definedName>
    <definedName name="oi">#REF!</definedName>
    <definedName name="Oil_increase_ratio">#REF!</definedName>
    <definedName name="OM">#REF!</definedName>
    <definedName name="OMC">#REF!</definedName>
    <definedName name="OME">#REF!</definedName>
    <definedName name="OMW">#REF!</definedName>
    <definedName name="OÑT" localSheetId="8">#REF!</definedName>
    <definedName name="OÑT">#REF!</definedName>
    <definedName name="ong">#REF!</definedName>
    <definedName name="ongPVC" localSheetId="8">#REF!</definedName>
    <definedName name="ongPVC">#REF!</definedName>
    <definedName name="ongsattrangkem">#REF!</definedName>
    <definedName name="OOM">#REF!</definedName>
    <definedName name="ophom">#REF!</definedName>
    <definedName name="ORD">#REF!</definedName>
    <definedName name="ORF">#REF!</definedName>
    <definedName name="osc" localSheetId="8">#REF!</definedName>
    <definedName name="osc">#REF!</definedName>
    <definedName name="oto" localSheetId="8">#REF!</definedName>
    <definedName name="oto">#REF!</definedName>
    <definedName name="Other">#REF!</definedName>
    <definedName name="OTHER_PANEL" localSheetId="8">#REF!</definedName>
    <definedName name="OTHER_PANEL">#REF!</definedName>
    <definedName name="OtherWork" localSheetId="8">#REF!</definedName>
    <definedName name="OtherWork">#REF!</definedName>
    <definedName name="oü0">#REF!</definedName>
    <definedName name="Óu75" localSheetId="8">#REF!</definedName>
    <definedName name="Óu75">#REF!</definedName>
    <definedName name="oxy">#REF!</definedName>
    <definedName name="oy">#REF!</definedName>
    <definedName name="P" localSheetId="8">#REF!</definedName>
    <definedName name="P">#REF!</definedName>
    <definedName name="p.m" localSheetId="8">#REF!</definedName>
    <definedName name="p.m">#REF!</definedName>
    <definedName name="P_M" localSheetId="8">#REF!</definedName>
    <definedName name="P_M">#REF!</definedName>
    <definedName name="p1." localSheetId="8">#REF!</definedName>
    <definedName name="p1.">#REF!</definedName>
    <definedName name="p2." localSheetId="8">#REF!</definedName>
    <definedName name="p2.">#REF!</definedName>
    <definedName name="PA">#REF!</definedName>
    <definedName name="pa." localSheetId="8">#REF!</definedName>
    <definedName name="pa.">#REF!</definedName>
    <definedName name="PA.2314">#REF!</definedName>
    <definedName name="PA.3114">#REF!</definedName>
    <definedName name="PA1_1">#REF!</definedName>
    <definedName name="PA2CAU39M" localSheetId="8" hidden="1">{"'Sheet1'!$L$16"}</definedName>
    <definedName name="PA2CAU39M" localSheetId="0" hidden="1">{"'Sheet1'!$L$16"}</definedName>
    <definedName name="PA2CAU39M" localSheetId="6" hidden="1">{"'Sheet1'!$L$16"}</definedName>
    <definedName name="PA2CAU39M" localSheetId="9" hidden="1">{"'Sheet1'!$L$16"}</definedName>
    <definedName name="PA2CAU39M" localSheetId="7" hidden="1">{"'Sheet1'!$L$16"}</definedName>
    <definedName name="PA2CAU39M" hidden="1">{"'Sheet1'!$L$16"}</definedName>
    <definedName name="PAIII_" localSheetId="8" hidden="1">{"'Sheet1'!$L$16"}</definedName>
    <definedName name="PAIII_" localSheetId="0" hidden="1">{"'Sheet1'!$L$16"}</definedName>
    <definedName name="PAIII_" localSheetId="6" hidden="1">{"'Sheet1'!$L$16"}</definedName>
    <definedName name="PAIII_" localSheetId="9" hidden="1">{"'Sheet1'!$L$16"}</definedName>
    <definedName name="PAIII_" localSheetId="7" hidden="1">{"'Sheet1'!$L$16"}</definedName>
    <definedName name="PAIII_" hidden="1">{"'Sheet1'!$L$16"}</definedName>
    <definedName name="Painting" localSheetId="8">#REF!</definedName>
    <definedName name="Painting">#REF!</definedName>
    <definedName name="Parem" localSheetId="8">#REF!</definedName>
    <definedName name="Parem">#REF!</definedName>
    <definedName name="paremÞ" localSheetId="8">#REF!</definedName>
    <definedName name="paremÞ">#REF!</definedName>
    <definedName name="PChe">#REF!</definedName>
    <definedName name="Pd">#REF!</definedName>
    <definedName name="PdoanName">#REF!</definedName>
    <definedName name="PEJM" localSheetId="8">#REF!</definedName>
    <definedName name="PEJM">#REF!</definedName>
    <definedName name="PercentComplete" localSheetId="9">PercentCompleteBeyond*PeriodInPlan</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F" localSheetId="8">#REF!</definedName>
    <definedName name="PF">#REF!</definedName>
    <definedName name="PG">#REF!</definedName>
    <definedName name="pgia">#REF!</definedName>
    <definedName name="pile" localSheetId="8">#REF!</definedName>
    <definedName name="pile">#REF!</definedName>
    <definedName name="PileSize">#REF!</definedName>
    <definedName name="PileType">#REF!</definedName>
    <definedName name="PIP" localSheetId="8">BlankMacro1</definedName>
    <definedName name="PIP" localSheetId="0">BlankMacro1</definedName>
    <definedName name="PIP" localSheetId="6">BlankMacro1</definedName>
    <definedName name="PIP" localSheetId="9">BlankMacro1</definedName>
    <definedName name="PIP" localSheetId="7">BlankMacro1</definedName>
    <definedName name="PIP">BlankMacro1</definedName>
    <definedName name="PIPE2" localSheetId="8">BlankMacro1</definedName>
    <definedName name="PIPE2" localSheetId="0">BlankMacro1</definedName>
    <definedName name="PIPE2" localSheetId="6">BlankMacro1</definedName>
    <definedName name="PIPE2" localSheetId="9">BlankMacro1</definedName>
    <definedName name="PIPE2" localSheetId="7">BlankMacro1</definedName>
    <definedName name="PIPE2">BlankMacro1</definedName>
    <definedName name="PK">#REF!</definedName>
    <definedName name="PL" localSheetId="8" hidden="1">{"'Sheet1'!$L$16"}</definedName>
    <definedName name="PL" localSheetId="0" hidden="1">{"'Sheet1'!$L$16"}</definedName>
    <definedName name="PL" localSheetId="6" hidden="1">{"'Sheet1'!$L$16"}</definedName>
    <definedName name="PL" localSheetId="9" hidden="1">{"'Sheet1'!$L$16"}</definedName>
    <definedName name="PL" localSheetId="7" hidden="1">{"'Sheet1'!$L$16"}</definedName>
    <definedName name="PL" hidden="1">{"'Sheet1'!$L$16"}</definedName>
    <definedName name="PL_???___P.B.___REST_P.B._????" localSheetId="8">#REF!</definedName>
    <definedName name="PL_???___P.B.___REST_P.B._????">#REF!</definedName>
    <definedName name="PL_指示燈___P.B.___REST_P.B._壓扣開關" localSheetId="8">#REF!</definedName>
    <definedName name="PL_指示燈___P.B.___REST_P.B._壓扣開關">#REF!</definedName>
    <definedName name="PL4.3" localSheetId="8">{"Thuxm2.xls","Sheet1"}</definedName>
    <definedName name="PL4.3" localSheetId="0">{"Thuxm2.xls","Sheet1"}</definedName>
    <definedName name="PL4.3" localSheetId="6">{"Thuxm2.xls","Sheet1"}</definedName>
    <definedName name="PL4.3" localSheetId="9">{"Thuxm2.xls","Sheet1"}</definedName>
    <definedName name="PL4.3" localSheetId="7">{"Thuxm2.xls","Sheet1"}</definedName>
    <definedName name="PL4.3">{"Thuxm2.xls","Sheet1"}</definedName>
    <definedName name="Plan" localSheetId="9">PeriodInPlan*(#REF!&gt;0)</definedName>
    <definedName name="Plan">PeriodInPlan*(#REF!&gt;0)</definedName>
    <definedName name="Planner" localSheetId="8">#REF!</definedName>
    <definedName name="Planner">#REF!</definedName>
    <definedName name="Plaster" localSheetId="8">#REF!</definedName>
    <definedName name="Plaster">#REF!</definedName>
    <definedName name="PlucBcaoTD" localSheetId="8" hidden="1">{"'Sheet1'!$L$16"}</definedName>
    <definedName name="PlucBcaoTD" localSheetId="0" hidden="1">{"'Sheet1'!$L$16"}</definedName>
    <definedName name="PlucBcaoTD" localSheetId="6" hidden="1">{"'Sheet1'!$L$16"}</definedName>
    <definedName name="PlucBcaoTD" localSheetId="9" hidden="1">{"'Sheet1'!$L$16"}</definedName>
    <definedName name="PlucBcaoTD" localSheetId="7" hidden="1">{"'Sheet1'!$L$16"}</definedName>
    <definedName name="PlucBcaoTD" hidden="1">{"'Sheet1'!$L$16"}</definedName>
    <definedName name="PM" localSheetId="8">#REF!</definedName>
    <definedName name="PM">#REF!</definedName>
    <definedName name="pm..">#REF!</definedName>
    <definedName name="PMS" localSheetId="8" hidden="1">{"'Sheet1'!$L$16"}</definedName>
    <definedName name="PMS" localSheetId="0" hidden="1">{"'Sheet1'!$L$16"}</definedName>
    <definedName name="PMS" localSheetId="6" hidden="1">{"'Sheet1'!$L$16"}</definedName>
    <definedName name="PMS" localSheetId="9" hidden="1">{"'Sheet1'!$L$16"}</definedName>
    <definedName name="PMS" localSheetId="7" hidden="1">{"'Sheet1'!$L$16"}</definedName>
    <definedName name="PMS" hidden="1">{"'Sheet1'!$L$16"}</definedName>
    <definedName name="Poisson" localSheetId="8">#REF!</definedName>
    <definedName name="Poisson">#REF!</definedName>
    <definedName name="Position">#REF!</definedName>
    <definedName name="POType">#REF!</definedName>
    <definedName name="PowerCord" localSheetId="8">#REF!</definedName>
    <definedName name="PowerCord">#REF!</definedName>
    <definedName name="PPP" localSheetId="8">BlankMacro1</definedName>
    <definedName name="PPP" localSheetId="0">BlankMacro1</definedName>
    <definedName name="PPP" localSheetId="6">BlankMacro1</definedName>
    <definedName name="PPP" localSheetId="9">BlankMacro1</definedName>
    <definedName name="PPP" localSheetId="7">BlankMacro1</definedName>
    <definedName name="PPP">BlankMacro1</definedName>
    <definedName name="PR">#REF!</definedName>
    <definedName name="PRC">#REF!</definedName>
    <definedName name="PRICE">#REF!</definedName>
    <definedName name="PRICE1">#REF!</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_xlnm.Print_Area" localSheetId="8">'Biểu 2.1 Mục tiêu Nhà máy'!$C$1:$K$51</definedName>
    <definedName name="_xlnm.Print_Area" localSheetId="0">'BM OKR Đ.TBCH 2026'!$A$1:$AE$44</definedName>
    <definedName name="_xlnm.Print_Area" localSheetId="6">NTĐG!$A$1:$B$14</definedName>
    <definedName name="_xlnm.Print_Area" localSheetId="4">'PL1.4_HT'!$A$1:$I$8</definedName>
    <definedName name="_xlnm.Print_Area" localSheetId="7">TCĐG!$A$1:$C$6</definedName>
    <definedName name="_xlnm.Print_Area">#REF!</definedName>
    <definedName name="Print_Area_MI" localSheetId="8">#REF!</definedName>
    <definedName name="Print_Area_MI">#REF!</definedName>
    <definedName name="print_title" localSheetId="8">#REF!</definedName>
    <definedName name="print_title">#REF!</definedName>
    <definedName name="_xlnm.Print_Titles" localSheetId="8">'Biểu 2.1 Mục tiêu Nhà máy'!$8:$8</definedName>
    <definedName name="_xlnm.Print_Titles" localSheetId="0">'BM OKR Đ.TBCH 2026'!$2:$2</definedName>
    <definedName name="_xlnm.Print_Titles" localSheetId="3">'PL1.3_CHGT-TĐH'!$2:$2</definedName>
    <definedName name="_xlnm.Print_Titles">#N/A</definedName>
    <definedName name="PRINT_TITLES_MI">#REF!</definedName>
    <definedName name="PRINTA">#REF!</definedName>
    <definedName name="PRINTB">#REF!</definedName>
    <definedName name="PRINTC">#REF!</definedName>
    <definedName name="priority" localSheetId="8">#REF!</definedName>
    <definedName name="priority">#REF!</definedName>
    <definedName name="prjName">#REF!</definedName>
    <definedName name="prjNo">#REF!</definedName>
    <definedName name="Probability">#REF!</definedName>
    <definedName name="PROJ" localSheetId="8">#REF!</definedName>
    <definedName name="PROJ">#REF!</definedName>
    <definedName name="ProjectList">#REF!</definedName>
    <definedName name="ProjectStart">#REF!</definedName>
    <definedName name="PROPOSAL">#REF!</definedName>
    <definedName name="Protex">#REF!</definedName>
    <definedName name="Province">#REF!</definedName>
    <definedName name="PST">#REF!</definedName>
    <definedName name="pt">#REF!</definedName>
    <definedName name="PT_A1">#REF!</definedName>
    <definedName name="PT_A2" localSheetId="8">#REF!</definedName>
    <definedName name="PT_A2">#REF!</definedName>
    <definedName name="PT_Duong">#REF!</definedName>
    <definedName name="PT_P1" localSheetId="8">#REF!</definedName>
    <definedName name="PT_P1">#REF!</definedName>
    <definedName name="PT_P10" localSheetId="8">#REF!</definedName>
    <definedName name="PT_P10">#REF!</definedName>
    <definedName name="PT_P11" localSheetId="8">#REF!</definedName>
    <definedName name="PT_P11">#REF!</definedName>
    <definedName name="PT_P2" localSheetId="8">#REF!</definedName>
    <definedName name="PT_P2">#REF!</definedName>
    <definedName name="PT_P3" localSheetId="8">#REF!</definedName>
    <definedName name="PT_P3">#REF!</definedName>
    <definedName name="PT_P4" localSheetId="8">#REF!</definedName>
    <definedName name="PT_P4">#REF!</definedName>
    <definedName name="PT_P5" localSheetId="8">#REF!</definedName>
    <definedName name="PT_P5">#REF!</definedName>
    <definedName name="PT_P6" localSheetId="8">#REF!</definedName>
    <definedName name="PT_P6">#REF!</definedName>
    <definedName name="PT_P7" localSheetId="8">#REF!</definedName>
    <definedName name="PT_P7">#REF!</definedName>
    <definedName name="PT_P8" localSheetId="8">#REF!</definedName>
    <definedName name="PT_P8">#REF!</definedName>
    <definedName name="PT_P9" localSheetId="8">#REF!</definedName>
    <definedName name="PT_P9">#REF!</definedName>
    <definedName name="ptdg">#REF!</definedName>
    <definedName name="PTDG_cau">#REF!</definedName>
    <definedName name="ptdg_cong">#REF!</definedName>
    <definedName name="PTDG_DCV">#REF!</definedName>
    <definedName name="ptdg_duong">#REF!</definedName>
    <definedName name="ptien" localSheetId="8">#REF!</definedName>
    <definedName name="ptien">#REF!</definedName>
    <definedName name="PTL">#REF!</definedName>
    <definedName name="PTNC" localSheetId="8">#REF!</definedName>
    <definedName name="PTNC">#REF!</definedName>
    <definedName name="PTST" localSheetId="8">#REF!</definedName>
    <definedName name="PTST">#REF!</definedName>
    <definedName name="ptvt" localSheetId="8">#REF!</definedName>
    <definedName name="ptvt">#REF!</definedName>
    <definedName name="PTH">#REF!</definedName>
    <definedName name="ptran" localSheetId="8">#REF!</definedName>
    <definedName name="ptran">#REF!</definedName>
    <definedName name="Pu">#REF!</definedName>
    <definedName name="pvd">#REF!</definedName>
    <definedName name="pw">#REF!</definedName>
    <definedName name="PH">#REF!</definedName>
    <definedName name="Ph_n__oan__Km______Km">#REF!</definedName>
    <definedName name="PHAN_DIEN_DZ0.4KV">#REF!</definedName>
    <definedName name="PHAN_DIEN_DZ22KV">#REF!</definedName>
    <definedName name="PHAN_DIEN_TBA">#REF!</definedName>
    <definedName name="PHAN_MUA_SAM_DZ0.4KV">#REF!</definedName>
    <definedName name="PHAN_MUA_SAM_DZ22KV">#REF!</definedName>
    <definedName name="Phan1">#REF!</definedName>
    <definedName name="Phat_quang_tuyen">#REF!</definedName>
    <definedName name="PHC">#REF!</definedName>
    <definedName name="phi_inertial">#REF!</definedName>
    <definedName name="phu_luc_vua">#REF!</definedName>
    <definedName name="phugia" localSheetId="8">#REF!</definedName>
    <definedName name="phugia">#REF!</definedName>
    <definedName name="q" localSheetId="8">#REF!</definedName>
    <definedName name="q">#REF!</definedName>
    <definedName name="Q_sudung" localSheetId="8">#REF!</definedName>
    <definedName name="Q_sudung">#REF!</definedName>
    <definedName name="qc" localSheetId="8">#REF!</definedName>
    <definedName name="qc">#REF!</definedName>
    <definedName name="qe">#REF!</definedName>
    <definedName name="Qfd" localSheetId="8">#REF!</definedName>
    <definedName name="Qfd">#REF!</definedName>
    <definedName name="qh">#REF!</definedName>
    <definedName name="qhCu" localSheetId="8">#REF!</definedName>
    <definedName name="qhCu">#REF!</definedName>
    <definedName name="qlda" localSheetId="8">#REF!</definedName>
    <definedName name="qlda" localSheetId="0">#REF!</definedName>
    <definedName name="qlda" localSheetId="9">#REF!</definedName>
    <definedName name="qlda">#REF!</definedName>
    <definedName name="qq" localSheetId="8">#REF!</definedName>
    <definedName name="qq">#REF!</definedName>
    <definedName name="qqq">#REF!</definedName>
    <definedName name="qSF" localSheetId="8">#REF!</definedName>
    <definedName name="qSF">#REF!</definedName>
    <definedName name="Qsong" localSheetId="8">#REF!</definedName>
    <definedName name="Qsong">#REF!</definedName>
    <definedName name="qt">#REF!</definedName>
    <definedName name="qtdm">#REF!</definedName>
    <definedName name="qth">#REF!</definedName>
    <definedName name="qW" localSheetId="8">#REF!</definedName>
    <definedName name="qW">#REF!</definedName>
    <definedName name="qx" localSheetId="8">#REF!</definedName>
    <definedName name="qx">#REF!</definedName>
    <definedName name="Qxenang" localSheetId="8">#REF!</definedName>
    <definedName name="Qxenang">#REF!</definedName>
    <definedName name="qu">#REF!</definedName>
    <definedName name="Quantities">#REF!</definedName>
    <definedName name="quehan" localSheetId="8">#REF!</definedName>
    <definedName name="quehan">#REF!</definedName>
    <definedName name="QUYLUONG" localSheetId="8">#REF!</definedName>
    <definedName name="QUYLUONG">#REF!</definedName>
    <definedName name="R_" localSheetId="8">#REF!</definedName>
    <definedName name="R_">#REF!</definedName>
    <definedName name="R_mong">#REF!</definedName>
    <definedName name="R0_1" localSheetId="8">#REF!</definedName>
    <definedName name="R0_1">#REF!</definedName>
    <definedName name="R0_2" localSheetId="8">#REF!</definedName>
    <definedName name="R0_2">#REF!</definedName>
    <definedName name="R00" localSheetId="8">#REF!</definedName>
    <definedName name="R00">#REF!</definedName>
    <definedName name="R00t" localSheetId="8">#REF!</definedName>
    <definedName name="R00t">#REF!</definedName>
    <definedName name="ra." localSheetId="8">#REF!</definedName>
    <definedName name="ra.">#REF!</definedName>
    <definedName name="Ra_">#REF!</definedName>
    <definedName name="ra11p">#REF!</definedName>
    <definedName name="ra13p">#REF!</definedName>
    <definedName name="rack1" localSheetId="8">#REF!</definedName>
    <definedName name="rack1">#REF!</definedName>
    <definedName name="rack2" localSheetId="8">#REF!</definedName>
    <definedName name="rack2">#REF!</definedName>
    <definedName name="rack3" localSheetId="8">#REF!</definedName>
    <definedName name="rack3">#REF!</definedName>
    <definedName name="rack4" localSheetId="8">#REF!</definedName>
    <definedName name="rack4">#REF!</definedName>
    <definedName name="raiasphalt100">#REF!</definedName>
    <definedName name="raiasphalt65">#REF!</definedName>
    <definedName name="Rain" localSheetId="8">#REF!</definedName>
    <definedName name="Rain">#REF!</definedName>
    <definedName name="rain." localSheetId="8">#REF!</definedName>
    <definedName name="rain.">#REF!</definedName>
    <definedName name="rain..">#REF!</definedName>
    <definedName name="RANGE">#REF!</definedName>
    <definedName name="RANGE2" localSheetId="8">#REF!</definedName>
    <definedName name="RANGE2">#REF!</definedName>
    <definedName name="Ranhxay" localSheetId="8" hidden="1">{"'Sheet1'!$L$16"}</definedName>
    <definedName name="Ranhxay" localSheetId="0" hidden="1">{"'Sheet1'!$L$16"}</definedName>
    <definedName name="Ranhxay" localSheetId="6" hidden="1">{"'Sheet1'!$L$16"}</definedName>
    <definedName name="Ranhxay" localSheetId="9" hidden="1">{"'Sheet1'!$L$16"}</definedName>
    <definedName name="Ranhxay" localSheetId="7" hidden="1">{"'Sheet1'!$L$16"}</definedName>
    <definedName name="Ranhxay" hidden="1">{"'Sheet1'!$L$16"}</definedName>
    <definedName name="RATE" localSheetId="8">#REF!</definedName>
    <definedName name="RATE">#REF!</definedName>
    <definedName name="Raûi_pheân_tre" localSheetId="8">#REF!</definedName>
    <definedName name="Raûi_pheân_tre">#REF!</definedName>
    <definedName name="raypb43">#REF!</definedName>
    <definedName name="rb." localSheetId="8">#REF!</definedName>
    <definedName name="rb.">#REF!</definedName>
    <definedName name="rc." localSheetId="8">#REF!</definedName>
    <definedName name="rc.">#REF!</definedName>
    <definedName name="Rc_">#REF!</definedName>
    <definedName name="RCF">#REF!</definedName>
    <definedName name="RCKM">#REF!</definedName>
    <definedName name="Rctpt">#REF!</definedName>
    <definedName name="RDEC">#REF!</definedName>
    <definedName name="RDEFF">#REF!</definedName>
    <definedName name="RDFC">#REF!</definedName>
    <definedName name="RDFU">#REF!</definedName>
    <definedName name="RDLIF">#REF!</definedName>
    <definedName name="RDOM">#REF!</definedName>
    <definedName name="RDPC" localSheetId="8">#REF!</definedName>
    <definedName name="RDPC">#REF!</definedName>
    <definedName name="rdpcf">#REF!</definedName>
    <definedName name="RDRC">#REF!</definedName>
    <definedName name="RDRF">#REF!</definedName>
    <definedName name="Rdtc" localSheetId="8">#REF!</definedName>
    <definedName name="Rdtc">#REF!</definedName>
    <definedName name="_xlnm.Recorder" localSheetId="8">#REF!</definedName>
    <definedName name="_xlnm.Recorder">#REF!</definedName>
    <definedName name="RECOUT">#N/A</definedName>
    <definedName name="REG">#REF!</definedName>
    <definedName name="Region">#REF!</definedName>
    <definedName name="reytukjljlkj" localSheetId="8">{"'Sheet1'!$L$16"}</definedName>
    <definedName name="reytukjljlkj" localSheetId="0">{"'Sheet1'!$L$16"}</definedName>
    <definedName name="reytukjljlkj" localSheetId="6">{"'Sheet1'!$L$16"}</definedName>
    <definedName name="reytukjljlkj" localSheetId="9">{"'Sheet1'!$L$16"}</definedName>
    <definedName name="reytukjljlkj" localSheetId="7">{"'Sheet1'!$L$16"}</definedName>
    <definedName name="reytukjljlkj">{"'Sheet1'!$L$16"}</definedName>
    <definedName name="rểưytyytuuiyuiyiuu" localSheetId="8">#REF!</definedName>
    <definedName name="rểưytyytuuiyuiyiuu">#REF!</definedName>
    <definedName name="RFNZ3">#REF!</definedName>
    <definedName name="RFP003A">#REF!</definedName>
    <definedName name="RFP003B">#REF!</definedName>
    <definedName name="RFP003C">#REF!</definedName>
    <definedName name="RFP003D">#REF!</definedName>
    <definedName name="RFP003E">#REF!</definedName>
    <definedName name="RFP003F">#REF!</definedName>
    <definedName name="rgfgdfhg">#REF!</definedName>
    <definedName name="RGLIF">#REF!</definedName>
    <definedName name="Rh" localSheetId="8">#REF!</definedName>
    <definedName name="Rh">#REF!</definedName>
    <definedName name="RHEC">#REF!</definedName>
    <definedName name="RHEFF">#REF!</definedName>
    <definedName name="RHHC">#REF!</definedName>
    <definedName name="RHLIF">#REF!</definedName>
    <definedName name="RHOM">#REF!</definedName>
    <definedName name="ri" localSheetId="8">#REF!</definedName>
    <definedName name="ri">#REF!</definedName>
    <definedName name="RIR">#REF!</definedName>
    <definedName name="RiskFactor">#REF!</definedName>
    <definedName name="RiskType">#REF!</definedName>
    <definedName name="River">#REF!</definedName>
    <definedName name="River_Code">#REF!</definedName>
    <definedName name="Rk" localSheetId="8">#REF!</definedName>
    <definedName name="Rk">#REF!</definedName>
    <definedName name="RL" localSheetId="8">#REF!</definedName>
    <definedName name="RL">#REF!</definedName>
    <definedName name="RLd">#REF!</definedName>
    <definedName name="RLF">#REF!</definedName>
    <definedName name="RLKM">#REF!</definedName>
    <definedName name="RLL">#REF!</definedName>
    <definedName name="RLOM">#REF!</definedName>
    <definedName name="Rnp" localSheetId="8">#REF!</definedName>
    <definedName name="Rnp">#REF!</definedName>
    <definedName name="ro0">#REF!</definedName>
    <definedName name="Road_Code">#REF!</definedName>
    <definedName name="Road_Name">#REF!</definedName>
    <definedName name="RoadNo_373">#REF!</definedName>
    <definedName name="RoofingWork" localSheetId="8">#REF!</definedName>
    <definedName name="RoofingWork">#REF!</definedName>
    <definedName name="Round" localSheetId="8">#REF!</definedName>
    <definedName name="Round">#REF!</definedName>
    <definedName name="RoundUps" localSheetId="8">#REF!</definedName>
    <definedName name="RoundUps">#REF!</definedName>
    <definedName name="RPLA" localSheetId="8" hidden="1">{"'Sheet1'!$L$16"}</definedName>
    <definedName name="RPLA" localSheetId="0" hidden="1">{"'Sheet1'!$L$16"}</definedName>
    <definedName name="RPLA" localSheetId="6" hidden="1">{"'Sheet1'!$L$16"}</definedName>
    <definedName name="RPLA" localSheetId="9" hidden="1">{"'Sheet1'!$L$16"}</definedName>
    <definedName name="RPLA" localSheetId="7" hidden="1">{"'Sheet1'!$L$16"}</definedName>
    <definedName name="RPLA" hidden="1">{"'Sheet1'!$L$16"}</definedName>
    <definedName name="RPHEC">#REF!</definedName>
    <definedName name="RPHLIF">#REF!</definedName>
    <definedName name="RPHOM">#REF!</definedName>
    <definedName name="RPHPC">#REF!</definedName>
    <definedName name="rr5we6twryt">#REF!</definedName>
    <definedName name="Rrpo">#REF!</definedName>
    <definedName name="RSBC">#REF!</definedName>
    <definedName name="RSBLIF">#REF!</definedName>
    <definedName name="RSIC">#REF!</definedName>
    <definedName name="RSIN">#REF!</definedName>
    <definedName name="RSLIF">#REF!</definedName>
    <definedName name="RSOM">#REF!</definedName>
    <definedName name="RSPI">#REF!</definedName>
    <definedName name="RSSC">#REF!</definedName>
    <definedName name="RT" localSheetId="8">#REF!</definedName>
    <definedName name="RT">#REF!</definedName>
    <definedName name="Rtd" localSheetId="8">#REF!</definedName>
    <definedName name="Rtd">#REF!</definedName>
    <definedName name="Ru" localSheetId="8">#REF!</definedName>
    <definedName name="Ru">#REF!</definedName>
    <definedName name="rung25" localSheetId="8">#REF!</definedName>
    <definedName name="rung25">#REF!</definedName>
    <definedName name="RWTPlo">#REF!</definedName>
    <definedName name="RWTPhi">#REF!</definedName>
    <definedName name="s">#REF!</definedName>
    <definedName name="s.">#REF!</definedName>
    <definedName name="s_0" localSheetId="8">#REF!</definedName>
    <definedName name="s_0">#REF!</definedName>
    <definedName name="s_0cd" localSheetId="8">#REF!</definedName>
    <definedName name="s_0cd">#REF!</definedName>
    <definedName name="S_1">#REF!</definedName>
    <definedName name="S_2">#REF!</definedName>
    <definedName name="s_58" localSheetId="8">#REF!</definedName>
    <definedName name="s_58">#REF!</definedName>
    <definedName name="s_58g" localSheetId="8">#REF!</definedName>
    <definedName name="s_58g">#REF!</definedName>
    <definedName name="s_59" localSheetId="8">#REF!</definedName>
    <definedName name="s_59">#REF!</definedName>
    <definedName name="s_59g" localSheetId="8">#REF!</definedName>
    <definedName name="s_59g">#REF!</definedName>
    <definedName name="s_Icd" localSheetId="8">#REF!</definedName>
    <definedName name="s_Icd">#REF!</definedName>
    <definedName name="s75F29" localSheetId="8">#REF!</definedName>
    <definedName name="s75F29">#REF!</definedName>
    <definedName name="sa." localSheetId="8">#REF!</definedName>
    <definedName name="sa.">#REF!</definedName>
    <definedName name="sae" localSheetId="8">BlankMacro1</definedName>
    <definedName name="sae" localSheetId="0">BlankMacro1</definedName>
    <definedName name="sae" localSheetId="6">BlankMacro1</definedName>
    <definedName name="sae" localSheetId="9">BlankMacro1</definedName>
    <definedName name="sae" localSheetId="7">BlankMacro1</definedName>
    <definedName name="sae">BlankMacro1</definedName>
    <definedName name="salan200">#REF!</definedName>
    <definedName name="salan400">#REF!</definedName>
    <definedName name="San_truoc" localSheetId="8">#REF!</definedName>
    <definedName name="San_truoc">#REF!</definedName>
    <definedName name="sand">#REF!</definedName>
    <definedName name="sanluongamo" localSheetId="8">#REF!</definedName>
    <definedName name="sanluongamo">#REF!</definedName>
    <definedName name="sanluongamo1" localSheetId="8">#REF!</definedName>
    <definedName name="sanluongamo1">#REF!</definedName>
    <definedName name="sanluongbao" localSheetId="8">#REF!</definedName>
    <definedName name="sanluongbao">#REF!</definedName>
    <definedName name="sanluongbao1" localSheetId="8">#REF!</definedName>
    <definedName name="sanluongbao1">#REF!</definedName>
    <definedName name="sanluongco2" localSheetId="8">#REF!</definedName>
    <definedName name="sanluongco2">#REF!</definedName>
    <definedName name="sanluongdien" localSheetId="8">#REF!</definedName>
    <definedName name="sanluongdien">#REF!</definedName>
    <definedName name="sanluongdien1" localSheetId="8">#REF!</definedName>
    <definedName name="sanluongdien1">#REF!</definedName>
    <definedName name="sanluongure" localSheetId="8">#REF!</definedName>
    <definedName name="sanluongure">#REF!</definedName>
    <definedName name="sanluongure1" localSheetId="8">#REF!</definedName>
    <definedName name="sanluongure1">#REF!</definedName>
    <definedName name="sat" localSheetId="8">#REF!</definedName>
    <definedName name="sat">#REF!</definedName>
    <definedName name="satCT10" localSheetId="8">#REF!</definedName>
    <definedName name="satCT10">#REF!</definedName>
    <definedName name="SatCTlon10" localSheetId="8">#REF!</definedName>
    <definedName name="SatCTlon10">#REF!</definedName>
    <definedName name="SatCThon10" localSheetId="8">#REF!</definedName>
    <definedName name="SatCThon10">#REF!</definedName>
    <definedName name="satf10" localSheetId="8">#REF!</definedName>
    <definedName name="satf10">#REF!</definedName>
    <definedName name="satf27" localSheetId="8">#REF!</definedName>
    <definedName name="satf27">#REF!</definedName>
    <definedName name="satf6" localSheetId="8">#REF!</definedName>
    <definedName name="satf6">#REF!</definedName>
    <definedName name="satf8" localSheetId="8">#REF!</definedName>
    <definedName name="satf8">#REF!</definedName>
    <definedName name="satt" localSheetId="8">#REF!</definedName>
    <definedName name="satt">#REF!</definedName>
    <definedName name="sattron" localSheetId="8">#REF!</definedName>
    <definedName name="sattron">#REF!</definedName>
    <definedName name="satu" localSheetId="8">#REF!</definedName>
    <definedName name="satu">#REF!</definedName>
    <definedName name="Sau">#REF!</definedName>
    <definedName name="Sau_cong_to">#REF!</definedName>
    <definedName name="SB" localSheetId="8">#REF!</definedName>
    <definedName name="SB">#REF!</definedName>
    <definedName name="sb_8" localSheetId="8">#REF!</definedName>
    <definedName name="sb_8">#REF!</definedName>
    <definedName name="sb_8g" localSheetId="8">#REF!</definedName>
    <definedName name="sb_8g">#REF!</definedName>
    <definedName name="sb_9" localSheetId="8">#REF!</definedName>
    <definedName name="sb_9">#REF!</definedName>
    <definedName name="sb_9g" localSheetId="8">#REF!</definedName>
    <definedName name="sb_9g">#REF!</definedName>
    <definedName name="sbd" localSheetId="8">#REF!</definedName>
    <definedName name="sbd">#REF!</definedName>
    <definedName name="sbet" localSheetId="8">#REF!</definedName>
    <definedName name="sbet">#REF!</definedName>
    <definedName name="sbsd" localSheetId="8">#REF!</definedName>
    <definedName name="sbsd">#REF!</definedName>
    <definedName name="sc" localSheetId="8">#REF!</definedName>
    <definedName name="sc">#REF!</definedName>
    <definedName name="SC_date" localSheetId="8">#REF!</definedName>
    <definedName name="SC_date">#REF!</definedName>
    <definedName name="SC_name" localSheetId="8">#REF!</definedName>
    <definedName name="SC_name">#REF!</definedName>
    <definedName name="scan" localSheetId="8">#REF!</definedName>
    <definedName name="scan">#REF!</definedName>
    <definedName name="scm" localSheetId="8">#REF!</definedName>
    <definedName name="scm">#REF!</definedName>
    <definedName name="scr" localSheetId="8">#REF!</definedName>
    <definedName name="scr">#REF!</definedName>
    <definedName name="SCT">#REF!</definedName>
    <definedName name="scv">#REF!</definedName>
    <definedName name="SCH">#REF!</definedName>
    <definedName name="sd1p">#REF!</definedName>
    <definedName name="sd3p" localSheetId="8">#REF!</definedName>
    <definedName name="sd3p">#REF!</definedName>
    <definedName name="sda">#REF!</definedName>
    <definedName name="sdaasf">#REF!</definedName>
    <definedName name="sdad" localSheetId="8">#REF!</definedName>
    <definedName name="sdad">#REF!</definedName>
    <definedName name="sdd" localSheetId="8">#REF!</definedName>
    <definedName name="sdd">#REF!</definedName>
    <definedName name="SDDL" localSheetId="8">#REF!</definedName>
    <definedName name="SDDL">#REF!</definedName>
    <definedName name="SDF" localSheetId="8" hidden="1">{"'Sheet1'!$L$16"}</definedName>
    <definedName name="SDF" localSheetId="0" hidden="1">{"'Sheet1'!$L$16"}</definedName>
    <definedName name="SDF" localSheetId="6" hidden="1">{"'Sheet1'!$L$16"}</definedName>
    <definedName name="SDF" localSheetId="9" hidden="1">{"'Sheet1'!$L$16"}</definedName>
    <definedName name="SDF" localSheetId="7" hidden="1">{"'Sheet1'!$L$16"}</definedName>
    <definedName name="SDF" hidden="1">{"'Sheet1'!$L$16"}</definedName>
    <definedName name="sdfgfhjgjhjkhk" localSheetId="8">{"Thuxm2.xls","Sheet1"}</definedName>
    <definedName name="sdfgfhjgjhjkhk" localSheetId="0">{"Thuxm2.xls","Sheet1"}</definedName>
    <definedName name="sdfgfhjgjhjkhk" localSheetId="6">{"Thuxm2.xls","Sheet1"}</definedName>
    <definedName name="sdfgfhjgjhjkhk" localSheetId="9">{"Thuxm2.xls","Sheet1"}</definedName>
    <definedName name="sdfgfhjgjhjkhk" localSheetId="7">{"Thuxm2.xls","Sheet1"}</definedName>
    <definedName name="sdfgfhjgjhjkhk">{"Thuxm2.xls","Sheet1"}</definedName>
    <definedName name="sdfs" localSheetId="8">#REF!</definedName>
    <definedName name="sdfs">#REF!</definedName>
    <definedName name="sdfsa" localSheetId="8">BlankMacro1</definedName>
    <definedName name="sdfsa" localSheetId="0">BlankMacro1</definedName>
    <definedName name="sdfsa" localSheetId="6">BlankMacro1</definedName>
    <definedName name="sdfsa" localSheetId="9">BlankMacro1</definedName>
    <definedName name="sdfsa" localSheetId="7">BlankMacro1</definedName>
    <definedName name="sdfsa">BlankMacro1</definedName>
    <definedName name="sdfsdfsd" localSheetId="8" hidden="1">{"'Sheet1'!$L$16"}</definedName>
    <definedName name="sdfsdfsd" localSheetId="0" hidden="1">{"'Sheet1'!$L$16"}</definedName>
    <definedName name="sdfsdfsd" localSheetId="6" hidden="1">{"'Sheet1'!$L$16"}</definedName>
    <definedName name="sdfsdfsd" localSheetId="9" hidden="1">{"'Sheet1'!$L$16"}</definedName>
    <definedName name="sdfsdfsd" localSheetId="7" hidden="1">{"'Sheet1'!$L$16"}</definedName>
    <definedName name="sdfsdfsd" hidden="1">{"'Sheet1'!$L$16"}</definedName>
    <definedName name="SDMONG">#REF!</definedName>
    <definedName name="sdo" localSheetId="8">#REF!</definedName>
    <definedName name="sdo">#REF!</definedName>
    <definedName name="sdx" localSheetId="8">#REF!</definedName>
    <definedName name="sdx">#REF!</definedName>
    <definedName name="Sen_CPA" localSheetId="8">#REF!</definedName>
    <definedName name="Sen_CPA">#REF!</definedName>
    <definedName name="SEN_DAP" localSheetId="8">#REF!</definedName>
    <definedName name="SEN_DAP">#REF!</definedName>
    <definedName name="Sen_luongCPA" localSheetId="8">#REF!</definedName>
    <definedName name="Sen_luongCPA">#REF!</definedName>
    <definedName name="SEN_Margin" localSheetId="8">#REF!</definedName>
    <definedName name="SEN_Margin">#REF!</definedName>
    <definedName name="Sen_NaturalGas" localSheetId="8">#REF!</definedName>
    <definedName name="Sen_NaturalGas">#REF!</definedName>
    <definedName name="Sen_NL_NPK" localSheetId="8">#REF!</definedName>
    <definedName name="Sen_NL_NPK">#REF!</definedName>
    <definedName name="Sen_Nguyenlieu" localSheetId="8">#REF!</definedName>
    <definedName name="Sen_Nguyenlieu">#REF!</definedName>
    <definedName name="Sen_NH3" localSheetId="8">#REF!</definedName>
    <definedName name="Sen_NH3">#REF!</definedName>
    <definedName name="Sen_PriceOfK" localSheetId="8">#REF!</definedName>
    <definedName name="Sen_PriceOfK">#REF!</definedName>
    <definedName name="Sen_PriceOfN" localSheetId="8">#REF!</definedName>
    <definedName name="Sen_PriceOfN">#REF!</definedName>
    <definedName name="Sen_PriceOfP" localSheetId="8">#REF!</definedName>
    <definedName name="Sen_PriceOfP">#REF!</definedName>
    <definedName name="Sen_PriceOfS" localSheetId="8">#REF!</definedName>
    <definedName name="Sen_PriceOfS">#REF!</definedName>
    <definedName name="Sen_PriceOfUrea" localSheetId="8">#REF!</definedName>
    <definedName name="Sen_PriceOfUrea">#REF!</definedName>
    <definedName name="Sen_sanpham" localSheetId="8">#REF!</definedName>
    <definedName name="Sen_sanpham">#REF!</definedName>
    <definedName name="Sen_SP_NPK" localSheetId="8">#REF!</definedName>
    <definedName name="Sen_SP_NPK">#REF!</definedName>
    <definedName name="Sen_TMDT_Both" localSheetId="8">#REF!</definedName>
    <definedName name="Sen_TMDT_Both">#REF!</definedName>
    <definedName name="Sen_TMDT_NPK" localSheetId="8">#REF!</definedName>
    <definedName name="Sen_TMDT_NPK">#REF!</definedName>
    <definedName name="SEN_TyLeVanHanh" localSheetId="8">#REF!</definedName>
    <definedName name="SEN_TyLeVanHanh">#REF!</definedName>
    <definedName name="sencount" hidden="1">2</definedName>
    <definedName name="Sensation">#REF!</definedName>
    <definedName name="SETVAR" localSheetId="8">#REF!</definedName>
    <definedName name="SETVAR">#REF!</definedName>
    <definedName name="sfsd" localSheetId="8" hidden="1">{"'Sheet1'!$L$16"}</definedName>
    <definedName name="sfsd" localSheetId="0" hidden="1">{"'Sheet1'!$L$16"}</definedName>
    <definedName name="sfsd" localSheetId="6" hidden="1">{"'Sheet1'!$L$16"}</definedName>
    <definedName name="sfsd" localSheetId="9" hidden="1">{"'Sheet1'!$L$16"}</definedName>
    <definedName name="sfsd" localSheetId="7" hidden="1">{"'Sheet1'!$L$16"}</definedName>
    <definedName name="sfsd" hidden="1">{"'Sheet1'!$L$16"}</definedName>
    <definedName name="SFX" localSheetId="8">#REF!</definedName>
    <definedName name="SFX">#REF!</definedName>
    <definedName name="SFY" localSheetId="8">#REF!</definedName>
    <definedName name="SFY">#REF!</definedName>
    <definedName name="sg" localSheetId="8">#REF!</definedName>
    <definedName name="sg">#REF!</definedName>
    <definedName name="sg1." localSheetId="8">#REF!</definedName>
    <definedName name="sg1.">#REF!</definedName>
    <definedName name="sg2." localSheetId="8">#REF!</definedName>
    <definedName name="sg2.">#REF!</definedName>
    <definedName name="sgnc" localSheetId="8">#REF!</definedName>
    <definedName name="sgnc">#REF!</definedName>
    <definedName name="sgvl" localSheetId="8">#REF!</definedName>
    <definedName name="sgvl">#REF!</definedName>
    <definedName name="Sharing_factor" localSheetId="8">#REF!</definedName>
    <definedName name="Sharing_factor">#REF!</definedName>
    <definedName name="SHCUOC">#REF!</definedName>
    <definedName name="Sheet1">#REF!</definedName>
    <definedName name="SheetName">"[Bao_cao_cua_NVTK_tai_NPP_bieu_mau_moi_4___Mau_moi.xls]~         "</definedName>
    <definedName name="sho">#REF!</definedName>
    <definedName name="sht" localSheetId="8">#REF!</definedName>
    <definedName name="sht">#REF!</definedName>
    <definedName name="sht1p">#REF!</definedName>
    <definedName name="sht3p" localSheetId="8">#REF!</definedName>
    <definedName name="sht3p">#REF!</definedName>
    <definedName name="sieucao">#REF!</definedName>
    <definedName name="SIZE">#REF!</definedName>
    <definedName name="sj" localSheetId="8">#REF!</definedName>
    <definedName name="sj">#REF!</definedName>
    <definedName name="skd" localSheetId="8">#REF!</definedName>
    <definedName name="skd">#REF!</definedName>
    <definedName name="SKUcoverage">#REF!</definedName>
    <definedName name="SL">#REF!</definedName>
    <definedName name="SL_5">(#REF!,#REF!,#REF!,#REF!,#REF!,#REF!,#REF!)</definedName>
    <definedName name="SL_7">(#REF!,#REF!,#REF!,#REF!,#REF!,#REF!,#REF!)</definedName>
    <definedName name="SL_8">(#REF!,#REF!,#REF!,#REF!,#REF!,#REF!,#REF!)</definedName>
    <definedName name="SL_9">(#REF!,#REF!,#REF!,#REF!,#REF!,#REF!,#REF!)</definedName>
    <definedName name="SL_CRD">#REF!</definedName>
    <definedName name="SL_CRS">#REF!</definedName>
    <definedName name="SL_CS">#REF!</definedName>
    <definedName name="SL_DD">#REF!</definedName>
    <definedName name="slk">#REF!</definedName>
    <definedName name="sll">#REF!</definedName>
    <definedName name="SLQI" localSheetId="8">#REF!</definedName>
    <definedName name="SLQI">#REF!</definedName>
    <definedName name="SLQII" localSheetId="8">#REF!</definedName>
    <definedName name="SLQII">#REF!</definedName>
    <definedName name="SLQIII" localSheetId="8">#REF!</definedName>
    <definedName name="SLQIII">#REF!</definedName>
    <definedName name="SLQIV" localSheetId="8">#REF!</definedName>
    <definedName name="SLQIV">#REF!</definedName>
    <definedName name="SLTS" localSheetId="8">#REF!</definedName>
    <definedName name="SLTS">#REF!</definedName>
    <definedName name="smax">#REF!</definedName>
    <definedName name="smax1">#REF!</definedName>
    <definedName name="smin" localSheetId="8">#REF!</definedName>
    <definedName name="smin">#REF!</definedName>
    <definedName name="sn">#REF!</definedName>
    <definedName name="SNV12Q2" localSheetId="8">#REF!</definedName>
    <definedName name="SNV12Q2">#REF!</definedName>
    <definedName name="SO" localSheetId="8">OFFSET(#REF!,COUNTA(#REF!)-1,0,1)</definedName>
    <definedName name="SO">OFFSET(#REF!,COUNTA(#REF!)-1,0,1)</definedName>
    <definedName name="soc3p">#REF!</definedName>
    <definedName name="SoChungTu" localSheetId="8">#REF!</definedName>
    <definedName name="SoChungTu">#REF!</definedName>
    <definedName name="Sogoi" localSheetId="8">#REF!</definedName>
    <definedName name="Sogoi">#REF!</definedName>
    <definedName name="Sohd" localSheetId="8">#REF!</definedName>
    <definedName name="Sohd">#REF!</definedName>
    <definedName name="sohieuthua">#REF!</definedName>
    <definedName name="soho" localSheetId="8">#REF!</definedName>
    <definedName name="soho">#REF!</definedName>
    <definedName name="Soi">#REF!</definedName>
    <definedName name="Soi_HamYen" localSheetId="8">#REF!</definedName>
    <definedName name="Soi_HamYen">#REF!</definedName>
    <definedName name="soichon12">#REF!</definedName>
    <definedName name="soichon1x2" localSheetId="8">#REF!</definedName>
    <definedName name="soichon1x2">#REF!</definedName>
    <definedName name="soichon24">#REF!</definedName>
    <definedName name="soichon46">#REF!</definedName>
    <definedName name="soichon4x6" localSheetId="8">#REF!</definedName>
    <definedName name="soichon4x6">#REF!</definedName>
    <definedName name="soigai" localSheetId="8">#REF!</definedName>
    <definedName name="soigai">#REF!</definedName>
    <definedName name="SoilType">#REF!</definedName>
    <definedName name="Solan" localSheetId="8">#REF!</definedName>
    <definedName name="Solan">#REF!</definedName>
    <definedName name="solieu">#REF!</definedName>
    <definedName name="SOLUONG" localSheetId="8">#REF!</definedName>
    <definedName name="SOLUONG">#REF!</definedName>
    <definedName name="Son" localSheetId="8">#REF!</definedName>
    <definedName name="Son">#REF!</definedName>
    <definedName name="sonduong" localSheetId="8">#REF!</definedName>
    <definedName name="sonduong">#REF!</definedName>
    <definedName name="Sonth" localSheetId="8">#REF!</definedName>
    <definedName name="Sonth">#REF!</definedName>
    <definedName name="SORT">#REF!</definedName>
    <definedName name="SORT_AREA" localSheetId="8">#REF!</definedName>
    <definedName name="SORT_AREA">#REF!</definedName>
    <definedName name="SOTIEN" localSheetId="8">OFFSET(#REF!,COUNTA(#REF!)-1,0,1)</definedName>
    <definedName name="SOTIEN">OFFSET(#REF!,COUNTA(#REF!)-1,0,1)</definedName>
    <definedName name="SOTIEN_CO_NK" localSheetId="8">#REF!</definedName>
    <definedName name="SOTIEN_CO_NK">#REF!</definedName>
    <definedName name="SOTIEN_NO_NK" localSheetId="8">#REF!</definedName>
    <definedName name="SOTIEN_NO_NK">#REF!</definedName>
    <definedName name="SP" localSheetId="8">#REF!</definedName>
    <definedName name="SP">#REF!</definedName>
    <definedName name="sp_bq" localSheetId="8">#REF!</definedName>
    <definedName name="sp_bq">#REF!</definedName>
    <definedName name="sp_bv" localSheetId="8">#REF!</definedName>
    <definedName name="sp_bv">#REF!</definedName>
    <definedName name="sp_ck" localSheetId="8">#REF!</definedName>
    <definedName name="sp_ck">#REF!</definedName>
    <definedName name="sp_d1" localSheetId="8">#REF!</definedName>
    <definedName name="sp_d1">#REF!</definedName>
    <definedName name="sp_d2" localSheetId="8">#REF!</definedName>
    <definedName name="sp_d2">#REF!</definedName>
    <definedName name="sp_d3" localSheetId="8">#REF!</definedName>
    <definedName name="sp_d3">#REF!</definedName>
    <definedName name="sp_dl" localSheetId="8">#REF!</definedName>
    <definedName name="sp_dl">#REF!</definedName>
    <definedName name="sp_kcs" localSheetId="8">#REF!</definedName>
    <definedName name="sp_kcs">#REF!</definedName>
    <definedName name="sp_nb" localSheetId="8">#REF!</definedName>
    <definedName name="sp_nb">#REF!</definedName>
    <definedName name="sp_nv" localSheetId="8">#REF!</definedName>
    <definedName name="sp_nv">#REF!</definedName>
    <definedName name="sp_ngio" localSheetId="8">#REF!</definedName>
    <definedName name="sp_ngio">#REF!</definedName>
    <definedName name="sp_t3" localSheetId="8">#REF!</definedName>
    <definedName name="sp_t3">#REF!</definedName>
    <definedName name="sp_t4" localSheetId="8">#REF!</definedName>
    <definedName name="sp_t4">#REF!</definedName>
    <definedName name="sp_t5" localSheetId="8">#REF!</definedName>
    <definedName name="sp_t5">#REF!</definedName>
    <definedName name="sp_t6" localSheetId="8">#REF!</definedName>
    <definedName name="sp_t6">#REF!</definedName>
    <definedName name="sp_tc" localSheetId="8">#REF!</definedName>
    <definedName name="sp_tc">#REF!</definedName>
    <definedName name="sp_tm" localSheetId="8">#REF!</definedName>
    <definedName name="sp_tm">#REF!</definedName>
    <definedName name="sp_vs" localSheetId="8">#REF!</definedName>
    <definedName name="sp_vs">#REF!</definedName>
    <definedName name="sp_xh" localSheetId="8">#REF!</definedName>
    <definedName name="sp_xh">#REF!</definedName>
    <definedName name="SPAN">#REF!</definedName>
    <definedName name="SPAN_No">#REF!</definedName>
    <definedName name="SPEC">#REF!</definedName>
    <definedName name="SPECSUMMARY">#REF!</definedName>
    <definedName name="spk1p" localSheetId="8">#REF!</definedName>
    <definedName name="spk1p">#REF!</definedName>
    <definedName name="spk3p" localSheetId="8">#REF!</definedName>
    <definedName name="spk3p">#REF!</definedName>
    <definedName name="SQ" localSheetId="8">#REF!</definedName>
    <definedName name="SQ">#REF!</definedName>
    <definedName name="srbn" localSheetId="8">{"Thuxm2.xls","Sheet1"}</definedName>
    <definedName name="srbn" localSheetId="0">{"Thuxm2.xls","Sheet1"}</definedName>
    <definedName name="srbn" localSheetId="6">{"Thuxm2.xls","Sheet1"}</definedName>
    <definedName name="srbn" localSheetId="9">{"Thuxm2.xls","Sheet1"}</definedName>
    <definedName name="srbn" localSheetId="7">{"Thuxm2.xls","Sheet1"}</definedName>
    <definedName name="srbn">{"Thuxm2.xls","Sheet1"}</definedName>
    <definedName name="srtg">#REF!</definedName>
    <definedName name="ss" localSheetId="8">BlankMacro1</definedName>
    <definedName name="ss" localSheetId="0">BlankMacro1</definedName>
    <definedName name="ss" localSheetId="6">BlankMacro1</definedName>
    <definedName name="ss" localSheetId="9">BlankMacro1</definedName>
    <definedName name="ss" localSheetId="7">BlankMacro1</definedName>
    <definedName name="ss">BlankMacro1</definedName>
    <definedName name="sss">#REF!</definedName>
    <definedName name="ssss" localSheetId="8">#REF!</definedName>
    <definedName name="ssss">#REF!</definedName>
    <definedName name="ST">#REF!</definedName>
    <definedName name="st1p">#REF!</definedName>
    <definedName name="st3p" localSheetId="8">#REF!</definedName>
    <definedName name="st3p">#REF!</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year" localSheetId="8">#REF!</definedName>
    <definedName name="Start_year">#REF!</definedName>
    <definedName name="Statement_Date">#REF!</definedName>
    <definedName name="Statistic" localSheetId="8">#REF!</definedName>
    <definedName name="Statistic">#REF!</definedName>
    <definedName name="Stc" localSheetId="8">#REF!</definedName>
    <definedName name="Stc">#REF!</definedName>
    <definedName name="STD">#REF!</definedName>
    <definedName name="STDL">#REF!</definedName>
    <definedName name="stsd" localSheetId="8">#REF!</definedName>
    <definedName name="stsd">#REF!</definedName>
    <definedName name="str" localSheetId="8">#REF!</definedName>
    <definedName name="str">#REF!</definedName>
    <definedName name="SU">#REF!</definedName>
    <definedName name="sub">#REF!</definedName>
    <definedName name="SUL">#REF!</definedName>
    <definedName name="sum">#REF!,#REF!</definedName>
    <definedName name="SUMITOMO">#REF!</definedName>
    <definedName name="SUMITOMO_GT">#REF!</definedName>
    <definedName name="SUMMARY">#REF!</definedName>
    <definedName name="SumXL" localSheetId="8">#REF!</definedName>
    <definedName name="SumXL">#REF!</definedName>
    <definedName name="Supervisor" localSheetId="8">#REF!</definedName>
    <definedName name="Supervisor">#REF!</definedName>
    <definedName name="sur">#REF!</definedName>
    <definedName name="sv" localSheetId="8">#REF!</definedName>
    <definedName name="sv">#REF!</definedName>
    <definedName name="svn" localSheetId="8">#REF!</definedName>
    <definedName name="svn">#REF!</definedName>
    <definedName name="t">#REF!</definedName>
    <definedName name="t.">#REF!</definedName>
    <definedName name="t..">#REF!</definedName>
    <definedName name="T.3" localSheetId="8" hidden="1">{"'Sheet1'!$L$16"}</definedName>
    <definedName name="T.3" localSheetId="0" hidden="1">{"'Sheet1'!$L$16"}</definedName>
    <definedName name="T.3" localSheetId="6" hidden="1">{"'Sheet1'!$L$16"}</definedName>
    <definedName name="T.3" localSheetId="9" hidden="1">{"'Sheet1'!$L$16"}</definedName>
    <definedName name="T.3" localSheetId="7" hidden="1">{"'Sheet1'!$L$16"}</definedName>
    <definedName name="T.3" hidden="1">{"'Sheet1'!$L$16"}</definedName>
    <definedName name="T.nhËp">#REF!</definedName>
    <definedName name="t_1" localSheetId="8">#REF!</definedName>
    <definedName name="t_1">#REF!</definedName>
    <definedName name="T_CH_00001_AC">#REF!</definedName>
    <definedName name="T_CH_AC">#REF!</definedName>
    <definedName name="T_dat" localSheetId="8">#REF!</definedName>
    <definedName name="T_dat">#REF!</definedName>
    <definedName name="t101p">#REF!</definedName>
    <definedName name="t103p">#REF!</definedName>
    <definedName name="t105mnc" localSheetId="8">#REF!</definedName>
    <definedName name="t105mnc">#REF!</definedName>
    <definedName name="t10m" localSheetId="8">#REF!</definedName>
    <definedName name="t10m">#REF!</definedName>
    <definedName name="t10nc" localSheetId="8">#REF!</definedName>
    <definedName name="t10nc">#REF!</definedName>
    <definedName name="t10nc1p">#REF!</definedName>
    <definedName name="t10ncm" localSheetId="8">#REF!</definedName>
    <definedName name="t10ncm">#REF!</definedName>
    <definedName name="T10vc" localSheetId="8">#REF!</definedName>
    <definedName name="T10vc">#REF!</definedName>
    <definedName name="t10vl" localSheetId="8">#REF!</definedName>
    <definedName name="t10vl">#REF!</definedName>
    <definedName name="t10vl1p">#REF!</definedName>
    <definedName name="t121p">#REF!</definedName>
    <definedName name="t123p">#REF!</definedName>
    <definedName name="t12m" localSheetId="8">#REF!</definedName>
    <definedName name="t12m">#REF!</definedName>
    <definedName name="t12mnc" localSheetId="8">#REF!</definedName>
    <definedName name="t12mnc">#REF!</definedName>
    <definedName name="t12nc" localSheetId="8">#REF!</definedName>
    <definedName name="t12nc">#REF!</definedName>
    <definedName name="t12nc3p" localSheetId="8">#REF!</definedName>
    <definedName name="t12nc3p">#REF!</definedName>
    <definedName name="t12ncm" localSheetId="8">#REF!</definedName>
    <definedName name="t12ncm">#REF!</definedName>
    <definedName name="T12vc">#REF!</definedName>
    <definedName name="t12vl" localSheetId="8">#REF!</definedName>
    <definedName name="t12vl">#REF!</definedName>
    <definedName name="t12vl3p" localSheetId="8">#REF!</definedName>
    <definedName name="t12vl3p">#REF!</definedName>
    <definedName name="t141p">#REF!</definedName>
    <definedName name="t143p">#REF!</definedName>
    <definedName name="t14m" localSheetId="8">#REF!</definedName>
    <definedName name="t14m">#REF!</definedName>
    <definedName name="t14mnc" localSheetId="8">#REF!</definedName>
    <definedName name="t14mnc">#REF!</definedName>
    <definedName name="t14nc" localSheetId="8">#REF!</definedName>
    <definedName name="t14nc">#REF!</definedName>
    <definedName name="t14nc3p">#REF!</definedName>
    <definedName name="t14ncm" localSheetId="8">#REF!</definedName>
    <definedName name="t14ncm">#REF!</definedName>
    <definedName name="T14vc" localSheetId="8">#REF!</definedName>
    <definedName name="T14vc">#REF!</definedName>
    <definedName name="t14vl" localSheetId="8">#REF!</definedName>
    <definedName name="t14vl">#REF!</definedName>
    <definedName name="t14vl3p">#REF!</definedName>
    <definedName name="T203P" localSheetId="8">#REF!</definedName>
    <definedName name="T203P">#REF!</definedName>
    <definedName name="t20m" localSheetId="8">#REF!</definedName>
    <definedName name="t20m">#REF!</definedName>
    <definedName name="t20ncm" localSheetId="8">#REF!</definedName>
    <definedName name="t20ncm">#REF!</definedName>
    <definedName name="t7m" localSheetId="8">#REF!</definedName>
    <definedName name="t7m">#REF!</definedName>
    <definedName name="t7nc" localSheetId="8">#REF!</definedName>
    <definedName name="t7nc">#REF!</definedName>
    <definedName name="t7vl" localSheetId="8">#REF!</definedName>
    <definedName name="t7vl">#REF!</definedName>
    <definedName name="t84mnc" localSheetId="8">#REF!</definedName>
    <definedName name="t84mnc">#REF!</definedName>
    <definedName name="t8m" localSheetId="8">#REF!</definedName>
    <definedName name="t8m">#REF!</definedName>
    <definedName name="t8nc" localSheetId="8">#REF!</definedName>
    <definedName name="t8nc">#REF!</definedName>
    <definedName name="t8vl" localSheetId="8">#REF!</definedName>
    <definedName name="t8vl">#REF!</definedName>
    <definedName name="Table1">#REF!</definedName>
    <definedName name="Table3">#REF!</definedName>
    <definedName name="table4">#REF!</definedName>
    <definedName name="table5">#REF!</definedName>
    <definedName name="table6">#REF!</definedName>
    <definedName name="table6b">#REF!</definedName>
    <definedName name="table7">#REF!</definedName>
    <definedName name="Tach_NghinTy" localSheetId="8">#REF!</definedName>
    <definedName name="Tach_NghinTy">#REF!</definedName>
    <definedName name="tadao">#REF!</definedName>
    <definedName name="Tai_trong">#REF!</definedName>
    <definedName name="Tai_Trong_Tinh_Toan" localSheetId="8">#REF!</definedName>
    <definedName name="Tai_Trong_Tinh_Toan">#REF!</definedName>
    <definedName name="Taikhoan" localSheetId="8">#REF!</definedName>
    <definedName name="Taikhoan">#REF!</definedName>
    <definedName name="Tam">#REF!</definedName>
    <definedName name="tamlop">#REF!</definedName>
    <definedName name="TAMT" localSheetId="8">#REF!</definedName>
    <definedName name="TAMT">#REF!</definedName>
    <definedName name="TAMTINH">#REF!</definedName>
    <definedName name="Tan" localSheetId="8" hidden="1">{"'Sheet1'!$L$16"}</definedName>
    <definedName name="Tan" localSheetId="0" hidden="1">{"'Sheet1'!$L$16"}</definedName>
    <definedName name="Tan" localSheetId="6" hidden="1">{"'Sheet1'!$L$16"}</definedName>
    <definedName name="Tan" localSheetId="9" hidden="1">{"'Sheet1'!$L$16"}</definedName>
    <definedName name="Tan" localSheetId="7" hidden="1">{"'Sheet1'!$L$16"}</definedName>
    <definedName name="Tan" hidden="1">{"'Sheet1'!$L$16"}</definedName>
    <definedName name="Tan_suat" localSheetId="8">#REF!</definedName>
    <definedName name="Tan_suat">#REF!</definedName>
    <definedName name="taukeo150">#REF!</definedName>
    <definedName name="taun">#REF!</definedName>
    <definedName name="Tax">#REF!</definedName>
    <definedName name="TaxTV">10%</definedName>
    <definedName name="TaxXL">5%</definedName>
    <definedName name="TayRiSon" localSheetId="8">#REF!</definedName>
    <definedName name="TayRiSon">#REF!</definedName>
    <definedName name="TayRyHan" localSheetId="8">#REF!</definedName>
    <definedName name="TayRyHan">#REF!</definedName>
    <definedName name="tb" localSheetId="8">#REF!</definedName>
    <definedName name="tb">#REF!</definedName>
    <definedName name="TB_CTO" localSheetId="8">#REF!</definedName>
    <definedName name="TB_CTO">#REF!</definedName>
    <definedName name="TBA">#REF!</definedName>
    <definedName name="tbagd1" localSheetId="8">#REF!</definedName>
    <definedName name="tbagd1">#REF!</definedName>
    <definedName name="tbdd1p" localSheetId="8">#REF!</definedName>
    <definedName name="tbdd1p">#REF!</definedName>
    <definedName name="tbdd3p" localSheetId="8">#REF!</definedName>
    <definedName name="tbdd3p">#REF!</definedName>
    <definedName name="tbddsdl" localSheetId="8">#REF!</definedName>
    <definedName name="tbddsdl">#REF!</definedName>
    <definedName name="TBI" localSheetId="8">#REF!</definedName>
    <definedName name="TBI">#REF!</definedName>
    <definedName name="TBNS" localSheetId="8">#REF!</definedName>
    <definedName name="TBNS">#REF!</definedName>
    <definedName name="TBRL" localSheetId="8">#REF!</definedName>
    <definedName name="TBRL">#REF!</definedName>
    <definedName name="tbtr" localSheetId="8">#REF!</definedName>
    <definedName name="tbtr">#REF!</definedName>
    <definedName name="tbtram">#REF!</definedName>
    <definedName name="TBXD">#REF!</definedName>
    <definedName name="TC">#REF!</definedName>
    <definedName name="tc_1">#REF!</definedName>
    <definedName name="tc_2">#REF!</definedName>
    <definedName name="TC_NHANH1">#REF!</definedName>
    <definedName name="TCVa" localSheetId="8">#REF!</definedName>
    <definedName name="TCVa">#REF!</definedName>
    <definedName name="TCXe" localSheetId="8">#REF!</definedName>
    <definedName name="TCXe">#REF!</definedName>
    <definedName name="tcxxnc" localSheetId="8">#REF!</definedName>
    <definedName name="tcxxnc">#REF!</definedName>
    <definedName name="Tchuan">#REF!</definedName>
    <definedName name="td" localSheetId="8">#REF!</definedName>
    <definedName name="td">#REF!</definedName>
    <definedName name="td10vl" localSheetId="8">#REF!</definedName>
    <definedName name="td10vl">#REF!</definedName>
    <definedName name="td12nc" localSheetId="8">#REF!</definedName>
    <definedName name="td12nc">#REF!</definedName>
    <definedName name="TD12vl">#REF!</definedName>
    <definedName name="td1cnc" localSheetId="8">#REF!</definedName>
    <definedName name="td1cnc">#REF!</definedName>
    <definedName name="td1cvl" localSheetId="8">#REF!</definedName>
    <definedName name="td1cvl">#REF!</definedName>
    <definedName name="td1p">#REF!</definedName>
    <definedName name="TD1p1nc">#REF!</definedName>
    <definedName name="td1p1vc">#REF!</definedName>
    <definedName name="TD1p1vl">#REF!</definedName>
    <definedName name="TD1p2nc" localSheetId="8">#REF!</definedName>
    <definedName name="TD1p2nc">#REF!</definedName>
    <definedName name="TD1p2vc" localSheetId="8">#REF!</definedName>
    <definedName name="TD1p2vc">#REF!</definedName>
    <definedName name="TD1p2vl" localSheetId="8">#REF!</definedName>
    <definedName name="TD1p2vl">#REF!</definedName>
    <definedName name="TD1pnc" localSheetId="8">#REF!</definedName>
    <definedName name="TD1pnc">#REF!</definedName>
    <definedName name="TD1pvl" localSheetId="8">#REF!</definedName>
    <definedName name="TD1pvl">#REF!</definedName>
    <definedName name="td3p">#REF!</definedName>
    <definedName name="tdbcnckt" localSheetId="8">#REF!</definedName>
    <definedName name="tdbcnckt" localSheetId="0">#REF!</definedName>
    <definedName name="tdbcnckt" localSheetId="9">#REF!</definedName>
    <definedName name="tdbcnckt">#REF!</definedName>
    <definedName name="tdc84nc" localSheetId="8">#REF!</definedName>
    <definedName name="tdc84nc">#REF!</definedName>
    <definedName name="tdcnc" localSheetId="8">#REF!</definedName>
    <definedName name="tdcnc">#REF!</definedName>
    <definedName name="TDctnc">#REF!</definedName>
    <definedName name="TDctvc">#REF!</definedName>
    <definedName name="TDctvl">#REF!</definedName>
    <definedName name="tdgnc" localSheetId="8">#REF!</definedName>
    <definedName name="tdgnc">#REF!</definedName>
    <definedName name="tdgvl" localSheetId="8">#REF!</definedName>
    <definedName name="tdgvl">#REF!</definedName>
    <definedName name="tdhtnc" localSheetId="8">#REF!</definedName>
    <definedName name="tdhtnc">#REF!</definedName>
    <definedName name="tdhtvl" localSheetId="8">#REF!</definedName>
    <definedName name="tdhtvl">#REF!</definedName>
    <definedName name="tdia">#REF!</definedName>
    <definedName name="TDKB">#REF!</definedName>
    <definedName name="TDmnc" localSheetId="8">#REF!</definedName>
    <definedName name="TDmnc">#REF!</definedName>
    <definedName name="TDmvc" localSheetId="8">#REF!</definedName>
    <definedName name="TDmvc">#REF!</definedName>
    <definedName name="TDmvl" localSheetId="8">#REF!</definedName>
    <definedName name="TDmvl">#REF!</definedName>
    <definedName name="tdnc" localSheetId="8">#REF!</definedName>
    <definedName name="tdnc">#REF!</definedName>
    <definedName name="tdnc1p">#REF!</definedName>
    <definedName name="tdnc3p" localSheetId="8">#REF!</definedName>
    <definedName name="tdnc3p">#REF!</definedName>
    <definedName name="tdo">#REF!</definedName>
    <definedName name="tdt">#REF!</definedName>
    <definedName name="tdt1pnc" localSheetId="8">#REF!</definedName>
    <definedName name="tdt1pnc">#REF!</definedName>
    <definedName name="tdt1pvl" localSheetId="8">#REF!</definedName>
    <definedName name="tdt1pvl">#REF!</definedName>
    <definedName name="tdt2cnc" localSheetId="8">#REF!</definedName>
    <definedName name="tdt2cnc">#REF!</definedName>
    <definedName name="tdt2cvl" localSheetId="8">#REF!</definedName>
    <definedName name="tdt2cvl">#REF!</definedName>
    <definedName name="tdtr2cnc">#REF!</definedName>
    <definedName name="tdtr2cvl">#REF!</definedName>
    <definedName name="tdtrnc" localSheetId="8">#REF!</definedName>
    <definedName name="tdtrnc">#REF!</definedName>
    <definedName name="tdtrvl" localSheetId="8">#REF!</definedName>
    <definedName name="tdtrvl">#REF!</definedName>
    <definedName name="TDV">#REF!</definedName>
    <definedName name="tdvl" localSheetId="8">#REF!</definedName>
    <definedName name="tdvl">#REF!</definedName>
    <definedName name="tdvl1p">#REF!</definedName>
    <definedName name="tdvl3p" localSheetId="8">#REF!</definedName>
    <definedName name="tdvl3p">#REF!</definedName>
    <definedName name="tecnuoc5">#REF!</definedName>
    <definedName name="tem" localSheetId="8" hidden="1">{"'Sheet1'!$L$16"}</definedName>
    <definedName name="tem" localSheetId="0" hidden="1">{"'Sheet1'!$L$16"}</definedName>
    <definedName name="tem" localSheetId="6" hidden="1">{"'Sheet1'!$L$16"}</definedName>
    <definedName name="tem" localSheetId="9" hidden="1">{"'Sheet1'!$L$16"}</definedName>
    <definedName name="tem" localSheetId="7" hidden="1">{"'Sheet1'!$L$16"}</definedName>
    <definedName name="tem" hidden="1">{"'Sheet1'!$L$16"}</definedName>
    <definedName name="temp">#REF!</definedName>
    <definedName name="Temp_Br">#REF!</definedName>
    <definedName name="TEMPBR">#REF!</definedName>
    <definedName name="TemporaryWork" localSheetId="8">#REF!</definedName>
    <definedName name="TemporaryWork">#REF!</definedName>
    <definedName name="ten">#REF!</definedName>
    <definedName name="Ten_du_an" localSheetId="8">#REF!</definedName>
    <definedName name="Ten_du_an">#REF!</definedName>
    <definedName name="tenvung">#REF!</definedName>
    <definedName name="TENH" localSheetId="8">#REF!</definedName>
    <definedName name="TENH">#REF!</definedName>
    <definedName name="test">#REF!</definedName>
    <definedName name="Test5">#N/A</definedName>
    <definedName name="text">#REF!,#REF!,#REF!,#REF!,#REF!</definedName>
    <definedName name="tên1">#REF!</definedName>
    <definedName name="tfdd" localSheetId="8">#REF!</definedName>
    <definedName name="tfdd">#REF!</definedName>
    <definedName name="TG" localSheetId="8">#REF!</definedName>
    <definedName name="TG">#REF!</definedName>
    <definedName name="TI">#REF!</definedName>
    <definedName name="Ti_le_FC">#REF!</definedName>
    <definedName name="Tien">#REF!</definedName>
    <definedName name="Tien_do" localSheetId="8">#REF!</definedName>
    <definedName name="Tien_do">#REF!</definedName>
    <definedName name="tiendau" localSheetId="8">#REF!</definedName>
    <definedName name="tiendau">#REF!</definedName>
    <definedName name="TIENLUONG">#REF!</definedName>
    <definedName name="tientu" localSheetId="8">#REF!</definedName>
    <definedName name="tientu">#REF!</definedName>
    <definedName name="TienUSD" localSheetId="8">#REF!</definedName>
    <definedName name="TienUSD">#REF!</definedName>
    <definedName name="tiengao" localSheetId="8">#REF!</definedName>
    <definedName name="tiengao">#REF!</definedName>
    <definedName name="Tiep_dia" localSheetId="8">#REF!</definedName>
    <definedName name="Tiep_dia">#REF!</definedName>
    <definedName name="Tiepdia" localSheetId="8">#REF!</definedName>
    <definedName name="Tiepdia">#REF!</definedName>
    <definedName name="Tiepdiama">9500</definedName>
    <definedName name="TIEU_HAO_VAT_TU_DZ0.4KV">#REF!</definedName>
    <definedName name="TIEU_HAO_VAT_TU_DZ22KV">#REF!</definedName>
    <definedName name="TIEU_HAO_VAT_TU_TBA">#REF!</definedName>
    <definedName name="TileStone" localSheetId="8">#REF!</definedName>
    <definedName name="TileStone">#REF!</definedName>
    <definedName name="Tim_cong">#REF!</definedName>
    <definedName name="Tim_lan_xuat_hien" localSheetId="8">#REF!</definedName>
    <definedName name="Tim_lan_xuat_hien">#REF!</definedName>
    <definedName name="tim_xuat_hien">#REF!</definedName>
    <definedName name="TimeFrame">#REF!</definedName>
    <definedName name="tinhqt" localSheetId="8">#REF!</definedName>
    <definedName name="tinhqt" localSheetId="0">#REF!</definedName>
    <definedName name="tinhqt" localSheetId="9">#REF!</definedName>
    <definedName name="tinhqt">#REF!</definedName>
    <definedName name="TINHTP" localSheetId="8">OFFSET(#REF!,COUNTIF(#REF!,"&lt;&gt;0")-1,0,1)</definedName>
    <definedName name="TINHTP">OFFSET(#REF!,COUNTIF(#REF!,"&lt;&gt;0")-1,0,1)</definedName>
    <definedName name="TITAN">#REF!</definedName>
    <definedName name="TitleRegion..BO60">#REF!</definedName>
    <definedName name="TK">#REF!</definedName>
    <definedName name="TK_LS_SC">#REF!</definedName>
    <definedName name="TKCO_NK" localSheetId="8">#REF!</definedName>
    <definedName name="TKCO_NK">#REF!</definedName>
    <definedName name="TkCto" localSheetId="8">#REF!</definedName>
    <definedName name="TkCto">#REF!</definedName>
    <definedName name="TKNO_NK" localSheetId="8">#REF!</definedName>
    <definedName name="TKNO_NK">#REF!</definedName>
    <definedName name="TKP">#REF!</definedName>
    <definedName name="tkpdt" localSheetId="8">#REF!</definedName>
    <definedName name="tkpdt" localSheetId="0">#REF!</definedName>
    <definedName name="tkpdt" localSheetId="9">#REF!</definedName>
    <definedName name="tkpdt">#REF!</definedName>
    <definedName name="TKYB">"TKYB"</definedName>
    <definedName name="TL">#REF!</definedName>
    <definedName name="TLAC120">#REF!</definedName>
    <definedName name="TLAC35">#REF!</definedName>
    <definedName name="TLAC50">#REF!</definedName>
    <definedName name="TLAC70">#REF!</definedName>
    <definedName name="TLAC95">#REF!</definedName>
    <definedName name="TLDa" localSheetId="8">#REF!</definedName>
    <definedName name="TLDa">#REF!</definedName>
    <definedName name="TLdat" localSheetId="8">#REF!</definedName>
    <definedName name="TLdat">#REF!</definedName>
    <definedName name="TLDM" localSheetId="8">#REF!</definedName>
    <definedName name="TLDM">#REF!</definedName>
    <definedName name="Tle">#REF!</definedName>
    <definedName name="TLPD">#REF!</definedName>
    <definedName name="tlrieng" localSheetId="8">#REF!</definedName>
    <definedName name="tlrieng">#REF!</definedName>
    <definedName name="tluong">#REF!</definedName>
    <definedName name="TM">#REF!</definedName>
    <definedName name="tmbxd" localSheetId="8">#REF!</definedName>
    <definedName name="tmbxd">#REF!</definedName>
    <definedName name="TMDT1">#REF!</definedName>
    <definedName name="TMDT2">#REF!</definedName>
    <definedName name="TMDTmoi">#REF!</definedName>
    <definedName name="TMProtection" localSheetId="8">#REF!</definedName>
    <definedName name="TMProtection">#REF!</definedName>
    <definedName name="TN">#REF!</definedName>
    <definedName name="TN_0.4">#REF!</definedName>
    <definedName name="TN_22">#REF!</definedName>
    <definedName name="TN_b_qu_n">#REF!</definedName>
    <definedName name="TN_CTO" localSheetId="8">#REF!</definedName>
    <definedName name="TN_CTO">#REF!</definedName>
    <definedName name="tn1pinnc" localSheetId="8">#REF!</definedName>
    <definedName name="tn1pinnc">#REF!</definedName>
    <definedName name="tn2mhnnc" localSheetId="8">#REF!</definedName>
    <definedName name="tn2mhnnc">#REF!</definedName>
    <definedName name="TNCM" localSheetId="8">#REF!</definedName>
    <definedName name="TNCM">#REF!</definedName>
    <definedName name="tnignc" localSheetId="8">#REF!</definedName>
    <definedName name="tnignc">#REF!</definedName>
    <definedName name="tnin190nc" localSheetId="8">#REF!</definedName>
    <definedName name="tnin190nc">#REF!</definedName>
    <definedName name="tnlnc" localSheetId="8">#REF!</definedName>
    <definedName name="tnlnc">#REF!</definedName>
    <definedName name="tnnnc" localSheetId="8">#REF!</definedName>
    <definedName name="tnnnc">#REF!</definedName>
    <definedName name="TNNT" localSheetId="8">#REF!</definedName>
    <definedName name="TNNT">#REF!</definedName>
    <definedName name="tno" localSheetId="8">#REF!</definedName>
    <definedName name="tno">#REF!</definedName>
    <definedName name="TNTNM" localSheetId="8">#REF!</definedName>
    <definedName name="TNTNM">#REF!</definedName>
    <definedName name="tnh_bq" localSheetId="8">#REF!</definedName>
    <definedName name="tnh_bq">#REF!</definedName>
    <definedName name="tnh_bv" localSheetId="8">#REF!</definedName>
    <definedName name="tnh_bv">#REF!</definedName>
    <definedName name="tnh_ck" localSheetId="8">#REF!</definedName>
    <definedName name="tnh_ck">#REF!</definedName>
    <definedName name="tnh_d1" localSheetId="8">#REF!</definedName>
    <definedName name="tnh_d1">#REF!</definedName>
    <definedName name="tnh_d2" localSheetId="8">#REF!</definedName>
    <definedName name="tnh_d2">#REF!</definedName>
    <definedName name="tnh_d3" localSheetId="8">#REF!</definedName>
    <definedName name="tnh_d3">#REF!</definedName>
    <definedName name="tnh_dl" localSheetId="8">#REF!</definedName>
    <definedName name="tnh_dl">#REF!</definedName>
    <definedName name="tnh_kcs" localSheetId="8">#REF!</definedName>
    <definedName name="tnh_kcs">#REF!</definedName>
    <definedName name="tnh_nb" localSheetId="8">#REF!</definedName>
    <definedName name="tnh_nb">#REF!</definedName>
    <definedName name="tnh_nv" localSheetId="8">#REF!</definedName>
    <definedName name="tnh_nv">#REF!</definedName>
    <definedName name="tnh_ngio" localSheetId="8">#REF!</definedName>
    <definedName name="tnh_ngio">#REF!</definedName>
    <definedName name="tnh_t3" localSheetId="8">#REF!</definedName>
    <definedName name="tnh_t3">#REF!</definedName>
    <definedName name="tnh_t4" localSheetId="8">#REF!</definedName>
    <definedName name="tnh_t4">#REF!</definedName>
    <definedName name="tnh_t5" localSheetId="8">#REF!</definedName>
    <definedName name="tnh_t5">#REF!</definedName>
    <definedName name="tnh_t6" localSheetId="8">#REF!</definedName>
    <definedName name="tnh_t6">#REF!</definedName>
    <definedName name="tnh_tc" localSheetId="8">#REF!</definedName>
    <definedName name="tnh_tc">#REF!</definedName>
    <definedName name="tnh_tm" localSheetId="8">#REF!</definedName>
    <definedName name="tnh_tm">#REF!</definedName>
    <definedName name="tnh_vs" localSheetId="8">#REF!</definedName>
    <definedName name="tnh_vs">#REF!</definedName>
    <definedName name="tnh_xh" localSheetId="8">#REF!</definedName>
    <definedName name="tnh_xh">#REF!</definedName>
    <definedName name="tnhnnc" localSheetId="8">#REF!</definedName>
    <definedName name="tnhnnc">#REF!</definedName>
    <definedName name="to" localSheetId="8">#REF!</definedName>
    <definedName name="to">#REF!</definedName>
    <definedName name="Toanbo">#REF!</definedName>
    <definedName name="toeic">#REF!</definedName>
    <definedName name="toi5t">#REF!</definedName>
    <definedName name="ton">#REF!</definedName>
    <definedName name="Tonmai">#REF!</definedName>
    <definedName name="TonQuyT4" localSheetId="8">#REF!</definedName>
    <definedName name="TonQuyT4">#REF!</definedName>
    <definedName name="Tong">#REF!</definedName>
    <definedName name="Tong_co">#REF!</definedName>
    <definedName name="TONG_GIA_TRI_CONG_TRINH">#REF!</definedName>
    <definedName name="TONG_HOP_THI_NGHIEM_DZ0.4KV">#REF!</definedName>
    <definedName name="TONG_HOP_THI_NGHIEM_DZ22KV">#REF!</definedName>
    <definedName name="TONG_KE_DZ0.4KV" localSheetId="8">#REF!</definedName>
    <definedName name="TONG_KE_DZ0.4KV">#REF!</definedName>
    <definedName name="TONG_KE_TBA">#REF!</definedName>
    <definedName name="Tong_no">#REF!</definedName>
    <definedName name="tongdt" localSheetId="8">#REF!</definedName>
    <definedName name="tongdt">#REF!</definedName>
    <definedName name="TONGDUTOAN">#REF!</definedName>
    <definedName name="TonghopHtxH">#REF!</definedName>
    <definedName name="TonghopHtxT">#REF!</definedName>
    <definedName name="TONGKHOILUONG" localSheetId="8">#REF!</definedName>
    <definedName name="TONGKHOILUONG">#REF!</definedName>
    <definedName name="TONGVATTU" localSheetId="8">#REF!</definedName>
    <definedName name="TONGVATTU">#REF!</definedName>
    <definedName name="TOP">#REF!</definedName>
    <definedName name="TOTAL">#REF!</definedName>
    <definedName name="totb" localSheetId="8">#REF!</definedName>
    <definedName name="totb">#REF!</definedName>
    <definedName name="totb1" localSheetId="8">#REF!</definedName>
    <definedName name="totb1">#REF!</definedName>
    <definedName name="totb2" localSheetId="8">#REF!</definedName>
    <definedName name="totb2">#REF!</definedName>
    <definedName name="totb3" localSheetId="8">#REF!</definedName>
    <definedName name="totb3">#REF!</definedName>
    <definedName name="totb4" localSheetId="8">#REF!</definedName>
    <definedName name="totb4">#REF!</definedName>
    <definedName name="totb5" localSheetId="8">#REF!</definedName>
    <definedName name="totb5">#REF!</definedName>
    <definedName name="totb6" localSheetId="8">#REF!</definedName>
    <definedName name="totb6">#REF!</definedName>
    <definedName name="TP">#REF!</definedName>
    <definedName name="TPLRP">#REF!</definedName>
    <definedName name="TPT" localSheetId="8">#REF!</definedName>
    <definedName name="TPT">#REF!</definedName>
    <definedName name="ts">#REF!</definedName>
    <definedName name="tsI">#REF!</definedName>
    <definedName name="TT">#REF!</definedName>
    <definedName name="TT_1P">#REF!</definedName>
    <definedName name="TT_3p">#REF!</definedName>
    <definedName name="TT_cot" localSheetId="8">#REF!</definedName>
    <definedName name="TT_cot">#REF!</definedName>
    <definedName name="tt1pnc" localSheetId="8">#REF!</definedName>
    <definedName name="tt1pnc">#REF!</definedName>
    <definedName name="tt1pvl" localSheetId="8">#REF!</definedName>
    <definedName name="tt1pvl">#REF!</definedName>
    <definedName name="tt3pnc" localSheetId="8">#REF!</definedName>
    <definedName name="tt3pnc">#REF!</definedName>
    <definedName name="tt3pvl" localSheetId="8">#REF!</definedName>
    <definedName name="tt3pvl">#REF!</definedName>
    <definedName name="ttam">#REF!</definedName>
    <definedName name="ttao">#REF!</definedName>
    <definedName name="ttbt">#REF!</definedName>
    <definedName name="TTDD" localSheetId="8">#REF!+#REF!+#REF!</definedName>
    <definedName name="TTDD">#REF!+#REF!+#REF!</definedName>
    <definedName name="TTDD1P" localSheetId="8">#REF!</definedName>
    <definedName name="TTDD1P">#REF!</definedName>
    <definedName name="TTDD3P" localSheetId="8">#REF!</definedName>
    <definedName name="TTDD3P">#REF!</definedName>
    <definedName name="ttdd3pct" localSheetId="8">#REF!</definedName>
    <definedName name="ttdd3pct">#REF!</definedName>
    <definedName name="TTDDCT3p" localSheetId="8">#REF!</definedName>
    <definedName name="TTDDCT3p">#REF!</definedName>
    <definedName name="TTDKKH" localSheetId="8">#REF!</definedName>
    <definedName name="TTDKKH">#REF!</definedName>
    <definedName name="ttinh">#REF!</definedName>
    <definedName name="TTK3p" localSheetId="8">#REF!</definedName>
    <definedName name="TTK3p">#REF!</definedName>
    <definedName name="TTLo62" localSheetId="8">#REF!</definedName>
    <definedName name="TTLo62">#REF!</definedName>
    <definedName name="ttt" localSheetId="8">#REF!</definedName>
    <definedName name="ttt">#REF!</definedName>
    <definedName name="tttb" localSheetId="8">#REF!</definedName>
    <definedName name="tttb">#REF!</definedName>
    <definedName name="tttt">#REF!</definedName>
    <definedName name="TTTR" localSheetId="8">#REF!</definedName>
    <definedName name="TTTR">#REF!</definedName>
    <definedName name="TTVAn5">#REF!</definedName>
    <definedName name="tth">#REF!</definedName>
    <definedName name="tthi">#REF!</definedName>
    <definedName name="ttronmk">#REF!</definedName>
    <definedName name="Tu_dung_ton_that">#REF!</definedName>
    <definedName name="Tuong_dau_HD">#REF!</definedName>
    <definedName name="TuVan">#REF!</definedName>
    <definedName name="tuyennhanh" localSheetId="8" hidden="1">{"'Sheet1'!$L$16"}</definedName>
    <definedName name="tuyennhanh" localSheetId="0" hidden="1">{"'Sheet1'!$L$16"}</definedName>
    <definedName name="tuyennhanh" localSheetId="6" hidden="1">{"'Sheet1'!$L$16"}</definedName>
    <definedName name="tuyennhanh" localSheetId="9" hidden="1">{"'Sheet1'!$L$16"}</definedName>
    <definedName name="tuyennhanh" localSheetId="7" hidden="1">{"'Sheet1'!$L$16"}</definedName>
    <definedName name="tuyennhanh" hidden="1">{"'Sheet1'!$L$16"}</definedName>
    <definedName name="tuyequang" localSheetId="8">#REF!</definedName>
    <definedName name="tuyequang">#REF!</definedName>
    <definedName name="TV">#REF!</definedName>
    <definedName name="tv75nc">#REF!</definedName>
    <definedName name="tv75vl">#REF!</definedName>
    <definedName name="twdd" localSheetId="8">#REF!</definedName>
    <definedName name="twdd">#REF!</definedName>
    <definedName name="Twister">#REF!</definedName>
    <definedName name="TX" localSheetId="8">#REF!</definedName>
    <definedName name="TX">#REF!</definedName>
    <definedName name="tx1pignc" localSheetId="8">#REF!</definedName>
    <definedName name="tx1pignc">#REF!</definedName>
    <definedName name="tx1pindnc" localSheetId="8">#REF!</definedName>
    <definedName name="tx1pindnc">#REF!</definedName>
    <definedName name="tx1pintnc" localSheetId="8">#REF!</definedName>
    <definedName name="tx1pintnc">#REF!</definedName>
    <definedName name="tx1pingnc" localSheetId="8">#REF!</definedName>
    <definedName name="tx1pingnc">#REF!</definedName>
    <definedName name="tx1pitnc" localSheetId="8">#REF!</definedName>
    <definedName name="tx1pitnc">#REF!</definedName>
    <definedName name="tx2mhnnc" localSheetId="8">#REF!</definedName>
    <definedName name="tx2mhnnc">#REF!</definedName>
    <definedName name="tx2mitnc" localSheetId="8">#REF!</definedName>
    <definedName name="tx2mitnc">#REF!</definedName>
    <definedName name="txhnnc" localSheetId="8">#REF!</definedName>
    <definedName name="txhnnc">#REF!</definedName>
    <definedName name="txig1nc" localSheetId="8">#REF!</definedName>
    <definedName name="txig1nc">#REF!</definedName>
    <definedName name="txin190nc" localSheetId="8">#REF!</definedName>
    <definedName name="txin190nc">#REF!</definedName>
    <definedName name="txinnc" localSheetId="8">#REF!</definedName>
    <definedName name="txinnc">#REF!</definedName>
    <definedName name="txit1nc" localSheetId="8">#REF!</definedName>
    <definedName name="txit1nc">#REF!</definedName>
    <definedName name="TY" localSheetId="8">#REF!</definedName>
    <definedName name="TY">#REF!</definedName>
    <definedName name="Ty_gia">#REF!</definedName>
    <definedName name="Ty_gia_yen">#REF!</definedName>
    <definedName name="ty_le">#REF!</definedName>
    <definedName name="Ty_Le_1">#REF!</definedName>
    <definedName name="ty_le_BTN">#REF!</definedName>
    <definedName name="Ty_le1">#REF!</definedName>
    <definedName name="tygia">#REF!</definedName>
    <definedName name="tygia1" localSheetId="8">#REF!</definedName>
    <definedName name="tygia1">#REF!</definedName>
    <definedName name="Type_1">#REF!</definedName>
    <definedName name="Type_2">#REF!</definedName>
    <definedName name="TYT" localSheetId="8">BlankMacro1</definedName>
    <definedName name="TYT" localSheetId="0">BlankMacro1</definedName>
    <definedName name="TYT" localSheetId="6">BlankMacro1</definedName>
    <definedName name="TYT" localSheetId="9">BlankMacro1</definedName>
    <definedName name="TYT" localSheetId="7">BlankMacro1</definedName>
    <definedName name="TYT">BlankMacro1</definedName>
    <definedName name="Tytrong">#REF!</definedName>
    <definedName name="TH">#REF!</definedName>
    <definedName name="TH.tinh">#REF!</definedName>
    <definedName name="TH_0.4">#REF!</definedName>
    <definedName name="TH_22">#REF!</definedName>
    <definedName name="Th_6_th_ng_1" localSheetId="8">#REF!</definedName>
    <definedName name="Th_6_th_ng_1">#REF!</definedName>
    <definedName name="Th_6_th_ng_2" localSheetId="8">#REF!</definedName>
    <definedName name="Th_6_th_ng_2">#REF!</definedName>
    <definedName name="Th_6_th_ng_3" localSheetId="8">#REF!</definedName>
    <definedName name="Th_6_th_ng_3">#REF!</definedName>
    <definedName name="Th_6_th_ng_4" localSheetId="8">#REF!</definedName>
    <definedName name="Th_6_th_ng_4">#REF!</definedName>
    <definedName name="Th_6_th_ng_5" localSheetId="8">#REF!</definedName>
    <definedName name="Th_6_th_ng_5">#REF!</definedName>
    <definedName name="Th_6_th_ng_6" localSheetId="8">#REF!</definedName>
    <definedName name="Th_6_th_ng_6">#REF!</definedName>
    <definedName name="Th_6_th_ng_7" localSheetId="8">#REF!</definedName>
    <definedName name="Th_6_th_ng_7">#REF!</definedName>
    <definedName name="Th_6th_ng_10" localSheetId="8">#REF!</definedName>
    <definedName name="Th_6th_ng_10">#REF!</definedName>
    <definedName name="Th_6th_ng_11" localSheetId="8">#REF!</definedName>
    <definedName name="Th_6th_ng_11">#REF!</definedName>
    <definedName name="Th_6th_ng_12" localSheetId="8">#REF!</definedName>
    <definedName name="Th_6th_ng_12">#REF!</definedName>
    <definedName name="Th_6th_ng_17" localSheetId="8">#REF!</definedName>
    <definedName name="Th_6th_ng_17">#REF!</definedName>
    <definedName name="Th_6th_ng_19" localSheetId="8">#REF!</definedName>
    <definedName name="Th_6th_ng_19">#REF!</definedName>
    <definedName name="Th_6th_ng_8" localSheetId="8">#REF!</definedName>
    <definedName name="Th_6th_ng_8">#REF!</definedName>
    <definedName name="Th_6th_ng_9" localSheetId="8">#REF!</definedName>
    <definedName name="Th_6th_ng_9">#REF!</definedName>
    <definedName name="Th_CT">#REF!</definedName>
    <definedName name="TH_VKHNN">#REF!</definedName>
    <definedName name="th3x15" localSheetId="8">#REF!</definedName>
    <definedName name="th3x15">#REF!</definedName>
    <definedName name="tha" localSheetId="8" hidden="1">{"'Sheet1'!$L$16"}</definedName>
    <definedName name="tha" localSheetId="0" hidden="1">{"'Sheet1'!$L$16"}</definedName>
    <definedName name="tha" localSheetId="6" hidden="1">{"'Sheet1'!$L$16"}</definedName>
    <definedName name="tha" localSheetId="9" hidden="1">{"'Sheet1'!$L$16"}</definedName>
    <definedName name="tha" localSheetId="7" hidden="1">{"'Sheet1'!$L$16"}</definedName>
    <definedName name="tha" hidden="1">{"'Sheet1'!$L$16"}</definedName>
    <definedName name="Thang" localSheetId="8" hidden="1">{"'Sheet1'!$L$16"}</definedName>
    <definedName name="Thang" localSheetId="0" hidden="1">{"'Sheet1'!$L$16"}</definedName>
    <definedName name="Thang" localSheetId="6" hidden="1">{"'Sheet1'!$L$16"}</definedName>
    <definedName name="Thang" localSheetId="9" hidden="1">{"'Sheet1'!$L$16"}</definedName>
    <definedName name="Thang" localSheetId="7" hidden="1">{"'Sheet1'!$L$16"}</definedName>
    <definedName name="Thang" hidden="1">{"'Sheet1'!$L$16"}</definedName>
    <definedName name="Thang_Long">#REF!</definedName>
    <definedName name="Thang_Long_GT">#REF!</definedName>
    <definedName name="Thang1" localSheetId="8" hidden="1">{"'Sheet1'!$L$16"}</definedName>
    <definedName name="Thang1" localSheetId="0" hidden="1">{"'Sheet1'!$L$16"}</definedName>
    <definedName name="Thang1" localSheetId="6" hidden="1">{"'Sheet1'!$L$16"}</definedName>
    <definedName name="Thang1" localSheetId="9" hidden="1">{"'Sheet1'!$L$16"}</definedName>
    <definedName name="Thang1" localSheetId="7" hidden="1">{"'Sheet1'!$L$16"}</definedName>
    <definedName name="Thang1" hidden="1">{"'Sheet1'!$L$16"}</definedName>
    <definedName name="thang10" localSheetId="8" hidden="1">{"'Sheet1'!$L$16"}</definedName>
    <definedName name="thang10" localSheetId="0" hidden="1">{"'Sheet1'!$L$16"}</definedName>
    <definedName name="thang10" localSheetId="6" hidden="1">{"'Sheet1'!$L$16"}</definedName>
    <definedName name="thang10" localSheetId="9" hidden="1">{"'Sheet1'!$L$16"}</definedName>
    <definedName name="thang10" localSheetId="7" hidden="1">{"'Sheet1'!$L$16"}</definedName>
    <definedName name="thang10" hidden="1">{"'Sheet1'!$L$16"}</definedName>
    <definedName name="thang101112">#REF!</definedName>
    <definedName name="thang6789">#REF!</definedName>
    <definedName name="thanh" localSheetId="8" hidden="1">{"'Sheet1'!$L$16"}</definedName>
    <definedName name="thanh" localSheetId="0" hidden="1">{"'Sheet1'!$L$16"}</definedName>
    <definedName name="thanh" localSheetId="6" hidden="1">{"'Sheet1'!$L$16"}</definedName>
    <definedName name="thanh" localSheetId="9" hidden="1">{"'Sheet1'!$L$16"}</definedName>
    <definedName name="thanh" localSheetId="7" hidden="1">{"'Sheet1'!$L$16"}</definedName>
    <definedName name="thanh" hidden="1">{"'Sheet1'!$L$16"}</definedName>
    <definedName name="Thanh_CT">#REF!</definedName>
    <definedName name="thanhdul">#REF!</definedName>
    <definedName name="ThanhXuan110" localSheetId="8">#REF!</definedName>
    <definedName name="ThanhXuan110">#REF!</definedName>
    <definedName name="ThaoCauCu">#REF!</definedName>
    <definedName name="Thautinh">#REF!</definedName>
    <definedName name="ÞBM">#REF!</definedName>
    <definedName name="Þcot">#REF!</definedName>
    <definedName name="ÞCTd4">#REF!</definedName>
    <definedName name="ÞCTt4">#REF!</definedName>
    <definedName name="THchon">#REF!</definedName>
    <definedName name="Þdamd4">#REF!</definedName>
    <definedName name="Þdamt4">#REF!</definedName>
    <definedName name="thdggt">#REF!</definedName>
    <definedName name="thdgxd">#REF!</definedName>
    <definedName name="thdien" localSheetId="8" hidden="1">{"'Sheet1'!$L$16"}</definedName>
    <definedName name="thdien" localSheetId="0" hidden="1">{"'Sheet1'!$L$16"}</definedName>
    <definedName name="thdien" localSheetId="6" hidden="1">{"'Sheet1'!$L$16"}</definedName>
    <definedName name="thdien" localSheetId="9" hidden="1">{"'Sheet1'!$L$16"}</definedName>
    <definedName name="thdien" localSheetId="7" hidden="1">{"'Sheet1'!$L$16"}</definedName>
    <definedName name="thdien" hidden="1">{"'Sheet1'!$L$16"}</definedName>
    <definedName name="THDS">#REF!</definedName>
    <definedName name="thdt">#REF!</definedName>
    <definedName name="THDT_CT_XOM_NOI" localSheetId="8">#REF!</definedName>
    <definedName name="THDT_CT_XOM_NOI">#REF!</definedName>
    <definedName name="THDT_HT_DAO_THUONG">#REF!</definedName>
    <definedName name="THDT_HT_XOM_NOI">#REF!</definedName>
    <definedName name="THDT_NPP_XOM_NOI">#REF!</definedName>
    <definedName name="THDT_TBA_XOM_NOI">#REF!</definedName>
    <definedName name="THEP_D32">#REF!</definedName>
    <definedName name="thepbuoc" localSheetId="8">#REF!</definedName>
    <definedName name="thepbuoc">#REF!</definedName>
    <definedName name="ThepCT3" localSheetId="8">#REF!</definedName>
    <definedName name="ThepCT3">#REF!</definedName>
    <definedName name="thepCT5" localSheetId="8">#REF!</definedName>
    <definedName name="thepCT5">#REF!</definedName>
    <definedName name="ThepDet32x3" localSheetId="8">#REF!</definedName>
    <definedName name="ThepDet32x3">#REF!</definedName>
    <definedName name="ThepDet35x3" localSheetId="8">#REF!</definedName>
    <definedName name="ThepDet35x3">#REF!</definedName>
    <definedName name="ThepDet40x4" localSheetId="8">#REF!</definedName>
    <definedName name="ThepDet40x4">#REF!</definedName>
    <definedName name="ThepDet45x4" localSheetId="8">#REF!</definedName>
    <definedName name="ThepDet45x4">#REF!</definedName>
    <definedName name="ThepDet50x5" localSheetId="8">#REF!</definedName>
    <definedName name="ThepDet50x5">#REF!</definedName>
    <definedName name="ThepDet63x6" localSheetId="8">#REF!</definedName>
    <definedName name="ThepDet63x6">#REF!</definedName>
    <definedName name="ThepDet75x6" localSheetId="8">#REF!</definedName>
    <definedName name="ThepDet75x6">#REF!</definedName>
    <definedName name="thepDet75x7" localSheetId="8">#REF!</definedName>
    <definedName name="thepDet75x7">#REF!</definedName>
    <definedName name="thepgoc25_60">#REF!</definedName>
    <definedName name="ThepGoc32x32x3" localSheetId="8">#REF!</definedName>
    <definedName name="ThepGoc32x32x3">#REF!</definedName>
    <definedName name="ThepGoc35x35x3" localSheetId="8">#REF!</definedName>
    <definedName name="ThepGoc35x35x3">#REF!</definedName>
    <definedName name="ThepGoc40x40x4" localSheetId="8">#REF!</definedName>
    <definedName name="ThepGoc40x40x4">#REF!</definedName>
    <definedName name="ThepGoc45x45x4" localSheetId="8">#REF!</definedName>
    <definedName name="ThepGoc45x45x4">#REF!</definedName>
    <definedName name="ThepGoc50x50x5" localSheetId="8">#REF!</definedName>
    <definedName name="ThepGoc50x50x5">#REF!</definedName>
    <definedName name="thepgoc63_75">#REF!</definedName>
    <definedName name="ThepGoc63x63x6" localSheetId="8">#REF!</definedName>
    <definedName name="ThepGoc63x63x6">#REF!</definedName>
    <definedName name="ThepGoc75x6" localSheetId="8">#REF!</definedName>
    <definedName name="ThepGoc75x6">#REF!</definedName>
    <definedName name="ThepGoc75x75x6" localSheetId="8">#REF!</definedName>
    <definedName name="ThepGoc75x75x6">#REF!</definedName>
    <definedName name="thepgoc80_100">#REF!</definedName>
    <definedName name="thepma">10500</definedName>
    <definedName name="theptam" localSheetId="8">#REF!</definedName>
    <definedName name="theptam">#REF!</definedName>
    <definedName name="theptb" localSheetId="8">#REF!</definedName>
    <definedName name="theptb">#REF!</definedName>
    <definedName name="theptron">#REF!</definedName>
    <definedName name="theptron12">#REF!</definedName>
    <definedName name="theptron14_22">#REF!</definedName>
    <definedName name="theptron6_8">#REF!</definedName>
    <definedName name="ThepTronD10D18" localSheetId="8">#REF!</definedName>
    <definedName name="ThepTronD10D18">#REF!</definedName>
    <definedName name="ThepTronD6D8" localSheetId="8">#REF!</definedName>
    <definedName name="ThepTronD6D8">#REF!</definedName>
    <definedName name="thepU" localSheetId="8">#REF!</definedName>
    <definedName name="thepU">#REF!</definedName>
    <definedName name="thepxa" localSheetId="8">#REF!</definedName>
    <definedName name="thepxa">#REF!</definedName>
    <definedName name="thephinh" localSheetId="8">#REF!</definedName>
    <definedName name="thephinh">#REF!</definedName>
    <definedName name="THGO1pnc">#REF!</definedName>
    <definedName name="thgian_bq" localSheetId="8">#REF!</definedName>
    <definedName name="thgian_bq">#REF!</definedName>
    <definedName name="thgian_bv" localSheetId="8">#REF!</definedName>
    <definedName name="thgian_bv">#REF!</definedName>
    <definedName name="thgian_ck" localSheetId="8">#REF!</definedName>
    <definedName name="thgian_ck">#REF!</definedName>
    <definedName name="thgian_d1" localSheetId="8">#REF!</definedName>
    <definedName name="thgian_d1">#REF!</definedName>
    <definedName name="thgian_d2" localSheetId="8">#REF!</definedName>
    <definedName name="thgian_d2">#REF!</definedName>
    <definedName name="thgian_d3" localSheetId="8">#REF!</definedName>
    <definedName name="thgian_d3">#REF!</definedName>
    <definedName name="thgian_dl" localSheetId="8">#REF!</definedName>
    <definedName name="thgian_dl">#REF!</definedName>
    <definedName name="thgian_kcs" localSheetId="8">#REF!</definedName>
    <definedName name="thgian_kcs">#REF!</definedName>
    <definedName name="thgian_nb" localSheetId="8">#REF!</definedName>
    <definedName name="thgian_nb">#REF!</definedName>
    <definedName name="thgian_nv" localSheetId="8">#REF!</definedName>
    <definedName name="thgian_nv">#REF!</definedName>
    <definedName name="thgian_ngio" localSheetId="8">#REF!</definedName>
    <definedName name="thgian_ngio">#REF!</definedName>
    <definedName name="thgian_t3" localSheetId="8">#REF!</definedName>
    <definedName name="thgian_t3">#REF!</definedName>
    <definedName name="thgian_t4" localSheetId="8">#REF!</definedName>
    <definedName name="thgian_t4">#REF!</definedName>
    <definedName name="thgian_t5" localSheetId="8">#REF!</definedName>
    <definedName name="thgian_t5">#REF!</definedName>
    <definedName name="thgian_t6" localSheetId="8">#REF!</definedName>
    <definedName name="thgian_t6">#REF!</definedName>
    <definedName name="thgian_tc" localSheetId="8">#REF!</definedName>
    <definedName name="thgian_tc">#REF!</definedName>
    <definedName name="thgian_tm" localSheetId="8">#REF!</definedName>
    <definedName name="thgian_tm">#REF!</definedName>
    <definedName name="thgian_vs" localSheetId="8">#REF!</definedName>
    <definedName name="thgian_vs">#REF!</definedName>
    <definedName name="thgian_xh" localSheetId="8">#REF!</definedName>
    <definedName name="thgian_xh">#REF!</definedName>
    <definedName name="thgio_bq" localSheetId="8">#REF!</definedName>
    <definedName name="thgio_bq">#REF!</definedName>
    <definedName name="thgio_bv" localSheetId="8">#REF!</definedName>
    <definedName name="thgio_bv">#REF!</definedName>
    <definedName name="thgio_ck" localSheetId="8">#REF!</definedName>
    <definedName name="thgio_ck">#REF!</definedName>
    <definedName name="thgio_d1" localSheetId="8">#REF!</definedName>
    <definedName name="thgio_d1">#REF!</definedName>
    <definedName name="thgio_d2" localSheetId="8">#REF!</definedName>
    <definedName name="thgio_d2">#REF!</definedName>
    <definedName name="thgio_d3" localSheetId="8">#REF!</definedName>
    <definedName name="thgio_d3">#REF!</definedName>
    <definedName name="thgio_dl" localSheetId="8">#REF!</definedName>
    <definedName name="thgio_dl">#REF!</definedName>
    <definedName name="thgio_kcs" localSheetId="8">#REF!</definedName>
    <definedName name="thgio_kcs">#REF!</definedName>
    <definedName name="thgio_nb" localSheetId="8">#REF!</definedName>
    <definedName name="thgio_nb">#REF!</definedName>
    <definedName name="thgio_nv" localSheetId="8">#REF!</definedName>
    <definedName name="thgio_nv">#REF!</definedName>
    <definedName name="thgio_ngio" localSheetId="8">#REF!</definedName>
    <definedName name="thgio_ngio">#REF!</definedName>
    <definedName name="thgio_t3" localSheetId="8">#REF!</definedName>
    <definedName name="thgio_t3">#REF!</definedName>
    <definedName name="thgio_t4" localSheetId="8">#REF!</definedName>
    <definedName name="thgio_t4">#REF!</definedName>
    <definedName name="thgio_t5" localSheetId="8">#REF!</definedName>
    <definedName name="thgio_t5">#REF!</definedName>
    <definedName name="thgio_t6" localSheetId="8">#REF!</definedName>
    <definedName name="thgio_t6">#REF!</definedName>
    <definedName name="thgio_tc" localSheetId="8">#REF!</definedName>
    <definedName name="thgio_tc">#REF!</definedName>
    <definedName name="thgio_tm" localSheetId="8">#REF!</definedName>
    <definedName name="thgio_tm">#REF!</definedName>
    <definedName name="thgio_vs" localSheetId="8">#REF!</definedName>
    <definedName name="thgio_vs">#REF!</definedName>
    <definedName name="thgio_xh" localSheetId="8">#REF!</definedName>
    <definedName name="thgio_xh">#REF!</definedName>
    <definedName name="thht">#REF!</definedName>
    <definedName name="THI">#REF!</definedName>
    <definedName name="thietbidien" localSheetId="8">#REF!</definedName>
    <definedName name="thietbidien">#REF!</definedName>
    <definedName name="thietbivesinh" localSheetId="8">#REF!</definedName>
    <definedName name="thietbivesinh">#REF!</definedName>
    <definedName name="thinh" localSheetId="8">#REF!</definedName>
    <definedName name="thinh">#REF!</definedName>
    <definedName name="THK" localSheetId="8">#REF!</definedName>
    <definedName name="THK">#REF!</definedName>
    <definedName name="THKP160" localSheetId="8">#REF!</definedName>
    <definedName name="THKP160">#REF!</definedName>
    <definedName name="thkp3">#REF!</definedName>
    <definedName name="thkh">#REF!</definedName>
    <definedName name="thm" localSheetId="8">#REF!</definedName>
    <definedName name="thm">#REF!</definedName>
    <definedName name="Þmong">#REF!</definedName>
    <definedName name="ÞNXoldk">#REF!</definedName>
    <definedName name="thong" localSheetId="8" hidden="1">{"'Sheet1'!$L$16"}</definedName>
    <definedName name="thong" localSheetId="0" hidden="1">{"'Sheet1'!$L$16"}</definedName>
    <definedName name="thong" localSheetId="6" hidden="1">{"'Sheet1'!$L$16"}</definedName>
    <definedName name="thong" localSheetId="9" hidden="1">{"'Sheet1'!$L$16"}</definedName>
    <definedName name="thong" localSheetId="7" hidden="1">{"'Sheet1'!$L$16"}</definedName>
    <definedName name="thong" hidden="1">{"'Sheet1'!$L$16"}</definedName>
    <definedName name="Thong_ke_dung_may">#REF!</definedName>
    <definedName name="thongso">#REF!</definedName>
    <definedName name="Thop">#REF!</definedName>
    <definedName name="THop2">#REF!</definedName>
    <definedName name="THp" localSheetId="8">#REF!</definedName>
    <definedName name="THp">#REF!</definedName>
    <definedName name="Þsan">#REF!</definedName>
    <definedName name="THT">#REF!</definedName>
    <definedName name="THToanBo">#REF!</definedName>
    <definedName name="THtoanbo2">#REF!</definedName>
    <definedName name="thtt">#REF!</definedName>
    <definedName name="thtu" localSheetId="8">#REF!</definedName>
    <definedName name="thtu">#REF!</definedName>
    <definedName name="thth">#REF!</definedName>
    <definedName name="THTHEP">#REF!</definedName>
    <definedName name="thtr15" localSheetId="8">#REF!</definedName>
    <definedName name="thtr15">#REF!</definedName>
    <definedName name="thu" localSheetId="8" hidden="1">{"'Sheet1'!$L$16"}</definedName>
    <definedName name="thu" localSheetId="0" hidden="1">{"'Sheet1'!$L$16"}</definedName>
    <definedName name="thu" localSheetId="6" hidden="1">{"'Sheet1'!$L$16"}</definedName>
    <definedName name="thu" localSheetId="9" hidden="1">{"'Sheet1'!$L$16"}</definedName>
    <definedName name="thu" localSheetId="7" hidden="1">{"'Sheet1'!$L$16"}</definedName>
    <definedName name="thu" hidden="1">{"'Sheet1'!$L$16"}</definedName>
    <definedName name="thucthanh" localSheetId="8">#REF!</definedName>
    <definedName name="thucthanh">#REF!</definedName>
    <definedName name="thue">6</definedName>
    <definedName name="thuevat" localSheetId="8">#REF!</definedName>
    <definedName name="thuevat">#REF!</definedName>
    <definedName name="thuy" localSheetId="8" hidden="1">{"'Sheet1'!$L$16"}</definedName>
    <definedName name="thuy" localSheetId="0" hidden="1">{"'Sheet1'!$L$16"}</definedName>
    <definedName name="thuy" localSheetId="6" hidden="1">{"'Sheet1'!$L$16"}</definedName>
    <definedName name="thuy" localSheetId="9" hidden="1">{"'Sheet1'!$L$16"}</definedName>
    <definedName name="thuy" localSheetId="7" hidden="1">{"'Sheet1'!$L$16"}</definedName>
    <definedName name="thuy" hidden="1">{"'Sheet1'!$L$16"}</definedName>
    <definedName name="THUYETMINH" localSheetId="8">#REF!</definedName>
    <definedName name="THUYETMINH">#REF!</definedName>
    <definedName name="thxay">#REF!</definedName>
    <definedName name="THXD">#REF!</definedName>
    <definedName name="tr_">#REF!</definedName>
    <definedName name="TR15HT" localSheetId="8">#REF!</definedName>
    <definedName name="TR15HT">#REF!</definedName>
    <definedName name="TR16HT" localSheetId="8">#REF!</definedName>
    <definedName name="TR16HT">#REF!</definedName>
    <definedName name="TR19HT" localSheetId="8">#REF!</definedName>
    <definedName name="TR19HT">#REF!</definedName>
    <definedName name="tr1x15" localSheetId="8">#REF!</definedName>
    <definedName name="tr1x15">#REF!</definedName>
    <definedName name="TR20HT" localSheetId="8">#REF!</definedName>
    <definedName name="TR20HT">#REF!</definedName>
    <definedName name="tr3x100" localSheetId="8">#REF!</definedName>
    <definedName name="tr3x100">#REF!</definedName>
    <definedName name="Tra_Cot">#REF!</definedName>
    <definedName name="Tra_DM_su_dung">#REF!</definedName>
    <definedName name="Tra_DM_su_dung_cau" localSheetId="8">#REF!</definedName>
    <definedName name="Tra_DM_su_dung_cau">#REF!</definedName>
    <definedName name="Tra_don_gia_KS">#REF!</definedName>
    <definedName name="Tra_DTCT">#REF!</definedName>
    <definedName name="Tra_gtxl_cong">#REF!</definedName>
    <definedName name="Tra_GTXLST" localSheetId="8">#REF!</definedName>
    <definedName name="Tra_GTXLST">#REF!</definedName>
    <definedName name="Tra_gia_VLKS" localSheetId="8">#REF!</definedName>
    <definedName name="Tra_gia_VLKS">#REF!</definedName>
    <definedName name="Tra_phan_tram" localSheetId="8">#REF!</definedName>
    <definedName name="Tra_phan_tram">#REF!</definedName>
    <definedName name="Tra_ten_cong">#REF!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 localSheetId="8">#REF!</definedName>
    <definedName name="tra_vat_lieu1">#REF!</definedName>
    <definedName name="TRA_VL">#REF!</definedName>
    <definedName name="tra_VL_1" localSheetId="8">#REF!</definedName>
    <definedName name="tra_VL_1">#REF!</definedName>
    <definedName name="traA103">#REF!</definedName>
    <definedName name="Tracuu" localSheetId="8">#REF!</definedName>
    <definedName name="Tracuu">#REF!</definedName>
    <definedName name="Trade" localSheetId="8">#REF!</definedName>
    <definedName name="Trade">#REF!</definedName>
    <definedName name="TRADE2">#REF!</definedName>
    <definedName name="tragiacuoc">#REF!</definedName>
    <definedName name="TRAM">#REF!</definedName>
    <definedName name="tram100" localSheetId="8">#REF!</definedName>
    <definedName name="tram100">#REF!</definedName>
    <definedName name="tram1x25" localSheetId="8">#REF!</definedName>
    <definedName name="tram1x25">#REF!</definedName>
    <definedName name="tramatcong1">#REF!</definedName>
    <definedName name="tramatcong2">#REF!</definedName>
    <definedName name="trambt60">#REF!</definedName>
    <definedName name="tran">#REF!</definedName>
    <definedName name="TRANSFORMER" localSheetId="8">#REF!</definedName>
    <definedName name="TRANSFORMER">#REF!</definedName>
    <definedName name="tranhietdo">#REF!</definedName>
    <definedName name="TraTH" localSheetId="8">#REF!</definedName>
    <definedName name="TraTH">#REF!</definedName>
    <definedName name="Trave" localSheetId="8">#REF!</definedName>
    <definedName name="Trave">#REF!</definedName>
    <definedName name="TRAvH">#REF!</definedName>
    <definedName name="TRAVL">#REF!</definedName>
    <definedName name="TRIGIA" localSheetId="8">#REF!</definedName>
    <definedName name="TRIGIA">#REF!</definedName>
    <definedName name="TRISO">#REF!</definedName>
    <definedName name="tronbt250">#REF!</definedName>
    <definedName name="TronD10D18" localSheetId="8">#REF!</definedName>
    <definedName name="TronD10D18">#REF!</definedName>
    <definedName name="TronD6D8" localSheetId="8">#REF!</definedName>
    <definedName name="TronD6D8">#REF!</definedName>
    <definedName name="tronvua250">#REF!</definedName>
    <definedName name="Trô_P1">#REF!</definedName>
    <definedName name="Trô_P10">#REF!</definedName>
    <definedName name="Trô_P11">#REF!</definedName>
    <definedName name="Trô_P2">#REF!</definedName>
    <definedName name="Trô_P3">#REF!</definedName>
    <definedName name="Trô_P4">#REF!</definedName>
    <definedName name="Trô_P5">#REF!</definedName>
    <definedName name="Trô_P6">#REF!</definedName>
    <definedName name="Trô_P7">#REF!</definedName>
    <definedName name="Trô_P8">#REF!</definedName>
    <definedName name="Trô_P9">#REF!</definedName>
    <definedName name="trt">#REF!</definedName>
    <definedName name="trtỷyytutuyiyi">#REF!</definedName>
    <definedName name="tru10mtc" localSheetId="8">#REF!</definedName>
    <definedName name="tru10mtc">#REF!</definedName>
    <definedName name="tru8mtc" localSheetId="8">#REF!</definedName>
    <definedName name="tru8mtc">#REF!</definedName>
    <definedName name="trung" localSheetId="8">{"Thuxm2.xls","Sheet1"}</definedName>
    <definedName name="trung" localSheetId="0">{"Thuxm2.xls","Sheet1"}</definedName>
    <definedName name="trung" localSheetId="6">{"Thuxm2.xls","Sheet1"}</definedName>
    <definedName name="trung" localSheetId="9">{"Thuxm2.xls","Sheet1"}</definedName>
    <definedName name="trung" localSheetId="7">{"Thuxm2.xls","Sheet1"}</definedName>
    <definedName name="trung">{"Thuxm2.xls","Sheet1"}</definedName>
    <definedName name="Trung_chuyen_chung">#REF!</definedName>
    <definedName name="truotgia" localSheetId="8">#REF!</definedName>
    <definedName name="truotgia">#REF!</definedName>
    <definedName name="Truotgia2013" localSheetId="8">#REF!</definedName>
    <definedName name="Truotgia2013">#REF!</definedName>
    <definedName name="truotgiadau" localSheetId="8">#REF!</definedName>
    <definedName name="truotgiadau">#REF!</definedName>
    <definedName name="truotgiaxang" localSheetId="8">#REF!</definedName>
    <definedName name="truotgiaxang">#REF!</definedName>
    <definedName name="u" localSheetId="8">#REF!</definedName>
    <definedName name="u">#REF!</definedName>
    <definedName name="U_tien">#REF!</definedName>
    <definedName name="Udm" localSheetId="8">#REF!</definedName>
    <definedName name="Udm">#REF!</definedName>
    <definedName name="ugh">#REF!</definedName>
    <definedName name="ui" localSheetId="8">#REF!</definedName>
    <definedName name="ui">#REF!</definedName>
    <definedName name="unitt" localSheetId="8">BlankMacro1</definedName>
    <definedName name="unitt" localSheetId="0">BlankMacro1</definedName>
    <definedName name="unitt" localSheetId="6">BlankMacro1</definedName>
    <definedName name="unitt" localSheetId="9">BlankMacro1</definedName>
    <definedName name="unitt" localSheetId="7">BlankMacro1</definedName>
    <definedName name="unitt">BlankMacro1</definedName>
    <definedName name="UNL">#REF!</definedName>
    <definedName name="UOM" localSheetId="8">#REF!</definedName>
    <definedName name="UOM">#REF!</definedName>
    <definedName name="UP">#REF!,#REF!,#REF!,#REF!,#REF!,#REF!,#REF!,#REF!,#REF!,#REF!,#REF!</definedName>
    <definedName name="upnoc">#REF!</definedName>
    <definedName name="usd">15000</definedName>
    <definedName name="ut">#REF!</definedName>
    <definedName name="UT_1">#REF!</definedName>
    <definedName name="UT1_373">#REF!</definedName>
    <definedName name="v" localSheetId="8">#REF!</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_1" localSheetId="8">#REF!</definedName>
    <definedName name="V_1">#REF!</definedName>
    <definedName name="V_2" localSheetId="8">#REF!</definedName>
    <definedName name="V_2">#REF!</definedName>
    <definedName name="V_3" localSheetId="8">#REF!</definedName>
    <definedName name="V_3">#REF!</definedName>
    <definedName name="V_4" localSheetId="8">#REF!</definedName>
    <definedName name="V_4">#REF!</definedName>
    <definedName name="V_i_ni_l_ng" localSheetId="8">#REF!</definedName>
    <definedName name="V_i_ni_l_ng">#REF!</definedName>
    <definedName name="v100v" localSheetId="8">#REF!</definedName>
    <definedName name="v100v">#REF!</definedName>
    <definedName name="v75d" localSheetId="8">#REF!</definedName>
    <definedName name="v75d">#REF!</definedName>
    <definedName name="VA" localSheetId="8">#REF!</definedName>
    <definedName name="VA">#REF!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 localSheetId="8">#REF!</definedName>
    <definedName name="VAN">#REF!</definedName>
    <definedName name="VAN_CHUYEN_DUONG_DAI_DZ0.4KV">#REF!</definedName>
    <definedName name="VAN_CHUYEN_DUONG_DAI_DZ22KV">#REF!</definedName>
    <definedName name="VAN_CHUYEN_DUONG_DAI_TBA" localSheetId="8">#REF!</definedName>
    <definedName name="VAN_CHUYEN_DUONG_DAI_TBA">#REF!</definedName>
    <definedName name="VAN_CHUYEN_VAT_TU_CHUNG">#REF!</definedName>
    <definedName name="VAN_TRUNG_CHUYEN_VAT_TU_CHUNG">#REF!</definedName>
    <definedName name="vanchuyencoc" localSheetId="8">#REF!</definedName>
    <definedName name="vanchuyencoc">#REF!</definedName>
    <definedName name="VanChuyenDam">#REF!</definedName>
    <definedName name="vankhuon" localSheetId="8">#REF!</definedName>
    <definedName name="vankhuon">#REF!</definedName>
    <definedName name="VARIINST">#REF!</definedName>
    <definedName name="VARIPURC">#REF!</definedName>
    <definedName name="VAT">#REF!</definedName>
    <definedName name="VAT_LIEU_DEN_CHAN_CONG_TRINH">#REF!</definedName>
    <definedName name="Vat_tu">#REF!</definedName>
    <definedName name="vbtchongnuocm300">#REF!</definedName>
    <definedName name="vbtm150">#REF!</definedName>
    <definedName name="vbtm300">#REF!</definedName>
    <definedName name="vbtm400">#REF!</definedName>
    <definedName name="vc" localSheetId="8">#REF!</definedName>
    <definedName name="vc">#REF!</definedName>
    <definedName name="VC_0.4">#REF!</definedName>
    <definedName name="VC_22">#REF!</definedName>
    <definedName name="VC_chung1">#REF!</definedName>
    <definedName name="VC_TBA">#REF!</definedName>
    <definedName name="vc3." localSheetId="8">#REF!</definedName>
    <definedName name="vc3.">#REF!</definedName>
    <definedName name="vca" localSheetId="8">#REF!</definedName>
    <definedName name="vca">#REF!</definedName>
    <definedName name="vcc">#REF!</definedName>
    <definedName name="vccot">#REF!</definedName>
    <definedName name="vccot." localSheetId="8">#REF!</definedName>
    <definedName name="vccot.">#REF!</definedName>
    <definedName name="vcd">#REF!</definedName>
    <definedName name="vcdbt" localSheetId="8">#REF!</definedName>
    <definedName name="vcdbt">#REF!</definedName>
    <definedName name="vcdc">#REF!</definedName>
    <definedName name="vcdc." localSheetId="8">#REF!</definedName>
    <definedName name="vcdc.">#REF!</definedName>
    <definedName name="vcdd" localSheetId="8">#REF!</definedName>
    <definedName name="vcdd">#REF!</definedName>
    <definedName name="vcdd_tba" localSheetId="8">#REF!</definedName>
    <definedName name="vcdd_tba">#REF!</definedName>
    <definedName name="VCDD1P" localSheetId="8">#REF!</definedName>
    <definedName name="VCDD1P">#REF!</definedName>
    <definedName name="VCDD3p" localSheetId="8">#REF!</definedName>
    <definedName name="VCDD3p">#REF!</definedName>
    <definedName name="VCDDCT3p" localSheetId="8">#REF!</definedName>
    <definedName name="VCDDCT3p">#REF!</definedName>
    <definedName name="VCDDMBA" localSheetId="8">#REF!</definedName>
    <definedName name="VCDDMBA">#REF!</definedName>
    <definedName name="vcdt" localSheetId="8">#REF!</definedName>
    <definedName name="vcdt">#REF!</definedName>
    <definedName name="vcdtb" localSheetId="8">#REF!</definedName>
    <definedName name="vcdtb">#REF!</definedName>
    <definedName name="Vci" localSheetId="8">#REF!</definedName>
    <definedName name="Vci">#REF!</definedName>
    <definedName name="vcn">#REF!</definedName>
    <definedName name="vcoto" localSheetId="8" hidden="1">{"'Sheet1'!$L$16"}</definedName>
    <definedName name="vcoto" localSheetId="0" hidden="1">{"'Sheet1'!$L$16"}</definedName>
    <definedName name="vcoto" localSheetId="6" hidden="1">{"'Sheet1'!$L$16"}</definedName>
    <definedName name="vcoto" localSheetId="9" hidden="1">{"'Sheet1'!$L$16"}</definedName>
    <definedName name="vcoto" localSheetId="7" hidden="1">{"'Sheet1'!$L$16"}</definedName>
    <definedName name="vcoto" hidden="1">{"'Sheet1'!$L$16"}</definedName>
    <definedName name="VCPK4" localSheetId="8">#REF!</definedName>
    <definedName name="VCPK4">#REF!</definedName>
    <definedName name="vcsat" localSheetId="8">#REF!</definedName>
    <definedName name="vcsat">#REF!</definedName>
    <definedName name="vct">#REF!</definedName>
    <definedName name="vctb">#REF!</definedName>
    <definedName name="vctt" localSheetId="8">#REF!</definedName>
    <definedName name="vctt">#REF!</definedName>
    <definedName name="VCVBT1" localSheetId="8">#REF!</definedName>
    <definedName name="VCVBT1">#REF!</definedName>
    <definedName name="VCVBT2" localSheetId="8">#REF!</definedName>
    <definedName name="VCVBT2">#REF!</definedName>
    <definedName name="Vcw" localSheetId="8">#REF!</definedName>
    <definedName name="Vcw">#REF!</definedName>
    <definedName name="vcxa" localSheetId="8">#REF!</definedName>
    <definedName name="vcxa">#REF!</definedName>
    <definedName name="vcxi">#REF!</definedName>
    <definedName name="VCHT">#REF!</definedName>
    <definedName name="VD" localSheetId="8">#REF!</definedName>
    <definedName name="VD">#REF!</definedName>
    <definedName name="vd3p">#REF!</definedName>
    <definedName name="VDCLY" localSheetId="8">#REF!</definedName>
    <definedName name="VDCLY">#REF!</definedName>
    <definedName name="vdkt" localSheetId="8">#REF!</definedName>
    <definedName name="vdkt">#REF!</definedName>
    <definedName name="VDL">#REF!</definedName>
    <definedName name="Vendata">#REF!</definedName>
    <definedName name="Vf" localSheetId="8">#REF!</definedName>
    <definedName name="Vf">#REF!</definedName>
    <definedName name="VHbom">#REF!</definedName>
    <definedName name="Vi" localSheetId="8">#REF!</definedName>
    <definedName name="Vi">#REF!</definedName>
    <definedName name="viet">#REF!</definedName>
    <definedName name="Vietri" localSheetId="8">#REF!</definedName>
    <definedName name="Vietri">#REF!</definedName>
    <definedName name="vk">#REF!</definedName>
    <definedName name="vkcauthang">#REF!</definedName>
    <definedName name="vkds" localSheetId="8">#REF!</definedName>
    <definedName name="vkds">#REF!</definedName>
    <definedName name="vksan">#REF!</definedName>
    <definedName name="vktc" localSheetId="8">#REF!</definedName>
    <definedName name="vktc">#REF!</definedName>
    <definedName name="vkh" localSheetId="8">#REF!</definedName>
    <definedName name="vkh">#REF!</definedName>
    <definedName name="vl">#REF!</definedName>
    <definedName name="VL_hien_truong_XL_chung">#REF!</definedName>
    <definedName name="vl100a" localSheetId="8">#REF!</definedName>
    <definedName name="vl100a">#REF!</definedName>
    <definedName name="vl1p">#REF!</definedName>
    <definedName name="vl3p">#REF!</definedName>
    <definedName name="VLBS">#N/A</definedName>
    <definedName name="vlc">#REF!</definedName>
    <definedName name="Vlcap0.7">#REF!</definedName>
    <definedName name="VLcap1">#REF!</definedName>
    <definedName name="vlct" localSheetId="8" hidden="1">{"'Sheet1'!$L$16"}</definedName>
    <definedName name="vlct" localSheetId="0" hidden="1">{"'Sheet1'!$L$16"}</definedName>
    <definedName name="vlct" localSheetId="6" hidden="1">{"'Sheet1'!$L$16"}</definedName>
    <definedName name="vlct" localSheetId="9" hidden="1">{"'Sheet1'!$L$16"}</definedName>
    <definedName name="vlct" localSheetId="7" hidden="1">{"'Sheet1'!$L$16"}</definedName>
    <definedName name="vlct" hidden="1">{"'Sheet1'!$L$16"}</definedName>
    <definedName name="VLCT3p">#REF!</definedName>
    <definedName name="vld">#REF!</definedName>
    <definedName name="vldd" localSheetId="8">#REF!</definedName>
    <definedName name="vldd">#REF!</definedName>
    <definedName name="vldg">#REF!</definedName>
    <definedName name="vldn400">#REF!</definedName>
    <definedName name="vldn600">#REF!</definedName>
    <definedName name="VLHC" localSheetId="8">#REF!</definedName>
    <definedName name="VLHC">#REF!</definedName>
    <definedName name="VLIEU">#REF!</definedName>
    <definedName name="vlk" localSheetId="8">#REF!</definedName>
    <definedName name="vlk">#REF!</definedName>
    <definedName name="VLKday">#REF!</definedName>
    <definedName name="vll">#REF!</definedName>
    <definedName name="VLM">#REF!</definedName>
    <definedName name="vlp" localSheetId="8">#REF!</definedName>
    <definedName name="vlp">#REF!</definedName>
    <definedName name="vltco" localSheetId="8">#REF!</definedName>
    <definedName name="vltco">#REF!</definedName>
    <definedName name="vltr" localSheetId="8">#REF!</definedName>
    <definedName name="vltr">#REF!</definedName>
    <definedName name="vltram">#REF!</definedName>
    <definedName name="vm" localSheetId="8">#REF!</definedName>
    <definedName name="vm">#REF!</definedName>
    <definedName name="vm1." localSheetId="8">#REF!</definedName>
    <definedName name="vm1.">#REF!</definedName>
    <definedName name="vm2." localSheetId="8">#REF!</definedName>
    <definedName name="vm2.">#REF!</definedName>
    <definedName name="vn1." localSheetId="8">#REF!</definedName>
    <definedName name="vn1.">#REF!</definedName>
    <definedName name="vn2." localSheetId="8">#REF!</definedName>
    <definedName name="vn2.">#REF!</definedName>
    <definedName name="voi" localSheetId="8">#REF!</definedName>
    <definedName name="voi">#REF!</definedName>
    <definedName name="Von.KL">#REF!</definedName>
    <definedName name="Von_dau_tu_thuan" localSheetId="8">#REF!</definedName>
    <definedName name="Von_dau_tu_thuan">#REF!</definedName>
    <definedName name="Vp" localSheetId="8">#REF!</definedName>
    <definedName name="Vp">#REF!</definedName>
    <definedName name="Vr" localSheetId="8">#REF!</definedName>
    <definedName name="Vr">#REF!</definedName>
    <definedName name="vr3p">#REF!</definedName>
    <definedName name="Vs" localSheetId="8">#REF!</definedName>
    <definedName name="Vs">#REF!</definedName>
    <definedName name="VT">#REF!</definedName>
    <definedName name="VT_0.4">#REF!</definedName>
    <definedName name="VT_1" localSheetId="8">#REF!</definedName>
    <definedName name="VT_1">#REF!</definedName>
    <definedName name="VT_22">#REF!</definedName>
    <definedName name="VT_TBA">#REF!</definedName>
    <definedName name="vt1pbs" localSheetId="8">#REF!</definedName>
    <definedName name="vt1pbs">#REF!</definedName>
    <definedName name="vtbs" localSheetId="8">#REF!</definedName>
    <definedName name="vtbs">#REF!</definedName>
    <definedName name="vtu">#REF!</definedName>
    <definedName name="Vu">#REF!</definedName>
    <definedName name="Vu_">#REF!</definedName>
    <definedName name="vua_75" localSheetId="8">#REF!</definedName>
    <definedName name="vua_75">#REF!</definedName>
    <definedName name="VuaBT200" localSheetId="8">#REF!</definedName>
    <definedName name="VuaBT200">#REF!</definedName>
    <definedName name="vuaepoxy" localSheetId="8">#REF!</definedName>
    <definedName name="vuaepoxy">#REF!</definedName>
    <definedName name="vung">#REF!</definedName>
    <definedName name="vungdcd">#REF!</definedName>
    <definedName name="vungdcl">#REF!</definedName>
    <definedName name="vungnhapk">#REF!</definedName>
    <definedName name="vungnhapl">#REF!</definedName>
    <definedName name="vungxuatk">#REF!</definedName>
    <definedName name="vungxuatl">#REF!</definedName>
    <definedName name="VX" localSheetId="8">#REF!</definedName>
    <definedName name="VX">#REF!</definedName>
    <definedName name="VxlTBA">#REF!</definedName>
    <definedName name="vxuan">#REF!</definedName>
    <definedName name="W">#REF!</definedName>
    <definedName name="WATER_SUPPLY" localSheetId="8">#REF!</definedName>
    <definedName name="WATER_SUPPLY">#REF!</definedName>
    <definedName name="watertruck">#REF!</definedName>
    <definedName name="Wdaymong">#REF!</definedName>
    <definedName name="Wgct" localSheetId="8">#REF!</definedName>
    <definedName name="Wgct">#REF!</definedName>
    <definedName name="Wgkt" localSheetId="8">#REF!</definedName>
    <definedName name="Wgkt">#REF!</definedName>
    <definedName name="WIRE1">5</definedName>
    <definedName name="wl">#REF!</definedName>
    <definedName name="WLX" localSheetId="8">#REF!</definedName>
    <definedName name="WLX">#REF!</definedName>
    <definedName name="WLY" localSheetId="8">#REF!</definedName>
    <definedName name="WLY">#REF!</definedName>
    <definedName name="WorkType" localSheetId="8">#REF!</definedName>
    <definedName name="WorkType">#REF!</definedName>
    <definedName name="WOT" localSheetId="8">#REF!</definedName>
    <definedName name="WOT">#REF!</definedName>
    <definedName name="WPX" localSheetId="8">#REF!</definedName>
    <definedName name="WPX">#REF!</definedName>
    <definedName name="WPY" localSheetId="8">#REF!</definedName>
    <definedName name="WPY">#REF!</definedName>
    <definedName name="wrn.aaa." localSheetId="8" hidden="1">{#N/A,#N/A,FALSE,"Sheet1";#N/A,#N/A,FALSE,"Sheet1";#N/A,#N/A,FALSE,"Sheet1"}</definedName>
    <definedName name="wrn.aaa." localSheetId="0" hidden="1">{#N/A,#N/A,FALSE,"Sheet1";#N/A,#N/A,FALSE,"Sheet1";#N/A,#N/A,FALSE,"Sheet1"}</definedName>
    <definedName name="wrn.aaa." localSheetId="6" hidden="1">{#N/A,#N/A,FALSE,"Sheet1";#N/A,#N/A,FALSE,"Sheet1";#N/A,#N/A,FALSE,"Sheet1"}</definedName>
    <definedName name="wrn.aaa." localSheetId="9" hidden="1">{#N/A,#N/A,FALSE,"Sheet1";#N/A,#N/A,FALSE,"Sheet1";#N/A,#N/A,FALSE,"Sheet1"}</definedName>
    <definedName name="wrn.aaa." localSheetId="7" hidden="1">{#N/A,#N/A,FALSE,"Sheet1";#N/A,#N/A,FALSE,"Sheet1";#N/A,#N/A,FALSE,"Sheet1"}</definedName>
    <definedName name="wrn.aaa." hidden="1">{#N/A,#N/A,FALSE,"Sheet1";#N/A,#N/A,FALSE,"Sheet1";#N/A,#N/A,FALSE,"Sheet1"}</definedName>
    <definedName name="wrn.cong." localSheetId="8" hidden="1">{#N/A,#N/A,FALSE,"Sheet1"}</definedName>
    <definedName name="wrn.cong." localSheetId="0" hidden="1">{#N/A,#N/A,FALSE,"Sheet1"}</definedName>
    <definedName name="wrn.cong." localSheetId="6" hidden="1">{#N/A,#N/A,FALSE,"Sheet1"}</definedName>
    <definedName name="wrn.cong." localSheetId="9" hidden="1">{#N/A,#N/A,FALSE,"Sheet1"}</definedName>
    <definedName name="wrn.cong." localSheetId="7" hidden="1">{#N/A,#N/A,FALSE,"Sheet1"}</definedName>
    <definedName name="wrn.cong." hidden="1">{#N/A,#N/A,FALSE,"Sheet1"}</definedName>
    <definedName name="wrn.chi._.tiÆt." localSheetId="8" hidden="1">{#N/A,#N/A,FALSE,"Chi tiÆt"}</definedName>
    <definedName name="wrn.chi._.tiÆt." localSheetId="0" hidden="1">{#N/A,#N/A,FALSE,"Chi tiÆt"}</definedName>
    <definedName name="wrn.chi._.tiÆt." localSheetId="6" hidden="1">{#N/A,#N/A,FALSE,"Chi tiÆt"}</definedName>
    <definedName name="wrn.chi._.tiÆt." localSheetId="9" hidden="1">{#N/A,#N/A,FALSE,"Chi tiÆt"}</definedName>
    <definedName name="wrn.chi._.tiÆt." localSheetId="7" hidden="1">{#N/A,#N/A,FALSE,"Chi tiÆt"}</definedName>
    <definedName name="wrn.chi._.tiÆt." hidden="1">{#N/A,#N/A,FALSE,"Chi tiÆt"}</definedName>
    <definedName name="wrn.Monthly._.Statement." localSheetId="8" hidden="1">{#N/A,#N/A,FALSE,"Tabelle2";#N/A,#N/A,FALSE,"Tabelle1"}</definedName>
    <definedName name="wrn.Monthly._.Statement." localSheetId="0" hidden="1">{#N/A,#N/A,FALSE,"Tabelle2";#N/A,#N/A,FALSE,"Tabelle1"}</definedName>
    <definedName name="wrn.Monthly._.Statement." localSheetId="6" hidden="1">{#N/A,#N/A,FALSE,"Tabelle2";#N/A,#N/A,FALSE,"Tabelle1"}</definedName>
    <definedName name="wrn.Monthly._.Statement." localSheetId="9" hidden="1">{#N/A,#N/A,FALSE,"Tabelle2";#N/A,#N/A,FALSE,"Tabelle1"}</definedName>
    <definedName name="wrn.Monthly._.Statement." localSheetId="7" hidden="1">{#N/A,#N/A,FALSE,"Tabelle2";#N/A,#N/A,FALSE,"Tabelle1"}</definedName>
    <definedName name="wrn.Monthly._.Statement." hidden="1">{#N/A,#N/A,FALSE,"Tabelle2";#N/A,#N/A,FALSE,"Tabelle1"}</definedName>
    <definedName name="wrn.Report." localSheetId="8" hidden="1">{"Offgrid",#N/A,FALSE,"OFFGRID";"Region",#N/A,FALSE,"REGION";"Offgrid -2",#N/A,FALSE,"OFFGRID";"WTP",#N/A,FALSE,"WTP";"WTP -2",#N/A,FALSE,"WTP";"Project",#N/A,FALSE,"PROJECT";"Summary -2",#N/A,FALSE,"SUMMARY"}</definedName>
    <definedName name="wrn.Report." localSheetId="0" hidden="1">{"Offgrid",#N/A,FALSE,"OFFGRID";"Region",#N/A,FALSE,"REGION";"Offgrid -2",#N/A,FALSE,"OFFGRID";"WTP",#N/A,FALSE,"WTP";"WTP -2",#N/A,FALSE,"WTP";"Project",#N/A,FALSE,"PROJECT";"Summary -2",#N/A,FALSE,"SUMMARY"}</definedName>
    <definedName name="wrn.Report." localSheetId="6" hidden="1">{"Offgrid",#N/A,FALSE,"OFFGRID";"Region",#N/A,FALSE,"REGION";"Offgrid -2",#N/A,FALSE,"OFFGRID";"WTP",#N/A,FALSE,"WTP";"WTP -2",#N/A,FALSE,"WTP";"Project",#N/A,FALSE,"PROJECT";"Summary -2",#N/A,FALSE,"SUMMARY"}</definedName>
    <definedName name="wrn.Report." localSheetId="9" hidden="1">{"Offgrid",#N/A,FALSE,"OFFGRID";"Region",#N/A,FALSE,"REGION";"Offgrid -2",#N/A,FALSE,"OFFGRID";"WTP",#N/A,FALSE,"WTP";"WTP -2",#N/A,FALSE,"WTP";"Project",#N/A,FALSE,"PROJECT";"Summary -2",#N/A,FALSE,"SUMMARY"}</definedName>
    <definedName name="wrn.Report." localSheetId="7"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f.report" localSheetId="8" hidden="1">{"Offgrid",#N/A,FALSE,"OFFGRID";"Region",#N/A,FALSE,"REGION";"Offgrid -2",#N/A,FALSE,"OFFGRID";"WTP",#N/A,FALSE,"WTP";"WTP -2",#N/A,FALSE,"WTP";"Project",#N/A,FALSE,"PROJECT";"Summary -2",#N/A,FALSE,"SUMMARY"}</definedName>
    <definedName name="wrnf.report" localSheetId="0" hidden="1">{"Offgrid",#N/A,FALSE,"OFFGRID";"Region",#N/A,FALSE,"REGION";"Offgrid -2",#N/A,FALSE,"OFFGRID";"WTP",#N/A,FALSE,"WTP";"WTP -2",#N/A,FALSE,"WTP";"Project",#N/A,FALSE,"PROJECT";"Summary -2",#N/A,FALSE,"SUMMARY"}</definedName>
    <definedName name="wrnf.report" localSheetId="6" hidden="1">{"Offgrid",#N/A,FALSE,"OFFGRID";"Region",#N/A,FALSE,"REGION";"Offgrid -2",#N/A,FALSE,"OFFGRID";"WTP",#N/A,FALSE,"WTP";"WTP -2",#N/A,FALSE,"WTP";"Project",#N/A,FALSE,"PROJECT";"Summary -2",#N/A,FALSE,"SUMMARY"}</definedName>
    <definedName name="wrnf.report" localSheetId="9" hidden="1">{"Offgrid",#N/A,FALSE,"OFFGRID";"Region",#N/A,FALSE,"REGION";"Offgrid -2",#N/A,FALSE,"OFFGRID";"WTP",#N/A,FALSE,"WTP";"WTP -2",#N/A,FALSE,"WTP";"Project",#N/A,FALSE,"PROJECT";"Summary -2",#N/A,FALSE,"SUMMARY"}</definedName>
    <definedName name="wrnf.report" localSheetId="7"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s">#REF!</definedName>
    <definedName name="WSD" localSheetId="8">#REF!</definedName>
    <definedName name="WSD">#REF!</definedName>
    <definedName name="WSDS" localSheetId="8">#REF!</definedName>
    <definedName name="WSDS">#REF!</definedName>
    <definedName name="Wss">#REF!</definedName>
    <definedName name="Wst">#REF!</definedName>
    <definedName name="wt">#REF!</definedName>
    <definedName name="ww" localSheetId="8">{"Thuxm2.xls","Sheet1"}</definedName>
    <definedName name="ww" localSheetId="0">{"Thuxm2.xls","Sheet1"}</definedName>
    <definedName name="ww" localSheetId="6">{"Thuxm2.xls","Sheet1"}</definedName>
    <definedName name="ww" localSheetId="9">{"Thuxm2.xls","Sheet1"}</definedName>
    <definedName name="ww" localSheetId="7">{"Thuxm2.xls","Sheet1"}</definedName>
    <definedName name="ww">{"Thuxm2.xls","Sheet1"}</definedName>
    <definedName name="WX" localSheetId="8">#REF!</definedName>
    <definedName name="WX">#REF!</definedName>
    <definedName name="WY" localSheetId="8">#REF!</definedName>
    <definedName name="WY">#REF!</definedName>
    <definedName name="X">#REF!</definedName>
    <definedName name="x_1" localSheetId="8">#REF!</definedName>
    <definedName name="x_1">#REF!</definedName>
    <definedName name="x_2" localSheetId="8">#REF!</definedName>
    <definedName name="x_2">#REF!</definedName>
    <definedName name="x_3" localSheetId="8">#REF!</definedName>
    <definedName name="x_3">#REF!</definedName>
    <definedName name="x_4" localSheetId="8">#REF!</definedName>
    <definedName name="x_4">#REF!</definedName>
    <definedName name="x_8I" localSheetId="8">#REF!</definedName>
    <definedName name="x_8I">#REF!</definedName>
    <definedName name="x_8IV" localSheetId="8">#REF!</definedName>
    <definedName name="x_8IV">#REF!</definedName>
    <definedName name="x_9I" localSheetId="8">#REF!</definedName>
    <definedName name="x_9I">#REF!</definedName>
    <definedName name="x_9IV" localSheetId="8">#REF!</definedName>
    <definedName name="x_9IV">#REF!</definedName>
    <definedName name="X_ng" localSheetId="8">#REF!</definedName>
    <definedName name="X_ng">#REF!</definedName>
    <definedName name="X0GFCFw">#REF!</definedName>
    <definedName name="x1_" localSheetId="8">#REF!</definedName>
    <definedName name="x1_">#REF!</definedName>
    <definedName name="x17dnc" localSheetId="8">#REF!</definedName>
    <definedName name="x17dnc">#REF!</definedName>
    <definedName name="x17dvl" localSheetId="8">#REF!</definedName>
    <definedName name="x17dvl">#REF!</definedName>
    <definedName name="x17knc" localSheetId="8">#REF!</definedName>
    <definedName name="x17knc">#REF!</definedName>
    <definedName name="x17kvl" localSheetId="8">#REF!</definedName>
    <definedName name="x17kvl">#REF!</definedName>
    <definedName name="X1GFCFw">#REF!</definedName>
    <definedName name="X1pFCOnc" localSheetId="8">#REF!</definedName>
    <definedName name="X1pFCOnc">#REF!</definedName>
    <definedName name="X1pFCOvc" localSheetId="8">#REF!</definedName>
    <definedName name="X1pFCOvc">#REF!</definedName>
    <definedName name="X1pFCOvl" localSheetId="8">#REF!</definedName>
    <definedName name="X1pFCOvl">#REF!</definedName>
    <definedName name="x1pignc" localSheetId="8">#REF!</definedName>
    <definedName name="x1pignc">#REF!</definedName>
    <definedName name="X1pIGvc" localSheetId="8">#REF!</definedName>
    <definedName name="X1pIGvc">#REF!</definedName>
    <definedName name="x1pigvl" localSheetId="8">#REF!</definedName>
    <definedName name="x1pigvl">#REF!</definedName>
    <definedName name="x1pind">#REF!</definedName>
    <definedName name="x1pindnc" localSheetId="8">#REF!</definedName>
    <definedName name="x1pindnc">#REF!</definedName>
    <definedName name="X1pINDvc">#REF!</definedName>
    <definedName name="x1pindvl" localSheetId="8">#REF!</definedName>
    <definedName name="x1pindvl">#REF!</definedName>
    <definedName name="x1pint">#REF!</definedName>
    <definedName name="x1pintnc" localSheetId="8">#REF!</definedName>
    <definedName name="x1pintnc">#REF!</definedName>
    <definedName name="X1pINTvc" localSheetId="8">#REF!</definedName>
    <definedName name="X1pINTvc">#REF!</definedName>
    <definedName name="x1pintvl" localSheetId="8">#REF!</definedName>
    <definedName name="x1pintvl">#REF!</definedName>
    <definedName name="x1ping">#REF!</definedName>
    <definedName name="x1pingnc" localSheetId="8">#REF!</definedName>
    <definedName name="x1pingnc">#REF!</definedName>
    <definedName name="X1pINGvc">#REF!</definedName>
    <definedName name="x1pingvl" localSheetId="8">#REF!</definedName>
    <definedName name="x1pingvl">#REF!</definedName>
    <definedName name="x1pitnc" localSheetId="8">#REF!</definedName>
    <definedName name="x1pitnc">#REF!</definedName>
    <definedName name="X1pITvc" localSheetId="8">#REF!</definedName>
    <definedName name="X1pITvc">#REF!</definedName>
    <definedName name="x1pitvl" localSheetId="8">#REF!</definedName>
    <definedName name="x1pitvl">#REF!</definedName>
    <definedName name="x2_" localSheetId="8">#REF!</definedName>
    <definedName name="x2_">#REF!</definedName>
    <definedName name="x20knc" localSheetId="8">#REF!</definedName>
    <definedName name="x20knc">#REF!</definedName>
    <definedName name="x20kvl" localSheetId="8">#REF!</definedName>
    <definedName name="x20kvl">#REF!</definedName>
    <definedName name="x22knc" localSheetId="8">#REF!</definedName>
    <definedName name="x22knc">#REF!</definedName>
    <definedName name="x22kvl" localSheetId="8">#REF!</definedName>
    <definedName name="x22kvl">#REF!</definedName>
    <definedName name="x2mig1nc" localSheetId="8">#REF!</definedName>
    <definedName name="x2mig1nc">#REF!</definedName>
    <definedName name="x2mig1vl" localSheetId="8">#REF!</definedName>
    <definedName name="x2mig1vl">#REF!</definedName>
    <definedName name="x2min1nc" localSheetId="8">#REF!</definedName>
    <definedName name="x2min1nc">#REF!</definedName>
    <definedName name="x2min1vl" localSheetId="8">#REF!</definedName>
    <definedName name="x2min1vl">#REF!</definedName>
    <definedName name="x2mit1vl" localSheetId="8">#REF!</definedName>
    <definedName name="x2mit1vl">#REF!</definedName>
    <definedName name="x2mitnc" localSheetId="8">#REF!</definedName>
    <definedName name="x2mitnc">#REF!</definedName>
    <definedName name="x4.1.1" localSheetId="8">#REF!</definedName>
    <definedName name="x4.1.1">#REF!</definedName>
    <definedName name="x4.3.21" localSheetId="8">#REF!</definedName>
    <definedName name="x4.3.21">#REF!</definedName>
    <definedName name="x4.3.22" localSheetId="8">#REF!</definedName>
    <definedName name="x4.3.22">#REF!</definedName>
    <definedName name="xa" localSheetId="8">#REF!</definedName>
    <definedName name="xa">#REF!</definedName>
    <definedName name="xama" localSheetId="8">#REF!</definedName>
    <definedName name="xama">#REF!</definedName>
    <definedName name="xaydung" localSheetId="8">#REF!</definedName>
    <definedName name="xaydung">#REF!</definedName>
    <definedName name="XCCT">0.5</definedName>
    <definedName name="xd" localSheetId="8" hidden="1">{"'Sheet1'!$L$16"}</definedName>
    <definedName name="xd" localSheetId="0" hidden="1">{"'Sheet1'!$L$16"}</definedName>
    <definedName name="xd" localSheetId="6" hidden="1">{"'Sheet1'!$L$16"}</definedName>
    <definedName name="xd" localSheetId="9" hidden="1">{"'Sheet1'!$L$16"}</definedName>
    <definedName name="xd" localSheetId="7" hidden="1">{"'Sheet1'!$L$16"}</definedName>
    <definedName name="xd" hidden="1">{"'Sheet1'!$L$16"}</definedName>
    <definedName name="xd0.6">#REF!</definedName>
    <definedName name="xd1.3">#REF!</definedName>
    <definedName name="xd1.5">#REF!</definedName>
    <definedName name="XDNT">#REF!</definedName>
    <definedName name="XDNHC" localSheetId="8">#REF!</definedName>
    <definedName name="XDNHC">#REF!</definedName>
    <definedName name="xdra" localSheetId="8">#REF!</definedName>
    <definedName name="xdra">#REF!</definedName>
    <definedName name="xdsnc" localSheetId="8">#REF!</definedName>
    <definedName name="xdsnc">#REF!</definedName>
    <definedName name="xdsvl" localSheetId="8">#REF!</definedName>
    <definedName name="xdsvl">#REF!</definedName>
    <definedName name="xelaodam">#REF!</definedName>
    <definedName name="xethung10t">#REF!</definedName>
    <definedName name="xetreo">#REF!</definedName>
    <definedName name="xfco">#REF!</definedName>
    <definedName name="xfco3p">#REF!</definedName>
    <definedName name="xfconc" localSheetId="8">#REF!</definedName>
    <definedName name="xfconc">#REF!</definedName>
    <definedName name="xfconc3p" localSheetId="8">#REF!</definedName>
    <definedName name="xfconc3p">#REF!</definedName>
    <definedName name="xfcotnc">#REF!</definedName>
    <definedName name="xfcotvl">#REF!</definedName>
    <definedName name="XFCOvc" localSheetId="8">#REF!</definedName>
    <definedName name="XFCOvc">#REF!</definedName>
    <definedName name="xfcovl" localSheetId="8">#REF!</definedName>
    <definedName name="xfcovl">#REF!</definedName>
    <definedName name="xfcovl3p" localSheetId="8">#REF!</definedName>
    <definedName name="xfcovl3p">#REF!</definedName>
    <definedName name="xfnc" localSheetId="8">#REF!</definedName>
    <definedName name="xfnc">#REF!</definedName>
    <definedName name="xfvl" localSheetId="8">#REF!</definedName>
    <definedName name="xfvl">#REF!</definedName>
    <definedName name="xgc100">#REF!</definedName>
    <definedName name="xgc150">#REF!</definedName>
    <definedName name="xgc200">#REF!</definedName>
    <definedName name="xh">#REF!</definedName>
    <definedName name="xh_bq" localSheetId="8">#REF!</definedName>
    <definedName name="xh_bq">#REF!</definedName>
    <definedName name="xh_bv" localSheetId="8">#REF!</definedName>
    <definedName name="xh_bv">#REF!</definedName>
    <definedName name="xh_ck" localSheetId="8">#REF!</definedName>
    <definedName name="xh_ck">#REF!</definedName>
    <definedName name="xh_d1" localSheetId="8">#REF!</definedName>
    <definedName name="xh_d1">#REF!</definedName>
    <definedName name="xh_d2" localSheetId="8">#REF!</definedName>
    <definedName name="xh_d2">#REF!</definedName>
    <definedName name="xh_d3" localSheetId="8">#REF!</definedName>
    <definedName name="xh_d3">#REF!</definedName>
    <definedName name="xh_dl" localSheetId="8">#REF!</definedName>
    <definedName name="xh_dl">#REF!</definedName>
    <definedName name="xh_kcs" localSheetId="8">#REF!</definedName>
    <definedName name="xh_kcs">#REF!</definedName>
    <definedName name="xh_nb" localSheetId="8">#REF!</definedName>
    <definedName name="xh_nb">#REF!</definedName>
    <definedName name="xh_nv" localSheetId="8">#REF!</definedName>
    <definedName name="xh_nv">#REF!</definedName>
    <definedName name="xh_ngio" localSheetId="8">#REF!</definedName>
    <definedName name="xh_ngio">#REF!</definedName>
    <definedName name="xh_t3" localSheetId="8">#REF!</definedName>
    <definedName name="xh_t3">#REF!</definedName>
    <definedName name="xh_t4" localSheetId="8">#REF!</definedName>
    <definedName name="xh_t4">#REF!</definedName>
    <definedName name="xh_t5" localSheetId="8">#REF!</definedName>
    <definedName name="xh_t5">#REF!</definedName>
    <definedName name="xh_t6" localSheetId="8">#REF!</definedName>
    <definedName name="xh_t6">#REF!</definedName>
    <definedName name="xh_tc" localSheetId="8">#REF!</definedName>
    <definedName name="xh_tc">#REF!</definedName>
    <definedName name="xh_tm" localSheetId="8">#REF!</definedName>
    <definedName name="xh_tm">#REF!</definedName>
    <definedName name="xh_vs" localSheetId="8">#REF!</definedName>
    <definedName name="xh_vs">#REF!</definedName>
    <definedName name="xh_xh" localSheetId="8">#REF!</definedName>
    <definedName name="xh_xh">#REF!</definedName>
    <definedName name="xhn">#REF!</definedName>
    <definedName name="xhnnc" localSheetId="8">#REF!</definedName>
    <definedName name="xhnnc">#REF!</definedName>
    <definedName name="xhnvl" localSheetId="8">#REF!</definedName>
    <definedName name="xhnvl">#REF!</definedName>
    <definedName name="xi">#REF!</definedName>
    <definedName name="Xi_m_ng_PC30" localSheetId="8">#REF!</definedName>
    <definedName name="Xi_m_ng_PC30">#REF!</definedName>
    <definedName name="xig">#REF!</definedName>
    <definedName name="xig1">#REF!</definedName>
    <definedName name="xig1nc" localSheetId="8">#REF!</definedName>
    <definedName name="xig1nc">#REF!</definedName>
    <definedName name="xig1p">#REF!</definedName>
    <definedName name="xig1pnc" localSheetId="8">#REF!</definedName>
    <definedName name="xig1pnc">#REF!</definedName>
    <definedName name="xig1pvl" localSheetId="8">#REF!</definedName>
    <definedName name="xig1pvl">#REF!</definedName>
    <definedName name="xig1vl" localSheetId="8">#REF!</definedName>
    <definedName name="xig1vl">#REF!</definedName>
    <definedName name="xig2nc" localSheetId="8">#REF!</definedName>
    <definedName name="xig2nc">#REF!</definedName>
    <definedName name="xig2vl" localSheetId="8">#REF!</definedName>
    <definedName name="xig2vl">#REF!</definedName>
    <definedName name="xig3p">#REF!</definedName>
    <definedName name="xiggnc" localSheetId="8">#REF!</definedName>
    <definedName name="xiggnc">#REF!</definedName>
    <definedName name="xiggvl" localSheetId="8">#REF!</definedName>
    <definedName name="xiggvl">#REF!</definedName>
    <definedName name="xignc" localSheetId="8">#REF!</definedName>
    <definedName name="xignc">#REF!</definedName>
    <definedName name="xignc3p">#REF!</definedName>
    <definedName name="XIGvc">#REF!</definedName>
    <definedName name="xigvl" localSheetId="8">#REF!</definedName>
    <definedName name="xigvl">#REF!</definedName>
    <definedName name="xigvl3p">#REF!</definedName>
    <definedName name="Xim_ng_PC40" localSheetId="8">#REF!</definedName>
    <definedName name="Xim_ng_PC40">#REF!</definedName>
    <definedName name="Ximang" localSheetId="8">#REF!</definedName>
    <definedName name="Ximang">#REF!</definedName>
    <definedName name="XiMangPCB30" localSheetId="8">#REF!</definedName>
    <definedName name="XiMangPCB30">#REF!</definedName>
    <definedName name="xin">#REF!</definedName>
    <definedName name="xin190">#REF!</definedName>
    <definedName name="xin1903p">#REF!</definedName>
    <definedName name="xin190nc" localSheetId="8">#REF!</definedName>
    <definedName name="xin190nc">#REF!</definedName>
    <definedName name="xin190nc3p" localSheetId="8">#REF!</definedName>
    <definedName name="xin190nc3p">#REF!</definedName>
    <definedName name="XIN190vc" localSheetId="8">#REF!</definedName>
    <definedName name="XIN190vc">#REF!</definedName>
    <definedName name="xin190vl" localSheetId="8">#REF!</definedName>
    <definedName name="xin190vl">#REF!</definedName>
    <definedName name="xin190vl3p" localSheetId="8">#REF!</definedName>
    <definedName name="xin190vl3p">#REF!</definedName>
    <definedName name="xin2903p">#REF!</definedName>
    <definedName name="xin290nc3p">#REF!</definedName>
    <definedName name="xin290vl3p">#REF!</definedName>
    <definedName name="xin3p">#REF!</definedName>
    <definedName name="xin901nc" localSheetId="8">#REF!</definedName>
    <definedName name="xin901nc">#REF!</definedName>
    <definedName name="xin901vl" localSheetId="8">#REF!</definedName>
    <definedName name="xin901vl">#REF!</definedName>
    <definedName name="xind">#REF!</definedName>
    <definedName name="xind1p">#REF!</definedName>
    <definedName name="xind1pnc" localSheetId="8">#REF!</definedName>
    <definedName name="xind1pnc">#REF!</definedName>
    <definedName name="xind1pvl" localSheetId="8">#REF!</definedName>
    <definedName name="xind1pvl">#REF!</definedName>
    <definedName name="xind3p">#REF!</definedName>
    <definedName name="xindnc" localSheetId="8">#REF!</definedName>
    <definedName name="xindnc">#REF!</definedName>
    <definedName name="xindnc1p">#REF!</definedName>
    <definedName name="xindnc3p" localSheetId="8">#REF!</definedName>
    <definedName name="xindnc3p">#REF!</definedName>
    <definedName name="XINDvc" localSheetId="8">#REF!</definedName>
    <definedName name="XINDvc">#REF!</definedName>
    <definedName name="xindvl" localSheetId="8">#REF!</definedName>
    <definedName name="xindvl">#REF!</definedName>
    <definedName name="xindvl1p">#REF!</definedName>
    <definedName name="xindvl3p" localSheetId="8">#REF!</definedName>
    <definedName name="xindvl3p">#REF!</definedName>
    <definedName name="xinnc" localSheetId="8">#REF!</definedName>
    <definedName name="xinnc">#REF!</definedName>
    <definedName name="xinnc3p">#REF!</definedName>
    <definedName name="xint1p">#REF!</definedName>
    <definedName name="XINvc">#REF!</definedName>
    <definedName name="xinvl" localSheetId="8">#REF!</definedName>
    <definedName name="xinvl">#REF!</definedName>
    <definedName name="xinvl3p">#REF!</definedName>
    <definedName name="xing1p">#REF!</definedName>
    <definedName name="xing1pnc" localSheetId="8">#REF!</definedName>
    <definedName name="xing1pnc">#REF!</definedName>
    <definedName name="xing1pvl" localSheetId="8">#REF!</definedName>
    <definedName name="xing1pvl">#REF!</definedName>
    <definedName name="xingnc1p">#REF!</definedName>
    <definedName name="xingvl1p">#REF!</definedName>
    <definedName name="xit">#REF!</definedName>
    <definedName name="xit1">#REF!</definedName>
    <definedName name="xit1nc" localSheetId="8">#REF!</definedName>
    <definedName name="xit1nc">#REF!</definedName>
    <definedName name="xit1p">#REF!</definedName>
    <definedName name="xit1pnc" localSheetId="8">#REF!</definedName>
    <definedName name="xit1pnc">#REF!</definedName>
    <definedName name="xit1pvl" localSheetId="8">#REF!</definedName>
    <definedName name="xit1pvl">#REF!</definedName>
    <definedName name="xit1vl" localSheetId="8">#REF!</definedName>
    <definedName name="xit1vl">#REF!</definedName>
    <definedName name="xit2nc" localSheetId="8">#REF!</definedName>
    <definedName name="xit2nc">#REF!</definedName>
    <definedName name="xit2nc3p">#REF!</definedName>
    <definedName name="xit2vl" localSheetId="8">#REF!</definedName>
    <definedName name="xit2vl">#REF!</definedName>
    <definedName name="xit2vl3p">#REF!</definedName>
    <definedName name="xit3p">#REF!</definedName>
    <definedName name="xitnc" localSheetId="8">#REF!</definedName>
    <definedName name="xitnc">#REF!</definedName>
    <definedName name="xitnc3p">#REF!</definedName>
    <definedName name="xittnc" localSheetId="8">#REF!</definedName>
    <definedName name="xittnc">#REF!</definedName>
    <definedName name="xittvl" localSheetId="8">#REF!</definedName>
    <definedName name="xittvl">#REF!</definedName>
    <definedName name="XITvc">#REF!</definedName>
    <definedName name="xitvl" localSheetId="8">#REF!</definedName>
    <definedName name="xitvl">#REF!</definedName>
    <definedName name="xitvl3p">#REF!</definedName>
    <definedName name="xk0.6">#REF!</definedName>
    <definedName name="xk1.3">#REF!</definedName>
    <definedName name="xk1.5">#REF!</definedName>
    <definedName name="xl">#REF!</definedName>
    <definedName name="Xl_CTO" localSheetId="8">#REF!</definedName>
    <definedName name="Xl_CTO">#REF!</definedName>
    <definedName name="xlc">#REF!</definedName>
    <definedName name="xld1.4">#REF!</definedName>
    <definedName name="xlk">#REF!</definedName>
    <definedName name="xlk1.4">#REF!</definedName>
    <definedName name="XLP">#REF!</definedName>
    <definedName name="xlttbninh" localSheetId="8" hidden="1">{"'Sheet1'!$L$16"}</definedName>
    <definedName name="xlttbninh" localSheetId="0" hidden="1">{"'Sheet1'!$L$16"}</definedName>
    <definedName name="xlttbninh" localSheetId="6" hidden="1">{"'Sheet1'!$L$16"}</definedName>
    <definedName name="xlttbninh" localSheetId="9" hidden="1">{"'Sheet1'!$L$16"}</definedName>
    <definedName name="xlttbninh" localSheetId="7" hidden="1">{"'Sheet1'!$L$16"}</definedName>
    <definedName name="xlttbninh" hidden="1">{"'Sheet1'!$L$16"}</definedName>
    <definedName name="XLxa">#REF!</definedName>
    <definedName name="xm" localSheetId="8">#REF!</definedName>
    <definedName name="xm">#REF!</definedName>
    <definedName name="xmcax">#REF!</definedName>
    <definedName name="XMG">#REF!</definedName>
    <definedName name="xmp40">#REF!</definedName>
    <definedName name="xn">#REF!</definedName>
    <definedName name="xo" localSheetId="8">#REF!</definedName>
    <definedName name="xo">#REF!</definedName>
    <definedName name="xo0">#REF!</definedName>
    <definedName name="XOANHAP" localSheetId="8">#REF!,#REF!</definedName>
    <definedName name="XOANHAP">#REF!,#REF!</definedName>
    <definedName name="xoanhapk">#REF!,#REF!</definedName>
    <definedName name="xoanhapl">#REF!,#REF!</definedName>
    <definedName name="xoaxuatk">#REF!</definedName>
    <definedName name="xoaxuatl">#REF!</definedName>
    <definedName name="xr1nc" localSheetId="8">#REF!</definedName>
    <definedName name="xr1nc">#REF!</definedName>
    <definedName name="xr1vl" localSheetId="8">#REF!</definedName>
    <definedName name="xr1vl">#REF!</definedName>
    <definedName name="XTN" localSheetId="8">#REF!</definedName>
    <definedName name="XTN">#REF!</definedName>
    <definedName name="xtr3pnc" localSheetId="8">#REF!</definedName>
    <definedName name="xtr3pnc">#REF!</definedName>
    <definedName name="xtr3pvl" localSheetId="8">#REF!</definedName>
    <definedName name="xtr3pvl">#REF!</definedName>
    <definedName name="xuat_hien" localSheetId="8">#REF!</definedName>
    <definedName name="xuat_hien">#REF!</definedName>
    <definedName name="Xuat_hien1" localSheetId="8">#REF!</definedName>
    <definedName name="Xuat_hien1">#REF!</definedName>
    <definedName name="xuclat1">#REF!</definedName>
    <definedName name="xvxcvxc" localSheetId="8" hidden="1">{"'Sheet1'!$L$16"}</definedName>
    <definedName name="xvxcvxc" localSheetId="0" hidden="1">{"'Sheet1'!$L$16"}</definedName>
    <definedName name="xvxcvxc" localSheetId="6" hidden="1">{"'Sheet1'!$L$16"}</definedName>
    <definedName name="xvxcvxc" localSheetId="9" hidden="1">{"'Sheet1'!$L$16"}</definedName>
    <definedName name="xvxcvxc" localSheetId="7" hidden="1">{"'Sheet1'!$L$16"}</definedName>
    <definedName name="xvxcvxc" hidden="1">{"'Sheet1'!$L$16"}</definedName>
    <definedName name="xx">#REF!</definedName>
    <definedName name="XXX1" localSheetId="8">#REF!</definedName>
    <definedName name="XXX1">#REF!</definedName>
    <definedName name="xy2.5.1" localSheetId="8">#REF!</definedName>
    <definedName name="xy2.5.1">#REF!</definedName>
    <definedName name="xy5.3.1" localSheetId="8">#REF!</definedName>
    <definedName name="xy5.3.1">#REF!</definedName>
    <definedName name="xz2.5.1" localSheetId="8">#REF!</definedName>
    <definedName name="xz2.5.1">#REF!</definedName>
    <definedName name="xz5.3.1" localSheetId="8">#REF!</definedName>
    <definedName name="xz5.3.1">#REF!</definedName>
    <definedName name="xzfa" localSheetId="8" hidden="1">{"'Sheet1'!$L$16"}</definedName>
    <definedName name="xzfa" localSheetId="0" hidden="1">{"'Sheet1'!$L$16"}</definedName>
    <definedName name="xzfa" localSheetId="6" hidden="1">{"'Sheet1'!$L$16"}</definedName>
    <definedName name="xzfa" localSheetId="9" hidden="1">{"'Sheet1'!$L$16"}</definedName>
    <definedName name="xzfa" localSheetId="7" hidden="1">{"'Sheet1'!$L$16"}</definedName>
    <definedName name="xzfa" hidden="1">{"'Sheet1'!$L$16"}</definedName>
    <definedName name="y">#REF!</definedName>
    <definedName name="y_1I" localSheetId="8">#REF!</definedName>
    <definedName name="y_1I">#REF!</definedName>
    <definedName name="y_1II" localSheetId="8">#REF!</definedName>
    <definedName name="y_1II">#REF!</definedName>
    <definedName name="y_1III" localSheetId="8">#REF!</definedName>
    <definedName name="y_1III">#REF!</definedName>
    <definedName name="y_1IV" localSheetId="8">#REF!</definedName>
    <definedName name="y_1IV">#REF!</definedName>
    <definedName name="y_2I" localSheetId="8">#REF!</definedName>
    <definedName name="y_2I">#REF!</definedName>
    <definedName name="y_2II" localSheetId="8">#REF!</definedName>
    <definedName name="y_2II">#REF!</definedName>
    <definedName name="y_2III" localSheetId="8">#REF!</definedName>
    <definedName name="y_2III">#REF!</definedName>
    <definedName name="y_2IV" localSheetId="8">#REF!</definedName>
    <definedName name="y_2IV">#REF!</definedName>
    <definedName name="y_3I" localSheetId="8">#REF!</definedName>
    <definedName name="y_3I">#REF!</definedName>
    <definedName name="y_3II" localSheetId="8">#REF!</definedName>
    <definedName name="y_3II">#REF!</definedName>
    <definedName name="y_3III" localSheetId="8">#REF!</definedName>
    <definedName name="y_3III">#REF!</definedName>
    <definedName name="y_3IV" localSheetId="8">#REF!</definedName>
    <definedName name="y_3IV">#REF!</definedName>
    <definedName name="y_4I" localSheetId="8">#REF!</definedName>
    <definedName name="y_4I">#REF!</definedName>
    <definedName name="y_4II" localSheetId="8">#REF!</definedName>
    <definedName name="y_4II">#REF!</definedName>
    <definedName name="y_4III" localSheetId="8">#REF!</definedName>
    <definedName name="y_4III">#REF!</definedName>
    <definedName name="y_4IV" localSheetId="8">#REF!</definedName>
    <definedName name="y_4IV">#REF!</definedName>
    <definedName name="y_9bI" localSheetId="8">#REF!</definedName>
    <definedName name="y_9bI">#REF!</definedName>
    <definedName name="y_9bII" localSheetId="8">#REF!</definedName>
    <definedName name="y_9bII">#REF!</definedName>
    <definedName name="y_9bIII" localSheetId="8">#REF!</definedName>
    <definedName name="y_9bIII">#REF!</definedName>
    <definedName name="y_9bIV" localSheetId="8">#REF!</definedName>
    <definedName name="y_9bIV">#REF!</definedName>
    <definedName name="y_9I" localSheetId="8">#REF!</definedName>
    <definedName name="y_9I">#REF!</definedName>
    <definedName name="y_9II" localSheetId="8">#REF!</definedName>
    <definedName name="y_9II">#REF!</definedName>
    <definedName name="y_9III" localSheetId="8">#REF!</definedName>
    <definedName name="y_9III">#REF!</definedName>
    <definedName name="y_9IV" localSheetId="8">#REF!</definedName>
    <definedName name="y_9IV">#REF!</definedName>
    <definedName name="ybc" localSheetId="8">#REF!</definedName>
    <definedName name="ybc">#REF!</definedName>
    <definedName name="yc">#REF!</definedName>
    <definedName name="year">#REF!</definedName>
    <definedName name="Years" localSheetId="8">#REF!</definedName>
    <definedName name="Years">#REF!</definedName>
    <definedName name="Yellow2000">#REF!</definedName>
    <definedName name="yf">#REF!</definedName>
    <definedName name="yg">#REF!</definedName>
    <definedName name="yi" localSheetId="8">#REF!</definedName>
    <definedName name="yi">#REF!</definedName>
    <definedName name="YR0">#REF!</definedName>
    <definedName name="YRP">#REF!</definedName>
    <definedName name="yt">#REF!</definedName>
    <definedName name="yt_bq" localSheetId="8">#REF!</definedName>
    <definedName name="yt_bq">#REF!</definedName>
    <definedName name="yt_bv" localSheetId="8">#REF!</definedName>
    <definedName name="yt_bv">#REF!</definedName>
    <definedName name="yt_ck" localSheetId="8">#REF!</definedName>
    <definedName name="yt_ck">#REF!</definedName>
    <definedName name="yt_d1" localSheetId="8">#REF!</definedName>
    <definedName name="yt_d1">#REF!</definedName>
    <definedName name="yt_d2" localSheetId="8">#REF!</definedName>
    <definedName name="yt_d2">#REF!</definedName>
    <definedName name="yt_d3" localSheetId="8">#REF!</definedName>
    <definedName name="yt_d3">#REF!</definedName>
    <definedName name="yt_dl" localSheetId="8">#REF!</definedName>
    <definedName name="yt_dl">#REF!</definedName>
    <definedName name="yt_kcs" localSheetId="8">#REF!</definedName>
    <definedName name="yt_kcs">#REF!</definedName>
    <definedName name="yt_nb" localSheetId="8">#REF!</definedName>
    <definedName name="yt_nb">#REF!</definedName>
    <definedName name="yt_nv" localSheetId="8">#REF!</definedName>
    <definedName name="yt_nv">#REF!</definedName>
    <definedName name="yt_ngio" localSheetId="8">#REF!</definedName>
    <definedName name="yt_ngio">#REF!</definedName>
    <definedName name="yt_t3" localSheetId="8">#REF!</definedName>
    <definedName name="yt_t3">#REF!</definedName>
    <definedName name="yt_t4" localSheetId="8">#REF!</definedName>
    <definedName name="yt_t4">#REF!</definedName>
    <definedName name="yt_t5" localSheetId="8">#REF!</definedName>
    <definedName name="yt_t5">#REF!</definedName>
    <definedName name="yt_t6" localSheetId="8">#REF!</definedName>
    <definedName name="yt_t6">#REF!</definedName>
    <definedName name="yt_tc" localSheetId="8">#REF!</definedName>
    <definedName name="yt_tc">#REF!</definedName>
    <definedName name="yt_tm" localSheetId="8">#REF!</definedName>
    <definedName name="yt_tm">#REF!</definedName>
    <definedName name="yt_vs" localSheetId="8">#REF!</definedName>
    <definedName name="yt_vs">#REF!</definedName>
    <definedName name="yt_xh" localSheetId="8">#REF!</definedName>
    <definedName name="yt_xh">#REF!</definedName>
    <definedName name="ytc" localSheetId="8">#REF!</definedName>
    <definedName name="ytc">#REF!</definedName>
    <definedName name="ytd" localSheetId="8">#REF!</definedName>
    <definedName name="ytd">#REF!</definedName>
    <definedName name="ytuygluicilu" localSheetId="8">{"Thuxm2.xls","Sheet1"}</definedName>
    <definedName name="ytuygluicilu" localSheetId="0">{"Thuxm2.xls","Sheet1"}</definedName>
    <definedName name="ytuygluicilu" localSheetId="6">{"Thuxm2.xls","Sheet1"}</definedName>
    <definedName name="ytuygluicilu" localSheetId="9">{"Thuxm2.xls","Sheet1"}</definedName>
    <definedName name="ytuygluicilu" localSheetId="7">{"Thuxm2.xls","Sheet1"}</definedName>
    <definedName name="ytuygluicilu">{"Thuxm2.xls","Sheet1"}</definedName>
    <definedName name="ỷtuytuytu" localSheetId="8">#REF!</definedName>
    <definedName name="ỷtuytuytu">#REF!</definedName>
    <definedName name="yy">#REF!</definedName>
    <definedName name="z">#REF!</definedName>
    <definedName name="Z_" localSheetId="8">#REF!</definedName>
    <definedName name="Z_">#REF!</definedName>
    <definedName name="Z_B6D82DE0_6701_11DA_9820_00304F1E4471_.wvu.Cols" hidden="1">#REF!</definedName>
    <definedName name="z112.4.3" localSheetId="8">#REF!</definedName>
    <definedName name="z112.4.3">#REF!</definedName>
    <definedName name="ZD" localSheetId="8">#REF!</definedName>
    <definedName name="ZD">#REF!</definedName>
    <definedName name="zl">#REF!</definedName>
    <definedName name="Zloadmin">#REF!</definedName>
    <definedName name="ZloadminS">#REF!</definedName>
    <definedName name="ZS1A">#REF!</definedName>
    <definedName name="ZS1C">#REF!</definedName>
    <definedName name="Ztl" localSheetId="8">#REF!</definedName>
    <definedName name="Ztl">#REF!</definedName>
    <definedName name="Zw">#REF!</definedName>
    <definedName name="ZXD">#REF!</definedName>
    <definedName name="ZXzX" localSheetId="8" hidden="1">{"'Sheet1'!$L$16"}</definedName>
    <definedName name="ZXzX" localSheetId="0" hidden="1">{"'Sheet1'!$L$16"}</definedName>
    <definedName name="ZXzX" localSheetId="6" hidden="1">{"'Sheet1'!$L$16"}</definedName>
    <definedName name="ZXzX" localSheetId="9" hidden="1">{"'Sheet1'!$L$16"}</definedName>
    <definedName name="ZXzX" localSheetId="7" hidden="1">{"'Sheet1'!$L$16"}</definedName>
    <definedName name="ZXzX" hidden="1">{"'Sheet1'!$L$16"}</definedName>
    <definedName name="ZYX">#REF!</definedName>
    <definedName name="ZZZ">#REF!</definedName>
    <definedName name="전">#REF!</definedName>
    <definedName name="주택사업본부">#REF!</definedName>
    <definedName name="철구사업본부">#REF!</definedName>
    <definedName name="템플리트모듈1" localSheetId="8">BlankMacro1</definedName>
    <definedName name="템플리트모듈1" localSheetId="0">BlankMacro1</definedName>
    <definedName name="템플리트모듈1" localSheetId="6">BlankMacro1</definedName>
    <definedName name="템플리트모듈1" localSheetId="9">BlankMacro1</definedName>
    <definedName name="템플리트모듈1" localSheetId="7">BlankMacro1</definedName>
    <definedName name="템플리트모듈1">BlankMacro1</definedName>
    <definedName name="템플리트모듈2" localSheetId="8">BlankMacro1</definedName>
    <definedName name="템플리트모듈2" localSheetId="0">BlankMacro1</definedName>
    <definedName name="템플리트모듈2" localSheetId="6">BlankMacro1</definedName>
    <definedName name="템플리트모듈2" localSheetId="9">BlankMacro1</definedName>
    <definedName name="템플리트모듈2" localSheetId="7">BlankMacro1</definedName>
    <definedName name="템플리트모듈2">BlankMacro1</definedName>
    <definedName name="템플리트모듈3" localSheetId="8">BlankMacro1</definedName>
    <definedName name="템플리트모듈3" localSheetId="0">BlankMacro1</definedName>
    <definedName name="템플리트모듈3" localSheetId="6">BlankMacro1</definedName>
    <definedName name="템플리트모듈3" localSheetId="9">BlankMacro1</definedName>
    <definedName name="템플리트모듈3" localSheetId="7">BlankMacro1</definedName>
    <definedName name="템플리트모듈3">BlankMacro1</definedName>
    <definedName name="템플리트모듈4" localSheetId="8">BlankMacro1</definedName>
    <definedName name="템플리트모듈4" localSheetId="0">BlankMacro1</definedName>
    <definedName name="템플리트모듈4" localSheetId="6">BlankMacro1</definedName>
    <definedName name="템플리트모듈4" localSheetId="9">BlankMacro1</definedName>
    <definedName name="템플리트모듈4" localSheetId="7">BlankMacro1</definedName>
    <definedName name="템플리트모듈4">BlankMacro1</definedName>
    <definedName name="템플리트모듈5" localSheetId="8">BlankMacro1</definedName>
    <definedName name="템플리트모듈5" localSheetId="0">BlankMacro1</definedName>
    <definedName name="템플리트모듈5" localSheetId="6">BlankMacro1</definedName>
    <definedName name="템플리트모듈5" localSheetId="9">BlankMacro1</definedName>
    <definedName name="템플리트모듈5" localSheetId="7">BlankMacro1</definedName>
    <definedName name="템플리트모듈5">BlankMacro1</definedName>
    <definedName name="템플리트모듈6" localSheetId="8">BlankMacro1</definedName>
    <definedName name="템플리트모듈6" localSheetId="0">BlankMacro1</definedName>
    <definedName name="템플리트모듈6" localSheetId="6">BlankMacro1</definedName>
    <definedName name="템플리트모듈6" localSheetId="9">BlankMacro1</definedName>
    <definedName name="템플리트모듈6" localSheetId="7">BlankMacro1</definedName>
    <definedName name="템플리트모듈6">BlankMacro1</definedName>
    <definedName name="피팅" localSheetId="8">BlankMacro1</definedName>
    <definedName name="피팅" localSheetId="0">BlankMacro1</definedName>
    <definedName name="피팅" localSheetId="6">BlankMacro1</definedName>
    <definedName name="피팅" localSheetId="9">BlankMacro1</definedName>
    <definedName name="피팅" localSheetId="7">BlankMacro1</definedName>
    <definedName name="피팅">BlankMacro1</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4" i="29" l="1"/>
  <c r="I72" i="40"/>
  <c r="I71" i="40"/>
  <c r="I70" i="40"/>
  <c r="I69" i="40"/>
  <c r="I68" i="40"/>
  <c r="I67" i="40"/>
  <c r="I66" i="40"/>
  <c r="I65" i="40"/>
  <c r="I64" i="40"/>
  <c r="I63" i="40"/>
  <c r="I62" i="40"/>
  <c r="I61" i="40"/>
  <c r="I60" i="40"/>
  <c r="I59" i="40"/>
  <c r="I58" i="40"/>
  <c r="I57" i="40"/>
  <c r="I56" i="40"/>
  <c r="I55" i="40"/>
  <c r="I54" i="40"/>
  <c r="I53" i="40"/>
  <c r="I52" i="40"/>
  <c r="I51" i="40"/>
  <c r="I50" i="40"/>
  <c r="I49" i="40"/>
  <c r="I48" i="40"/>
  <c r="I47" i="40"/>
  <c r="I46" i="40"/>
  <c r="I45" i="40"/>
  <c r="I44" i="40"/>
  <c r="I43" i="40"/>
  <c r="I42" i="40"/>
  <c r="I41" i="40"/>
  <c r="I40" i="40"/>
  <c r="I39" i="40"/>
  <c r="I38" i="40"/>
  <c r="I37" i="40"/>
  <c r="I36" i="40"/>
  <c r="I35" i="40"/>
  <c r="I34" i="40"/>
  <c r="I33" i="40"/>
  <c r="I32" i="40"/>
  <c r="I31" i="40"/>
  <c r="I30" i="40"/>
  <c r="I29" i="40"/>
  <c r="I28" i="40"/>
  <c r="I27" i="40"/>
  <c r="I26" i="40"/>
  <c r="I25" i="40"/>
  <c r="I24" i="40"/>
  <c r="I23" i="40"/>
  <c r="I22" i="40"/>
  <c r="I21" i="40"/>
  <c r="I20" i="40"/>
  <c r="I19" i="40"/>
  <c r="I18" i="40"/>
  <c r="I17" i="40"/>
  <c r="I16" i="40"/>
  <c r="I15" i="40"/>
  <c r="I14" i="40"/>
  <c r="I13" i="40"/>
  <c r="I12" i="40"/>
  <c r="I11" i="40"/>
  <c r="I10" i="40"/>
  <c r="I9" i="40"/>
  <c r="I8" i="40"/>
  <c r="I7" i="40"/>
  <c r="I6" i="40"/>
  <c r="I5" i="40"/>
  <c r="I4" i="40"/>
  <c r="I3" i="40"/>
  <c r="C7" i="34"/>
  <c r="K60" i="25" l="1"/>
  <c r="H42" i="25"/>
  <c r="J32" i="25"/>
  <c r="H31" i="25"/>
  <c r="H30" i="25"/>
  <c r="H29" i="25"/>
  <c r="H28" i="25"/>
  <c r="H26" i="25"/>
  <c r="H25" i="25"/>
  <c r="H24" i="25"/>
  <c r="H23" i="25"/>
  <c r="H21" i="25"/>
  <c r="J19" i="25"/>
  <c r="H20" i="25"/>
  <c r="H18" i="25"/>
  <c r="H17" i="25"/>
  <c r="H16" i="25"/>
  <c r="H15" i="25"/>
  <c r="H13" i="25"/>
  <c r="H12" i="25"/>
  <c r="H11" i="25"/>
  <c r="N10" i="25"/>
  <c r="K5" i="25"/>
  <c r="C4" i="25"/>
  <c r="J14" i="25" l="1"/>
  <c r="J10" i="25"/>
  <c r="J27" i="25"/>
  <c r="J42" i="2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Anh Dinh Thi Tu (FIS TDC HN)</author>
  </authors>
  <commentList>
    <comment ref="K2" authorId="0" shapeId="0" xr:uid="{6E872469-BFE4-44E7-A547-7C496C198C9F}">
      <text>
        <r>
          <rPr>
            <b/>
            <sz val="9"/>
            <color indexed="81"/>
            <rFont val="Tahoma"/>
            <family val="2"/>
          </rPr>
          <t>Anh Dinh Thi Tu (FIS TDC HN):</t>
        </r>
        <r>
          <rPr>
            <sz val="9"/>
            <color indexed="81"/>
            <rFont val="Tahoma"/>
            <family val="2"/>
          </rPr>
          <t xml:space="preserve">
Nhập mã học viên</t>
        </r>
      </text>
    </comment>
    <comment ref="L2" authorId="0" shapeId="0" xr:uid="{C501F4F7-BA31-4E7E-A269-B3AFB4B9A5E6}">
      <text>
        <r>
          <rPr>
            <b/>
            <sz val="9"/>
            <color indexed="81"/>
            <rFont val="Tahoma"/>
            <family val="2"/>
          </rPr>
          <t>Anh Dinh Thi Tu (FIS TDC HN):</t>
        </r>
        <r>
          <rPr>
            <sz val="9"/>
            <color indexed="81"/>
            <rFont val="Tahoma"/>
            <family val="2"/>
          </rPr>
          <t xml:space="preserve">
Nhập mã giảng viên</t>
        </r>
      </text>
    </comment>
  </commentList>
</comments>
</file>

<file path=xl/sharedStrings.xml><?xml version="1.0" encoding="utf-8"?>
<sst xmlns="http://schemas.openxmlformats.org/spreadsheetml/2006/main" count="2426" uniqueCount="909">
  <si>
    <t>STT</t>
  </si>
  <si>
    <t>Ngân sách
thực hiện
(tỷ đồng)</t>
  </si>
  <si>
    <t>Tình hình thực hiện</t>
  </si>
  <si>
    <t>Ngân sách thực hiện</t>
  </si>
  <si>
    <t>Nguyên nhân chưa hoàn thành, ngân sách không đạt KH</t>
  </si>
  <si>
    <t>Ghi chú</t>
  </si>
  <si>
    <t>Ngày bắt đầu thực hiện</t>
  </si>
  <si>
    <t>Ngày hoàn thành dự kiến</t>
  </si>
  <si>
    <t>Mức độ hoàn thành (%) so với KH</t>
  </si>
  <si>
    <t xml:space="preserve">Tiến độ thực hiện </t>
  </si>
  <si>
    <t>Báo cáo tình hình thực hiện</t>
  </si>
  <si>
    <t>Ngày hoàn thành thực tế</t>
  </si>
  <si>
    <t>Không có tai nạn và sự cố liên quan đến an toàn sức khỏe môi trường bị xử lý bởi cơ quan chức năng</t>
  </si>
  <si>
    <t>Tần suất đo lường</t>
  </si>
  <si>
    <t>Quý</t>
  </si>
  <si>
    <t>Năm</t>
  </si>
  <si>
    <t>Số vụ</t>
  </si>
  <si>
    <t>Văn hóa doanh nghiệp</t>
  </si>
  <si>
    <t>N/A</t>
  </si>
  <si>
    <t>Nhóm BDTT</t>
  </si>
  <si>
    <t>Triển khai các hạng mục cải hoán thuộc chuyên môn phụ trách</t>
  </si>
  <si>
    <t>Đo lường</t>
  </si>
  <si>
    <t>Kế hoạch hành động</t>
  </si>
  <si>
    <t>Tháng</t>
  </si>
  <si>
    <t xml:space="preserve">Rèn luyện chạy bộ </t>
  </si>
  <si>
    <t>Tổ chức hội thao</t>
  </si>
  <si>
    <t>Số lần tổ chức</t>
  </si>
  <si>
    <t>Số vị trí chức danh</t>
  </si>
  <si>
    <t>Tham gia các khóa đào tạo an toàn theo yêu cầu từ đầu mối</t>
  </si>
  <si>
    <t>Tham gia chương trình STOP</t>
  </si>
  <si>
    <t>Số thẻ được công nhận</t>
  </si>
  <si>
    <t>Triển khai hành động KPPN (Căn cứ theo KL điều tra sự cố)</t>
  </si>
  <si>
    <t xml:space="preserve">% HM hoàn thành theo sự phân công </t>
  </si>
  <si>
    <t>% HM BDĐK hoàn thành theo kế hoạch</t>
  </si>
  <si>
    <t>% CBCNV tham gia</t>
  </si>
  <si>
    <t>% HM SCĐX hoàn thành trên tổng số</t>
  </si>
  <si>
    <t>Đảm bảo tính ổn định của thiết bị</t>
  </si>
  <si>
    <t>&gt;= 90%</t>
  </si>
  <si>
    <t>&gt;= 98%</t>
  </si>
  <si>
    <t>&gt;= 99%</t>
  </si>
  <si>
    <t xml:space="preserve">% HM triển khai hành động KPPN trên tổng số </t>
  </si>
  <si>
    <t xml:space="preserve">Tổ chức kiểm tra an toàn cấp 2 đầy đủ, nghiêm túc </t>
  </si>
  <si>
    <t>Trụ cột ET: Xây dựng khung năng lực</t>
  </si>
  <si>
    <t>Trụ cột ET: Đánh giá năng lực cho CBCNV</t>
  </si>
  <si>
    <t>% Hoàn thành</t>
  </si>
  <si>
    <t>Kiểm tra đánh giá</t>
  </si>
  <si>
    <t>- Phổ biến kế hoạch/mục tiêu và các chỉ số đo lường của Xưởng đến các đội hành chính
- Xây dựng kế hoạch/mục tiêu và các chỉ số đo lường đến các đội hành chính
- Sắp xếp/tổ chức nguồn lực các đội đảm bảo đủ để triển khai kế hoạch bảo dưỡng định kỳ
- Lập kế hoạch tổ chức triển khai kế hoạch BD ĐK hàng tháng
- Triển khai kế hoạch BDĐK hàng ngày theo kế hoạch triển khai 
- Đánh giá tiến độ triển khai hàng tuần để điều chỉnh, đảm bảo kiểm soát các hạng mục triển khai đúng kế hoạch; có giải pháp trong trường hợp các hạng mục triển khai không đúng kế hoạch
- Báo cáo kết quả triển khai KH BDĐK hàng tháng</t>
  </si>
  <si>
    <t>- Phổ biến kế hoạch/mục tiêu và các chỉ số đo lường của Xưởng đến các tổ trực ca Điều khiển
- Xây dựng kế hoạch/mục tiêu và các chỉ số đo lường đến các Tổ trực ca Điều khiển
- Sắp xếp/tổ chức nguồn lực các Tổ trực ca đảm bảo đủ về số lượng và đáp ứng về chuyên môn để triển khai công việc
- Lập kế hoạch tổ chức triển khai khi có hư hỏng đột xuất phát sinh
- Triển khai thực hiện công tác sửa chữa theo kế hoạch
- Đánh giá tồn động hàng ngày để điều chỉnh, đảm bảo kiểm soát các hạng mục triển khai đúng kế hoạch; có giải pháp trong trường hợp các hạng mục triển khai không đúng kế hoạch
- Báo cáo kết quả triển khai hàng ca, hàng tuần và hàng tháng</t>
  </si>
  <si>
    <t>- Phổ biến kế hoạch/mục tiêu và các chỉ số đo lường của Xưởng đến các đội/tổ và nhóm theo sơ đồ BDTT
- Xây dựng kế hoạch/mục tiêu và các chỉ số đo lường đến các đội/tổ và nhóm theo sơ đồ BDTT
- Xây dựng Sơ đồ tổ chức/chức năng nhiệm vụ Tổ thiết bị đo lường và điều khiển
- Lập kế hoạch công tác chuẩn bị bảo dưỡng tổng thể
- Triển khai kế hoạch công tác chuẩn bị bảo dưỡng tổng thể
- Lên tiến độ triển khai công tác bảo dưỡng tổng thể 
- Triển khai công tác bảo dưỡng tổng thể theo tiến độ đã ban hành
- Đánh giá rà soát tiến độ/chất lượng công tác triển khai hàng ngày, điều chỉnh khi tiến độ/chất lượng bị ảnh hưởng
- Báo cáo kết quả triển khai công tác bảo dưỡng tổng thể</t>
  </si>
  <si>
    <t xml:space="preserve">- Theo dõi, tiếp nhận các yêu cầu KPPN định kỳ hàng ngày
- Triển khai thực hiện các yêu cầu KPPN khi có đủ điều kiện
- Báo cáo kết quả thực hiện </t>
  </si>
  <si>
    <t>- Tổ chức nhân sự chịu trách nhiệm đầu mối công tác kiểm tra an toàn cấp 2 định kỳ hàng tháng
- Định kỳ kiểm tra an toàn cấp 2 hàng tháng
- Xử lý các vi phạm được phát hiện trong quá trình kiểm tra
- Báo cáo kết quả kiểm tra đến P. ATMT</t>
  </si>
  <si>
    <t>- Xây dựng chỉ tiêu nhân sự tham gia chương trình hàng tháng
- Tổ chức nhân sự chịu trách nhiệm đầu mối xem xét/đánh giá các thẻ được ghi nhận
- Báo cáo các thẻ được ghi nhận định kỳ hàng tháng đến P. ATMT</t>
  </si>
  <si>
    <t>- Tiếp nhận thông tin yêu cầu từ P. ATMT/P. NSĐT
- Lập danh sách nhân sự phù hợp tham gia các khóa đào tạo
- Sắp xếp công việc phù hợp để nhân sự tham gia khóa đào tạo</t>
  </si>
  <si>
    <t>- Tiếp nhận yêu cầu từ đầu mối các dự án đối với phần công việc PVCFC tự thực hiện
- Tổ chức nguồn lực tổ/nhóm chuyên trách để triển khai thực hiện (áp dụng cho các hạng mục cải hoán phức tạp)
- Xây dựng phương án thi công để triển khai thi công
- Tổ chức triển khai thi công/chạy thử theo phương án
- Báo cáo kết quả thực hiện</t>
  </si>
  <si>
    <t>- Phổ biến cho CBCNV về tiêu chí đánh giá 
- Sắp xếp công việc, phân bổ thời gian cho CBCNV nghiên cứu từ điển năng lực.
- Xây dựng hội đồng đánh giá
- Xây dựng biểu mẫu kết quả đánh giá
- Lấy ý kiến từ bộ phận tư vấn và tùy chỉnh phù hợp
- Triển khai đánh giá
- Báo cáo định kỳ tình hình thực hiện
- Báo cáo kết quả triển khai đến Ban GĐNM</t>
  </si>
  <si>
    <t>- Tổ chức đầu mối triển khai
- Thường xuyên khuyến khích, vận động CBCNV tham gia 
- Cân nhắc phân bổ KPI đối với Đội tổ/cá nhân tích cực tham gia và hoàn thành tốt công việc chuyên môn</t>
  </si>
  <si>
    <t>- Đánh giá và tìm giải pháp để cải tiến Robot vận hành được bao 25 Kg
- Lập phương án kỹ thuật
- Mua sắm vật tư theo phương án kỹ thuật
- Triển khai thực hiện thi công
- Chạy thử để đánh giá kết quả
- Báo cáo quá trình thực hiện và kết quả đạt được</t>
  </si>
  <si>
    <t>KẾ HOẠCH /MỤC TIÊU 2026 XƯỞNG ĐIỀU KHIỂN</t>
  </si>
  <si>
    <t>TIÊU CHÍ ĐÁNH GIÁ MỨC ĐỘ HOÀN THÀNH KH/MT HÀNG THÁNG 
XƯỞNG ĐIỀU KHIỂN</t>
  </si>
  <si>
    <t>Hoàn thành nhiệm vụ</t>
  </si>
  <si>
    <t>Hoàn thành tốt nhiệm vụ</t>
  </si>
  <si>
    <t>Hoàn thành xuất sắc nhiệm vụ</t>
  </si>
  <si>
    <t>NGUYÊN TẮC CHUNG TRONG QUÁ TRÌNH ĐÁNH GIÁ</t>
  </si>
  <si>
    <t xml:space="preserve">Nguyên tắc </t>
  </si>
  <si>
    <t>Nội dung</t>
  </si>
  <si>
    <t xml:space="preserve">Nguyên tắc 1 </t>
  </si>
  <si>
    <t>Đối với nhóm nhân sự không thuộc các đội/tổ quản lý, QĐX sẽ tự đánh giá và QĐ sau đó mới phân bổ chỉ tiêu đến các đội/tổ</t>
  </si>
  <si>
    <t xml:space="preserve">Nguyên tắc 2 </t>
  </si>
  <si>
    <t>Đối với các đội/tổ hoàn thành đúng tiến độ/chất lượng các hạng mục công việc phát sinh với khối lượng lớn, LĐX sẽ xem xét đánh giá và phân bổ bổ sung các chỉ tiêu A1, A2 đến đội/tổ</t>
  </si>
  <si>
    <t xml:space="preserve">Nguyên tắc 3 </t>
  </si>
  <si>
    <t xml:space="preserve">Nguyên tắc 4 </t>
  </si>
  <si>
    <t>Đối với hoạt động đoàn thể BT.ĐTN, TT. CĐ có đánh giá đoàn viên thanh niên/công đoàn viên tham gia tích cực để các đội/tổ xem xét đánh giá A1/A2 cho đoàn viên thanh niên/công đoàn viên</t>
  </si>
  <si>
    <t xml:space="preserve">Nguyên tắc 5 </t>
  </si>
  <si>
    <t xml:space="preserve">Nguyên tắc 6 </t>
  </si>
  <si>
    <t>Đội/tổ không hoàn thành nhiệm vụ sẽ không phân bổ KPI tháng đó</t>
  </si>
  <si>
    <t>Nguyên tắc 7</t>
  </si>
  <si>
    <t>Đội/tổ hoàn thành tốt nhiệm vụ được phân bổ KPI nhiều hơn đội/tổ chỉ hoàn thành nhiệm vụ</t>
  </si>
  <si>
    <t>Nguyên tắc 8</t>
  </si>
  <si>
    <t>Đội/tổ hoàn thành xuất sắc nhiệm vụ được phân bổ KPI nhiều hơn đội/tổ chỉ hoàn thành tốt nhiệm vụ</t>
  </si>
  <si>
    <t>Nguyên tắc 9</t>
  </si>
  <si>
    <t>Nguyên tắc 10</t>
  </si>
  <si>
    <t xml:space="preserve">Nguyên tắc 11 </t>
  </si>
  <si>
    <t>Nguyên tắc 12</t>
  </si>
  <si>
    <t>Đối với hoạt động phong trào/Đầu mục công việc trong tháng đầu mối Xưởng không tổ chức chương trình thì không xét vào tiêu chí đánh giá của tháng</t>
  </si>
  <si>
    <t>Minhvq; Haint; Linhln</t>
  </si>
  <si>
    <t>Kiaq;
Trangnv</t>
  </si>
  <si>
    <t>Thanhdq; Doint; Chienpq; Loitt</t>
  </si>
  <si>
    <t>Kiaq</t>
  </si>
  <si>
    <t>Minhvq; Haint; Linhln; 
Thanhdq; Doint; Chienpq; Loitt</t>
  </si>
  <si>
    <t>≤ 4,19 ngày hoặc 
100,5 giờ</t>
  </si>
  <si>
    <t>Số ngày dừng máy do lỗi thiết bị (không tính thời gian dừng và khởi động Nhà máy)</t>
  </si>
  <si>
    <t>% HM BDTT hoàn thành theo kế hoạch;
Số giờ (h) vượt kế hoạch</t>
  </si>
  <si>
    <t>&gt;= 99%;
&gt;= 4h</t>
  </si>
  <si>
    <t>Quản trị rủi ro thiết bị</t>
  </si>
  <si>
    <t>Triển khai công tác cải hoán thuộc chuyên môn phụ trách khi có yêu cầu từ đầu mối</t>
  </si>
  <si>
    <t>Mở rộng  hệ thống Fire and Gas theo kết quả Gas mapping report</t>
  </si>
  <si>
    <t>Nâng mức độ triển khai TPM toàn Nhà máy lên đạt tối thiểu 60% theo bộ tiêu chuẩn TPM Excellence Award</t>
  </si>
  <si>
    <t>Quyenpt</t>
  </si>
  <si>
    <t xml:space="preserve">Minhvq; Haint; Linhln; </t>
  </si>
  <si>
    <t>ĐCM.O1.KR1</t>
  </si>
  <si>
    <t>Đảm bảo không có Sự cố gây dừng máy hay mất sản lượng do lỗi chủ quan của con người</t>
  </si>
  <si>
    <t>Số sự cố</t>
  </si>
  <si>
    <t>ĐCM.O1.KR2</t>
  </si>
  <si>
    <t>ĐCM.O1</t>
  </si>
  <si>
    <t>Triển khai hạng mục nâng cao độ tin cậy:
- Chuyển đổi positioner FF-4.20mmA
- Chuyển Redundant Solenoid</t>
  </si>
  <si>
    <t>%Hoàn thành theo kế hoạch</t>
  </si>
  <si>
    <t>ĐCM.O1.KR3</t>
  </si>
  <si>
    <t>200</t>
  </si>
  <si>
    <t>.…</t>
  </si>
  <si>
    <t>….Đội tổ cho ý tưởng thêm</t>
  </si>
  <si>
    <t>Cải tạo hệ thống tiếp địa cho thiết bị đo lường, van điều khiển và hệ thống điều khiển</t>
  </si>
  <si>
    <t>Cải tạo hệ thống máng cáp</t>
  </si>
  <si>
    <t>Số KTV hoàn thành đánh giá</t>
  </si>
  <si>
    <t>ĐCM.O3</t>
  </si>
  <si>
    <t>Mục tiêu 3: Duy trì Tổng tiêu hao năng lượng ≤ 21,639 GJ/ T. Ure bao (Bộ năng lượng kỹ thuật; mục IV; tải NM ≥ 115%; không bao gồm sự cố)</t>
  </si>
  <si>
    <t>Số sáng kiến được công nhận</t>
  </si>
  <si>
    <t xml:space="preserve">Hướng dẫn bảo dưỡng </t>
  </si>
  <si>
    <t>Có thực hiện ĐGRR cho hạng mục có mối nguy</t>
  </si>
  <si>
    <r>
      <t xml:space="preserve">Triển khai công tác BD định kỳ theo kế hoạch đảm bảo </t>
    </r>
    <r>
      <rPr>
        <b/>
        <sz val="14"/>
        <color theme="1"/>
        <rFont val="Times New Roman"/>
        <family val="1"/>
      </rPr>
      <t>chất lượng</t>
    </r>
    <r>
      <rPr>
        <sz val="14"/>
        <color theme="1"/>
        <rFont val="Times New Roman"/>
        <family val="1"/>
      </rPr>
      <t xml:space="preserve"> và đúng </t>
    </r>
    <r>
      <rPr>
        <b/>
        <sz val="14"/>
        <color theme="1"/>
        <rFont val="Times New Roman"/>
        <family val="1"/>
      </rPr>
      <t>tiến độ</t>
    </r>
  </si>
  <si>
    <r>
      <t>Triển khai công tác sửa chữa đột xuất đảm bảo</t>
    </r>
    <r>
      <rPr>
        <b/>
        <sz val="14"/>
        <color theme="1"/>
        <rFont val="Times New Roman"/>
        <family val="1"/>
      </rPr>
      <t xml:space="preserve"> kịp thời</t>
    </r>
    <r>
      <rPr>
        <sz val="14"/>
        <color theme="1"/>
        <rFont val="Times New Roman"/>
        <family val="1"/>
      </rPr>
      <t xml:space="preserve"> và </t>
    </r>
    <r>
      <rPr>
        <b/>
        <sz val="14"/>
        <color theme="1"/>
        <rFont val="Times New Roman"/>
        <family val="1"/>
      </rPr>
      <t>chất lượng</t>
    </r>
  </si>
  <si>
    <t>Người thực hiện/Đầu mối</t>
  </si>
  <si>
    <t>Kiaq;</t>
  </si>
  <si>
    <t xml:space="preserve">Thanhdq; Doint; Chienpq; Loitt
Minhvq; Haint; Linhln; </t>
  </si>
  <si>
    <t>Minhvq; Haint; Linhln;'Thanhdq; Doint; Chienpq; Loitt</t>
  </si>
  <si>
    <t>Linhln</t>
  </si>
  <si>
    <t>Cunghv</t>
  </si>
  <si>
    <t>% Hoàn thành theo kế hoạch</t>
  </si>
  <si>
    <t xml:space="preserve">Haint; Linhln; </t>
  </si>
  <si>
    <t>Trụ cột AM: Rà soát ống turbing van điều khiển và thiết bị đo</t>
  </si>
  <si>
    <t>%Hoàn thành giờ đào tạo nội bộ</t>
  </si>
  <si>
    <t xml:space="preserve">Haint </t>
  </si>
  <si>
    <t>Cải tiến hệ thống robot NPK gấp được bao 25Kg</t>
  </si>
  <si>
    <t>Mục tiêu 1: Đảm bảo Nhà máy hoạt động an toàn, ổn định đạt sản lượng sản xuất 935K tấn Urê quy đổi</t>
  </si>
  <si>
    <t>Trụ cột AM: Tiêu chuẩn hóa lắp đặt thiết bị đo lường và van điều khiển</t>
  </si>
  <si>
    <t>%Hoàn thành theo kế hoạch của TPM center</t>
  </si>
  <si>
    <t xml:space="preserve">Haint; </t>
  </si>
  <si>
    <t>Trụ cột AM: Xử lý các thẻ TPM tag</t>
  </si>
  <si>
    <t xml:space="preserve">Doint </t>
  </si>
  <si>
    <t>Số lượng ý tưởng/CTKT được công nhận</t>
  </si>
  <si>
    <t>Trụ cột FI: Có Sáng kiến được công nhận cấp tiểu ban Điều khiển (Mỗi Đội/tổ 2 cái)</t>
  </si>
  <si>
    <t>Trụ cột FI: Mỗi Đội/Tổ có ý tưởng/CTKT được công nhận Cấp Xưởng</t>
  </si>
  <si>
    <t>Trụ cột OI: Thực hiện theo yêu cầu TPM center</t>
  </si>
  <si>
    <t>Trụ cột SHE: Thực hiện theo yêu cầu TPM center</t>
  </si>
  <si>
    <t>Chia sẽ văn hoá /Quy trình/Chuyên môn chung
(Chiều thứ 6, tuần cuối cùng của tháng)</t>
  </si>
  <si>
    <t>Số lần thực hiện</t>
  </si>
  <si>
    <t>Truyền thông Xưởng Điều khiển trên GapoWork</t>
  </si>
  <si>
    <t>Tháng
(Trừ Tháng thực hiện BDTT, Tết nguyên đán)</t>
  </si>
  <si>
    <t>ĐTN</t>
  </si>
  <si>
    <t>Đối với các tổ chức đoàn thể, tùy vào phong trào Xưởng sẽ có đánh giá trực tiếp A1/A2 cho BT. ĐTN, TT. CĐ sau đó mới phân bổ chỉ tiêu đến các đội/tổ</t>
  </si>
  <si>
    <t>Đội/tổ hoàn thành xuất sắc nhiệm vụ đội/tổ trưởng sẽ được phân bổ 01 A1 (Đối với tổ trực ca chỉ tính 01 chỉ tiêu) sau đó mới phân bổ chỉ tiêu đến các đội/tổ</t>
  </si>
  <si>
    <t>Đội/tổ hoàn thành tốt nhiệm vụ trong 02 tháng liên tiếp đội/tổ trưởng sẽ được phân bổ 01 A2 (Đối với tổ trực ca chỉ tính 01 chỉ tiêu) sau đó mới phân bổ chỉ tiêu đến các đội/tổ</t>
  </si>
  <si>
    <t>Đối với tháng triển khai thực hiện BDTT các nhóm theo sơ đồ tổ chức BDTT</t>
  </si>
  <si>
    <t>Nhóm nhân sự trực Tết âm lịch được xem xét ưu tiên</t>
  </si>
  <si>
    <t>Nguyên tắc 13</t>
  </si>
  <si>
    <t>Nguyên tắc 14</t>
  </si>
  <si>
    <t>Đội/tổ hoàn thành tốt nhiệm vụ trong 04 tháng liên tiếp đội/tổ trưởng sẽ được phân bổ 01 A1 (Đối với tổ trực ca chỉ tính 01 chỉ tiêu) sau đó mới phân bổ chỉ tiêu đến các đội/tổ</t>
  </si>
  <si>
    <t>Mã Mục tiêu (O), Kết quả then chốt (KR), Kế hoạch hành động (KHHĐ) Nhà máy</t>
  </si>
  <si>
    <t>Tên Mục tiêu (O), Kết quả then chốt (KR), Kế hoạch hành động (KHHĐ) Nhà máy</t>
  </si>
  <si>
    <t>Tỷ trọng Mục tiêu (O), Kết quả then chốt (KR), Kế hoạch hành động (KHHĐ) Nhà máy</t>
  </si>
  <si>
    <t>Mã mục tiêu/Kết quả then chốt phòng xưởng</t>
  </si>
  <si>
    <t>Tên mục tiêu / Kết quả then chốt (Các kết quả then chốt (KR) phải đo lường được)</t>
  </si>
  <si>
    <t>Mục 
đích</t>
  </si>
  <si>
    <t>Tỷ trọng mục tiêu</t>
  </si>
  <si>
    <t>ĐCM.O1.KR1.ĐK.O1</t>
  </si>
  <si>
    <t>ĐCM.O1.KR1.ĐK.O1.KR1</t>
  </si>
  <si>
    <t>ĐCM.O1.KR1.ĐK.O1.KR2</t>
  </si>
  <si>
    <t>ĐCM.O1.KR1.ĐK.O1.KR3</t>
  </si>
  <si>
    <t>ĐCM.O1.KR2.ĐK.O2</t>
  </si>
  <si>
    <t>ĐCM.O1.KR2.ĐK.O2.KR1</t>
  </si>
  <si>
    <t>ĐCM.O1.KR2.ĐK.O2.KR2</t>
  </si>
  <si>
    <t>ĐCM.O1.KR2.ĐK.O2.KR3</t>
  </si>
  <si>
    <t>ĐCM.O1.KR2.ĐK.O2.KR4</t>
  </si>
  <si>
    <t>ĐCM.O1.KR2.ĐK.O2.KR5</t>
  </si>
  <si>
    <t>ĐCM.O1.KR3.ĐK.O3</t>
  </si>
  <si>
    <t>ĐCM.O1.KR3.ĐK.O3.KR1</t>
  </si>
  <si>
    <t>ĐCM.O1.KR3.ĐK.O3.KR2</t>
  </si>
  <si>
    <t>ĐCM.O1.KR3.ĐK.O3.KR3</t>
  </si>
  <si>
    <t>ĐCM.O3.KR1</t>
  </si>
  <si>
    <t>Triển khai công tác cải hoán và tối ưu hóa</t>
  </si>
  <si>
    <t>ĐCM.O3.KR1.ĐK.O4</t>
  </si>
  <si>
    <t>ĐCM.O3.KR1.ĐK.O4.KR1</t>
  </si>
  <si>
    <t>ĐCM.O3.KR1.ĐK.O4.KR2</t>
  </si>
  <si>
    <t>ĐCM.O3.KR1.ĐK.O4.KR3</t>
  </si>
  <si>
    <t>ĐCM.O3.KR1.ĐK.O4.KR4</t>
  </si>
  <si>
    <t>ĐCM.O3.KR1.ĐK.O4.KR5</t>
  </si>
  <si>
    <t>ĐCM.O3.KR1.ĐK.O4.KR6</t>
  </si>
  <si>
    <t>ĐCM.O4</t>
  </si>
  <si>
    <t>Bảo đảm TPM-Center triển khai đầy đủ và hiệu quả công tác điều phối và thực hiện TPM cấp Nhà máy</t>
  </si>
  <si>
    <t>Trụ cột ET: Triển khai đào tạo nội bộ theo kế hoạch được phê duyệt</t>
  </si>
  <si>
    <t>Trụ cột ET: Tổ chức hội thảo chuyên môn 
(Bắt buộc với chức danh Kỹ sư và khuyến khích đối với chức danh KTV)</t>
  </si>
  <si>
    <t xml:space="preserve">Triển khai các trụ cột TPM thuộc chuyên môn phụ trách </t>
  </si>
  <si>
    <t>ĐCM.O4.KR2</t>
  </si>
  <si>
    <t>CÔNG TY CỔ PHẦN</t>
  </si>
  <si>
    <t>PHÂN BÓN DẦU KHÍ CÀ MAU</t>
  </si>
  <si>
    <t>(Ban hành kèm theo Quyết định số /QĐ-PVCFC của TGĐ ngày …...../…........./202...)</t>
  </si>
  <si>
    <t>Mã O-KRs Công ty</t>
  </si>
  <si>
    <t>Mã O-KRs Nhà máy</t>
  </si>
  <si>
    <t>TT</t>
  </si>
  <si>
    <t>Tên mục tiêu/
Kết quả mong muốn</t>
  </si>
  <si>
    <t>Đo 
lường</t>
  </si>
  <si>
    <t>Tỷ trọng 
mục tiêu</t>
  </si>
  <si>
    <t xml:space="preserve">Kế hoạch 
hành động  </t>
  </si>
  <si>
    <t>Ngân sách 
thực hiện
(tỷ đồng)</t>
  </si>
  <si>
    <t>Cá nhân/
Đơn vị
đánh giá</t>
  </si>
  <si>
    <t xml:space="preserve">Mức độ hoàn thành (%) </t>
  </si>
  <si>
    <t>Phòng/ Xưởng đầu mối xây dựng</t>
  </si>
  <si>
    <t>(1)</t>
  </si>
  <si>
    <t>(2)</t>
  </si>
  <si>
    <t>(3)</t>
  </si>
  <si>
    <t>(4)</t>
  </si>
  <si>
    <t>(5)</t>
  </si>
  <si>
    <t>(6)</t>
  </si>
  <si>
    <t>(7)</t>
  </si>
  <si>
    <t>(8)</t>
  </si>
  <si>
    <t>(9)</t>
  </si>
  <si>
    <t>PVCFC.O3</t>
  </si>
  <si>
    <r>
      <t xml:space="preserve">Mục tiêu 1: Đảm bảo Nhà máy hoạt động an toàn, ổn định đạt sản lượng sản xuất </t>
    </r>
    <r>
      <rPr>
        <b/>
        <sz val="12"/>
        <color rgb="FFFF0000"/>
        <rFont val="Times New Roman"/>
        <family val="1"/>
      </rPr>
      <t>935K</t>
    </r>
    <r>
      <rPr>
        <b/>
        <sz val="12"/>
        <rFont val="Times New Roman"/>
        <family val="1"/>
      </rPr>
      <t xml:space="preserve"> tấn Urê quy đổi</t>
    </r>
  </si>
  <si>
    <t>P.TGĐ phụ trách</t>
  </si>
  <si>
    <t>1.1</t>
  </si>
  <si>
    <t>- Đảm bảo 100% số lượng nhân sự đáp ứng các vị trí công việc; Tổ chức hội thi vận hành OTS cho các xưởng Amo, Urê, Phụ trợ.
- Đảm bảo các báo cáo vận hành đáp ứng các hoạt động sản xuất
- Đề xuất xử lý các tính huống phát sinh máy móc thiết bị kịp thời đảm bảo tính dự phòng của các thiết bị
- Đánh giá các rủi ro trong việc bảo dưỡng các thiết bị quan trọng, đề xuất các giải pháp phòng ngừa
- Hoàn thành Bảo dưỡng tổng thể an toàn - chất lượng (Không có tai nạn về con người, thiết bị và môi trường trong quá trình dừng/chạy và bàn giao thiết bị , kiểm soát xả thải không gây ô nhiễm môi trưởng, không có sự cố phát sinh)
- Hoàn thành 100% các hoạt động chăm sóc thiết bị vận hành (AM -TPM)
- Cải tiến quy trình:
   + Tiếp tục tập trung cải tiến trực quan quy trình/hướng dẫnvận hành, kiểm tra thiết bị hiện trường
   + Cập nhật và cải tiến hệ thống quy trình, hướng dẫn vận hành
   + Tính toán phương án chạy máy phù hợp với từng tình huống gián đoạn nguồn cung cấp khí và điện
- Điều phối xử lý các tồn đọng ảnh hưởng đến khả năng hoạt động liên tục của Nhà máy kịp thời
- Kiểm soát việc thực hiện check list trong quá trình dừng và chạy máy.</t>
  </si>
  <si>
    <t>KHĐĐ</t>
  </si>
  <si>
    <t>1.2</t>
  </si>
  <si>
    <t xml:space="preserve">Đảm bảo tính ổn định của thiết bị
</t>
  </si>
  <si>
    <t>≤ 4,19 ngày (hoặc 100,5 giờ)</t>
  </si>
  <si>
    <t>- Xác định các thiết bị có nguy cơ cao nếu hư hỏng gây mất sản lượng Urê.
- Đánh giá tình trạng và tuổi thọ của các thiết bị này dựa trên lịch sử vận hành và bảo dưỡng.
- Sử dụng các công cụ giám sát thiết bị, chuẩn đoán tình trạng thiết bị để xác định và dự báo các hư hỏng tiềm ẩn có thể xảy ra trước kế hoạch.
- Rà soát tồn kho vật tư, đề xuất mua sắm vật tư đảm bảo luôn có sẵn vật tư thay thế nhằm giảm thiểu thời gian ngừng máy do chờ vật tư.
- Theo dõi lịch sử hỏng hóc thiết bị và đánh giá điều chỉnh, cải tiến Master data.
- Phát triển năng lực đội ngũ nhân sự bảo dưỡng sửa chữa.
- Thực hiện điều tra và hoàn thành báo cáo theo thời gian quy định của từng sự cố. 
- Thực hiện các hành động khắc phục phòng ngừa theo thời gian quy định trên phiếu khắc phục phòng ngừa.</t>
  </si>
  <si>
    <t>KTBD</t>
  </si>
  <si>
    <t>1.3</t>
  </si>
  <si>
    <t>Đảm bảo Không có tai nạn và sự cố liên quan đến an toàn sức khỏe môi trường bị xử lý bởi cơ quan chức năng</t>
  </si>
  <si>
    <t>- Tiếp tục duy trì hệ thống quản lý an toàn công nghệ.
- Tiếp tục duy trì giám sát hành vi và điều kiện an toàn, không an toàn qua việc thực hiện chương trình STOP.
- Lập phương án an ninh, phối hợp với lực lượng PVS, công an đồn tuần tra an ninh theo ca và trong giai đoạn bảo dưỡng tổng thể, mua sắm vật tư an ninh.
- Thực hiện kiểm tra và khắc phục các tồn tại về an toàn, sức khỏe, môi trường và PCCC qua các đợt kiểm tra an toàn cấp 1, cấp 2, cấp 3.
- Mua sắm và Cấp phát đầy đủ các trang thiết bị bảo hộ và phương tiện bảo vệ cá nhân cho cho cán bộ công nhân viên.
- Thực hiện đầy đủ khám sức khỏe định kỳ và khám sức khỏe nghề nghiệp cho CBCNV Nhà máy, cấp phát thuốc và sơ cấp cứu theo ca trực.
- Đo đạc đầy đủ các nguồn phát sinh chất ô nhiễm môi trường, chất độc hại theo quy định pháp luật, đảm bảo hệ thống quan trắc môi trường tự động hoạt động bình thường, chuyển giao chất thải, trang bị vật tư môi trường.
- Thực hiện đầy đủ các khóa đào tạo an toàn theo luật định, mua vật tư, thuê dịch vụ phục vụ đào tạo.
- Thực hiện đầy đủ các cuộc diễn tập phòng ngừa theo nhận diện mối nguy rủi ro, trang bị vật tư, thiết bị PCCC.
- Thực hiện tuyên truyền về an toàn sức khỏe môi trường.
- Duy trì hệ thống QHSE.</t>
  </si>
  <si>
    <t>ATMT</t>
  </si>
  <si>
    <t>ĐCM.O2</t>
  </si>
  <si>
    <t>Mục tiêu 2: Khai thác hiệu quả dây chuyền sản xuất NPK</t>
  </si>
  <si>
    <t>ĐCM.O2.KR1</t>
  </si>
  <si>
    <t>2.1</t>
  </si>
  <si>
    <t>Đáp ứng đơn hàng của Ban Kinh doanh về số lượng, chất lượng và tiến độ và hiệu quả</t>
  </si>
  <si>
    <r>
      <t xml:space="preserve">Tỷ lệ đáp ứng đơn hàng của Ban Kinh doanh về số lượng, chất lượng và tiến độ </t>
    </r>
    <r>
      <rPr>
        <b/>
        <sz val="12"/>
        <rFont val="Times New Roman"/>
        <family val="1"/>
      </rPr>
      <t>(Khi đủ điều kiện về bao bì, nguyên vật liệu phù hợp)</t>
    </r>
    <r>
      <rPr>
        <sz val="12"/>
        <rFont val="Times New Roman"/>
        <family val="1"/>
      </rPr>
      <t xml:space="preserve">
</t>
    </r>
  </si>
  <si>
    <r>
      <t xml:space="preserve">- Duy trì tính ổn định của hệ thống/ thiết bị:
   + Số lỗi sự cố chủ quan gây dừng máy dài hơn 3 ngày &lt; 3 lần/ năm
   + Tỷ lệ offspec phát sinh trong quá trính sản xuất &lt; 5 % và được đưa vào tái sản xuất hoàn toàn
   + Tải sản xuất trung bình &gt;80%
   + Tiêu hao sản xuất chung &lt; 101,5 %
</t>
    </r>
    <r>
      <rPr>
        <sz val="12"/>
        <color rgb="FFFF0000"/>
        <rFont val="Times New Roman"/>
        <family val="1"/>
      </rPr>
      <t xml:space="preserve">   + Tiêu hao trung bình của P ≤ 102%
   + Tiêu hao trung bình của K ≤ 102,5%
   + Xây dựng, đề xuất phương án nâng công suất xưởng NPK lên thêm trung bình 5% (tính theo tải trung bình từng nhóm công thức)
</t>
    </r>
    <r>
      <rPr>
        <sz val="12"/>
        <rFont val="Times New Roman"/>
        <family val="1"/>
      </rPr>
      <t>- Xây dựng năng lực sản xuất theo kế hoạch tiêu thụ năm Ban Kinh Doanh với khối lượng theo từng công thức, nhóm công thức cụ thể với số ngày hoạt động tối thiểu, tối đa.
- Cập nhật dự báo năng lực sản xuất khi có thay đổi: nhu cầu khối lượng và tỷ lệ nhóm công thức tiêu thụ theo công văn đặt hàng của Ban Kinh Doanh vào mỗi quý; năng lực đáp ứng thực tế sản xuất của dây chuyền NPK; thay đổi mới dây chuyền công nghệ.</t>
    </r>
  </si>
  <si>
    <t>NPK</t>
  </si>
  <si>
    <t>ĐCM.O2.KR2</t>
  </si>
  <si>
    <t>2.2</t>
  </si>
  <si>
    <t xml:space="preserve">Nâng cao bảo dưỡng tự chủ và công tác Chống ăn mòn khu vực NPK </t>
  </si>
  <si>
    <t>Hoàn thành khối lượng bảo dưỡng tự chủ và công tác Chống ăn mòn của X.NPK</t>
  </si>
  <si>
    <r>
      <t xml:space="preserve">- Kiểm tra định kỳ thiết bị hằng ca và ghi nhận logsheet đầy đủ.
- Hoàn thành 100% tiểu tu, chăm sóc thiết bị theo kế hoạch, bơm mỡ châm dầu định kỳ.
</t>
    </r>
    <r>
      <rPr>
        <sz val="12"/>
        <color rgb="FFFF0000"/>
        <rFont val="Times New Roman"/>
        <family val="1"/>
      </rPr>
      <t>- Nâng cao năng lực TPM cho đội ngũ vận hành, hoàn thành AM bước 2.</t>
    </r>
    <r>
      <rPr>
        <sz val="12"/>
        <rFont val="Times New Roman"/>
        <family val="1"/>
      </rPr>
      <t xml:space="preserve">
- Thực hiện khắc phục ngay các phát sinh vừa và nhỏ trong ca trực.
- Hoàn thiện sơ đồ tổ chức đội cơ khí NPK, bổ sung nhân sự theo sơ đồ.
</t>
    </r>
    <r>
      <rPr>
        <sz val="12"/>
        <color rgb="FFFF0000"/>
        <rFont val="Times New Roman"/>
        <family val="1"/>
      </rPr>
      <t>- Hoàn thành kế hoạch chống ăn mòn (1800 m2).</t>
    </r>
  </si>
  <si>
    <t>ĐCM.O2.KR3</t>
  </si>
  <si>
    <t>2.3</t>
  </si>
  <si>
    <t>Đảm bảo tính ổn định của máy móc thiết bị xưởng NPK</t>
  </si>
  <si>
    <t>Thời gian gián đoạn sản xuất do lỗi thiết bị trong 01 đợt sản xuất (quý)</t>
  </si>
  <si>
    <r>
      <t xml:space="preserve">≤ </t>
    </r>
    <r>
      <rPr>
        <b/>
        <sz val="12"/>
        <color rgb="FFFF0000"/>
        <rFont val="Times New Roman"/>
        <family val="1"/>
      </rPr>
      <t>3 ngày</t>
    </r>
    <r>
      <rPr>
        <b/>
        <sz val="12"/>
        <rFont val="Times New Roman"/>
        <family val="1"/>
      </rPr>
      <t>/ đợt sản xuất</t>
    </r>
  </si>
  <si>
    <t>- Khảo sát, đánh giá tình trạng thiết bị.
- Rà soát tồn kho vật tư.
- Đề xuất mua sắm vật tư/thuê dịch vụ.
- Đề xuất kế hoạch bảo dưỡng sửa chữa.
- Lập dự toán, quyết toán chi phí bảo dưỡng tổng thể NPK.
- Triển khai thực hiện bảo dưỡng sửa chữa.
- Báo cáo kết quả thực hiện bảo dưỡng tổng thể NPK.
- Hoàn thành hồ sơ nghiệm thu hạng mục trên hệ thống SAP.</t>
  </si>
  <si>
    <t>ĐCM.O2.KR4</t>
  </si>
  <si>
    <t>2.4</t>
  </si>
  <si>
    <t>Tối ưu thời gian nhập nguyên liệu vào nhà máy</t>
  </si>
  <si>
    <t>Tỷ lệ số lần phương tiện chờ lên nguyên liệu ≤ 10 ngày</t>
  </si>
  <si>
    <t>≥95%</t>
  </si>
  <si>
    <t>- Cung cấp kịp thời các thông tin cần thiết cho đối tác (Khí Cà Mau) để đánh giá, thi công (khi được chấp thuận của 2 bên) về việc xây/thuê kho của Khí Cà Mau. Đáp ứng nhu cầu lưu kho thêm khoảng 20k tấn thành phẩm.
- Chuẩn bị đầy đủ các công cụ dụng cụ bao gồm Pallet, bạt che, dây dù, xe tải, xe nâng, nhân sự phục vụ công tác lưu kho cả thành phẩm và nguyên liệu.
- Xây dựng phương án lưu kho tối ưu với kho 12k tấn, bãi chứa hàng hóa sau cooling và kho thuê (nếu có) khi các kho này đưa vào sử dụng.
- Cập nhật và góp ý thường xuyên với đơn vị liên quan (KHĐĐ, Tổ mua sắm nguyên liệu, xưởng NPK, Giao nhận) để huy động nguyên liệu về phù hợp với tiến độ chạy máy và tồn kho hiện hữu. Đảm bảo thời gian chờ giao nguyên liệu của các phương tiện trong giai đoạn cao điểm không quá 10 ngày.
- Xây dựng phương án chất hàng lên 4-5 lớp pallet khi có xe nâng đáp ứng yêu cầu.</t>
  </si>
  <si>
    <t>SP</t>
  </si>
  <si>
    <t>PVCFC.O8</t>
  </si>
  <si>
    <r>
      <t xml:space="preserve">Mục tiêu 3: Duy trì Tổng tiêu hao năng lượng ≤ 21,639 GJ/ T. Ure bao (Bộ năng lượng kỹ thuật; mục IV; </t>
    </r>
    <r>
      <rPr>
        <b/>
        <sz val="12"/>
        <color rgb="FFFF0000"/>
        <rFont val="Times New Roman"/>
        <family val="1"/>
      </rPr>
      <t>tải NM ≥ 115%</t>
    </r>
    <r>
      <rPr>
        <b/>
        <sz val="12"/>
        <rFont val="Times New Roman"/>
        <family val="1"/>
      </rPr>
      <t xml:space="preserve">; </t>
    </r>
    <r>
      <rPr>
        <b/>
        <sz val="12"/>
        <color rgb="FFFF0000"/>
        <rFont val="Times New Roman"/>
        <family val="1"/>
      </rPr>
      <t>không bao gồm sự cố</t>
    </r>
    <r>
      <rPr>
        <b/>
        <sz val="12"/>
        <rFont val="Times New Roman"/>
        <family val="1"/>
      </rPr>
      <t>)</t>
    </r>
  </si>
  <si>
    <t>3.1</t>
  </si>
  <si>
    <t>Số lượng các hạng mục cải hoán hoàn thành lắp đặt và đưa vào hoạt động</t>
  </si>
  <si>
    <t>≥ 4</t>
  </si>
  <si>
    <r>
      <rPr>
        <sz val="12"/>
        <color theme="1"/>
        <rFont val="Times New Roman"/>
        <family val="1"/>
      </rPr>
      <t xml:space="preserve">- Lắp đặt bổ sung thiết bị HTS và LTS
- Lắp đặt trao đổi nhiệt E04701C
- Lắp đặt trao đổi nhiệt E06116C
- Lắp đặt thiết bị trao đổi nhiệt bổ sung công suất cho hệ thống trao đổi nhiệt tấm E21201A-J
- Lắp đặt bổ sung line đóng bao xưởng Sản phẩm
- Cải tạo và nâng cao hiệu suất quạt cooling
</t>
    </r>
    <r>
      <rPr>
        <sz val="12"/>
        <color rgb="FFFF0000"/>
        <rFont val="Times New Roman"/>
        <family val="1"/>
      </rPr>
      <t xml:space="preserve">- Hoàn thiện lắp đặt các hạng mục:
  + Cải tạo burner offgas và cải tạo đường ống cấp fuel cho thiết bị reforming sơ cấp
  + Cải tạo bộ lọc đầu vào bơm HP BFW
  + Cải tạo Pilot cho hệ thống đuốc
  + Tie-in point cho hạng mục mua hơi công nghiệp
</t>
    </r>
    <r>
      <rPr>
        <sz val="12"/>
        <color theme="1"/>
        <rFont val="Times New Roman"/>
        <family val="1"/>
      </rPr>
      <t xml:space="preserve">- Cải tạo tối ưu lưu kho và xuất hàng tại xưởng Sản phẩm
- Cải tạo cụm nạp liệu bổ sung xưởng NPK
- Lắp đặt hệ thống gia nhiệt cụm HDS và cụm tổng hợp
</t>
    </r>
    <r>
      <rPr>
        <sz val="12"/>
        <color rgb="FFFF0000"/>
        <rFont val="Times New Roman"/>
        <family val="1"/>
      </rPr>
      <t>- Cải tạo burner của lò đốt F08101</t>
    </r>
  </si>
  <si>
    <t>CN</t>
  </si>
  <si>
    <t>ĐCM.O3.KR2</t>
  </si>
  <si>
    <t>3.2</t>
  </si>
  <si>
    <t>Hoàn thiện các báo cáo đánh giá đề xuất giải pháp / báo cáo cơ hội</t>
  </si>
  <si>
    <t>Số lượng báo cáo đánh giá đề xuất giải pháp / báo cáo cơ hội được phê duyệt</t>
  </si>
  <si>
    <t>≥ 2</t>
  </si>
  <si>
    <r>
      <rPr>
        <sz val="12"/>
        <color theme="1"/>
        <rFont val="Times New Roman"/>
        <family val="1"/>
      </rPr>
      <t xml:space="preserve">- Nghiên cứu thu hồi PC Urea
- Nghiên cứu cải tạo cụm phun bọc xưởng Sản phẩm
- Nghiên cứu cải tạo tháp rửa bụi C08101
</t>
    </r>
    <r>
      <rPr>
        <sz val="12"/>
        <color rgb="FFFF0000"/>
        <rFont val="Times New Roman"/>
        <family val="1"/>
      </rPr>
      <t xml:space="preserve">- Hoàn thiện các báo cáo:
+ Lắp đặt thiết bị khử vi sinh cho hệ thống nước demi;
+ Nghiên cứu cải tạo thay đổi phương pháp đo mức C06101;
+ Nghiên cứu cải tạo hệ thống phân phối PA vào đáy E06101;
+ Nghiên cứu Cải tạo hệ thống hấp thụ bụi và NH3 bằng axit tại C07601.
</t>
    </r>
    <r>
      <rPr>
        <sz val="12"/>
        <color theme="1"/>
        <rFont val="Times New Roman"/>
        <family val="1"/>
      </rPr>
      <t>- Nghiên cứu cải tạo cụm thu hồi CO2</t>
    </r>
    <r>
      <rPr>
        <sz val="12"/>
        <color rgb="FFFF0000"/>
        <rFont val="Times New Roman"/>
        <family val="1"/>
      </rPr>
      <t xml:space="preserve">
- Hoàn thiện các báo cáo:
  + Nghiên cứu đánh giá Nâng công suất xưởng Urea
  + Nghiên cứu lắp đặt bổ sung bồn chứa NH3
</t>
    </r>
    <r>
      <rPr>
        <sz val="12"/>
        <color theme="1"/>
        <rFont val="Times New Roman"/>
        <family val="1"/>
      </rPr>
      <t>- Nghiên cứu thu hồi nước nhiễm MDEA</t>
    </r>
  </si>
  <si>
    <t>Mục tiêu 4: Nâng mức độ triển khai TPM toàn Nhà máy lên đạt tối thiểu 60% theo bộ tiêu chuẩn TPM Excellence Award</t>
  </si>
  <si>
    <t>ĐCM.O4.KR1</t>
  </si>
  <si>
    <t>4.1</t>
  </si>
  <si>
    <t>Xây dựng và ban hành Kế hoạch TPM theo chuẩn giải thưởng Excellance Award cho năm 2026</t>
  </si>
  <si>
    <t>Kế hoạch triển khai được phê duyệt</t>
  </si>
  <si>
    <t>quý</t>
  </si>
  <si>
    <t>- Xem xét đánh giá và quyết định lại cơ cấu tổ chức TPM Nhà máy.
- Xem xét đánh giá và xây dựng lại kế hoạch tổng thể cho TPM giai đoạn 2025-2028 cho từng trụ cột.
- Thiết lập mục tiêu và hành động TPM năm 2026, lộ trình đạt giải thưởng Excellance Award.
- Xây dựng kế hoạch hành động chi tiết 2026 cho các trụ cột.</t>
  </si>
  <si>
    <t>4.2</t>
  </si>
  <si>
    <t>Tỷ lệ số lượng hoạt động triển khai theo Kế hoạch của TPM-Center</t>
  </si>
  <si>
    <t>≥90%</t>
  </si>
  <si>
    <t>năm</t>
  </si>
  <si>
    <t>- Đào tạo bên ngoài: thuê tư vấn hỗ trợ thực hiện và thực hiện đào tạo chương trình TPM cho năm 2026. (900tr)
- Tổ chức các chương trình truyền thông, cổ động như TPM Day, Kaizen Award...
- Thực hiện mua sắm thiết bị, vật dụng, công cụ dụng cụ hỗ trợ thực hiện TPM. (900tr)
- Đánh giá, tổng kết khen thưởng hàng quý để động viên, khích lệ tạo động lực thực hiện chương trình TPM. (1 tỷ)
- Đánh giá và theo dõi liên tục tình hình thực hiện TPM của các trụ cột.</t>
  </si>
  <si>
    <t>ĐCM.O4.KR3</t>
  </si>
  <si>
    <t>4.3</t>
  </si>
  <si>
    <t>Nâng cao năng lực AM cấp Nhà máy, hoàn thành AM bước 3 tại các xưởng vận hành</t>
  </si>
  <si>
    <t>Tỷ lệ nhóm được đánh giá đạt qua bước 3-AM</t>
  </si>
  <si>
    <t>≥80%</t>
  </si>
  <si>
    <t>- Hoàn thành tối thiểu 90% AM Step 1–3 tại tất cả xưởng vận hành.
- Tối thiểu 90% thiết bị trọng yếu có tiêu chuẩn AM cập nhật đầy đủ.
- Khắc phục bất thường AM đạt trên 90%.</t>
  </si>
  <si>
    <t>ĐCM.O4.KR4</t>
  </si>
  <si>
    <t>4.4</t>
  </si>
  <si>
    <t>Tăng cường hiệu quả hoạt động cải tiến trọng tâm (FI - EM)</t>
  </si>
  <si>
    <t>Tỷ lệ số lượng tổn thất thiết bị thu thập được khắc phục/cải tiến</t>
  </si>
  <si>
    <t>≥20%</t>
  </si>
  <si>
    <t>- Xây dựng hệ thống thu thập và loại bỏ các tổn thất.
- Hoàn thành ít nhất 4 cải tiến tăng sản lượng/giảm chi phí.
- Hoàn thành ít nhất 20 kaizen 10 bước để loại bỏ thất thoát trong Nhà máy.</t>
  </si>
  <si>
    <t>ĐCM.O5</t>
  </si>
  <si>
    <t>5</t>
  </si>
  <si>
    <r>
      <rPr>
        <b/>
        <sz val="12"/>
        <color theme="1"/>
        <rFont val="Times New Roman"/>
        <family val="1"/>
      </rPr>
      <t>Mục tiêu 5:</t>
    </r>
    <r>
      <rPr>
        <b/>
        <sz val="12"/>
        <color rgb="FFFF0000"/>
        <rFont val="Times New Roman"/>
        <family val="1"/>
      </rPr>
      <t xml:space="preserve"> Khai thác hiệu quả dây chuyền CO2 thực phẩm </t>
    </r>
    <r>
      <rPr>
        <b/>
        <i/>
        <sz val="12"/>
        <color theme="1"/>
        <rFont val="Times New Roman"/>
        <family val="1"/>
      </rPr>
      <t xml:space="preserve">(nguồn CO2 còn lại, sau khi đáp ứng đủ cho sản xuất Ure) </t>
    </r>
    <r>
      <rPr>
        <b/>
        <sz val="12"/>
        <color rgb="FFFF0000"/>
        <rFont val="Times New Roman"/>
        <family val="1"/>
      </rPr>
      <t xml:space="preserve">đảm bảo SP CO2 đạt tiêu chuẩn kỹ thuật theo quy định </t>
    </r>
    <r>
      <rPr>
        <b/>
        <i/>
        <sz val="12"/>
        <color theme="1"/>
        <rFont val="Times New Roman"/>
        <family val="1"/>
      </rPr>
      <t>(</t>
    </r>
    <r>
      <rPr>
        <b/>
        <i/>
        <sz val="12"/>
        <color rgb="FFFF0000"/>
        <rFont val="Times New Roman"/>
        <family val="1"/>
      </rPr>
      <t xml:space="preserve">3.700 </t>
    </r>
    <r>
      <rPr>
        <b/>
        <i/>
        <sz val="12"/>
        <color theme="1"/>
        <rFont val="Times New Roman"/>
        <family val="1"/>
      </rPr>
      <t>tấn/năm)</t>
    </r>
  </si>
  <si>
    <t>ĐCM.O5.KR1</t>
  </si>
  <si>
    <t>5.1</t>
  </si>
  <si>
    <t>Đảm bảo vận hành ổn định dây chuyền công nghệ</t>
  </si>
  <si>
    <t>Số sự cố gây dừng dây chuyền do lỗi chủ quan của người vận hành</t>
  </si>
  <si>
    <t>≤ 04</t>
  </si>
  <si>
    <t>- Tổ chức Hội thảo chuyên sâu về công nghệ vận hành cụm CO2 thực phẩm
- Tổ chức đào tạo 04 người vận hành cụm CO2 thực phẩm</t>
  </si>
  <si>
    <t>Phụ trợ</t>
  </si>
  <si>
    <t>ĐCM.O5.KR2</t>
  </si>
  <si>
    <t>5.2</t>
  </si>
  <si>
    <t>Đảm bảo tính ổn định của máy móc thiết bị dây chuyền CO2</t>
  </si>
  <si>
    <t xml:space="preserve">Số ngày dừng gián đoạn do thiết bị </t>
  </si>
  <si>
    <t>≤ 30 ngày</t>
  </si>
  <si>
    <t>1. Khảo sát &amp; đánh giá tình trạng thiết bị, xác định mức độ ưu tiên
- Kiểm tra hiện trường, phân tích độ tin cậy, nhận diện rủi ro và hạng mục cần ưu tiên.
- Rà soát hiện trạng, tình trạng, vai trò thiết bị trong dây chuyền để phân loại thiết bị, mức độ ưu tiên theo dõi, BDSC
2. Lập kế hoạch BDSC, rà soát vật tư,
- Triển khai xử lý tồn đọng, lập kế hoạch BDSC,..
- Kiểm tra tồn kho critical spares, xác định vật tư/thiết bị/dịch vụ cần bổ sung.
3. Thực hiện mua sắm/thuê dịch vụ theo nhu cầu đã phê duyệt
- Triển khai quy trình mua sắm theo list đã xác nhận từ bước 2.
4. Tổ chức triển khai bảo dưỡng sửa chữa
- Điều phối nhân lực, vật tư và giám sát tiến độ, chất lượng thi công.</t>
  </si>
  <si>
    <t>ĐCM.O5.KR3</t>
  </si>
  <si>
    <t>5.3</t>
  </si>
  <si>
    <t>Xây dựng hệ thống quản lý chất lượng và an toàn thực phẩm tại Nhà máy đạt các yêu cầu của chứng nhận FSSC 22000.</t>
  </si>
  <si>
    <t>Được tổ chức đánh giá cấp chứng nhận FSSC 22000 cho sản phẩm CO2 thực phẩm</t>
  </si>
  <si>
    <r>
      <t xml:space="preserve">Trước </t>
    </r>
    <r>
      <rPr>
        <b/>
        <sz val="12"/>
        <rFont val="Times New Roman"/>
        <family val="1"/>
      </rPr>
      <t>30/03/2026</t>
    </r>
  </si>
  <si>
    <t>- Thẩm tra hiệu quả của các tài liệu hướng dẫn trong quá trình sản xuất CO₂ và ban hành/ cập nhật nhằm đáp ứng yêu cầu của hệ thống FSSC 22000.
- Phối hợp với Ban chức năng triển khai các chương trình đánh giá nội bộ/ đánh giá từ tổ chức cấp chứng nhận FSSC 22000 và thực hiện các hành đồng khắc phục các điểm không phù hợp.</t>
  </si>
  <si>
    <t>ĐCM.O5.KR4</t>
  </si>
  <si>
    <t>5.4</t>
  </si>
  <si>
    <t>Đảm bảo 100% sản phẩm LCO2 xuất cho khách hàng đạt chất lượng thực phẩm theo TCVN và tiêu chuẩn ISBT.</t>
  </si>
  <si>
    <t>Tỷ lệ sản phẩm LCO2 xuất cho khách hàng đạt TCVN và tiêu chuẩn ISBT</t>
  </si>
  <si>
    <t xml:space="preserve">- Kiểm soát chất lượng nguyên vật liệu đầu vào theo kế hoạch phê duyệt
- Kiểm soát chất lượng sản phẩm theo kế hoạch phê duyệt.
- Lấy mẫu và gửi phân tích đầy đủ các chỉ tiêu theo TCVN và Tiêu chuẩn ISBT. </t>
  </si>
  <si>
    <t>6</t>
  </si>
  <si>
    <r>
      <t xml:space="preserve">Mục tiêu 6: </t>
    </r>
    <r>
      <rPr>
        <b/>
        <strike/>
        <sz val="12"/>
        <rFont val="Times New Roman"/>
        <family val="1"/>
      </rPr>
      <t xml:space="preserve">Phát triển nguồn nhân lực và </t>
    </r>
    <r>
      <rPr>
        <b/>
        <sz val="12"/>
        <color rgb="FFFF0000"/>
        <rFont val="Times New Roman"/>
        <family val="1"/>
      </rPr>
      <t>Nâng cao năng lực hệ thống quản trị</t>
    </r>
  </si>
  <si>
    <t>6.1</t>
  </si>
  <si>
    <t>6.2</t>
  </si>
  <si>
    <t>6.3</t>
  </si>
  <si>
    <t>6.4</t>
  </si>
  <si>
    <t>7</t>
  </si>
  <si>
    <r>
      <t xml:space="preserve">Mục tiêu 7: </t>
    </r>
    <r>
      <rPr>
        <b/>
        <strike/>
        <sz val="12"/>
        <rFont val="Times New Roman"/>
        <family val="1"/>
      </rPr>
      <t>Tham gia các hoạt động "Duy trì và phát triển văn hóa bản sắc PVCFC"</t>
    </r>
    <r>
      <rPr>
        <b/>
        <sz val="12"/>
        <rFont val="Times New Roman"/>
        <family val="1"/>
      </rPr>
      <t xml:space="preserve"> </t>
    </r>
    <r>
      <rPr>
        <b/>
        <sz val="12"/>
        <color rgb="FFFF0000"/>
        <rFont val="Times New Roman"/>
        <family val="1"/>
      </rPr>
      <t>Phát triển Nguồn nhân lực và VHDN</t>
    </r>
  </si>
  <si>
    <t>7.1</t>
  </si>
  <si>
    <t>Giúp đỡ đồng nghiệp trong việc hòa nhập, hiểu và sống với Văn hóa Phân bón Cà Mau</t>
  </si>
  <si>
    <t xml:space="preserve">Tỷ lệ CB.CNV tham gia chương trình Mentor - Mentee </t>
  </si>
  <si>
    <t>≥  90%/ tổng số  CB.CNV</t>
  </si>
  <si>
    <t xml:space="preserve">- Đăng ký chương trình Mentor - Mentee.
- Các đơn vị chủ động lựa chọn hình thức triển khai các hoạt động đã đăng ký. 
- Lãnh đạo đơn vị tạo điều kiện hỗ trợ Mentor - Mentee thực hiện chương trình.
- Thực hiện truyền thông các hoạt động Mentor - Mentee của đơn vị  trên WP, Zalo, FB,...
- Tổng hợp và báo cáo kết quả thực hiện chương trình Mentor - Mentee tại đơn vị.
</t>
  </si>
  <si>
    <t>7.2</t>
  </si>
  <si>
    <t>Duy trì và phát triển văn hóa bản sắc PVCFC</t>
  </si>
  <si>
    <t>Tỷ lệ CB.CNV của đơn vị tham gia các hoạt động "Duy trì và phát triển văn hóa bản sắc PVCFC"</t>
  </si>
  <si>
    <t>≥  80%  CB.CNV của đơn vị</t>
  </si>
  <si>
    <t>- Triển khai các hoạt động Văn hóa Doanh nghiệp tại đơn vị.
- Sống và làm việc theo nguyên tắc hành xử của đơn vị.
- Lãnh đạo đơn vị tạo điều kiện cho NLĐ tham gia đầy đủ các chương trình văn hóa của Công ty.
- Thực hiện truyền thông các hoạt động Văn hóa của đơn vị  trên WP, Zalo, FB,...
- Tổng hợp và báo cáo kết quả thực hiện duy trì và phát triển văn hóa tại đơn vị.</t>
  </si>
  <si>
    <t>7.3</t>
  </si>
  <si>
    <t>Triển khai các chương trình đào tạo đáp ứng nhu cầu sản xuất kinh doanh và chiến lược phát triển nguồn nhân lực của Nhà máy.</t>
  </si>
  <si>
    <t>Tỷ lệ CBCNV được tham gia các chương trình đào tạo theo kế hoạch được phê duyệt (Số lượt CB.CNV đã đào tạo/Số lượt CB.CNV đào tạo theo kế hoạch)</t>
  </si>
  <si>
    <t>≥  90%</t>
  </si>
  <si>
    <t>- Xây dựng kế hoạch và tổ chức các chương trình đào tạo về quản lý, chuyên môn, nghiệp vụ, kỹ năng và đào tạo nội bộ cho cán bộ công nhân viên Nhà máy.
- Xây dựng cơ sở dữ liệu đào tạo cho từng CB.CNV Nhà máy Đạm Cà Mau, cập thật thường xuyên và truy xuất báo cáo khoa học
- Triển khai đánh giá năng lực nhân viên Nhà máy Đạm Cà Mau, đánh giá tổng thể hiệu quả công tác đào tạo nội bộ tại các bộ phận
- Triển khai các hoạt động thuộc trụ cột ET (chương trình TPM)
- Ứng dụng hệ thống E-Learning trong công tác tổ chức đào tạo chuyên môn và kỹ năng cho cán bộ công nhân viên.
- Biên soạn và thẩm định tài liệu đào tạo (video, thẻ đào tạo, giáo trình).
- Phối hợp với Ban QTNL cử cán bộ tham gia các chương trình đào tạo do Công ty, Tập đoàn tổ chức một cách hiệu quả.
- Phát triển văn hóa Coaching
+ Xây dựng kế hoạch đào tạo các trụ cột kết hợp với các hoạt động phát triển văn hóa coaching.
+ Tổ chức các chương trình đào tạo  nâng cao năng lực kỹ năng coaching cho các cán bộ quản lý cấp trung và các CBCNV liên quan.
+ Xây dựng cộng đồng Coaching và truyền thông để lan tỏa Văn hóa Coaching.</t>
  </si>
  <si>
    <t>7.4</t>
  </si>
  <si>
    <t>Phát triển chuyên gia đáp ứng nhu cầu sản xuất kinh doanh và chiến lược phát triển nguồn nhân lực của Nhà máy</t>
  </si>
  <si>
    <t>Tỉ lệ chuyên gia và ứng viên quy hoạch chuyên gia được tham gia các khóa đào tạo nâng cao năng lực chuyên môn thuộc Khung năng lực (Chuyên gia, cán bộ quy hoạch chuyên gia tham gia các chương trình đào tạo/tổng CB.CNV là chuyên gia, ứng viên quy hoạch chuyên gia tại các lĩnh vực thuộc phạm vi Nhà máy ĐCM)</t>
  </si>
  <si>
    <t xml:space="preserve">≥  80%  </t>
  </si>
  <si>
    <t>- Rà soát danh sách quy hoạch và khung năng lực chuyên chuyên gia cho các lĩnh vực
- Xây dựng kế hoạch đào tạo cho các ứng viên Chuyên gia và Chuyên gia. 
- Rà soát khung năng lực các lĩnh vực Chuyên gia và đề xuất điều chỉnh bổ sung (nếu có).
- Phối hợp với ban chức năng tổ chức đánh giá và công nhận chuyên gia cho các lĩnh vực đã được TGĐ phê duyệt
- Tổ chức các chương trình hội thảo, chia sẻ trao đổi học hỏi kinh nghiệm cho các chuyên gia, nhân sự quy hoạch chuyên gia.</t>
  </si>
  <si>
    <t>NHÀ MÁY ĐCM                                                                                                 BAN KHĐT                                                                                   P.TGĐ PHỤ TRÁCH</t>
  </si>
  <si>
    <t>Triển khai dự án lắp đặt 2 Robot Depalletizing</t>
  </si>
  <si>
    <t>Trụ cột AM: Thiết kế tagname dán lên thiết bị, Junction box thể hiện chức năng, thông số thiết bị range đo, môi chất đo,… thông tin chức năng được mã hóa bằng màu sắc ví dụ: màu đỏ thể interlock, cam điều khiển, xanh hiển thị,…</t>
  </si>
  <si>
    <t>ĐK.O6</t>
  </si>
  <si>
    <t>ĐK.O6.KR1</t>
  </si>
  <si>
    <t>ĐK.O6.KR2</t>
  </si>
  <si>
    <t>ĐK.O6.KR3</t>
  </si>
  <si>
    <t>ĐK.O6.KR4</t>
  </si>
  <si>
    <t>Trụ cột ET: Triển khai đào tạo bên ngoài theo kế hoạch được phê duyệt</t>
  </si>
  <si>
    <t>Trụ cột ET: Triển khai chuẩn hóa giáo trình đào tạo theo kế hoạch được phê duyệt</t>
  </si>
  <si>
    <t>Trụ cột PM: Rà soát cập nhật lại kế hoạch bảo dưỡng theo phương thức bảo dưỡng để tăng hiệu quả trong công tác bảo dưỡng (áp dụng đối với Phân xưởng/hệ thống do X. ĐK phụ trách công tác lập kế hoạch)
- Đội TBCH: TB SP/NPK/GN/Quan trắc;
- Đội TB Đo: PI,TI/ ACC/ PA/Camera/Bộ đàm;
- Đội TBHTĐK: Hệ thống phòng cháy</t>
  </si>
  <si>
    <t>ĐCM.O4.ĐK.O5.KR1</t>
  </si>
  <si>
    <t>- Rà soát nhiệm vụ cho từng vị trí chức danh
- Nghiên cứu chương trình đào tạo, chuẩn đầu ra chuyên ngành Tự động hóa/Cơ điện tử ở các trường đại học Cần thơ, Bách khoa.
- Tham khảo cách triển khai từ các đơn vị trong ngành/ các bộ phận trong nhà máy
- Rà soát kiến thức/kỹ năng cần thiết cho công việc hiện tại và tương lai
- Triển khai xây dựng từ điển năng lực
- Báo cáo định kỳ tình hình thực hiện
- Lấy ý kiến từ bộ phận tư vấn và tùy chỉnh phù hợp
- Báo cáo kết quả triển khai đến Ban GĐNM
- Gia đoạn I: 6 tháng đầu năm (4 KNL KTV)
- Giai đoạn II: 6 tháng cuối năm (4 KNL KS)</t>
  </si>
  <si>
    <t>ĐCM.O4.ĐK.O5</t>
  </si>
  <si>
    <t>ĐCM.O4.ĐK.O5.KR2</t>
  </si>
  <si>
    <t>ĐCM.O4.ĐK.O5.KR3</t>
  </si>
  <si>
    <t>ĐCM.O4.ĐK.O5.KR4</t>
  </si>
  <si>
    <t>ĐCM.O4.ĐK.O5.KR5</t>
  </si>
  <si>
    <t>ĐCM.O4.ĐK.O5.KR6</t>
  </si>
  <si>
    <t>ĐCM.O4.ĐK.O5.KR7</t>
  </si>
  <si>
    <t>ĐCM.O4.ĐK.O5.KR8</t>
  </si>
  <si>
    <t>ĐCM.O4.ĐK.O5.KR9</t>
  </si>
  <si>
    <t>ĐCM.O4.ĐK.O5.KR10</t>
  </si>
  <si>
    <t>Quyentt</t>
  </si>
  <si>
    <t>ĐCM.O4.ĐK.O5.KR11</t>
  </si>
  <si>
    <t>ĐCM.O4.ĐK.O5.KR12</t>
  </si>
  <si>
    <t>ĐCM.O4.ĐK.O5.KR13</t>
  </si>
  <si>
    <t>ĐCM.O4.ĐK.O5.KR14</t>
  </si>
  <si>
    <t>ĐCM.O4.ĐK.O5.KR15</t>
  </si>
  <si>
    <t>Đảm bảo công tác lắp đặt cải tiến cải tạo có nhận diện mối nguy và ĐGRR đối với hạng mục có mối nguy</t>
  </si>
  <si>
    <t>Đảm bảo công tác BD có kế hoạch có đầy đủ hướng dẫn</t>
  </si>
  <si>
    <t>Mã mục tiêu/Kết quả then chốt Đội/Tổ</t>
  </si>
  <si>
    <t>- Tổ chức nhân sự chủ trì và thành phần tham gia
- Tổ chức họp định kỳ hàng quý
- Nhận diện mối nguy và lên kế hoạch triển khai thực hiện
- Phân công  nhân sự triển khai thực hiện
- Phân công nhân sự đầu mối theo dõi tình hình thực hiện, báo cáo kết quả thực hiện hàng tháng</t>
  </si>
  <si>
    <t>- Tổ chức nhóm để triển khai thực hiện công việc
- Lập kế hoạch tổ chức triển khai
- Triển khai các công tác chuẩn bị bao gồm: Phương án kỹ thuật, -    Phương án thi công, ĐGRR về kỹ thuật/an toàn, nhân sự giám sát/thực hiện
- Triển khai thực hiện theo Phương án đã phê duyệt trong BDTT
- Báo cáo kết quả thực hiện công việc</t>
  </si>
  <si>
    <t>- Khảo sát và trình phê duyệt PA triển khai
- Thiết kế kỹ thuật
- Bốc tách vật tư và triển khai mua sắm
- Lập yêu cầu kỹ thuật thuê NCC cung cấp dịch vụ
- Phối hợp triển khai lựa chọn NCC
- Xây dựng PA kỹ thuật và thi công
- Giám sát công tác lắp đặt/chạy thử của Nhà cung cấp
- Nghiệm thu các công việc theo phạm vi của Nhà cung cấp
- Bàn giao đến các bộ phận có liên quan</t>
  </si>
  <si>
    <t>- Khảo sát và trình phê duyệt PA triển khai
- Thiết kế kỹ thuật
- Bốc tách vật tư và triển khai mua sắm
- Xây dựng PA kỹ thuật và thi công
- Thực hiện thi công
- Báo cáo kết quả thực hiện</t>
  </si>
  <si>
    <t>- Khảo sát và trình phê duyệt PA triển khai
- Thiết kế kỹ thuật
- Lập yêu cầu kỹ thuật thuê NCC cung cấp dịch vụ
- Phối hợp triển khai lựa chọn NCC
- Xây dựng PA kỹ thuật và thi công
- Giám sát công tác lắp đặt/chạy thử của Nhà cung cấp
- Nghiệm thu các công việc theo phạm vi của Nhà cung cấp
- Bàn giao đến các bộ phận có liên quan</t>
  </si>
  <si>
    <t>- Tổ chức triển khai đào tạo nội bộ theo kế hoạch đã được phê duyệt
- Đánh giá thường xuyên/đột xuất việc triển khai đào tạo nội bộ
- Hoàn thiện hồ sơ đào tạo nội bộ theo qui trình</t>
  </si>
  <si>
    <t xml:space="preserve">- Đề xuất các giải pháp cải tiến, cải tạo, nâng cấp
- Tạo động lực cho CBCNV có sáng kiến bằng cách phân bổ KPI
- Đăng ký sáng kiến/ý tưởng/cải tiến kỹ thuật hàng tháng 
- Triển khai thực hiện và đăng ký trên EO theo qui trình
- Bảo vệ và hoàn thiện hồ sơ </t>
  </si>
  <si>
    <t>- Nghiên cứu các tiêu chuẩn, qui định pháp luật cho các hệ thống đặc thù.
- Rà soát tình trạng thực tế của hệ thống
- Cập nhật phương thức bảo dưỡng 
- Gửi đầu mối cập nhật trên hệ thống SAP</t>
  </si>
  <si>
    <t>- Tổ chức đầu mối triển khai
- Xây dựng kế hoạch triển khai
- Thường xuyên khuyến khích, vận động CBCNV tham gia 
- Cân nhắc phân bổ KPI đối với Đội tổ/cá nhân tích cực tham gia và hoàn thành tốt công việc chuyên môn
- Gợi ý: Tháng 7: Hội thảo công tác chuẩn bị BDTT
- Gợi ý: Tháng 9: Hội thảo đúc kết kinh nghiệm BDTT
- Đối tượng đứng: Nhóm Cán bộ được công nhận Giảng viên nội bộ</t>
  </si>
  <si>
    <t>- Xây dựng kế hoạch hội thảo
- Phân công nhân sự thực hiện
- Vận động và khuyến khích CBCNV tham gia
- Tổ chức thực hiện
- Đánh giá &amp; cải tiến</t>
  </si>
  <si>
    <t>- Rà soát xây dựng kế hoạch và phân công nhân sự xây dựng giáo trình
- Chuẩn hóa và phê duyệt theo quy trình quản lý tài liệu.
- Triển khai áp dụng
- Hoàn thiện hồ sơ</t>
  </si>
  <si>
    <t>- Phân công đầu mối phụ trách truyền thông Xưởng
- Thu thập nội dung từ các Đội/Tổ
- Biên tập bài viết, hình ảnh
- Đăng tải trên GapoWork
- Theo dõi tương tác, phản hồi</t>
  </si>
  <si>
    <t>- Rà soát kế hoạch đào tạo bên ngoài đã được phê duyệt
- Lập danh sách CBCNV tham gia 
- Phối hợp đăng ký và tổ chức cho CBCNV tham gia đào tạo
- Tổ chức chia sẻ, chuyển giao kiến thức sau đào tạo</t>
  </si>
  <si>
    <t>- Phát động và đăng ký ý tưởng
- Triển khai thực hiện
- Kiểm tra hoàn thiện
- Đánh giá và công nhận
- Chuẩn hóa và nhân rộng</t>
  </si>
  <si>
    <t xml:space="preserve">- Tiếp nhận và phổ biến yêu cầu
- Triển khai thực hiện
- Giám sát và đánh giá
- Tổng hợp, báo cáo kết quả </t>
  </si>
  <si>
    <t>- Rà soát hiện trạng
- Phân loại và xử lý bất thường
- Chuẩn hóa
- Đánh giá và duy trì
- Báo cáo kết quả thực hiện</t>
  </si>
  <si>
    <t>- Xây dựng quy chuẩn nội dung tagname (chức năng, range đo, môi chất đo…)
- Thiết kế mẫu tagname và trình phê duyệt
- Lên kế hoạch thực hiện, mua sắm
- Triển khai thực hiện
- Đánh giá, hiệu chỉnh.
- Báo cáo kết quả thực hiện</t>
  </si>
  <si>
    <t>- Rà soát hiện trạng lắp đặt
- Xây dựng và chuẩn hóa tiêu chuẩn lắp đặt
- Triển khai áp dụng
- Đánh giá và duy trì
- Báo cáo kết quả thực hiện</t>
  </si>
  <si>
    <t>- Thu thập và phân loại TPM Tag
- Chuyển giao đến Đội/Tổ chuyên môn
- Xử lý và khắc phục
- Theo dõi tình hình thực hiện 
- Đánh giá và duy trì
- Báo cáo kết quả thực hiện</t>
  </si>
  <si>
    <t xml:space="preserve">- Tiếp nhận và triển khai yêu cầu
- Triển khai thực hiện
- Tổng hợp, báo cáo kết quả </t>
  </si>
  <si>
    <t>Mainh</t>
  </si>
  <si>
    <t>Online/ Offline</t>
  </si>
  <si>
    <t>Hình ảnh</t>
  </si>
  <si>
    <t>THÁNG THỰC HIỆN</t>
  </si>
  <si>
    <t>GHI CHÚ</t>
  </si>
  <si>
    <t>Online</t>
  </si>
  <si>
    <t>Tháng 5</t>
  </si>
  <si>
    <t>Tháng 4</t>
  </si>
  <si>
    <t>Tháng 3</t>
  </si>
  <si>
    <t>Offline</t>
  </si>
  <si>
    <t>Tên khóa đào tạo</t>
  </si>
  <si>
    <t>Mục tiêu</t>
  </si>
  <si>
    <t>Loại hình  đào tạo</t>
  </si>
  <si>
    <t>Cán bộ giảng dạy dự kiến
(Mã giảng viên)</t>
  </si>
  <si>
    <t>Lý thuyết đào tạo có giảng viên hướng dẫn trực tiếp</t>
  </si>
  <si>
    <t>Lý thuyết tự học trên hệ thống E-Learning</t>
  </si>
  <si>
    <t>Thực hành  trên thiết bị, mô hình</t>
  </si>
  <si>
    <t>Thực hành trên hệ thống OTS</t>
  </si>
  <si>
    <t>Hội thảo</t>
  </si>
  <si>
    <t>30/10/2026</t>
  </si>
  <si>
    <t>Tổng cộng</t>
  </si>
  <si>
    <t>Stt</t>
  </si>
  <si>
    <t xml:space="preserve">Tên tài liệu </t>
  </si>
  <si>
    <t xml:space="preserve">Mục tiêu đào tạo  </t>
  </si>
  <si>
    <t>Cấu trúc tài liệu (giáo trình/thẻ đào tạo/video)</t>
  </si>
  <si>
    <t xml:space="preserve">Số trang/số thẻ/thời lượng video </t>
  </si>
  <si>
    <t>Thời gian dự kiến bắt đầu</t>
  </si>
  <si>
    <t>Thời gian dự kiến hoàn thành</t>
  </si>
  <si>
    <t>Tác giả</t>
  </si>
  <si>
    <t>Dự trù kinh phí biên soạn</t>
  </si>
  <si>
    <t>Giáo trình</t>
  </si>
  <si>
    <t>&lt; 50</t>
  </si>
  <si>
    <t>Tên hội thảo</t>
  </si>
  <si>
    <t>Thời lượng</t>
  </si>
  <si>
    <t>Người hội thảo</t>
  </si>
  <si>
    <t>Đối tượng tham gia</t>
  </si>
  <si>
    <t>Thời gian thực hiện</t>
  </si>
  <si>
    <t>Tháng 11</t>
  </si>
  <si>
    <t>- Tiếp nhận phiếu KPPN theo kết luận đoàn điều tra sự cố
- Tổ chức, sắp xếp nguồn lực triển khai thực hiện
- Báo cáo kết quả thực hiện</t>
  </si>
  <si>
    <t>- Tuyên truyền, phổ biến thường xuyên các qui định liên quan đến chương trình STOP đến CBCNV trong đội;
- Tham gia ghi thẻ STOP đảm bảo số lượng thẻ ghi được ít nhất bằng 50% số lượng CBCNV trong đội.</t>
  </si>
  <si>
    <t>Đảm bảo tất cả CBCNV tham gia các khóa đào tạo an toàn theo yêu cầu từ đầu mối.</t>
  </si>
  <si>
    <t>Phối hợp đầu mối khi có yêu cầu.</t>
  </si>
  <si>
    <t>Tham gia đánh giá năng lực cho CBCNV khi có yêu cầu.</t>
  </si>
  <si>
    <t>- Tiếp nhận các TPM Tag thuộc phạm vi Đội phụ trách
- Lập kế hoạch xử lý và khắc phục
- Theo dõi tình hình thực hiện 
- Đánh giá và duy trì
- Báo cáo kết quả thực hiện</t>
  </si>
  <si>
    <t xml:space="preserve">- Đóng góp ý kiến, tiếp nhận đầu mục thuộc phạm vi Đội
- Triển khai thực hiện
- Tổng hợp, báo cáo kết quả </t>
  </si>
  <si>
    <t>Bố trí, sắp xếp công việc phù hợp tham gia đầy đủ theo yêu cầu đầu mối</t>
  </si>
  <si>
    <t>31/12/2026</t>
  </si>
  <si>
    <t>Haint</t>
  </si>
  <si>
    <t>- Thường xuyên khuyến khích, động viên các thành viên trong Đội tham gia chương trình chạy bộ của đầu mối ĐTN.
- Cân nhắc đánh giá KPI đối với cá nhân tích cực tham gia và hoàn thành tốt công việc chuyên môn</t>
  </si>
  <si>
    <r>
      <rPr>
        <sz val="14"/>
        <color rgb="FFFF0000"/>
        <rFont val="Times New Roman"/>
        <family val="1"/>
      </rPr>
      <t xml:space="preserve">- Thực hiện đúng phương án cách ly cô lập được ban hành
- Rà soát kế hoạch bảo dưỡng và cập nhật đầy đủ các hướng dẫn bảo dưỡng theo kế hoạch được ban hành
</t>
    </r>
    <r>
      <rPr>
        <sz val="14"/>
        <color theme="1"/>
        <rFont val="Times New Roman"/>
        <family val="1"/>
      </rPr>
      <t xml:space="preserve">- Từng bước chuẩn hóa các hướng dẫn có bổ sung nội dung đánh giá rủi ro về an toàn lao động
- Đảm bảo từng CBCNV thực hiện công tác bảo dưỡng phải nắm rõ các hướng dẫn được ban hành và thực hiện đúng
- Quản lý hồ sơ tài liệu của đơn vị, đảm bảo dễ  thấy, dễ  lấy, dễ  sử  dụng, không hư hỏng, không thất lạc
</t>
    </r>
  </si>
  <si>
    <r>
      <t xml:space="preserve">Đảm bảo công tác sửa chữa đột xuất có nhận diện mối nguy và ĐGRR đối với hạng mục có mối nguy </t>
    </r>
    <r>
      <rPr>
        <sz val="14"/>
        <color rgb="FFFF0000"/>
        <rFont val="Times New Roman"/>
        <family val="1"/>
      </rPr>
      <t>ảnh hưởng đến giảm tải, gián đoạn sản xuất</t>
    </r>
  </si>
  <si>
    <t>- Nâng cao năng lực nhận diện mối nguy khi thực hiện công việc
- Kiến nghị TCNM/ĐVCQ triển khai thực hiện phân tích an toàn trong công việc/phân tích ảnh hưởng vận hành trước khi tiến hành công việc
- Triển khai thực hiện phân tích an toàn công việc/phân tích ảnh hưởng vận hành để có hành động phòng ngừa phù hợp đối với các công việc có mối nguy giảm tải, gián đoạn sản xuất
- Quản lý, lưu trữ các phương án cách ly đã được ban hành để đảm bảo truy xuất dễ nhất</t>
  </si>
  <si>
    <t>- Nâng cao năng lực nhận diện mối nguy khi thực hiện công việc
- Kiến nghị TCNM/ĐVCQ triển khai thực hiện phân tích an toàn trong công việc/phân tích ảnh hưởng vận hành trước khi tiến hành công việc
- Triển khai thực hiện phân tích an toàn công việc/phân tích ảnh hưởng vận hành để có hành động phòng ngừa phù hợp đối với các công việc có mối nguy giảm tải, gián đoạn sản xuất</t>
  </si>
  <si>
    <r>
      <t xml:space="preserve">Triển khai công tác BDTT theo kế hoạch đảm bảo </t>
    </r>
    <r>
      <rPr>
        <b/>
        <sz val="14"/>
        <color theme="1"/>
        <rFont val="Times New Roman"/>
        <family val="1"/>
      </rPr>
      <t>chất lượng</t>
    </r>
    <r>
      <rPr>
        <sz val="14"/>
        <color theme="1"/>
        <rFont val="Times New Roman"/>
        <family val="1"/>
      </rPr>
      <t xml:space="preserve"> và </t>
    </r>
    <r>
      <rPr>
        <sz val="14"/>
        <color rgb="FFFF0000"/>
        <rFont val="Times New Roman"/>
        <family val="1"/>
      </rPr>
      <t>vượt tiến độ</t>
    </r>
  </si>
  <si>
    <t>ĐCM.O1.KR2.ĐK.O2.KR6</t>
  </si>
  <si>
    <t>tháng</t>
  </si>
  <si>
    <t>- Phát động và đăng ký ý tưởng hàng thàng
- Triển khai thực hiện
- Kiểm tra hoàn thiện
- Đánh giá và công nhận
- Chuẩn hóa và nhân rộng</t>
  </si>
  <si>
    <t>(*) Đối với tổ trực ca điều khiển vì tính chất đi ca/kip không có mặt thường xuyên ở Nhà máy cho nên:
- Chỉ tính tỉ lệ trên 02 KIP cụ thể là 7 nhân sự
- Trừ nhân sự đi công tác hoặc điều ca đối với nhân sự hành chính</t>
  </si>
  <si>
    <t>Tháng 7</t>
  </si>
  <si>
    <t>ĐK.O1.KR1.TBCH.O1.KR1</t>
  </si>
  <si>
    <t>ĐK.O1.KR1.TBCH.O1.KR2</t>
  </si>
  <si>
    <t>ĐK.O1.TBCH.O1</t>
  </si>
  <si>
    <t>ĐK.O2.TBCH.O2</t>
  </si>
  <si>
    <t>ĐK.O2.KR1.TBCH.O2.KR1</t>
  </si>
  <si>
    <t>ĐK.O2.KR1.TBCH.O2.KR2</t>
  </si>
  <si>
    <t>ĐK.O2.KR1.TBCH.O2.KR3</t>
  </si>
  <si>
    <t>ĐK.O2.KR1.TBCH.O2.KR4</t>
  </si>
  <si>
    <t>ĐK.O2.KR1.TBCH.O2.KR5</t>
  </si>
  <si>
    <t>- Tham gia họp định kỳ hàng quý.
- Nhận diện mối nguy và lên kế hoạch triển khai thực hiện
- Phân công  nhân sự triển khai thực hiện
- Phân công nhân sự đầu mối theo dõi tình hình thực hiện, báo cáo kết quả thực hiện hàng tháng</t>
  </si>
  <si>
    <t>- Lập kế hoạch tổ chức triển khai theo kế hoạch bảo dưỡng đã được ban hành;
- Đề xuất nguồn lực đảm bảo đủ để triển khai kế hoạch bảo dưỡng hàng tháng;
- Triển khai công tác BD định kỳ theo kế hoạch đã ban hành;
- Giám sát chất lượng công tác triển khai phương pháp kiểm tra trực tiếp và gián tiếp 10% trên tổng số hạng mục được triển khai;
- Đánh giá tiến độ triển khai hàng tuần để điều chỉnh, đảm bảo kiểm soát các hạng mục triển khai đúng kế hoạch; có giải pháp trong trường hợp các hạng mục triển khai không đúng kế hoạch.
- Báo cáo kết quả triển khai công tác BD định kỳ đầy đủ theo kế hoạch;</t>
  </si>
  <si>
    <t>- Đảm bảo hoàn thành công tác chuẩn bị theo kế hoạch của tổ;
- Tổ chức nguồn lực đảm bảo hoàn thành thực hiện các hạng mục bảo dưỡng theo kế hoạch;
- Lập kế hoạch triển khai chi tiết cho tất cả hạng mục theo kế hoạch đã được ban hành;
- Triển khai thực hiện các hạng mục theo kế hoạch đã ban hành;
- Đánh giá rà soát tiến độ/chất lượng công tác triển khai hàng ngày, điều chỉnh khi tiến độ/chất lượng bị ảnh hưởng
- Giám sát chất lượng công tác triển khai kiểm tra trực tiếp/ report các hạng mục theo ngày;
- Báo cáo kết quả các hạng mục BDTT;</t>
  </si>
  <si>
    <t>ĐK.O3.TBCH.O3</t>
  </si>
  <si>
    <t>ĐK.O3.KR1.TBCH.O3.KR1</t>
  </si>
  <si>
    <t>ĐK.O3.KR1.TBCH.O3.KR2</t>
  </si>
  <si>
    <t>ĐK.O3.KR1.TBCH.O3.KR3</t>
  </si>
  <si>
    <t>Minhvq; Linhln</t>
  </si>
  <si>
    <t>- Phối hợp thực hiện kiểm tra an toàn cấp 2, 3 theo lịch, đảm bảo 100% các điểm không phù hợp được khắc phục đúng thời hạn;
- Xử lý các vi phạm được phát hiện trong quá trình kiểm tra;
- Thực hiện phối hợp trong công tác lập định mức trang bị bảo hộ lao động cho CBCNV;
- Sử dụng đầy đủ PPE, các thiết bị, công cụ, dụng cụ đảm bảo an toàn khi thực hiện công việc;
- Thường xuyên nhắc nhở, kiểm tra CBCNV tuân thủ quy định an toàn khi làm việc tại Nhà máy;
- Tổ chức ĐGRR về an toàn và phổ biến bảng ĐGRR đến toàn bộ cá nhân tham gia thực hiện các công việc có mối nguy về an toàn;
- Tuyên truyền cho CBCNV trong công tác ATVSLĐ/Nâng cao ý thức CBCNV trong công tác ATVSLĐ.</t>
  </si>
  <si>
    <t>Kế hoạch hành động của Xưởng</t>
  </si>
  <si>
    <t>Kế hoạch hành động của Đội TBCH</t>
  </si>
  <si>
    <t>ĐK.O6.TBCH.O6</t>
  </si>
  <si>
    <t>ĐK.O6.TBCH.O6.KR1</t>
  </si>
  <si>
    <t>ĐK.O6.TBCH.O6.KR2</t>
  </si>
  <si>
    <t>ĐK.O6.TBCH.O6.KR3</t>
  </si>
  <si>
    <t>ĐK.O6.TBCH.O6.KR4</t>
  </si>
  <si>
    <t>ĐK.O5.TBCH.O5</t>
  </si>
  <si>
    <t>ĐK.O4.TBCH.O4</t>
  </si>
  <si>
    <t>ĐK.O4.KR1.TBCH.O4.KR1</t>
  </si>
  <si>
    <t>ĐK.O4.KR1.TBCH.O4.KR2</t>
  </si>
  <si>
    <t>ĐK.O4.KR1.TBCH.O4.KR3</t>
  </si>
  <si>
    <t>ĐK.O4.KR1.TBCH.O4.KR4</t>
  </si>
  <si>
    <t>ĐK.O4.KR1.TBCH.O4.KR5</t>
  </si>
  <si>
    <t>ĐK.O4.KR1.TBCH.O4.KR6</t>
  </si>
  <si>
    <t>ĐK.O5.KR1.TBCH.O5.KR1</t>
  </si>
  <si>
    <t>ĐK.O5.KR1.TBCH.O5.KR2</t>
  </si>
  <si>
    <t>ĐK.O5.KR1.TBCH.O5.KR3</t>
  </si>
  <si>
    <t>ĐK.O5.KR1.TBCH.O5.KR4</t>
  </si>
  <si>
    <t>ĐK.O5.KR1.TBCH.O5.KR5</t>
  </si>
  <si>
    <t>ĐK.O5.KR1.TBCH.O5.KR6</t>
  </si>
  <si>
    <t>ĐK.O5.KR1.TBCH.O5.KR7</t>
  </si>
  <si>
    <t>ĐK.O5.KR1.TBCH.O5.KR8</t>
  </si>
  <si>
    <t>ĐK.O5.KR1.TBCH.O5.KR9</t>
  </si>
  <si>
    <t>ĐK.O5.KR1.TBCH.O5.KR10</t>
  </si>
  <si>
    <t>ĐK.O5.KR1.TBCH.O5.KR11</t>
  </si>
  <si>
    <t>ĐK.O5.KR1.TBCH.O5.KR12</t>
  </si>
  <si>
    <t>ĐK.O5.KR1.TBCH.O5.KR13</t>
  </si>
  <si>
    <t>ĐK.O5.KR1.TBCH.O5.KR14</t>
  </si>
  <si>
    <t>Phối hợp đầu mối thực hiện các công việc theo phạm vị Đội TBCH phụ trách khi có yêu cầu.</t>
  </si>
  <si>
    <t>Mã khóa đào tạo*
( theo E-learning)</t>
  </si>
  <si>
    <t>Tổng thời lượng theo kế hoạch</t>
  </si>
  <si>
    <t>Đối tượng đào tạo
(Mã học viên)</t>
  </si>
  <si>
    <t>Số lượt học viên dự kiến</t>
  </si>
  <si>
    <t>Số buổi</t>
  </si>
  <si>
    <t>Ngày bắt đầu * (Ngày/tháng/năm)</t>
  </si>
  <si>
    <t>Ngày kết thúc *
(Ngày/tháng/năm)</t>
  </si>
  <si>
    <t>NB-2026-ĐK-9</t>
  </si>
  <si>
    <t>Hướng dẫn cài đặt, Calib cân băng tải sử dụng đầu cân Siemens model BW500</t>
  </si>
  <si>
    <t>Học viên có thể hiểu nguyên lý hoạt động, thực hiện thành thạo cài đặt, calib các cân băng tải sử dụng đầu cân Siemens BW500 để phục vụ cho công việc thực tế tại đơn vị.</t>
  </si>
  <si>
    <t>khanhdv1
lamnt
hangdv
duyenlh
sonnn
anhtd</t>
  </si>
  <si>
    <t>nhatpm</t>
  </si>
  <si>
    <t>NB-2026-ĐK-10</t>
  </si>
  <si>
    <t>Hướng dẫn cài đặt thông số, Calib cân đối chứng hiệu Mettler Toledo.</t>
  </si>
  <si>
    <t>Học viên có thể hiểu nguyên lý hoạt động, thực hiện thành thạo cài đặt, calib cân đối chứng hiệu Mettler Toledo để phục vụ cho công việc thực tế tại đơn vị.</t>
  </si>
  <si>
    <t>NB-2026-ĐK-11</t>
  </si>
  <si>
    <t>Hướng dẫn kiểm tra bảo dưỡng thiết bị đo khí cần tay hãng Drager</t>
  </si>
  <si>
    <t>Học viên có thể hiểu nguyên lý hoạt động của các thiết bị đo khí cầm tay hãng Drager (như PAC6500, PAC 8X00, X-AM 8000) và thực hiện thành thạo công việc kiểm tra cali thiết bị bằng hệ thống máy chuyên dụng X-DOC6300 để phục vụ cho công việc thực tế tại đơn vị.</t>
  </si>
  <si>
    <t>sonld
lamnt
hangdv
trunghd
duyenlh
anhtd</t>
  </si>
  <si>
    <t>Vunv</t>
  </si>
  <si>
    <t>NB-2026-ĐK-12</t>
  </si>
  <si>
    <t>Hướng dẫn lắp đặt và cân chỉnh positioner hãng Fisher</t>
  </si>
  <si>
    <t>Học viên có thể hiểu nguyên lý hoạt động, thực hiện thành thạo lắp đặt và cấu hình cân chỉnh positioner hãng Fishe để phục vụ cho công việc thực tế tại đơn vị.</t>
  </si>
  <si>
    <t>sonld
sonnn
lamnt
trunghd
duyenlh
anhtd</t>
  </si>
  <si>
    <t>linhln</t>
  </si>
  <si>
    <t>NB-2026-ĐK-13</t>
  </si>
  <si>
    <t>Hướng dẫn lắp đặt và cân chỉnh positioner hãng Masoneilan, Foxboro, Samson</t>
  </si>
  <si>
    <t>Học viên có thể hiểu nguyên lý hoạt động, thực hiện thành thạo lắp đặt và cấu hình cân chỉnh các positioner hãng Masoneilan, Foxboro, Samson để phục vụ cho công việc thực tế tại đơn vị.</t>
  </si>
  <si>
    <t>NB-2026-ĐK-14</t>
  </si>
  <si>
    <t>Hướng dẫn lắp đặt và cấu hình cân chỉnh Motor Actuator Auma</t>
  </si>
  <si>
    <t>Học viên có thể hiểu nguyên lý hoạt động, thực hiện thành thạo cài đặc và cấu hình các thông số cơ bản của  hãng Motor Actuator Auma để phục vụ cho công việc thực tế tại đơn vị.</t>
  </si>
  <si>
    <t>cunghv</t>
  </si>
  <si>
    <t>NB-2026-ĐK-15</t>
  </si>
  <si>
    <t>Hướng dẫn cân chỉnh van Governor trong Nhà máy Đạm Cà Mau</t>
  </si>
  <si>
    <t>Học viên hiểu được về các thành phần, đặc điểm, nguyên lý hoạt động và hướng dẫn cân chỉnh van Governor để công việc thực tế tại đơn vị</t>
  </si>
  <si>
    <t>khanhdv1
lamnt
hangdv
duyenlh
sonnn
sonld</t>
  </si>
  <si>
    <t>NB-2026-ĐK-16</t>
  </si>
  <si>
    <t xml:space="preserve">Hướng dẫn cài đặt trục tọa độ- vị trí xếp bao robot </t>
  </si>
  <si>
    <t>Học viên có thể hiểu và biết cài đặt các trục tọa độ robot, xếp từng vị trí bao lên pallete, giúp việc cài đặt robot, xử lý lỗi robot nhanh hơn và hiệu quả hơn để phục vụ cho công việc thực tế tại đơn vị.</t>
  </si>
  <si>
    <t>khanhdv1
lamnt
trunghd
duyenlh
sonnn
anhtd</t>
  </si>
  <si>
    <t>binhnv1</t>
  </si>
  <si>
    <t>NB-2026-ĐK-17</t>
  </si>
  <si>
    <t>Giới thiệu nguyên lý hoạt động đầu in, cài đặt thông số, tạo bản tin, chuẩn đoán và xử lý lỗi thường gặp máy in hạn sử dụng Linx8830</t>
  </si>
  <si>
    <t>Học viên có thể hiểu nguyên lý hoạt động, thực hiện thành thạo cài đặt, tạo bản tin, chuẩn đoán và xử lý lỗi máy in Linx8830 để phục vụ cho công việc thực tế tại đơn vị.</t>
  </si>
  <si>
    <t>NB-2026-ĐK-18</t>
  </si>
  <si>
    <t>Hướng dẫn cài đăt thông số, thiết lập tốc độ- calibrate cân băng tải</t>
  </si>
  <si>
    <t>Học viên hiểu và biết  cách  cài đặt thông số, thiết lập tốc độ- calibrate được cân nhằm phục vụ công việc thực tế tại đơn vị tốt hơn để phục vụ cho công việc thực tế tại đơn vị.</t>
  </si>
  <si>
    <t>NB-2026-ĐK-19</t>
  </si>
  <si>
    <t>Hướng dẫn bảo dưỡng thiết bị đo Oxy hãng ABB 29AT-1004B/B/C</t>
  </si>
  <si>
    <t>Học viên có thể hiểu nguyên lý hoạt động, thực hiện thành thạo cài đặc và cấu hình cali thiết bị đo Oxy 29AT-1004A để phục vụ cho công việc thực tế tại đơn vị.</t>
  </si>
  <si>
    <t>vunv</t>
  </si>
  <si>
    <t>NB-2026-ĐK-20</t>
  </si>
  <si>
    <t>Hướng dẫn cài đặt, cấu hình, cân chỉnh cân định lượng Xưởng NPK</t>
  </si>
  <si>
    <t>Học viên có thể hiểu nguyên lý hoạt động, thực hiện thành thạo cài đặt, calib các cân băng tải định lượng hãng Hasler xưởng NP' để phục vụ cho công việc thực tế tại đơn vị.</t>
  </si>
  <si>
    <t>NB-2026-ĐK-21</t>
  </si>
  <si>
    <t>Hướng dẫn bảo dưỡng hệ thống thiết bị phân tích 04AT-5001</t>
  </si>
  <si>
    <t>Học viên hiểu được về các thành phần, đặc điểm, nguyên lý hoạt động và hướng dẫn cấu hình cali thiết bị phục vụ cho công việc thực tế tại đơn vị.</t>
  </si>
  <si>
    <t>khanhdv1
lamnt
hangdv
duyenlh
sonnn
tuyenpv</t>
  </si>
  <si>
    <t>02/02/2026</t>
  </si>
  <si>
    <t>28/02/2026</t>
  </si>
  <si>
    <t>02/03/2026</t>
  </si>
  <si>
    <t>31/03/2026</t>
  </si>
  <si>
    <t>01/04/2026</t>
  </si>
  <si>
    <t>30/04/2026</t>
  </si>
  <si>
    <t>01/05/2025</t>
  </si>
  <si>
    <t>29/05/2025</t>
  </si>
  <si>
    <t>01/06/2025</t>
  </si>
  <si>
    <t>30/06/2025</t>
  </si>
  <si>
    <t>01/07/2026</t>
  </si>
  <si>
    <t>31/07/2026</t>
  </si>
  <si>
    <t>01/09/2026</t>
  </si>
  <si>
    <t>30/09/2026</t>
  </si>
  <si>
    <t>01/10/2026</t>
  </si>
  <si>
    <t>01/11/2026</t>
  </si>
  <si>
    <t>30/11/2026</t>
  </si>
  <si>
    <t>Đã có GT chuẩn hóa</t>
  </si>
  <si>
    <t>Soạn mới</t>
  </si>
  <si>
    <t>Nguyễn Văn Vũ</t>
  </si>
  <si>
    <t>Tháng 9</t>
  </si>
  <si>
    <t>Tháng 10</t>
  </si>
  <si>
    <t>Thang 2</t>
  </si>
  <si>
    <t>Tháng 6</t>
  </si>
  <si>
    <t>Giới thiệu về nguyên lý hoạt động hệ thống đọc chip RFID xưởng Sản Phẩm</t>
  </si>
  <si>
    <t>Tổng quan công nghệ khối phổ và ứng dụng trong phân tích process gas</t>
  </si>
  <si>
    <t>Tổng quan về van governor, hướng dẫn cân chỉnh actuator với body.</t>
  </si>
  <si>
    <t>Phạm Minh Nhật</t>
  </si>
  <si>
    <t>Hưu Văn Cưng</t>
  </si>
  <si>
    <t>Nguyễn Văn Bình</t>
  </si>
  <si>
    <t>CBCNV xưởng ĐK</t>
  </si>
  <si>
    <t>Tổng quan về hệ thống cân băng tải xưởng X.NPK.</t>
  </si>
  <si>
    <t>Tháng 12</t>
  </si>
  <si>
    <r>
      <rPr>
        <b/>
        <sz val="16"/>
        <color theme="1"/>
        <rFont val="Times New Roman"/>
        <family val="1"/>
      </rPr>
      <t>PHỤ LỤC 1.2 - KẾ HOẠCH ĐÀO TẠO NỘI BỘ ĐỘI TBCH NĂM 2026</t>
    </r>
    <r>
      <rPr>
        <sz val="16"/>
        <color theme="1"/>
        <rFont val="Times New Roman"/>
        <family val="1"/>
      </rPr>
      <t xml:space="preserve">
</t>
    </r>
    <r>
      <rPr>
        <i/>
        <sz val="16"/>
        <color theme="1"/>
        <rFont val="Times New Roman"/>
        <family val="1"/>
      </rPr>
      <t>(Đính kèm Phụ lục 01 - Kế hoạch mục tiêu đội TBCH năm 2026)</t>
    </r>
  </si>
  <si>
    <r>
      <t xml:space="preserve">PHỤ LỤC 1.3 - CHUẨN HÓA GIÁO TRÌNH/ XÂY DỰNG THẺ ĐÀO TẠO ĐỘI TBCH NĂM 2026
</t>
    </r>
    <r>
      <rPr>
        <i/>
        <sz val="16"/>
        <color rgb="FF002060"/>
        <rFont val="Times New Roman"/>
        <family val="1"/>
      </rPr>
      <t>(Đính kèm Phụ lục 01 - Kế hoạch mục tiêu đội TBCH năm 2026)</t>
    </r>
  </si>
  <si>
    <r>
      <t>Đối với các cá nhân đi thực hiện dịch vụ bên ngoài/hỗ trợ đơn vị trong ngành:</t>
    </r>
    <r>
      <rPr>
        <sz val="13"/>
        <color rgb="FFFF0000"/>
        <rFont val="Times New Roman"/>
        <family val="1"/>
      </rPr>
      <t xml:space="preserve">
</t>
    </r>
    <r>
      <rPr>
        <sz val="13"/>
        <rFont val="Times New Roman"/>
        <family val="1"/>
      </rPr>
      <t xml:space="preserve">- Trên 3 tuần: LĐX xem xét đánh giá A1/A2
- Dưới 3 tuần: KPI của Đội </t>
    </r>
  </si>
  <si>
    <t>Mã tài liệu</t>
  </si>
  <si>
    <t>Hữu Văn Cưng</t>
  </si>
  <si>
    <t>Học viên có thể hiểu nguyên lý hoạt động, thực hiện thành thạo cài đặt, cấu hình, cân chỉnh, và xử lý lỗi cơ bản thiết bị.</t>
  </si>
  <si>
    <t xml:space="preserve">Hướng dẫn kỹ thuật tháo lắp bảo dưỡng overhaul rotork motor actuator </t>
  </si>
  <si>
    <t>Học viên có thể hiểu được cấu tạo, tháo lắp bảo dưỡng toàn bộ phần motor actuator hãng Rotork</t>
  </si>
  <si>
    <t>Hướng dẫn kiểm lắp đặt và cân chỉnh positioner hãng Masoneilan, Foxboro, Samson.</t>
  </si>
  <si>
    <t>Học viên thực hiện được công việc lắp đặt và cân chỉnh positioner hãng MASONNELAN, FOXBORO, SAMSON" trong Nhà máy Đàm Cà Mau</t>
  </si>
  <si>
    <t>GT-ĐCM-ĐK-031</t>
  </si>
  <si>
    <r>
      <rPr>
        <sz val="13"/>
        <color theme="1"/>
        <rFont val="Aptos Narrow"/>
        <family val="2"/>
        <charset val="1"/>
      </rPr>
      <t>≥</t>
    </r>
    <r>
      <rPr>
        <sz val="13"/>
        <color theme="1"/>
        <rFont val="Times New Roman"/>
        <family val="1"/>
      </rPr>
      <t>51</t>
    </r>
  </si>
  <si>
    <t>Lý Ngọc Lĩnh</t>
  </si>
  <si>
    <t>Khu vực</t>
  </si>
  <si>
    <t>Vật tư tiêu hao</t>
  </si>
  <si>
    <t>Phương tiện thi công (Giàn giáo/thang/dây AT…)</t>
  </si>
  <si>
    <t>Nhân lực (người)</t>
  </si>
  <si>
    <t>Manhours</t>
  </si>
  <si>
    <t>Tên hạng mục</t>
  </si>
  <si>
    <t>Nội dung công việc</t>
  </si>
  <si>
    <t>Cụm 500, X.Amonia</t>
  </si>
  <si>
    <t>04TV-5088</t>
  </si>
  <si>
    <t>04PV-5042</t>
  </si>
  <si>
    <t>04FV-5031</t>
  </si>
  <si>
    <t>Cụm 700, X.Amonia</t>
  </si>
  <si>
    <t>04HV-7011A</t>
  </si>
  <si>
    <t>Cụm 21000, X.Uti</t>
  </si>
  <si>
    <t>21FV-1001A</t>
  </si>
  <si>
    <t>21FV-1001B</t>
  </si>
  <si>
    <t>21LV-2001</t>
  </si>
  <si>
    <t>Cụm Tạo hạt, X.Ure</t>
  </si>
  <si>
    <t>07KV-2641</t>
  </si>
  <si>
    <t>07KV-2642</t>
  </si>
  <si>
    <t>07KV-2643</t>
  </si>
  <si>
    <t>07KV-2644</t>
  </si>
  <si>
    <t>07KV-2645</t>
  </si>
  <si>
    <t>07KV-2646</t>
  </si>
  <si>
    <t>07KV-2647</t>
  </si>
  <si>
    <t>07KV-2648</t>
  </si>
  <si>
    <t>07KV-2651</t>
  </si>
  <si>
    <t>07KV-2652</t>
  </si>
  <si>
    <t>07KV-2653</t>
  </si>
  <si>
    <t>07KV-2654</t>
  </si>
  <si>
    <t>07KV-2655</t>
  </si>
  <si>
    <t>07KV-2656</t>
  </si>
  <si>
    <t>07KV-2657</t>
  </si>
  <si>
    <t>07KV-2658</t>
  </si>
  <si>
    <t>X.NPK</t>
  </si>
  <si>
    <t>08-FV-0002</t>
  </si>
  <si>
    <t>08-FV-0002B</t>
  </si>
  <si>
    <t>08-FV-0003</t>
  </si>
  <si>
    <t>08-FV-0009</t>
  </si>
  <si>
    <t>08-FV-0014</t>
  </si>
  <si>
    <t>08-LV-0009</t>
  </si>
  <si>
    <t>08-LV-0012</t>
  </si>
  <si>
    <t>08-LV-0016</t>
  </si>
  <si>
    <t>08-PV-0043</t>
  </si>
  <si>
    <t>08-PCV-0077</t>
  </si>
  <si>
    <t>08-PV-0012</t>
  </si>
  <si>
    <t>08-TV-0029</t>
  </si>
  <si>
    <t>08-TV-0034</t>
  </si>
  <si>
    <t>08-TV-0043</t>
  </si>
  <si>
    <t>08-XV-0050</t>
  </si>
  <si>
    <t>08-XV-0072</t>
  </si>
  <si>
    <t>08-XV-0102</t>
  </si>
  <si>
    <t>08-XV-0103</t>
  </si>
  <si>
    <t>08-XZV-0001</t>
  </si>
  <si>
    <t>Cụm 20000, X.Utility</t>
  </si>
  <si>
    <t>20AT-2013A</t>
  </si>
  <si>
    <t>- Đá mài, sơn chống rỉ loại pha</t>
  </si>
  <si>
    <t>20AT-2013B</t>
  </si>
  <si>
    <t>20AT-2013C</t>
  </si>
  <si>
    <t>20AT-2002A</t>
  </si>
  <si>
    <t>20AT-2002B</t>
  </si>
  <si>
    <t>20AT-2002C</t>
  </si>
  <si>
    <t>20AT-2003A</t>
  </si>
  <si>
    <t>20AT-2003B</t>
  </si>
  <si>
    <t>20AT-2003C</t>
  </si>
  <si>
    <t>20AT-2004</t>
  </si>
  <si>
    <t>Cụm 21000, X.Utility</t>
  </si>
  <si>
    <t>21AT-1001</t>
  </si>
  <si>
    <t>- Đá mài, sơn chống rỉ loại pha
- Tủ inox đã đã có</t>
  </si>
  <si>
    <t>21AT-1002</t>
  </si>
  <si>
    <t>21AT-1003</t>
  </si>
  <si>
    <t xml:space="preserve">- Đá mài, sơn chống rỉ loại pha
</t>
  </si>
  <si>
    <t>21AT-1004</t>
  </si>
  <si>
    <t>Urea-06000</t>
  </si>
  <si>
    <t>06AT-1103</t>
  </si>
  <si>
    <t>Thời gian dự kiến (giờ)</t>
  </si>
  <si>
    <t xml:space="preserve">GT-ĐK-059 </t>
  </si>
  <si>
    <t>Bo sung sau</t>
  </si>
  <si>
    <t>KHĐT</t>
  </si>
  <si>
    <t xml:space="preserve">Linhln; </t>
  </si>
  <si>
    <t>ĐK.O1.KR1.TBCH.O1.KR3</t>
  </si>
  <si>
    <t>- Cung cấp thông tin, cập nhật nội dung nổi bật của Đội cho đầu mối Xưởng.
- Thường xuyên động viên các thành viên trong Đội theo dõi tương tác, phản hồi các bài viết của Xưởng sau khi được đăng trên Gapo.</t>
  </si>
  <si>
    <t>Có tham gia</t>
  </si>
  <si>
    <t>Số nhân sự tham gia</t>
  </si>
  <si>
    <t>Số nhân sự tương tác</t>
  </si>
  <si>
    <t>Có tương tác</t>
  </si>
  <si>
    <r>
      <t xml:space="preserve">PHỤ LỤC 1.1 - KẾ HOẠCH CHỐNG ĂN MÒN ĐỘI TBCH NĂM 2026
</t>
    </r>
    <r>
      <rPr>
        <i/>
        <sz val="16"/>
        <rFont val="Times New Roman"/>
        <family val="1"/>
      </rPr>
      <t>(Đính kèm Phụ lục 01 - Kế hoạch mục tiêu đội TBCH năm 2026)</t>
    </r>
  </si>
  <si>
    <t>04HV-2062</t>
  </si>
  <si>
    <t>CAM actuator
- Đánh rỉ bằng máy mài
- Sơn chống ăn mòn bằng sơn pha và sơn xịt theo màu van</t>
  </si>
  <si>
    <t>- Đá mài, sơn pha chống rỉ và sơn xịt theo màu van</t>
  </si>
  <si>
    <t>'CAM actuator
- Đánh rỉ bằng máy mài
- Sơn chống ăn mòn bằng sơn pha và sơn xịt theo màu van</t>
  </si>
  <si>
    <t>CAM actuator'
- Đánh rỉ bằng máy mài
- Sơn chống ăn mòn bằng sơn pha và sơn xịt theo màu van
- Quét keo composite</t>
  </si>
  <si>
    <t>- Đá mài, sơn pha chống rỉ và sơn xịt theo màu van
- Keo composite</t>
  </si>
  <si>
    <t>CAM actuator
- Đánh rỉ bằng máy mài
- Sơn chống ăn mòn bằng sơn pha và sơn xịt theo màu van
- Quét keo composite</t>
  </si>
  <si>
    <t>04FV-5111</t>
  </si>
  <si>
    <t>04PV-5043</t>
  </si>
  <si>
    <t>06FV-1005A</t>
  </si>
  <si>
    <t>06FV-1005B</t>
  </si>
  <si>
    <t xml:space="preserve">Shiploader </t>
  </si>
  <si>
    <t>Shiploader B</t>
  </si>
  <si>
    <t xml:space="preserve"> Đánh rỉ, sơn chống rỉ loại pha. Gia công support đỡ</t>
  </si>
  <si>
    <t>Shiploader D</t>
  </si>
  <si>
    <t>Shiploader C</t>
  </si>
  <si>
    <t>Thay máng, ống khác</t>
  </si>
  <si>
    <t>Robot</t>
  </si>
  <si>
    <t>Cylinder bàn nâng ballet
L48002A</t>
  </si>
  <si>
    <t>Đá mài, RP7, giấy nhám, sơn pha</t>
  </si>
  <si>
    <t>Cylinder bàn nâng ballet
L48002B</t>
  </si>
  <si>
    <t>Cylinder bàn nâng ballet
L48002C</t>
  </si>
  <si>
    <t>Cylinder bàn nâng ballet
L48002D</t>
  </si>
  <si>
    <t>V17 A/B/C/D</t>
  </si>
  <si>
    <t>Bulong , đai ốc, V5 (thép 304)</t>
  </si>
  <si>
    <t>Tên tài liệu</t>
  </si>
  <si>
    <t>Nội dung thực hiện</t>
  </si>
  <si>
    <t>Ngày bắt đầu</t>
  </si>
  <si>
    <t>Ngày hoàn thành trình ký ban hành</t>
  </si>
  <si>
    <t>Người thực hiện</t>
  </si>
  <si>
    <t>Bổ sung sau</t>
  </si>
  <si>
    <t>Cập nhật nội dung</t>
  </si>
  <si>
    <t>Hướng dẫn bảo dưỡng Robot Fanuc Xưởng NPK</t>
  </si>
  <si>
    <t>Hướng dẫn bảo dưỡng trạm cân xe tải Xưởng SP, NPK</t>
  </si>
  <si>
    <r>
      <t xml:space="preserve">PHỤ LỤC 1.4 - KẾ HOẠCH HỘI THẢO CHUYÊN ĐỀ ĐỘI TBCH NĂM 2026
</t>
    </r>
    <r>
      <rPr>
        <i/>
        <sz val="16"/>
        <color rgb="FF002060"/>
        <rFont val="Times New Roman"/>
        <family val="1"/>
      </rPr>
      <t>(Đính kèm Phụ lục 01 - Kế hoạch mục tiêu đội TB năm 2026)</t>
    </r>
  </si>
  <si>
    <r>
      <t xml:space="preserve">PHỤ LỤC 1.5: KẾ HOẠCH RÀ SOÁT SOẠN THẢO HƯỚNG DẪN BẢO DƯỠNG NĂM 2025
</t>
    </r>
    <r>
      <rPr>
        <i/>
        <sz val="16"/>
        <rFont val="Times New Roman"/>
        <family val="1"/>
      </rPr>
      <t>(Đính kèm Phụ lục 01 - Kế hoạch mục tiêu đội TB năm 2026)</t>
    </r>
  </si>
  <si>
    <t>01/01/2026</t>
  </si>
  <si>
    <t>30/01/2026</t>
  </si>
  <si>
    <t>Hướng dẫn bảo dưỡng thiết bị dò khí cầm tay của hãng sản xuất Draeger tại Nhà máy Đạm Cà Mau</t>
  </si>
  <si>
    <t>Hướng dẫn bảo dưỡng thiết bị đo Oxy 29AT-1004A/B/C</t>
  </si>
  <si>
    <t>01/03/2026</t>
  </si>
  <si>
    <t>30/03/2026</t>
  </si>
  <si>
    <t>HD-ĐK-FI-141</t>
  </si>
  <si>
    <t>HDBD cân đối chứng hiệu Mettler Toledo</t>
  </si>
  <si>
    <t>Cập nhật lại biên bản kiểm tra bảo dưỡng</t>
  </si>
  <si>
    <t>HD-ĐK-FI-152</t>
  </si>
  <si>
    <t>HDBD và calibration cân băng tải sử dụng đầu cân SIEMENS - MODEL BW500</t>
  </si>
  <si>
    <t>30/4/2026</t>
  </si>
  <si>
    <t>Hướng dẫn bảo dưỡng thiết bị giũ bụi Xưởng NPK.</t>
  </si>
  <si>
    <t>HD-ĐK-FI-174</t>
  </si>
  <si>
    <t>Hướng dẫn bảo dưỡng cân định lượng Hasler Xưởng NPK</t>
  </si>
  <si>
    <t>30/6/2026</t>
  </si>
  <si>
    <t>2025-ĐCM-HD-ĐK-FI-181</t>
  </si>
  <si>
    <t>31/7/2026</t>
  </si>
  <si>
    <t>2025-ĐCM-HD-ĐK-FI-184</t>
  </si>
  <si>
    <t>Hướng dẫn bảo dưỡng máy dán tem RFID</t>
  </si>
  <si>
    <t>30/9/2026</t>
  </si>
  <si>
    <t xml:space="preserve">HD-ĐK-FI-154 </t>
  </si>
  <si>
    <t>Hướng dẫn Bảo dưỡng các thiết bị có chức năng cảnh báo, phát hiện dạng Electric SW Xưởng NPK</t>
  </si>
  <si>
    <t>HD-XĐK-FI-148</t>
  </si>
  <si>
    <t>Hướng dẫn kiểm tra, bảo dưỡng thiết bị Safety rope xưởng NPK</t>
  </si>
  <si>
    <t>Hoàn thành</t>
  </si>
  <si>
    <t>01/05/2026</t>
  </si>
  <si>
    <t>30/05/2026</t>
  </si>
  <si>
    <t>CAM các support của transmitter
- Đánh rỉ bằng máy mài
- Sơn chống ăn mòn suppot</t>
  </si>
  <si>
    <t xml:space="preserve"> Gia công support, CAM máng cáp dây tín hiệu Emergency stop Ship loader B bỊ ăn mòn, thiếu support đỡ</t>
  </si>
  <si>
    <t>CAM các cylinder bàn nâng palet, thay thế máng cáp khu vực robot bị ăn mòn
- Đánh rỉ bằng máy mài
- Sơn chống ăn mòn suppot
- Thay thế máng cáp hư hỏng</t>
  </si>
  <si>
    <t>Switch báo lệch, safty rope dọc các băng tải</t>
  </si>
  <si>
    <t>Gia công bổ sung support cho thiết bị báo lệch, safty rope dọc các băng tải  V17 A/B/C/D</t>
  </si>
  <si>
    <t>HD-XĐK-FI-055</t>
  </si>
  <si>
    <t>Hướng dẫn bảo dưỡng- calibrate cân băng tải hãng Saimo</t>
  </si>
  <si>
    <t>Cập nhật lại nội dung BD, biểu mẫu báo cáo</t>
  </si>
  <si>
    <t>Hướng dẫn bảo dưỡng- calibration cân jumbo CI-200 Xưởng Sản Phẩm</t>
  </si>
  <si>
    <t>Hướng dẫn bảo dưỡng các loại sensor, switch, nút nhấn, local panel, junction box</t>
  </si>
  <si>
    <t>Cập nhật thêm thiết bị và nội dung hướng dẫn, form mẫu</t>
  </si>
  <si>
    <t>15/02/2026</t>
  </si>
  <si>
    <t xml:space="preserve">Hướng dẫn cân chỉnh cân chỉnh van governor </t>
  </si>
  <si>
    <t>Bình</t>
  </si>
  <si>
    <t>Lĩnh</t>
  </si>
  <si>
    <t>Trung</t>
  </si>
  <si>
    <t>Thang A</t>
  </si>
  <si>
    <t>Cập nhật GT soạn 2025</t>
  </si>
  <si>
    <t>2026-ĐCM-HD-ĐK-FI-189</t>
  </si>
  <si>
    <t>2026-ĐCM-HD-ĐK-FI-188</t>
  </si>
  <si>
    <t>Đầu mối Đội TBCH</t>
  </si>
  <si>
    <t>Vũ</t>
  </si>
  <si>
    <t>Lĩnh
Vũ</t>
  </si>
  <si>
    <t>Lĩnh
Hằng</t>
  </si>
  <si>
    <t>Lâm</t>
  </si>
  <si>
    <t>Cưng</t>
  </si>
  <si>
    <t>Nhật</t>
  </si>
  <si>
    <t>N. Sơn</t>
  </si>
  <si>
    <t>Lĩnh
Cưng</t>
  </si>
  <si>
    <t>Lĩnh/Vũ/Nhật/Bình/Cưng</t>
  </si>
  <si>
    <t>Đ. Sơn/Duyên/Vũ</t>
  </si>
  <si>
    <t>- Phối hợp đầu mối ĐTN xây dựng kế hoạch triển khai.
- Đăng ký và thực hiện chia sẽ chủ đề theo kế hoạch
-  Sắp xếp nhân sự trong đội tham gia các đợt Hội thảo.
- Cân nhắc đánh giá KPI đối với cá nhân tích cực tham gia và hoàn thành tốt công việc chuyên môn</t>
  </si>
  <si>
    <t>Lĩnh
Nhật</t>
  </si>
  <si>
    <t>Tổng quan hệ thống phân tích khí online Process Mass Spectrometer</t>
  </si>
  <si>
    <t>Hướng dẫn bảo dưỡng thiết bị trạm quan trắc ống khói Xưởng Urea</t>
  </si>
  <si>
    <t>Hướng dẫn kiểm tra bảo dưỡng thiết bị trạm quan trắc ống khói Xưởng NPK</t>
  </si>
  <si>
    <t>Báo cáo tình hình thực hiện tháng 1</t>
  </si>
  <si>
    <t>Đánh giá</t>
  </si>
  <si>
    <t>Báo cáo tình hình thực hiện tháng 2</t>
  </si>
  <si>
    <t xml:space="preserve">- Tuân thủ các hạng mục kiểm tra chức năng chỉ thực hiện khi GPCL được ban hành.
 - Đã ban hành 1 HBDB soạn mới theo kế hoạch tháng 1 (Hướng dẫn bảo dưỡng thiết bị do khí cầm tay hãng Draeger).
</t>
  </si>
  <si>
    <t>Trong tháng không có hạng mục</t>
  </si>
  <si>
    <t>Chưa có lịch họp trong tháng</t>
  </si>
  <si>
    <t>Hoàn thành thực hiện KPPN 1 hạng mục lắp mái che cho 16 switch báo vị trí gàu nâng V07611A/B</t>
  </si>
  <si>
    <t>Kiểm tra, tuân thủ đầy đủ theo yêu cầu đầu mối</t>
  </si>
  <si>
    <t>Hoàn thành tốt</t>
  </si>
  <si>
    <t>Trong tháng không có chương trình</t>
  </si>
  <si>
    <t>Không có kế hoạch trong tháng</t>
  </si>
  <si>
    <t>Đã tham gia họp thống nhất đối tượng thực hiện, làm rõ phạm vi công việc theo lịch của đầu mối.</t>
  </si>
  <si>
    <t>Đã bố trí, sắp xếp nhân sự xử lý 4 hạng mục TPM tag từ đầu mối gửi</t>
  </si>
  <si>
    <t>Trong tháng chưa có SK được cấp tiểu ban công nhận</t>
  </si>
  <si>
    <t>Trong tháng  có đăng ký 1 CTKT đã được LĐX phê duyệt.</t>
  </si>
  <si>
    <t>- Ngày 17/1 có 5/8 nhân sự thàm gia Lĩnh, Vũ, Cưng, Đ. Trung, Đức Anh. (Trừ 6 nhân sự tham gia BDTT ĐPM và Tuyên được miễn)</t>
  </si>
  <si>
    <t>TỔNG</t>
  </si>
  <si>
    <t>Đánh giá chung</t>
  </si>
  <si>
    <t xml:space="preserve">- Tuân thủ các hạng mục kiểm tra chức năng chỉ thực hiện khi GPCL được ban hành.
 - Đã ban hành 1 HBDB soạn mới theo kế hoạch tháng 2 (Hướng dẫn bảo dưỡng hệ thống thiết bị phân tích 04AT-5001).
</t>
  </si>
  <si>
    <t>Đang thực hiện đạt tiến độ 50% ( Đã cấu hình xong trong hệ thống để gấp bao 25kg. Đang chờ Cơ khí NPK thực hiện lắp đặt hệ thống ép bao và chỉnh sửa lại gripper).</t>
  </si>
  <si>
    <t>Đã hoàn thành lập YCKT thuê NCC dịch vụ gửi Lãnh đạo xưởng xem xét trước khi trình ký.</t>
  </si>
  <si>
    <t>Không có hạng mục xử lý trong tháng</t>
  </si>
  <si>
    <t>Đang thực hiện ĐTNB 1 môn, tiến độ đạt 80% (12h/15h). Kế hoạch thực hiện đến 27/02)</t>
  </si>
  <si>
    <t>Trong tháng có 12 thẻ STOP được ghi nhận</t>
  </si>
  <si>
    <t>Trong tháng  có đăng ký 3 CTKT đã được LĐX phê duyệt.</t>
  </si>
  <si>
    <t>Nhân sự miễn Phạm Văn Tuyên</t>
  </si>
  <si>
    <t>Hoàn thành tót</t>
  </si>
  <si>
    <t>Teambuilding ngày tất niên xưởng ngày 31/01: có 8/13 nhân sự tham gia, đạt 62% (gồm: Lĩnh, Khanh, Hằng, Trung, Đ. Sơn, Cưng, Duyện, Lâm).</t>
  </si>
  <si>
    <t xml:space="preserve">Không hoàn thành nhiệm vụ </t>
  </si>
  <si>
    <t>Đội/tổ thực hiện không hoàn thành một trong các chỉ tiêu theo kế hoạch/mục tiêu đã đăng ký hoặc vi
phạm bất kỳ qui định/qui trình của Nhà máy/Công ty</t>
  </si>
  <si>
    <t xml:space="preserve">Hoàn thành nhiệm vụ </t>
  </si>
  <si>
    <t>Đội/tổ thực hiện hoàn thành các chỉ tiêu theo kế hoạch/mục tiêu đã đăng ký và
- Không vi phạm bất kỳ qui định/qui trình của Nhà máy/Công ty</t>
  </si>
  <si>
    <r>
      <t xml:space="preserve">Đội/tổ thực hiện hoàn thành nhiệm vụ và
- Thực hiện vượt tiêu chí </t>
    </r>
    <r>
      <rPr>
        <sz val="12"/>
        <color rgb="FFFF0000"/>
        <rFont val="TimesNewRomanPSMT"/>
      </rPr>
      <t xml:space="preserve">O5.KR13 (3 ý tưởng/CTKT)
</t>
    </r>
    <r>
      <rPr>
        <sz val="12"/>
        <color rgb="FF000000"/>
        <rFont val="TimesNewRomanPSMT"/>
      </rPr>
      <t xml:space="preserve">- Là đội/tổ có tỉ lệ tham gia trên 50% đối với </t>
    </r>
    <r>
      <rPr>
        <sz val="12"/>
        <color rgb="FFFF0000"/>
        <rFont val="TimesNewRomanPSMT"/>
      </rPr>
      <t xml:space="preserve">O6.KR1 &amp; O6.KR2 (*)
</t>
    </r>
    <r>
      <rPr>
        <sz val="12"/>
        <color rgb="FF000000"/>
        <rFont val="TimesNewRomanPSMT"/>
      </rPr>
      <t>- Là đội/tổ có tỉ lệ tham gia trên 50% các hoạt động phong trào chung của Xưởng (*)
+ Tính theo tỷ lệ cá nhân tham gia
+ Chương trình: Hội thao PVCFC</t>
    </r>
  </si>
  <si>
    <r>
      <t xml:space="preserve">Đội/tổ thực hiện hoàn thành tốt nhiệm vụ và
- Là đội/tổ có tỉ lệ tham gia tất cả các hoạt động tại </t>
    </r>
    <r>
      <rPr>
        <sz val="12"/>
        <color rgb="FFFF0000"/>
        <rFont val="TimesNewRomanPSMT"/>
      </rPr>
      <t xml:space="preserve">O6.KR1 &amp; O6.KR2 đạt 90% </t>
    </r>
    <r>
      <rPr>
        <sz val="12"/>
        <color rgb="FF000000"/>
        <rFont val="TimesNewRomanPSMT"/>
      </rPr>
      <t>hoặc (*)
- Có giải pháp xử lý được vấn đề phức tạp do LĐX đánh giá hoặc
- Có giải pháp mang lại hiệu quả lớn do LĐX đánh giá</t>
    </r>
  </si>
  <si>
    <t>Báo cáo tình hình thực hiện tháng 3</t>
  </si>
  <si>
    <t xml:space="preserve">- Tuân thủ các hạng mục kiểm tra chức năng chỉ thực hiện khi GPCL được ban hành.
 - Đã gửi góp ý 3/4 HBDB soạn mới theo kế hoạch tháng, 1 HD đang thực hiện dự hoàn thành đến 30/03.
</t>
  </si>
  <si>
    <t>Hoàn thành lập sơ đồ tổ chức sơ bộ và cập nhật khối lượng theo yêu càu của Tỏ TB ĐL_ĐK</t>
  </si>
  <si>
    <t>Trong tháng có 28 thẻ STOP được ghi nhận</t>
  </si>
  <si>
    <t>Không hoàn thành</t>
  </si>
  <si>
    <t>Có cá nhân Lê Hữu Duyên vi phạm quy định liên quan đến An toàn vệ sinh lao động (thực hiện cắt thép tạo Kho WEC không có GPLV, không đảm bảo điều kiện che chắn gây cháy cỏ cục bộ và đã được dập tắt kịp thời)</t>
  </si>
  <si>
    <t xml:space="preserve">Đang thực hiện đạt tiến độ 60% </t>
  </si>
  <si>
    <t>- Hoàn thành lập trình tọa độ và cấu hình lớp bao cho loại bao 25kg
- Dự kiến tiếp tục thực hiện từ 01/04/2026 sau khi Cơ khí kiến hoàn thành hiện lắp đặt bộ dẫn hướng bao 01/04/2025</t>
  </si>
  <si>
    <t>Thực hiện ĐTNB 2 môn, tiến độ đạt 80% (27h/30h). Kế hoạch thực hiện đến 31/03)</t>
  </si>
  <si>
    <t>Đang thực hiện soạn 2 GT ĐTNB, tiến độ đạt 90%. Kế hoạch thực hiện đến 31/03)</t>
  </si>
  <si>
    <t>Báo cáo tình hình thực hiện tháng 4</t>
  </si>
  <si>
    <t>Không có lịch họp trong tháng</t>
  </si>
  <si>
    <t>Hoàn thành lập sơ đồ tổ chức chi tiết và cập nhật khối lượng, PA theo yêu càu của Tỏ TB ĐL_ĐK</t>
  </si>
  <si>
    <t>Trong tháng có 10 thẻ STOP được ghi nhận</t>
  </si>
  <si>
    <t>Đang thực hiện đạt tiến độ 95%:
- Robot C: Hoàn thành 100%.
- Robot B: Hoàn thành 90% (đang chờ VH đóng bao 25 Kg mới test được).</t>
  </si>
  <si>
    <t>Thực hiện ĐTNB 1 môn, tiến độ đạt 80% (24h/30h). Kế hoạch thực hiện đến 29/04)</t>
  </si>
  <si>
    <t>Đang thực hiện soạn 2 GT ĐTNB, tiến độ đạt 95%. Kế hoạch thực hiện đến 29/04)</t>
  </si>
  <si>
    <t>Đã gửi đầu mối 1/2 GT kế hoạch T4</t>
  </si>
  <si>
    <t>Có nhân sự tham gia buổi Hội thảo cấp xưởng chia sẽ QT cấp phép.</t>
  </si>
  <si>
    <t>Không hoàn thành nhiệm vụ</t>
  </si>
  <si>
    <t>Không hoàm thành.</t>
  </si>
  <si>
    <t>Đạt</t>
  </si>
  <si>
    <t>Hoàn thành 100%</t>
  </si>
  <si>
    <t>Hoàn thành 50%</t>
  </si>
  <si>
    <t>Hoàn thành 60%</t>
  </si>
  <si>
    <t>Tham gia chạy bộ ngày 11/4 : có 8/13 nhân sự tham gia, đạt 61,5% (gồm: Lĩnh, Khanh, Đ. Sơn. Duyên, Đ Trung, Đ Anh, Bình, Lâm).</t>
  </si>
  <si>
    <t>Cancel</t>
  </si>
  <si>
    <t>Chuyển BDTT thực hiện do VH không bàn giao được</t>
  </si>
  <si>
    <t>Hoàn thành 80% (24/30h). Kế hoạch đến 29/05</t>
  </si>
  <si>
    <t>Hoàn thành 90%. Kế hoạch đến 29/05</t>
  </si>
  <si>
    <t>KH thực hiện ngày 27/05</t>
  </si>
  <si>
    <t>Báo cáo tháng 5</t>
  </si>
  <si>
    <t>Hoàn thành.</t>
  </si>
  <si>
    <t>Đã gửi góp ý. KH Trình ký ban hành trong tuần 22</t>
  </si>
  <si>
    <t>Hoàn thành 90%. KH gửi góp ý và trình ký ban hành trong tuần 22</t>
  </si>
  <si>
    <t>2026-ĐCM-HD-ĐK-FI-194</t>
  </si>
  <si>
    <t>2026-ĐCM-HD-ĐK-FI-167</t>
  </si>
  <si>
    <t>2026-ĐCM-HD-ĐK-FI-115</t>
  </si>
  <si>
    <t>- Tuân thủ các hạng mục kiểm tra chức năng chỉ thực hiện khi GPCL được ban hành.
 - Đang soạn 3/3 HBDB (1 HD soạn mới và 2 HD cập nhật lại) theo kế hoạch tháng đạt 93%, thực hiện dự hoàn thành đến 29/05.</t>
  </si>
  <si>
    <t>Báo cáo tình hình thực hiện tháng 5</t>
  </si>
  <si>
    <t>Hoàn thành phối hợp với Tổ trực ca đánh giá tìm nguyên nhân và khắc phục sự cố trịp cụm Nito ngày 04/052026. Thay thế ngăn ngừa 2 solwnoid van 31UV-0128.</t>
  </si>
  <si>
    <t>Tham gia theo lịch của Lãnh đạo</t>
  </si>
  <si>
    <t>Hoàn thành lập sơ đồ tổ chức chi tiết và cập nhật khối lượng, PA, GG, PPE theo deadline 25 đầu mục công tác chuẩn bị của Tổ TB ĐL_ĐK.
Hoàn thành họp Nhóm TBCH lần 1 với tổ trưởng Tổ TB ĐL-ĐK.</t>
  </si>
  <si>
    <t>- Tổ chức nhóm để triển khai thực hiện công việc
- Lập kế hoạch tổ chức triển khai
- Triển khai các công tác chuẩn bị bao gồm: Phương án kỹ thuật, Phương án thi công, ĐGRR về kỹ thuật/an toàn, nhân sự giám sát/thực hiện
- Triển khai thực hiện theo Phương án đã phê duyệt trong BDTT
- Báo cáo kết quả thực hiện công việc</t>
  </si>
  <si>
    <t>Trong tháng có thực hiện hạng mục KPPN thay sensor slip detector 07SSL-2652A sàn rung A tạo hạt.</t>
  </si>
  <si>
    <t>Trong tháng có 16 thẻ STOP được ghi nhận</t>
  </si>
  <si>
    <t>Hoàn thành phối hợp với đầu mối xây xựng xong khung năng lực KTV trong đội TBCH.</t>
  </si>
  <si>
    <t>Thực hiện ĐTNB 1 môn, tiến độ đạt 80% (24h/30h). Kế hoạch thực hiện đến 29/05)</t>
  </si>
  <si>
    <t>Trong tháng có kế hoạch tổ chức Hội thảo chuyên môn theo KH (dự kiên thực hiện ngày 27/05).</t>
  </si>
  <si>
    <t>Đang thực hiện soạn 2 GT ĐTNB, tiến độ đạt 90%. Kế hoạch thực hiện đến 29/05)</t>
  </si>
  <si>
    <t>Haint;</t>
  </si>
  <si>
    <t>Đang thực hiện theo kế hoạch của nhóm AM xem thêm báo cáo TPM</t>
  </si>
  <si>
    <t>- Tham gia chạy bộ ngày 09/5 : có 11/13 nhân sự tham gia, đạt 85% (gồm: Lĩnh, Khanh, Hằng, Đ. Sơn, N. Sơn. Bình, Đ Trung, Đ Anh, Vũ, Nhật, Lâm).
'Tham gia chạy bộ ngày 23/5 : có 10/12 nhân sự tham gia, đạt 83%  (gồm: Lĩnh, Khanh, Cưng, Duyên, N. Sơn. Bình, Đ Trung, Đ Anh, Vũ, Nhật). Có Đ. Sơn không tham gia do di Teebuilding.</t>
  </si>
  <si>
    <t>Có sắp xếp tối đa nhân sự tham gia buổi Hội thảo cấp xưởng.</t>
  </si>
  <si>
    <t>Có 100% nhân sự tham gia like bài viết của xưởng trên Gapo work</t>
  </si>
  <si>
    <t>Hoàn thành đến 29/05</t>
  </si>
  <si>
    <r>
      <t xml:space="preserve">PHỤ LỤC 01 - KẾ HOẠCH MỤC TIÊU ĐỘI THIẾT BỊ CHẤP HÀNH NĂM 2026
</t>
    </r>
    <r>
      <rPr>
        <i/>
        <sz val="14"/>
        <rFont val="Times New Roman"/>
        <family val="1"/>
      </rPr>
      <t xml:space="preserve">(Đính kèm tờ trình số: 01/TTr-TBCH về việc đăng ký kế hoạch mục tiêu đội TBCH năm 2026) </t>
    </r>
  </si>
  <si>
    <t>- Thực hiện đúng phương án cách ly cô lập được ban hành
- Nâng cao nâng lực nhận diện mối nguy</t>
  </si>
  <si>
    <r>
      <rPr>
        <sz val="13"/>
        <color rgb="FFFF0000"/>
        <rFont val="Times New Roman"/>
        <family val="1"/>
      </rPr>
      <t xml:space="preserve">- Thực hiện đúng phương án cách ly cô lập được ban hành
- Rà soát kế hoạch bảo dưỡng và cập nhật đầy đủ các hướng dẫn bảo dưỡng theo kế hoạch được ban hành
</t>
    </r>
    <r>
      <rPr>
        <sz val="13"/>
        <color theme="1"/>
        <rFont val="Times New Roman"/>
        <family val="1"/>
      </rPr>
      <t>- Từng bước chuẩn hóa các hướng dẫn có bổ sung nội dung đánh giá rủi ro về an toàn lao động
- Đảm bảo từng CBCNV thực hiện công tác bảo dưỡng phải nắm rõ các hướng dẫn được ban hành và thực hiện đúng
- Quản lý hồ sơ tài liệu của đơn vị, đảm bảo dễ  thấy, dễ  lấy, dễ  sử  dụng, không hư hỏng, không thất lạc</t>
    </r>
  </si>
  <si>
    <r>
      <rPr>
        <sz val="13"/>
        <color rgb="FFFF0000"/>
        <rFont val="Times New Roman"/>
        <family val="1"/>
      </rPr>
      <t xml:space="preserve">- Thực hiện đúng phương án cách ly cô lập được ban hành.
- Rà soát kế hoạch bảo dưỡng và cập nhật đầy đủ các hướng dẫn bảo dưỡng theo kế hoạch được được phê duyệt như </t>
    </r>
    <r>
      <rPr>
        <b/>
        <sz val="13"/>
        <color rgb="FFFF0000"/>
        <rFont val="Times New Roman"/>
        <family val="1"/>
      </rPr>
      <t>Phụ lục 1.5.</t>
    </r>
    <r>
      <rPr>
        <sz val="13"/>
        <color rgb="FFFF0000"/>
        <rFont val="Times New Roman"/>
        <family val="1"/>
      </rPr>
      <t xml:space="preserve">
</t>
    </r>
    <r>
      <rPr>
        <sz val="13"/>
        <color theme="1"/>
        <rFont val="Times New Roman"/>
        <family val="1"/>
      </rPr>
      <t>- Từng bước chuẩn hóa các hướng dẫn có bổ sung nội dung đánh giá rủi ro về an toàn lao động
- Đảm bảo từng CBCNV thực hiện công tác bảo dưỡng phải nắm rõ các hướng dẫn được ban hành và thực hiện đúng
- Quản lý hồ sơ tài liệu của đơn vị, đảm bảo dễ  thấy, dễ lấy, dễ sử  dụng, không hư hỏng, không thất lạc</t>
    </r>
  </si>
  <si>
    <r>
      <t xml:space="preserve">- Tuân thủ các hạng mục kiểm tra chức năng chỉ thực hiện khi GPCL được ban hành.
 - Đang soạn 2 HBDB mới theo kế hoạch tháng đạt 55%, thực hiện dự hoàn thành đến 29/04.
</t>
    </r>
    <r>
      <rPr>
        <sz val="13"/>
        <color rgb="FFFF0000"/>
        <rFont val="Times New Roman"/>
        <family val="1"/>
      </rPr>
      <t xml:space="preserve">- Có cá nhân Nguyễn Ngọc Sơn vi phạm trong việc không tuân thủ đúng HDBD trong quá trình thực hiên công việc bảo dưỡng định kỳ thiết bị Quan trắc.
</t>
    </r>
  </si>
  <si>
    <r>
      <t xml:space="preserve">Đảm bảo công tác sửa chữa đột xuất có nhận diện mối nguy và ĐGRR đối với hạng mục có mối nguy </t>
    </r>
    <r>
      <rPr>
        <sz val="13"/>
        <color rgb="FFFF0000"/>
        <rFont val="Times New Roman"/>
        <family val="1"/>
      </rPr>
      <t>ảnh hưởng đến giảm tải, gián đoạn sản xuất</t>
    </r>
  </si>
  <si>
    <r>
      <t xml:space="preserve">Triển khai công tác BD định kỳ theo kế hoạch đảm bảo </t>
    </r>
    <r>
      <rPr>
        <b/>
        <sz val="13"/>
        <color theme="1"/>
        <rFont val="Times New Roman"/>
        <family val="1"/>
      </rPr>
      <t>chất lượng</t>
    </r>
    <r>
      <rPr>
        <sz val="13"/>
        <color theme="1"/>
        <rFont val="Times New Roman"/>
        <family val="1"/>
      </rPr>
      <t xml:space="preserve"> và đúng </t>
    </r>
    <r>
      <rPr>
        <b/>
        <sz val="13"/>
        <color theme="1"/>
        <rFont val="Times New Roman"/>
        <family val="1"/>
      </rPr>
      <t>tiến độ</t>
    </r>
  </si>
  <si>
    <r>
      <t xml:space="preserve">Hoàn thành </t>
    </r>
    <r>
      <rPr>
        <b/>
        <sz val="13"/>
        <rFont val="Times New Roman"/>
        <family val="1"/>
      </rPr>
      <t>682/801</t>
    </r>
    <r>
      <rPr>
        <sz val="13"/>
        <rFont val="Times New Roman"/>
        <family val="1"/>
      </rPr>
      <t xml:space="preserve"> hạng mục chiếm tỷ trọng </t>
    </r>
    <r>
      <rPr>
        <b/>
        <sz val="13"/>
        <rFont val="Times New Roman"/>
        <family val="1"/>
      </rPr>
      <t>85%</t>
    </r>
    <r>
      <rPr>
        <sz val="13"/>
        <rFont val="Times New Roman"/>
        <family val="1"/>
      </rPr>
      <t xml:space="preserve"> (Tính đến ngày 26/1). Kế hoạch hoàn thành đến 30/01/2026</t>
    </r>
  </si>
  <si>
    <r>
      <t xml:space="preserve">Hoàn thành </t>
    </r>
    <r>
      <rPr>
        <b/>
        <sz val="13"/>
        <rFont val="Times New Roman"/>
        <family val="1"/>
      </rPr>
      <t>535/578</t>
    </r>
    <r>
      <rPr>
        <sz val="13"/>
        <rFont val="Times New Roman"/>
        <family val="1"/>
      </rPr>
      <t xml:space="preserve"> hạng mục chiếm tỷ trọng </t>
    </r>
    <r>
      <rPr>
        <b/>
        <sz val="13"/>
        <rFont val="Times New Roman"/>
        <family val="1"/>
      </rPr>
      <t>92.6%</t>
    </r>
    <r>
      <rPr>
        <sz val="13"/>
        <rFont val="Times New Roman"/>
        <family val="1"/>
      </rPr>
      <t xml:space="preserve"> (cập nhật đến ngày 25/2). Kế hoạch hoàn thành đến 27/02/2026</t>
    </r>
  </si>
  <si>
    <r>
      <t xml:space="preserve">Hoàn thành </t>
    </r>
    <r>
      <rPr>
        <b/>
        <sz val="13"/>
        <rFont val="Times New Roman"/>
        <family val="1"/>
      </rPr>
      <t>674/719</t>
    </r>
    <r>
      <rPr>
        <sz val="13"/>
        <rFont val="Times New Roman"/>
        <family val="1"/>
      </rPr>
      <t xml:space="preserve"> hạng mục chiếm tỷ trọng </t>
    </r>
    <r>
      <rPr>
        <b/>
        <sz val="13"/>
        <rFont val="Times New Roman"/>
        <family val="1"/>
      </rPr>
      <t>93.7%</t>
    </r>
    <r>
      <rPr>
        <sz val="13"/>
        <rFont val="Times New Roman"/>
        <family val="1"/>
      </rPr>
      <t xml:space="preserve"> (cập nhật đến ngày 25/3). Kế hoạch hoàn thành đến 31/03/2026</t>
    </r>
  </si>
  <si>
    <r>
      <t xml:space="preserve">Hoàn thành </t>
    </r>
    <r>
      <rPr>
        <b/>
        <sz val="13"/>
        <rFont val="Times New Roman"/>
        <family val="1"/>
      </rPr>
      <t>750/759</t>
    </r>
    <r>
      <rPr>
        <sz val="13"/>
        <rFont val="Times New Roman"/>
        <family val="1"/>
      </rPr>
      <t xml:space="preserve"> hạng mục chiếm tỷ trọng </t>
    </r>
    <r>
      <rPr>
        <b/>
        <sz val="13"/>
        <rFont val="Times New Roman"/>
        <family val="1"/>
      </rPr>
      <t>98.8%</t>
    </r>
    <r>
      <rPr>
        <sz val="13"/>
        <rFont val="Times New Roman"/>
        <family val="1"/>
      </rPr>
      <t xml:space="preserve"> (cập nhật đến ngày 24/4). Kế hoạch hoàn thành đến 29/04/2026</t>
    </r>
  </si>
  <si>
    <r>
      <t xml:space="preserve">Hoàn thành </t>
    </r>
    <r>
      <rPr>
        <b/>
        <sz val="13"/>
        <rFont val="Times New Roman"/>
        <family val="1"/>
      </rPr>
      <t>500/608</t>
    </r>
    <r>
      <rPr>
        <sz val="13"/>
        <rFont val="Times New Roman"/>
        <family val="1"/>
      </rPr>
      <t xml:space="preserve"> hạng mục chiếm tỷ trọng </t>
    </r>
    <r>
      <rPr>
        <b/>
        <sz val="13"/>
        <rFont val="Times New Roman"/>
        <family val="1"/>
      </rPr>
      <t>83%</t>
    </r>
    <r>
      <rPr>
        <sz val="13"/>
        <rFont val="Times New Roman"/>
        <family val="1"/>
      </rPr>
      <t xml:space="preserve"> (cập nhật đến ngày 25/4). Kế hoạch hoàn thành đến 29/05/2026</t>
    </r>
  </si>
  <si>
    <r>
      <t xml:space="preserve">Triển khai công tác BDTT theo kế hoạch đảm bảo </t>
    </r>
    <r>
      <rPr>
        <b/>
        <sz val="13"/>
        <color theme="1"/>
        <rFont val="Times New Roman"/>
        <family val="1"/>
      </rPr>
      <t>chất lượng</t>
    </r>
  </si>
  <si>
    <r>
      <t xml:space="preserve">Trong tháng thẻ STOP ghi được </t>
    </r>
    <r>
      <rPr>
        <b/>
        <sz val="13"/>
        <rFont val="Times New Roman"/>
        <family val="1"/>
      </rPr>
      <t>14/7</t>
    </r>
    <r>
      <rPr>
        <sz val="13"/>
        <rFont val="Times New Roman"/>
        <family val="1"/>
      </rPr>
      <t xml:space="preserve"> thẻ đạt tỷ lệ </t>
    </r>
    <r>
      <rPr>
        <b/>
        <sz val="13"/>
        <rFont val="Times New Roman"/>
        <family val="1"/>
      </rPr>
      <t>100%</t>
    </r>
    <r>
      <rPr>
        <sz val="13"/>
        <rFont val="Times New Roman"/>
        <family val="1"/>
      </rPr>
      <t xml:space="preserve"> so với tổng số nhân sự</t>
    </r>
  </si>
  <si>
    <r>
      <t>Đã tham gia họp thống nhất kế hoạch thực hiện công việc và đưa ra deadline ra YCKT dịch vụ cải tạo hệ thống máng cáp và giao cho nhận sự</t>
    </r>
    <r>
      <rPr>
        <sz val="13"/>
        <color rgb="FFFF0000"/>
        <rFont val="Times New Roman"/>
        <family val="1"/>
      </rPr>
      <t xml:space="preserve"> Nguyễn Văn Vũ</t>
    </r>
    <r>
      <rPr>
        <sz val="13"/>
        <rFont val="Times New Roman"/>
        <family val="1"/>
      </rPr>
      <t xml:space="preserve"> phụ trách trực tiếp gói dịch vụ này.</t>
    </r>
  </si>
  <si>
    <r>
      <t xml:space="preserve">- Tổ chức triển khai đào tạo nội bộ theo kế hoạch đã được phê duyệt như </t>
    </r>
    <r>
      <rPr>
        <b/>
        <sz val="13"/>
        <rFont val="Times New Roman"/>
        <family val="1"/>
      </rPr>
      <t>Phụ lục 1.2</t>
    </r>
    <r>
      <rPr>
        <sz val="13"/>
        <rFont val="Times New Roman"/>
        <family val="1"/>
      </rPr>
      <t>;
- Đánh giá thường xuyên/đột xuất việc triển khai đào tạo nội bộ trong đội;
- Hoàn thiện hồ sơ đào tạo nội bộ theo qui chế.</t>
    </r>
  </si>
  <si>
    <r>
      <t xml:space="preserve">- Tìm hiểu, nghiên cứu soạn slide trình bày nội bộ Đội;
- Thông báo khuyến khích các Đội/ tổ khác tham gia;
- Tổ chức triển khai hội thảo theo kế hoạch như </t>
    </r>
    <r>
      <rPr>
        <b/>
        <sz val="13"/>
        <rFont val="Times New Roman"/>
        <family val="1"/>
      </rPr>
      <t>Phụ lục 1.4.</t>
    </r>
  </si>
  <si>
    <r>
      <t xml:space="preserve">- Thực hiện chuẩn hóa giáo trình như </t>
    </r>
    <r>
      <rPr>
        <b/>
        <sz val="13"/>
        <rFont val="Times New Roman"/>
        <family val="1"/>
      </rPr>
      <t>Phụ lục 1.3</t>
    </r>
    <r>
      <rPr>
        <sz val="13"/>
        <rFont val="Times New Roman"/>
        <family val="1"/>
      </rPr>
      <t>;
- Gửi file tài liệu đã chuẩn hóa cho đầu mối và chỉnh sửa theo yêu cầu (nếu có).</t>
    </r>
  </si>
  <si>
    <r>
      <t>Trụ cột PM: Rà soát cập nhật lại kế hoạch bảo dưỡng theo phương thức bảo dưỡng để tăng hiệu quả trong công tác bảo dưỡng (áp dụng đối với Phân xưởng/hệ thống do X. ĐK phụ trách công tác lập kế hoạch)
- Đội TBCH: TB SP/NPK/GN/Quan trắc</t>
    </r>
    <r>
      <rPr>
        <sz val="13"/>
        <color rgb="FFFF0000"/>
        <rFont val="Times New Roman"/>
        <family val="1"/>
      </rPr>
      <t>/Phân tích/TB đo khí cầm tay;</t>
    </r>
    <r>
      <rPr>
        <sz val="13"/>
        <color theme="1"/>
        <rFont val="Times New Roman"/>
        <family val="1"/>
      </rPr>
      <t xml:space="preserve">
- Đội TB Đo: PI,TI/ ACC/ PA/Camera/Bộ đàm;
- Đội TBHTĐK: Hệ thống phòng cháy</t>
    </r>
  </si>
  <si>
    <r>
      <t xml:space="preserve">- Thực hiện rà soát kế hoạch bảo dưỡng cả năm các thiết bị TB </t>
    </r>
    <r>
      <rPr>
        <sz val="13"/>
        <color rgb="FFFF0000"/>
        <rFont val="Times New Roman"/>
        <family val="1"/>
      </rPr>
      <t>SP/NPK/GN/Quan trắc/Phân tích/TB đo khí cầm tay.</t>
    </r>
    <r>
      <rPr>
        <sz val="13"/>
        <color theme="1"/>
        <rFont val="Times New Roman"/>
        <family val="1"/>
      </rPr>
      <t xml:space="preserve">
- Gửi đầu mối cập nhật dữ liệu master trên SAP nếu có điều chỉnh.</t>
    </r>
  </si>
  <si>
    <r>
      <t xml:space="preserve">Đang thực hiện đạt tiến độ 95%:
</t>
    </r>
    <r>
      <rPr>
        <sz val="13"/>
        <color rgb="FF00B050"/>
        <rFont val="Times New Roman"/>
        <family val="1"/>
      </rPr>
      <t>- Robot C: Hoàn thành 100%.</t>
    </r>
    <r>
      <rPr>
        <sz val="13"/>
        <rFont val="Times New Roman"/>
        <family val="1"/>
      </rPr>
      <t xml:space="preserve">
- Robot B: Hoàn thành 90% (đang chờ VH đóng bao 25 Kg mới test được).</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</si>
</sst>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_(* #,##0.00_);_(* \(#,##0.00\);_(* &quot;-&quot;??_);_(@_)"/>
    <numFmt numFmtId="165" formatCode="_-* #,##0.00\ _₫_-;\-* #,##0.00\ _₫_-;_-* &quot;-&quot;??\ _₫_-;_-@_-"/>
    <numFmt numFmtId="166" formatCode="0.0%"/>
    <numFmt numFmtId="167" formatCode="0.000%"/>
    <numFmt numFmtId="168" formatCode="_-* #,##0.000_-;\-* #,##0.000_-;_-* &quot;-&quot;??_-;_-@_-"/>
    <numFmt numFmtId="169" formatCode="[$-409]dd\-mmm\-yy;@"/>
    <numFmt numFmtId="170" formatCode="[$-1010000]d/m/yyyy;@"/>
  </numFmts>
  <fonts count="60">
    <font>
      <sz val="11"/>
      <color theme="1"/>
      <name val="Calibri"/>
      <family val="2"/>
      <scheme val="minor"/>
    </font>
    <font>
      <sz val="12"/>
      <name val="Times New Roman"/>
      <family val="1"/>
    </font>
    <font>
      <sz val="11"/>
      <color theme="1"/>
      <name val="Calibri"/>
      <family val="2"/>
      <charset val="163"/>
      <scheme val="minor"/>
    </font>
    <font>
      <sz val="11"/>
      <color theme="1"/>
      <name val="Calibri"/>
      <family val="2"/>
      <scheme val="minor"/>
    </font>
    <font>
      <sz val="10"/>
      <name val="Arial"/>
      <family val="2"/>
    </font>
    <font>
      <sz val="10"/>
      <color rgb="FF000000"/>
      <name val="Arial"/>
      <family val="2"/>
    </font>
    <font>
      <sz val="11"/>
      <name val="ＭＳ Ｐゴシック"/>
      <family val="3"/>
      <charset val="128"/>
    </font>
    <font>
      <b/>
      <sz val="13"/>
      <color theme="1"/>
      <name val="Times New Roman"/>
      <family val="1"/>
    </font>
    <font>
      <sz val="8"/>
      <name val="Calibri"/>
      <family val="2"/>
      <scheme val="minor"/>
    </font>
    <font>
      <sz val="13"/>
      <color theme="1"/>
      <name val="Times New Roman"/>
      <family val="1"/>
    </font>
    <font>
      <sz val="13"/>
      <name val="Times New Roman"/>
      <family val="1"/>
    </font>
    <font>
      <sz val="11"/>
      <color theme="1"/>
      <name val="Times New Roman"/>
      <family val="1"/>
    </font>
    <font>
      <b/>
      <sz val="14"/>
      <name val="Times New Roman"/>
      <family val="1"/>
    </font>
    <font>
      <b/>
      <sz val="14"/>
      <color theme="1"/>
      <name val="Times New Roman"/>
      <family val="1"/>
    </font>
    <font>
      <sz val="14"/>
      <color theme="1"/>
      <name val="Times New Roman"/>
      <family val="1"/>
    </font>
    <font>
      <sz val="14"/>
      <name val="Times New Roman"/>
      <family val="1"/>
    </font>
    <font>
      <sz val="14"/>
      <color rgb="FFFF0000"/>
      <name val="Times New Roman"/>
      <family val="1"/>
    </font>
    <font>
      <sz val="14"/>
      <color theme="4"/>
      <name val="Times New Roman"/>
      <family val="1"/>
    </font>
    <font>
      <sz val="14"/>
      <color theme="1"/>
      <name val="Calibri"/>
      <family val="2"/>
      <scheme val="minor"/>
    </font>
    <font>
      <b/>
      <sz val="12"/>
      <name val="Times New Roman"/>
      <family val="1"/>
    </font>
    <font>
      <i/>
      <sz val="12"/>
      <name val="Times New Roman"/>
      <family val="1"/>
    </font>
    <font>
      <b/>
      <sz val="12"/>
      <color rgb="FFFF0000"/>
      <name val="Times New Roman"/>
      <family val="1"/>
    </font>
    <font>
      <b/>
      <sz val="13"/>
      <name val="Times New Roman"/>
      <family val="1"/>
    </font>
    <font>
      <b/>
      <sz val="12"/>
      <color theme="1"/>
      <name val="Times New Roman"/>
      <family val="1"/>
    </font>
    <font>
      <sz val="12"/>
      <color rgb="FFFF0000"/>
      <name val="Times New Roman"/>
      <family val="1"/>
    </font>
    <font>
      <sz val="12"/>
      <color theme="1"/>
      <name val="Times New Roman"/>
      <family val="1"/>
    </font>
    <font>
      <b/>
      <i/>
      <sz val="12"/>
      <color theme="1"/>
      <name val="Times New Roman"/>
      <family val="1"/>
    </font>
    <font>
      <b/>
      <i/>
      <sz val="12"/>
      <color rgb="FFFF0000"/>
      <name val="Times New Roman"/>
      <family val="1"/>
    </font>
    <font>
      <b/>
      <sz val="12"/>
      <color rgb="FFFF0000"/>
      <name val="Times New Roman"/>
      <family val="2"/>
    </font>
    <font>
      <b/>
      <strike/>
      <sz val="12"/>
      <name val="Times New Roman"/>
      <family val="1"/>
    </font>
    <font>
      <b/>
      <sz val="9"/>
      <color indexed="81"/>
      <name val="Tahoma"/>
      <family val="2"/>
    </font>
    <font>
      <sz val="9"/>
      <color indexed="81"/>
      <name val="Tahoma"/>
      <family val="2"/>
    </font>
    <font>
      <sz val="14"/>
      <color theme="1"/>
      <name val="Times New Roman"/>
      <family val="2"/>
    </font>
    <font>
      <sz val="13"/>
      <color rgb="FF000000"/>
      <name val="Arial"/>
      <family val="2"/>
    </font>
    <font>
      <b/>
      <sz val="13"/>
      <color theme="4" tint="-0.499984740745262"/>
      <name val="Times New Roman"/>
      <family val="1"/>
    </font>
    <font>
      <sz val="13"/>
      <color theme="1"/>
      <name val="Calibri"/>
      <family val="2"/>
      <scheme val="minor"/>
    </font>
    <font>
      <sz val="13"/>
      <color theme="1"/>
      <name val="Times New Roman"/>
      <family val="2"/>
    </font>
    <font>
      <b/>
      <i/>
      <sz val="13"/>
      <color theme="1"/>
      <name val="Times New Roman"/>
      <family val="1"/>
    </font>
    <font>
      <b/>
      <sz val="18"/>
      <name val="Times New Roman"/>
      <family val="1"/>
    </font>
    <font>
      <i/>
      <sz val="13"/>
      <name val="Times New Roman"/>
      <family val="1"/>
    </font>
    <font>
      <u/>
      <sz val="11"/>
      <color theme="10"/>
      <name val="Calibri"/>
      <family val="2"/>
      <scheme val="minor"/>
    </font>
    <font>
      <sz val="16"/>
      <color theme="1"/>
      <name val="Times New Roman"/>
      <family val="1"/>
    </font>
    <font>
      <b/>
      <sz val="16"/>
      <color theme="1"/>
      <name val="Times New Roman"/>
      <family val="1"/>
    </font>
    <font>
      <sz val="13"/>
      <color rgb="FF0070C0"/>
      <name val="Times New Roman"/>
      <family val="1"/>
    </font>
    <font>
      <sz val="13"/>
      <color rgb="FFFF0000"/>
      <name val="Times New Roman"/>
      <family val="1"/>
    </font>
    <font>
      <b/>
      <sz val="13"/>
      <color rgb="FFFF0000"/>
      <name val="Times New Roman"/>
      <family val="1"/>
    </font>
    <font>
      <u/>
      <sz val="13"/>
      <color theme="10"/>
      <name val="Times New Roman"/>
      <family val="1"/>
    </font>
    <font>
      <b/>
      <sz val="16"/>
      <color rgb="FF002060"/>
      <name val="Times New Roman"/>
      <family val="1"/>
    </font>
    <font>
      <i/>
      <sz val="16"/>
      <color rgb="FF002060"/>
      <name val="Times New Roman"/>
      <family val="1"/>
    </font>
    <font>
      <i/>
      <sz val="16"/>
      <color theme="1"/>
      <name val="Times New Roman"/>
      <family val="1"/>
    </font>
    <font>
      <b/>
      <sz val="16"/>
      <name val="Times New Roman"/>
      <family val="1"/>
    </font>
    <font>
      <i/>
      <sz val="16"/>
      <name val="Times New Roman"/>
      <family val="1"/>
    </font>
    <font>
      <sz val="13"/>
      <color theme="1"/>
      <name val="Aptos Narrow"/>
      <family val="2"/>
      <charset val="1"/>
    </font>
    <font>
      <sz val="13"/>
      <color theme="1"/>
      <name val="Times New Roman"/>
      <family val="2"/>
      <charset val="1"/>
    </font>
    <font>
      <sz val="13"/>
      <color rgb="FF000000"/>
      <name val="Times New Roman"/>
      <family val="1"/>
    </font>
    <font>
      <i/>
      <sz val="14"/>
      <name val="Times New Roman"/>
      <family val="1"/>
    </font>
    <font>
      <sz val="12"/>
      <color rgb="FF000000"/>
      <name val="TimesNewRomanPSMT"/>
    </font>
    <font>
      <sz val="12"/>
      <color rgb="FFFF0000"/>
      <name val="TimesNewRomanPSMT"/>
    </font>
    <font>
      <sz val="13"/>
      <color rgb="FF00B050"/>
      <name val="Times New Roman"/>
      <family val="1"/>
    </font>
    <font>
      <b/>
      <sz val="13"/>
      <color rgb="FF002060"/>
      <name val="Times New Roman"/>
      <family val="1"/>
    </font>
  </fonts>
  <fills count="23">
    <fill>
      <patternFill patternType="none"/>
    </fill>
    <fill>
      <patternFill patternType="gray125"/>
    </fill>
    <fill>
      <patternFill patternType="solid">
        <fgColor theme="9" tint="0.59999389629810485"/>
        <bgColor indexed="64"/>
      </patternFill>
    </fill>
    <fill>
      <patternFill patternType="solid">
        <fgColor rgb="FF00B0F0"/>
        <bgColor indexed="64"/>
      </patternFill>
    </fill>
    <fill>
      <patternFill patternType="solid">
        <fgColor rgb="FFFFE598"/>
        <bgColor rgb="FFFFE598"/>
      </patternFill>
    </fill>
    <fill>
      <patternFill patternType="solid">
        <fgColor theme="7" tint="0.79998168889431442"/>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bgColor indexed="64"/>
      </patternFill>
    </fill>
    <fill>
      <patternFill patternType="solid">
        <fgColor theme="8" tint="0.59999389629810485"/>
        <bgColor rgb="FFFFFFFF"/>
      </patternFill>
    </fill>
    <fill>
      <patternFill patternType="solid">
        <fgColor theme="8" tint="0.59999389629810485"/>
        <bgColor theme="0"/>
      </patternFill>
    </fill>
    <fill>
      <patternFill patternType="solid">
        <fgColor theme="8" tint="0.59999389629810485"/>
        <bgColor rgb="FFFFF2CC"/>
      </patternFill>
    </fill>
    <fill>
      <patternFill patternType="solid">
        <fgColor theme="8" tint="0.59999389629810485"/>
        <bgColor rgb="FFC9DAF8"/>
      </patternFill>
    </fill>
    <fill>
      <patternFill patternType="solid">
        <fgColor theme="0"/>
        <bgColor rgb="FFFFFFFF"/>
      </patternFill>
    </fill>
    <fill>
      <patternFill patternType="solid">
        <fgColor rgb="FFFFFFFF"/>
        <bgColor rgb="FFFFFFFF"/>
      </patternFill>
    </fill>
    <fill>
      <patternFill patternType="solid">
        <fgColor theme="4" tint="0.59999389629810485"/>
        <bgColor indexed="64"/>
      </patternFill>
    </fill>
    <fill>
      <patternFill patternType="solid">
        <fgColor rgb="FF00B0F0"/>
        <bgColor rgb="FFFFFFFF"/>
      </patternFill>
    </fill>
    <fill>
      <patternFill patternType="solid">
        <fgColor rgb="FF00B0F0"/>
        <bgColor rgb="FFC9DAF8"/>
      </patternFill>
    </fill>
    <fill>
      <patternFill patternType="solid">
        <fgColor theme="4" tint="0.79998168889431442"/>
        <bgColor indexed="64"/>
      </patternFill>
    </fill>
    <fill>
      <patternFill patternType="solid">
        <fgColor theme="7" tint="0.79998168889431442"/>
        <bgColor rgb="FFFFE598"/>
      </patternFill>
    </fill>
    <fill>
      <patternFill patternType="solid">
        <fgColor rgb="FF00B0F0"/>
        <bgColor rgb="FFFFE598"/>
      </patternFill>
    </fill>
    <fill>
      <patternFill patternType="solid">
        <fgColor theme="8" tint="0.39997558519241921"/>
        <bgColor indexed="64"/>
      </patternFill>
    </fill>
    <fill>
      <patternFill patternType="solid">
        <fgColor rgb="FFFFC000"/>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diagonal/>
    </border>
    <border>
      <left/>
      <right/>
      <top/>
      <bottom style="thin">
        <color indexed="64"/>
      </bottom>
      <diagonal/>
    </border>
    <border>
      <left style="thin">
        <color indexed="64"/>
      </left>
      <right style="thin">
        <color indexed="64"/>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indexed="64"/>
      </right>
      <top/>
      <bottom/>
      <diagonal/>
    </border>
  </borders>
  <cellStyleXfs count="27">
    <xf numFmtId="0" fontId="0" fillId="0" borderId="0"/>
    <xf numFmtId="164" fontId="2" fillId="0" borderId="0"/>
    <xf numFmtId="165" fontId="2" fillId="0" borderId="0"/>
    <xf numFmtId="0" fontId="1" fillId="0" borderId="0"/>
    <xf numFmtId="0" fontId="3" fillId="0" borderId="0"/>
    <xf numFmtId="0" fontId="2" fillId="0" borderId="0"/>
    <xf numFmtId="0" fontId="4" fillId="0" borderId="0"/>
    <xf numFmtId="0" fontId="5" fillId="0" borderId="0"/>
    <xf numFmtId="0" fontId="6" fillId="0" borderId="0">
      <alignment vertical="center"/>
    </xf>
    <xf numFmtId="164" fontId="3" fillId="0" borderId="0" applyFont="0" applyFill="0" applyBorder="0" applyAlignment="0" applyProtection="0"/>
    <xf numFmtId="164"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43" fontId="3"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2" fillId="0" borderId="0"/>
    <xf numFmtId="9" fontId="3" fillId="0" borderId="0"/>
    <xf numFmtId="0" fontId="32" fillId="0" borderId="0"/>
    <xf numFmtId="0" fontId="5" fillId="0" borderId="0"/>
    <xf numFmtId="0" fontId="3" fillId="0" borderId="0"/>
    <xf numFmtId="0" fontId="40" fillId="0" borderId="0" applyNumberFormat="0" applyFill="0" applyBorder="0" applyAlignment="0" applyProtection="0"/>
    <xf numFmtId="0" fontId="3" fillId="0" borderId="0"/>
    <xf numFmtId="0" fontId="3" fillId="0" borderId="0"/>
    <xf numFmtId="0" fontId="2" fillId="0" borderId="0"/>
    <xf numFmtId="0" fontId="2" fillId="0" borderId="0"/>
    <xf numFmtId="0" fontId="2" fillId="0" borderId="0"/>
  </cellStyleXfs>
  <cellXfs count="454">
    <xf numFmtId="0" fontId="0" fillId="0" borderId="0" xfId="0"/>
    <xf numFmtId="0" fontId="9" fillId="0" borderId="0" xfId="0" applyFont="1"/>
    <xf numFmtId="0" fontId="9" fillId="0" borderId="1" xfId="0" applyFont="1" applyBorder="1" applyAlignment="1">
      <alignment horizontal="center" vertical="center"/>
    </xf>
    <xf numFmtId="0" fontId="9" fillId="0" borderId="1" xfId="0" applyFont="1" applyBorder="1" applyAlignment="1">
      <alignment vertical="center" wrapText="1"/>
    </xf>
    <xf numFmtId="0" fontId="10" fillId="0" borderId="1" xfId="0" applyFont="1" applyBorder="1" applyAlignment="1">
      <alignment vertical="center" wrapText="1"/>
    </xf>
    <xf numFmtId="0" fontId="9" fillId="0" borderId="0" xfId="0" applyFont="1" applyAlignment="1">
      <alignment wrapText="1"/>
    </xf>
    <xf numFmtId="0" fontId="11" fillId="0" borderId="0" xfId="0" applyFont="1"/>
    <xf numFmtId="0" fontId="14" fillId="0" borderId="0" xfId="0" applyFont="1" applyAlignment="1">
      <alignment vertical="center" wrapText="1"/>
    </xf>
    <xf numFmtId="0" fontId="12" fillId="2" borderId="1" xfId="0" applyFont="1" applyFill="1" applyBorder="1" applyAlignment="1">
      <alignment horizontal="center" vertical="center" wrapText="1"/>
    </xf>
    <xf numFmtId="9" fontId="12" fillId="2" borderId="1" xfId="0" applyNumberFormat="1" applyFont="1" applyFill="1" applyBorder="1" applyAlignment="1">
      <alignment horizontal="center" vertical="center" wrapText="1"/>
    </xf>
    <xf numFmtId="0" fontId="13" fillId="4" borderId="9" xfId="0" applyFont="1" applyFill="1" applyBorder="1" applyAlignment="1">
      <alignment horizontal="center" vertical="center" wrapText="1"/>
    </xf>
    <xf numFmtId="0" fontId="13" fillId="4" borderId="10" xfId="0" applyFont="1" applyFill="1" applyBorder="1" applyAlignment="1">
      <alignment horizontal="center" vertical="center" wrapText="1"/>
    </xf>
    <xf numFmtId="0" fontId="12" fillId="5" borderId="1" xfId="0" quotePrefix="1" applyFont="1" applyFill="1" applyBorder="1" applyAlignment="1">
      <alignment horizontal="center" vertical="center"/>
    </xf>
    <xf numFmtId="0" fontId="15" fillId="0" borderId="2" xfId="0" applyFont="1" applyBorder="1" applyAlignment="1">
      <alignment vertical="center"/>
    </xf>
    <xf numFmtId="0" fontId="15" fillId="0" borderId="1" xfId="0" applyFont="1" applyBorder="1" applyAlignment="1">
      <alignment horizontal="center" vertical="center"/>
    </xf>
    <xf numFmtId="0" fontId="15" fillId="0" borderId="0" xfId="0" applyFont="1" applyAlignment="1">
      <alignment vertical="center"/>
    </xf>
    <xf numFmtId="0" fontId="13" fillId="3" borderId="1" xfId="0" quotePrefix="1" applyFont="1" applyFill="1" applyBorder="1" applyAlignment="1">
      <alignment horizontal="center" vertical="center"/>
    </xf>
    <xf numFmtId="0" fontId="12" fillId="3" borderId="1" xfId="0" quotePrefix="1" applyFont="1" applyFill="1" applyBorder="1" applyAlignment="1">
      <alignment horizontal="left" vertical="center" wrapText="1"/>
    </xf>
    <xf numFmtId="0" fontId="12" fillId="3" borderId="1" xfId="0" quotePrefix="1" applyFont="1" applyFill="1" applyBorder="1" applyAlignment="1">
      <alignment horizontal="center" vertical="center" wrapText="1"/>
    </xf>
    <xf numFmtId="9" fontId="12" fillId="3" borderId="1" xfId="0" quotePrefix="1" applyNumberFormat="1" applyFont="1" applyFill="1" applyBorder="1" applyAlignment="1">
      <alignment horizontal="center" vertical="center" wrapText="1"/>
    </xf>
    <xf numFmtId="9" fontId="12" fillId="3" borderId="1" xfId="0" quotePrefix="1" applyNumberFormat="1" applyFont="1" applyFill="1" applyBorder="1" applyAlignment="1">
      <alignment horizontal="left" vertical="center" wrapText="1"/>
    </xf>
    <xf numFmtId="0" fontId="13" fillId="3" borderId="1" xfId="0" quotePrefix="1" applyFont="1" applyFill="1" applyBorder="1" applyAlignment="1">
      <alignment vertical="center" wrapText="1"/>
    </xf>
    <xf numFmtId="0" fontId="14" fillId="0" borderId="1" xfId="0" applyFont="1" applyBorder="1" applyAlignment="1">
      <alignment horizontal="center" vertical="center"/>
    </xf>
    <xf numFmtId="10" fontId="14" fillId="0" borderId="1" xfId="0" applyNumberFormat="1" applyFont="1" applyBorder="1" applyAlignment="1">
      <alignment horizontal="center" vertical="center"/>
    </xf>
    <xf numFmtId="0" fontId="14" fillId="0" borderId="1" xfId="5" applyFont="1" applyBorder="1" applyAlignment="1">
      <alignment horizontal="center" vertical="center" wrapText="1"/>
    </xf>
    <xf numFmtId="0" fontId="14" fillId="0" borderId="1" xfId="6" quotePrefix="1" applyFont="1" applyBorder="1" applyAlignment="1">
      <alignment horizontal="left" vertical="center" wrapText="1"/>
    </xf>
    <xf numFmtId="0" fontId="14" fillId="0" borderId="1" xfId="6" quotePrefix="1" applyFont="1" applyBorder="1" applyAlignment="1">
      <alignment horizontal="center" vertical="center" wrapText="1"/>
    </xf>
    <xf numFmtId="9" fontId="14" fillId="0" borderId="1" xfId="6" quotePrefix="1" applyNumberFormat="1" applyFont="1" applyBorder="1" applyAlignment="1">
      <alignment horizontal="center" vertical="center" wrapText="1"/>
    </xf>
    <xf numFmtId="9" fontId="15" fillId="0" borderId="1" xfId="6" quotePrefix="1" applyNumberFormat="1" applyFont="1" applyBorder="1" applyAlignment="1">
      <alignment horizontal="center" vertical="center" wrapText="1"/>
    </xf>
    <xf numFmtId="9" fontId="15" fillId="0" borderId="1" xfId="6" quotePrefix="1" applyNumberFormat="1" applyFont="1" applyBorder="1" applyAlignment="1">
      <alignment horizontal="left" vertical="center" wrapText="1"/>
    </xf>
    <xf numFmtId="14" fontId="15" fillId="0" borderId="1" xfId="0" applyNumberFormat="1" applyFont="1" applyBorder="1" applyAlignment="1">
      <alignment horizontal="center" vertical="center" wrapText="1"/>
    </xf>
    <xf numFmtId="14" fontId="14" fillId="0" borderId="1" xfId="6" quotePrefix="1" applyNumberFormat="1" applyFont="1" applyBorder="1" applyAlignment="1">
      <alignment horizontal="center" vertical="center" wrapText="1"/>
    </xf>
    <xf numFmtId="0" fontId="15" fillId="0" borderId="1" xfId="0" quotePrefix="1" applyFont="1" applyBorder="1" applyAlignment="1">
      <alignment horizontal="center" vertical="center" wrapText="1"/>
    </xf>
    <xf numFmtId="0" fontId="16" fillId="0" borderId="1" xfId="0" quotePrefix="1" applyFont="1" applyBorder="1" applyAlignment="1">
      <alignment horizontal="center" vertical="center" wrapText="1"/>
    </xf>
    <xf numFmtId="0" fontId="14" fillId="0" borderId="1" xfId="0" quotePrefix="1" applyFont="1" applyBorder="1" applyAlignment="1">
      <alignment horizontal="center" vertical="center" wrapText="1"/>
    </xf>
    <xf numFmtId="9" fontId="14" fillId="0" borderId="1" xfId="0" applyNumberFormat="1" applyFont="1" applyBorder="1" applyAlignment="1">
      <alignment vertical="center" wrapText="1"/>
    </xf>
    <xf numFmtId="0" fontId="14" fillId="0" borderId="1" xfId="0" applyFont="1" applyBorder="1" applyAlignment="1">
      <alignment vertical="center" wrapText="1"/>
    </xf>
    <xf numFmtId="0" fontId="15" fillId="0" borderId="0" xfId="0" applyFont="1" applyAlignment="1">
      <alignment vertical="center" wrapText="1"/>
    </xf>
    <xf numFmtId="9" fontId="14" fillId="0" borderId="1" xfId="6" quotePrefix="1" applyNumberFormat="1" applyFont="1" applyBorder="1" applyAlignment="1">
      <alignment horizontal="left" vertical="center" wrapText="1"/>
    </xf>
    <xf numFmtId="9" fontId="15" fillId="0" borderId="1" xfId="0" applyNumberFormat="1" applyFont="1" applyBorder="1" applyAlignment="1">
      <alignment horizontal="center" vertical="center" wrapText="1"/>
    </xf>
    <xf numFmtId="0" fontId="14" fillId="0" borderId="5" xfId="0" applyFont="1" applyBorder="1" applyAlignment="1">
      <alignment horizontal="center" vertical="center" wrapText="1"/>
    </xf>
    <xf numFmtId="0" fontId="14" fillId="0" borderId="5" xfId="6" quotePrefix="1" applyFont="1" applyBorder="1" applyAlignment="1">
      <alignment horizontal="left" vertical="center" wrapText="1"/>
    </xf>
    <xf numFmtId="0" fontId="14" fillId="0" borderId="5" xfId="6" quotePrefix="1" applyFont="1" applyBorder="1" applyAlignment="1">
      <alignment horizontal="center" vertical="center" wrapText="1"/>
    </xf>
    <xf numFmtId="9" fontId="15" fillId="0" borderId="5" xfId="0" applyNumberFormat="1" applyFont="1" applyBorder="1" applyAlignment="1">
      <alignment horizontal="center" vertical="center" wrapText="1"/>
    </xf>
    <xf numFmtId="9" fontId="15" fillId="0" borderId="5" xfId="6" quotePrefix="1" applyNumberFormat="1" applyFont="1" applyBorder="1" applyAlignment="1">
      <alignment horizontal="left" vertical="center" wrapText="1"/>
    </xf>
    <xf numFmtId="0" fontId="16" fillId="0" borderId="1" xfId="0" applyFont="1" applyBorder="1" applyAlignment="1">
      <alignment vertical="center" wrapText="1"/>
    </xf>
    <xf numFmtId="0" fontId="16" fillId="0" borderId="1" xfId="5" applyFont="1" applyBorder="1" applyAlignment="1">
      <alignment horizontal="center" vertical="center" wrapText="1"/>
    </xf>
    <xf numFmtId="0" fontId="16" fillId="0" borderId="1" xfId="6" quotePrefix="1" applyFont="1" applyBorder="1" applyAlignment="1">
      <alignment horizontal="left" vertical="center" wrapText="1"/>
    </xf>
    <xf numFmtId="0" fontId="16" fillId="0" borderId="1" xfId="6" quotePrefix="1" applyFont="1" applyBorder="1" applyAlignment="1">
      <alignment horizontal="center" vertical="center" wrapText="1"/>
    </xf>
    <xf numFmtId="9" fontId="16" fillId="0" borderId="1" xfId="6" quotePrefix="1" applyNumberFormat="1" applyFont="1" applyBorder="1" applyAlignment="1">
      <alignment horizontal="left" vertical="center" wrapText="1"/>
    </xf>
    <xf numFmtId="14" fontId="16" fillId="0" borderId="1" xfId="0" applyNumberFormat="1" applyFont="1" applyBorder="1" applyAlignment="1">
      <alignment horizontal="center" vertical="center" wrapText="1"/>
    </xf>
    <xf numFmtId="14" fontId="16" fillId="0" borderId="1" xfId="6" quotePrefix="1" applyNumberFormat="1" applyFont="1" applyBorder="1" applyAlignment="1">
      <alignment horizontal="center" vertical="center" wrapText="1"/>
    </xf>
    <xf numFmtId="9" fontId="16" fillId="0" borderId="1" xfId="6" quotePrefix="1" applyNumberFormat="1" applyFont="1" applyBorder="1" applyAlignment="1">
      <alignment horizontal="center" vertical="center" wrapText="1"/>
    </xf>
    <xf numFmtId="0" fontId="13" fillId="3" borderId="1" xfId="0" quotePrefix="1" applyFont="1" applyFill="1" applyBorder="1" applyAlignment="1">
      <alignment horizontal="center" vertical="center" wrapText="1"/>
    </xf>
    <xf numFmtId="9" fontId="14" fillId="0" borderId="0" xfId="0" applyNumberFormat="1" applyFont="1" applyAlignment="1">
      <alignment vertical="center" wrapText="1"/>
    </xf>
    <xf numFmtId="10" fontId="14" fillId="0" borderId="0" xfId="0" applyNumberFormat="1" applyFont="1" applyAlignment="1">
      <alignment horizontal="center" vertical="center"/>
    </xf>
    <xf numFmtId="0" fontId="13" fillId="0" borderId="0" xfId="0" applyFont="1" applyAlignment="1">
      <alignment vertical="center"/>
    </xf>
    <xf numFmtId="0" fontId="15" fillId="0" borderId="1" xfId="0" applyFont="1" applyBorder="1" applyAlignment="1">
      <alignment vertical="center"/>
    </xf>
    <xf numFmtId="0" fontId="12" fillId="5" borderId="1" xfId="0" applyFont="1" applyFill="1" applyBorder="1" applyAlignment="1">
      <alignment horizontal="center" vertical="center" wrapText="1"/>
    </xf>
    <xf numFmtId="0" fontId="14" fillId="3" borderId="1" xfId="6" quotePrefix="1" applyFont="1" applyFill="1" applyBorder="1" applyAlignment="1">
      <alignment horizontal="center" vertical="center" wrapText="1"/>
    </xf>
    <xf numFmtId="0" fontId="17" fillId="0" borderId="0" xfId="0" applyFont="1" applyAlignment="1">
      <alignment horizontal="center" vertical="center" wrapText="1"/>
    </xf>
    <xf numFmtId="9" fontId="16" fillId="0" borderId="0" xfId="0" applyNumberFormat="1" applyFont="1" applyAlignment="1">
      <alignment horizontal="center" vertical="center" wrapText="1"/>
    </xf>
    <xf numFmtId="0" fontId="13" fillId="0" borderId="0" xfId="0" quotePrefix="1" applyFont="1" applyAlignment="1">
      <alignment horizontal="center" vertical="center"/>
    </xf>
    <xf numFmtId="0" fontId="16" fillId="0" borderId="0" xfId="0" applyFont="1" applyAlignment="1">
      <alignment vertical="center" wrapText="1"/>
    </xf>
    <xf numFmtId="9" fontId="17" fillId="0" borderId="0" xfId="0" applyNumberFormat="1" applyFont="1" applyAlignment="1">
      <alignment horizontal="center" vertical="center" wrapText="1"/>
    </xf>
    <xf numFmtId="0" fontId="17" fillId="0" borderId="0" xfId="0" applyFont="1" applyAlignment="1">
      <alignment vertical="center" wrapText="1"/>
    </xf>
    <xf numFmtId="9" fontId="17" fillId="0" borderId="0" xfId="0" applyNumberFormat="1" applyFont="1" applyAlignment="1">
      <alignment vertical="center" wrapText="1"/>
    </xf>
    <xf numFmtId="0" fontId="18" fillId="0" borderId="0" xfId="0" applyFont="1"/>
    <xf numFmtId="9" fontId="14" fillId="0" borderId="1" xfId="0" applyNumberFormat="1" applyFont="1" applyBorder="1" applyAlignment="1">
      <alignment horizontal="center" vertical="center" wrapText="1"/>
    </xf>
    <xf numFmtId="14" fontId="14" fillId="0" borderId="1" xfId="0" applyNumberFormat="1" applyFont="1" applyBorder="1" applyAlignment="1">
      <alignment horizontal="center" vertical="center" wrapText="1"/>
    </xf>
    <xf numFmtId="0" fontId="14" fillId="0" borderId="1" xfId="0" applyFont="1" applyBorder="1" applyAlignment="1">
      <alignment horizontal="center" vertical="center" wrapText="1"/>
    </xf>
    <xf numFmtId="0" fontId="12" fillId="5" borderId="2" xfId="0" applyFont="1" applyFill="1" applyBorder="1" applyAlignment="1">
      <alignment horizontal="left" vertical="center" wrapText="1"/>
    </xf>
    <xf numFmtId="0" fontId="12" fillId="5" borderId="2" xfId="0" quotePrefix="1" applyFont="1" applyFill="1" applyBorder="1" applyAlignment="1">
      <alignment horizontal="left" vertical="center" wrapText="1"/>
    </xf>
    <xf numFmtId="9" fontId="12" fillId="5" borderId="2" xfId="0" quotePrefix="1" applyNumberFormat="1" applyFont="1" applyFill="1" applyBorder="1" applyAlignment="1">
      <alignment horizontal="center" vertical="center"/>
    </xf>
    <xf numFmtId="9" fontId="13" fillId="3" borderId="1" xfId="0" quotePrefix="1" applyNumberFormat="1" applyFont="1" applyFill="1" applyBorder="1" applyAlignment="1">
      <alignment horizontal="center" vertical="center"/>
    </xf>
    <xf numFmtId="0" fontId="14" fillId="0" borderId="1" xfId="5" quotePrefix="1" applyFont="1" applyBorder="1" applyAlignment="1">
      <alignment horizontal="center" vertical="center" wrapText="1"/>
    </xf>
    <xf numFmtId="0" fontId="13" fillId="3" borderId="1" xfId="0" quotePrefix="1" applyFont="1" applyFill="1" applyBorder="1" applyAlignment="1">
      <alignment horizontal="left" vertical="center" wrapText="1"/>
    </xf>
    <xf numFmtId="0" fontId="13" fillId="3" borderId="1" xfId="0" quotePrefix="1" applyFont="1" applyFill="1" applyBorder="1" applyAlignment="1">
      <alignment horizontal="left" vertical="center"/>
    </xf>
    <xf numFmtId="0" fontId="12" fillId="0" borderId="1" xfId="0" applyFont="1" applyBorder="1" applyAlignment="1">
      <alignment horizontal="center" vertical="center"/>
    </xf>
    <xf numFmtId="0" fontId="13" fillId="0" borderId="1" xfId="0" quotePrefix="1" applyFont="1" applyBorder="1" applyAlignment="1">
      <alignment horizontal="center" vertical="center"/>
    </xf>
    <xf numFmtId="9" fontId="14" fillId="0" borderId="1" xfId="5" applyNumberFormat="1" applyFont="1" applyBorder="1" applyAlignment="1">
      <alignment horizontal="center" vertical="center" wrapText="1"/>
    </xf>
    <xf numFmtId="9" fontId="14" fillId="0" borderId="5" xfId="0" applyNumberFormat="1" applyFont="1" applyBorder="1" applyAlignment="1">
      <alignment horizontal="center" vertical="center" wrapText="1"/>
    </xf>
    <xf numFmtId="9" fontId="16" fillId="0" borderId="1" xfId="0" applyNumberFormat="1" applyFont="1" applyBorder="1" applyAlignment="1">
      <alignment vertical="center" wrapText="1"/>
    </xf>
    <xf numFmtId="9" fontId="12" fillId="5" borderId="2" xfId="0" applyNumberFormat="1" applyFont="1" applyFill="1" applyBorder="1" applyAlignment="1">
      <alignment horizontal="center" vertical="center" wrapText="1"/>
    </xf>
    <xf numFmtId="9" fontId="16" fillId="0" borderId="1" xfId="5" applyNumberFormat="1" applyFont="1" applyBorder="1" applyAlignment="1">
      <alignment horizontal="center" vertical="center" wrapText="1"/>
    </xf>
    <xf numFmtId="9" fontId="13" fillId="3" borderId="1" xfId="0" quotePrefix="1" applyNumberFormat="1" applyFont="1" applyFill="1" applyBorder="1" applyAlignment="1">
      <alignment horizontal="center" vertical="center" wrapText="1"/>
    </xf>
    <xf numFmtId="9" fontId="14" fillId="3" borderId="1" xfId="6" quotePrefix="1" applyNumberFormat="1" applyFont="1" applyFill="1" applyBorder="1" applyAlignment="1">
      <alignment horizontal="center" vertical="center" wrapText="1"/>
    </xf>
    <xf numFmtId="0" fontId="1" fillId="0" borderId="0" xfId="0" applyFont="1"/>
    <xf numFmtId="0" fontId="1" fillId="0" borderId="0" xfId="0" applyFont="1" applyAlignment="1">
      <alignment horizontal="center"/>
    </xf>
    <xf numFmtId="0" fontId="19" fillId="0" borderId="0" xfId="0" applyFont="1" applyAlignment="1">
      <alignment horizontal="center"/>
    </xf>
    <xf numFmtId="0" fontId="1" fillId="0" borderId="0" xfId="0" applyFont="1" applyAlignment="1">
      <alignment horizontal="center" vertical="center"/>
    </xf>
    <xf numFmtId="166" fontId="1" fillId="0" borderId="0" xfId="0" applyNumberFormat="1" applyFont="1"/>
    <xf numFmtId="0" fontId="1" fillId="6" borderId="0" xfId="0" applyFont="1" applyFill="1" applyAlignment="1">
      <alignment horizontal="center" vertical="center"/>
    </xf>
    <xf numFmtId="0" fontId="1" fillId="0" borderId="0" xfId="0" applyFont="1" applyAlignment="1">
      <alignment vertical="center"/>
    </xf>
    <xf numFmtId="0" fontId="19" fillId="0" borderId="0" xfId="0" applyFont="1" applyAlignment="1">
      <alignment horizontal="left" vertical="center"/>
    </xf>
    <xf numFmtId="0" fontId="19" fillId="0" borderId="1" xfId="0" applyFont="1" applyBorder="1" applyAlignment="1">
      <alignment horizontal="center" vertical="center" wrapText="1"/>
    </xf>
    <xf numFmtId="0" fontId="19" fillId="0" borderId="12" xfId="0" applyFont="1" applyBorder="1" applyAlignment="1">
      <alignment horizontal="center" vertical="center"/>
    </xf>
    <xf numFmtId="0" fontId="19" fillId="0" borderId="12" xfId="4" applyFont="1" applyBorder="1" applyAlignment="1">
      <alignment horizontal="center" vertical="center" wrapText="1"/>
    </xf>
    <xf numFmtId="0" fontId="19" fillId="0" borderId="12" xfId="0" applyFont="1" applyBorder="1" applyAlignment="1">
      <alignment horizontal="center" vertical="center" wrapText="1"/>
    </xf>
    <xf numFmtId="0" fontId="19" fillId="0" borderId="4" xfId="0" applyFont="1" applyBorder="1" applyAlignment="1">
      <alignment horizontal="center" vertical="center" wrapText="1"/>
    </xf>
    <xf numFmtId="0" fontId="21" fillId="6" borderId="1" xfId="0" applyFont="1" applyFill="1" applyBorder="1" applyAlignment="1">
      <alignment horizontal="center" vertical="center" wrapText="1"/>
    </xf>
    <xf numFmtId="0" fontId="1" fillId="0" borderId="1" xfId="0" applyFont="1" applyBorder="1" applyAlignment="1">
      <alignment vertical="center"/>
    </xf>
    <xf numFmtId="0" fontId="20" fillId="0" borderId="13" xfId="0" quotePrefix="1" applyFont="1" applyBorder="1" applyAlignment="1">
      <alignment horizontal="center" vertical="center"/>
    </xf>
    <xf numFmtId="0" fontId="20" fillId="0" borderId="4" xfId="0" quotePrefix="1" applyFont="1" applyBorder="1" applyAlignment="1">
      <alignment horizontal="center" vertical="center"/>
    </xf>
    <xf numFmtId="0" fontId="20" fillId="0" borderId="1" xfId="0" quotePrefix="1" applyFont="1" applyBorder="1" applyAlignment="1">
      <alignment horizontal="center" vertical="center"/>
    </xf>
    <xf numFmtId="0" fontId="20" fillId="0" borderId="2" xfId="0" quotePrefix="1" applyFont="1" applyBorder="1" applyAlignment="1">
      <alignment horizontal="center" vertical="center"/>
    </xf>
    <xf numFmtId="0" fontId="1" fillId="0" borderId="1" xfId="0" applyFont="1" applyBorder="1" applyAlignment="1">
      <alignment horizontal="center" vertical="center"/>
    </xf>
    <xf numFmtId="0" fontId="19" fillId="0" borderId="1" xfId="0" applyFont="1" applyBorder="1" applyAlignment="1">
      <alignment vertical="center"/>
    </xf>
    <xf numFmtId="0" fontId="22" fillId="0" borderId="1" xfId="0" quotePrefix="1" applyFont="1" applyBorder="1" applyAlignment="1">
      <alignment horizontal="center" vertical="center"/>
    </xf>
    <xf numFmtId="166" fontId="23" fillId="0" borderId="1" xfId="14" applyNumberFormat="1" applyFont="1" applyBorder="1" applyAlignment="1">
      <alignment horizontal="center" vertical="center" wrapText="1"/>
    </xf>
    <xf numFmtId="9" fontId="19" fillId="0" borderId="1" xfId="0" applyNumberFormat="1" applyFont="1" applyBorder="1" applyAlignment="1">
      <alignment horizontal="center" vertical="center" wrapText="1"/>
    </xf>
    <xf numFmtId="4" fontId="19" fillId="0" borderId="1" xfId="0" applyNumberFormat="1" applyFont="1" applyBorder="1" applyAlignment="1">
      <alignment horizontal="center" vertical="center" wrapText="1"/>
    </xf>
    <xf numFmtId="0" fontId="1" fillId="0" borderId="4" xfId="0" applyFont="1" applyBorder="1" applyAlignment="1">
      <alignment vertical="center" wrapText="1"/>
    </xf>
    <xf numFmtId="166" fontId="19" fillId="0" borderId="1" xfId="0" applyNumberFormat="1" applyFont="1" applyBorder="1" applyAlignment="1">
      <alignment vertical="center"/>
    </xf>
    <xf numFmtId="0" fontId="1" fillId="0" borderId="2" xfId="0" applyFont="1" applyBorder="1" applyAlignment="1">
      <alignment vertical="center"/>
    </xf>
    <xf numFmtId="0" fontId="1" fillId="0" borderId="1" xfId="0" applyFont="1" applyBorder="1" applyAlignment="1">
      <alignment horizontal="center" vertical="center" wrapText="1"/>
    </xf>
    <xf numFmtId="0" fontId="1" fillId="0" borderId="14" xfId="0" applyFont="1" applyBorder="1" applyAlignment="1">
      <alignment vertical="center" wrapText="1"/>
    </xf>
    <xf numFmtId="0" fontId="1" fillId="0" borderId="14" xfId="0" applyFont="1" applyBorder="1" applyAlignment="1">
      <alignment horizontal="center" vertical="center" wrapText="1"/>
    </xf>
    <xf numFmtId="0" fontId="1" fillId="0" borderId="14" xfId="0" quotePrefix="1" applyFont="1" applyBorder="1" applyAlignment="1">
      <alignment horizontal="center" vertical="center" wrapText="1"/>
    </xf>
    <xf numFmtId="166" fontId="1" fillId="0" borderId="1" xfId="14" applyNumberFormat="1" applyFont="1" applyBorder="1" applyAlignment="1">
      <alignment horizontal="center" vertical="center" wrapText="1"/>
    </xf>
    <xf numFmtId="0" fontId="1" fillId="0" borderId="1" xfId="0" quotePrefix="1" applyFont="1" applyBorder="1" applyAlignment="1">
      <alignment vertical="center" wrapText="1"/>
    </xf>
    <xf numFmtId="4" fontId="1" fillId="0" borderId="1" xfId="10" applyNumberFormat="1" applyFont="1" applyFill="1" applyBorder="1" applyAlignment="1">
      <alignment horizontal="center" vertical="center" wrapText="1"/>
    </xf>
    <xf numFmtId="167" fontId="19" fillId="0" borderId="1" xfId="0" applyNumberFormat="1" applyFont="1" applyBorder="1" applyAlignment="1">
      <alignment horizontal="center" vertical="center" wrapText="1"/>
    </xf>
    <xf numFmtId="0" fontId="1" fillId="0" borderId="4" xfId="0" applyFont="1" applyBorder="1" applyAlignment="1">
      <alignment vertical="center"/>
    </xf>
    <xf numFmtId="9" fontId="1" fillId="0" borderId="1" xfId="0" applyNumberFormat="1" applyFont="1" applyBorder="1" applyAlignment="1">
      <alignment vertical="center"/>
    </xf>
    <xf numFmtId="0" fontId="1" fillId="0" borderId="1" xfId="0" applyFont="1" applyBorder="1" applyAlignment="1">
      <alignment horizontal="left" vertical="center" wrapText="1"/>
    </xf>
    <xf numFmtId="0" fontId="24" fillId="0" borderId="1" xfId="0" applyFont="1" applyBorder="1" applyAlignment="1">
      <alignment horizontal="center" vertical="center" wrapText="1"/>
    </xf>
    <xf numFmtId="9" fontId="21" fillId="0" borderId="1" xfId="0" applyNumberFormat="1" applyFont="1" applyBorder="1" applyAlignment="1">
      <alignment horizontal="center" vertical="center" wrapText="1"/>
    </xf>
    <xf numFmtId="4" fontId="1" fillId="0" borderId="1" xfId="15" applyNumberFormat="1" applyFont="1" applyFill="1" applyBorder="1" applyAlignment="1">
      <alignment horizontal="center" vertical="center"/>
    </xf>
    <xf numFmtId="43" fontId="1" fillId="0" borderId="1" xfId="0" applyNumberFormat="1" applyFont="1" applyBorder="1" applyAlignment="1">
      <alignment horizontal="center" vertical="center"/>
    </xf>
    <xf numFmtId="0" fontId="1" fillId="0" borderId="1" xfId="0" quotePrefix="1" applyFont="1" applyBorder="1" applyAlignment="1">
      <alignment horizontal="center" vertical="center" wrapText="1"/>
    </xf>
    <xf numFmtId="4" fontId="1" fillId="0" borderId="1" xfId="15" applyNumberFormat="1" applyFont="1" applyBorder="1" applyAlignment="1">
      <alignment horizontal="center" vertical="center"/>
    </xf>
    <xf numFmtId="166" fontId="19" fillId="0" borderId="1" xfId="14" applyNumberFormat="1" applyFont="1" applyBorder="1" applyAlignment="1">
      <alignment horizontal="center" vertical="center" wrapText="1"/>
    </xf>
    <xf numFmtId="0" fontId="19" fillId="0" borderId="1" xfId="0" applyFont="1" applyBorder="1" applyAlignment="1">
      <alignment vertical="center" wrapText="1"/>
    </xf>
    <xf numFmtId="4" fontId="19" fillId="0" borderId="1" xfId="15" applyNumberFormat="1" applyFont="1" applyFill="1" applyBorder="1" applyAlignment="1">
      <alignment horizontal="center" vertical="center" wrapText="1"/>
    </xf>
    <xf numFmtId="9" fontId="19" fillId="0" borderId="1" xfId="14" applyFont="1" applyFill="1" applyBorder="1" applyAlignment="1">
      <alignment vertical="center"/>
    </xf>
    <xf numFmtId="0" fontId="1" fillId="0" borderId="1" xfId="0" applyFont="1" applyBorder="1" applyAlignment="1">
      <alignment vertical="center" wrapText="1"/>
    </xf>
    <xf numFmtId="166" fontId="19" fillId="0" borderId="1" xfId="0" applyNumberFormat="1" applyFont="1" applyBorder="1" applyAlignment="1">
      <alignment horizontal="center" vertical="center" wrapText="1"/>
    </xf>
    <xf numFmtId="166" fontId="1" fillId="0" borderId="1" xfId="14" applyNumberFormat="1" applyFont="1" applyFill="1" applyBorder="1" applyAlignment="1">
      <alignment horizontal="center" vertical="center" wrapText="1"/>
    </xf>
    <xf numFmtId="4" fontId="1" fillId="0" borderId="1" xfId="15" applyNumberFormat="1" applyFont="1" applyFill="1" applyBorder="1" applyAlignment="1">
      <alignment horizontal="center" vertical="center" wrapText="1"/>
    </xf>
    <xf numFmtId="4" fontId="1" fillId="0" borderId="0" xfId="0" applyNumberFormat="1" applyFont="1" applyAlignment="1">
      <alignment horizontal="center" vertical="center"/>
    </xf>
    <xf numFmtId="4" fontId="1" fillId="0" borderId="1" xfId="15" applyNumberFormat="1" applyFont="1" applyBorder="1" applyAlignment="1">
      <alignment horizontal="center" vertical="center" wrapText="1"/>
    </xf>
    <xf numFmtId="0" fontId="24" fillId="0" borderId="1" xfId="0" applyFont="1" applyBorder="1" applyAlignment="1">
      <alignment vertical="center" wrapText="1"/>
    </xf>
    <xf numFmtId="9" fontId="24" fillId="0" borderId="1" xfId="0" quotePrefix="1" applyNumberFormat="1" applyFont="1" applyBorder="1" applyAlignment="1">
      <alignment horizontal="center" vertical="center" wrapText="1"/>
    </xf>
    <xf numFmtId="0" fontId="24" fillId="0" borderId="1" xfId="0" quotePrefix="1" applyFont="1" applyBorder="1" applyAlignment="1">
      <alignment vertical="center" wrapText="1"/>
    </xf>
    <xf numFmtId="4" fontId="1" fillId="0" borderId="1" xfId="15" quotePrefix="1" applyNumberFormat="1" applyFont="1" applyBorder="1" applyAlignment="1">
      <alignment horizontal="center" vertical="center" wrapText="1"/>
    </xf>
    <xf numFmtId="166" fontId="19" fillId="0" borderId="1" xfId="14" applyNumberFormat="1" applyFont="1" applyBorder="1" applyAlignment="1">
      <alignment horizontal="center" vertical="center"/>
    </xf>
    <xf numFmtId="4" fontId="21" fillId="6" borderId="1" xfId="15" applyNumberFormat="1" applyFont="1" applyFill="1" applyBorder="1" applyAlignment="1">
      <alignment horizontal="center" vertical="center"/>
    </xf>
    <xf numFmtId="9" fontId="19" fillId="0" borderId="1" xfId="0" applyNumberFormat="1" applyFont="1" applyBorder="1" applyAlignment="1">
      <alignment vertical="center"/>
    </xf>
    <xf numFmtId="0" fontId="1" fillId="0" borderId="5" xfId="0" quotePrefix="1" applyFont="1" applyBorder="1" applyAlignment="1">
      <alignment horizontal="center" vertical="center" wrapText="1"/>
    </xf>
    <xf numFmtId="166" fontId="1" fillId="0" borderId="1" xfId="14" applyNumberFormat="1" applyFont="1" applyBorder="1" applyAlignment="1">
      <alignment horizontal="center" vertical="center"/>
    </xf>
    <xf numFmtId="0" fontId="24" fillId="0" borderId="1" xfId="16" quotePrefix="1" applyFont="1" applyBorder="1" applyAlignment="1">
      <alignment horizontal="left" vertical="center" wrapText="1"/>
    </xf>
    <xf numFmtId="4" fontId="24" fillId="0" borderId="1" xfId="15" applyNumberFormat="1" applyFont="1" applyBorder="1" applyAlignment="1">
      <alignment horizontal="center" vertical="center"/>
    </xf>
    <xf numFmtId="0" fontId="24" fillId="0" borderId="1" xfId="0" quotePrefix="1" applyFont="1" applyBorder="1" applyAlignment="1">
      <alignment horizontal="left" vertical="center" wrapText="1"/>
    </xf>
    <xf numFmtId="0" fontId="24" fillId="0" borderId="1" xfId="0" quotePrefix="1" applyFont="1" applyBorder="1" applyAlignment="1">
      <alignment horizontal="center" vertical="center" wrapText="1"/>
    </xf>
    <xf numFmtId="9" fontId="1" fillId="0" borderId="1" xfId="16" applyNumberFormat="1" applyFont="1" applyBorder="1" applyAlignment="1">
      <alignment horizontal="center" vertical="center" wrapText="1"/>
    </xf>
    <xf numFmtId="0" fontId="1" fillId="0" borderId="1" xfId="5" applyFont="1" applyBorder="1" applyAlignment="1">
      <alignment horizontal="center" vertical="center" wrapText="1"/>
    </xf>
    <xf numFmtId="166" fontId="1" fillId="0" borderId="4" xfId="14" applyNumberFormat="1" applyFont="1" applyFill="1" applyBorder="1" applyAlignment="1">
      <alignment vertical="center"/>
    </xf>
    <xf numFmtId="14" fontId="19" fillId="0" borderId="1" xfId="0" applyNumberFormat="1" applyFont="1" applyBorder="1" applyAlignment="1">
      <alignment horizontal="center" vertical="center" wrapText="1"/>
    </xf>
    <xf numFmtId="0" fontId="1" fillId="0" borderId="5" xfId="0" quotePrefix="1" applyFont="1" applyBorder="1" applyAlignment="1">
      <alignment horizontal="left" vertical="center" wrapText="1"/>
    </xf>
    <xf numFmtId="0" fontId="1" fillId="0" borderId="5" xfId="0" quotePrefix="1" applyFont="1" applyBorder="1" applyAlignment="1">
      <alignment vertical="center" wrapText="1"/>
    </xf>
    <xf numFmtId="14" fontId="1" fillId="0" borderId="5" xfId="0" applyNumberFormat="1" applyFont="1" applyBorder="1" applyAlignment="1">
      <alignment horizontal="center" vertical="center" wrapText="1"/>
    </xf>
    <xf numFmtId="0" fontId="1" fillId="0" borderId="5" xfId="0" applyFont="1" applyBorder="1" applyAlignment="1">
      <alignment horizontal="center" vertical="center"/>
    </xf>
    <xf numFmtId="166" fontId="1" fillId="0" borderId="5" xfId="14" applyNumberFormat="1" applyFont="1" applyBorder="1" applyAlignment="1">
      <alignment horizontal="center" vertical="center"/>
    </xf>
    <xf numFmtId="168" fontId="1" fillId="0" borderId="1" xfId="15" applyNumberFormat="1" applyFont="1" applyBorder="1" applyAlignment="1">
      <alignment horizontal="center" vertical="center"/>
    </xf>
    <xf numFmtId="0" fontId="1" fillId="0" borderId="1" xfId="0" quotePrefix="1" applyFont="1" applyBorder="1" applyAlignment="1">
      <alignment horizontal="left" vertical="center" wrapText="1"/>
    </xf>
    <xf numFmtId="9" fontId="1" fillId="0" borderId="1" xfId="0" quotePrefix="1" applyNumberFormat="1" applyFont="1" applyBorder="1" applyAlignment="1">
      <alignment horizontal="center" vertical="center" wrapText="1"/>
    </xf>
    <xf numFmtId="167" fontId="19" fillId="0" borderId="5" xfId="0" applyNumberFormat="1" applyFont="1" applyBorder="1" applyAlignment="1">
      <alignment horizontal="center" vertical="center" wrapText="1"/>
    </xf>
    <xf numFmtId="168" fontId="1" fillId="0" borderId="5" xfId="15" applyNumberFormat="1" applyFont="1" applyBorder="1" applyAlignment="1">
      <alignment horizontal="center" vertical="center"/>
    </xf>
    <xf numFmtId="49" fontId="23" fillId="0" borderId="1" xfId="0" quotePrefix="1" applyNumberFormat="1" applyFont="1" applyBorder="1" applyAlignment="1">
      <alignment horizontal="center" vertical="center" wrapText="1"/>
    </xf>
    <xf numFmtId="0" fontId="21" fillId="0" borderId="15" xfId="0" applyFont="1" applyBorder="1" applyAlignment="1">
      <alignment horizontal="center" vertical="center" wrapText="1"/>
    </xf>
    <xf numFmtId="166" fontId="19" fillId="0" borderId="16" xfId="14" applyNumberFormat="1" applyFont="1" applyFill="1" applyBorder="1" applyAlignment="1">
      <alignment horizontal="center" vertical="center"/>
    </xf>
    <xf numFmtId="0" fontId="21" fillId="0" borderId="17" xfId="0" applyFont="1" applyBorder="1" applyAlignment="1">
      <alignment horizontal="left" vertical="center" wrapText="1"/>
    </xf>
    <xf numFmtId="4" fontId="28" fillId="0" borderId="4" xfId="0" applyNumberFormat="1" applyFont="1" applyBorder="1" applyAlignment="1">
      <alignment horizontal="center" vertical="center" wrapText="1"/>
    </xf>
    <xf numFmtId="0" fontId="19" fillId="0" borderId="1" xfId="0" applyFont="1" applyBorder="1" applyAlignment="1">
      <alignment horizontal="center" vertical="center"/>
    </xf>
    <xf numFmtId="0" fontId="1" fillId="0" borderId="1" xfId="0" applyFont="1" applyBorder="1"/>
    <xf numFmtId="49" fontId="24" fillId="0" borderId="1" xfId="0" quotePrefix="1" applyNumberFormat="1" applyFont="1" applyBorder="1" applyAlignment="1">
      <alignment horizontal="center" vertical="center" wrapText="1"/>
    </xf>
    <xf numFmtId="0" fontId="24" fillId="0" borderId="14" xfId="0" applyFont="1" applyBorder="1" applyAlignment="1">
      <alignment vertical="center" wrapText="1"/>
    </xf>
    <xf numFmtId="9" fontId="24" fillId="0" borderId="1" xfId="0" applyNumberFormat="1" applyFont="1" applyBorder="1" applyAlignment="1">
      <alignment horizontal="center" vertical="center" wrapText="1"/>
    </xf>
    <xf numFmtId="0" fontId="24" fillId="0" borderId="1" xfId="0" applyFont="1" applyBorder="1" applyAlignment="1">
      <alignment horizontal="center" vertical="center"/>
    </xf>
    <xf numFmtId="166" fontId="1" fillId="0" borderId="1" xfId="14" applyNumberFormat="1" applyFont="1" applyFill="1" applyBorder="1" applyAlignment="1">
      <alignment horizontal="center" vertical="center"/>
    </xf>
    <xf numFmtId="0" fontId="24" fillId="0" borderId="15" xfId="0" quotePrefix="1" applyFont="1" applyBorder="1" applyAlignment="1">
      <alignment vertical="center" wrapText="1"/>
    </xf>
    <xf numFmtId="4" fontId="24" fillId="0" borderId="1" xfId="15" applyNumberFormat="1" applyFont="1" applyFill="1" applyBorder="1" applyAlignment="1">
      <alignment horizontal="center" vertical="center" wrapText="1"/>
    </xf>
    <xf numFmtId="0" fontId="21" fillId="0" borderId="1" xfId="0" applyFont="1" applyBorder="1" applyAlignment="1">
      <alignment horizontal="center" vertical="center"/>
    </xf>
    <xf numFmtId="0" fontId="24" fillId="0" borderId="1" xfId="0" applyFont="1" applyBorder="1" applyAlignment="1">
      <alignment horizontal="left" vertical="center" wrapText="1"/>
    </xf>
    <xf numFmtId="49" fontId="1" fillId="0" borderId="1" xfId="0" quotePrefix="1" applyNumberFormat="1" applyFont="1" applyBorder="1" applyAlignment="1">
      <alignment horizontal="center" vertical="center" wrapText="1"/>
    </xf>
    <xf numFmtId="9" fontId="1" fillId="0" borderId="1" xfId="0" applyNumberFormat="1" applyFont="1" applyBorder="1" applyAlignment="1">
      <alignment horizontal="center" vertical="center" wrapText="1"/>
    </xf>
    <xf numFmtId="10" fontId="21" fillId="0" borderId="1" xfId="0" applyNumberFormat="1" applyFont="1" applyBorder="1" applyAlignment="1">
      <alignment horizontal="center" vertical="center" wrapText="1"/>
    </xf>
    <xf numFmtId="0" fontId="25" fillId="0" borderId="1" xfId="0" quotePrefix="1" applyFont="1" applyBorder="1" applyAlignment="1">
      <alignment vertical="center" wrapText="1"/>
    </xf>
    <xf numFmtId="49" fontId="19" fillId="0" borderId="1" xfId="0" quotePrefix="1" applyNumberFormat="1" applyFont="1" applyBorder="1" applyAlignment="1">
      <alignment horizontal="center" vertical="center" wrapText="1"/>
    </xf>
    <xf numFmtId="10" fontId="19" fillId="0" borderId="1" xfId="0" applyNumberFormat="1" applyFont="1" applyBorder="1" applyAlignment="1">
      <alignment horizontal="center" vertical="center" wrapText="1"/>
    </xf>
    <xf numFmtId="49" fontId="1" fillId="0" borderId="1" xfId="0" applyNumberFormat="1" applyFont="1" applyBorder="1" applyAlignment="1">
      <alignment horizontal="center" vertical="center"/>
    </xf>
    <xf numFmtId="0" fontId="15" fillId="0" borderId="18" xfId="0" quotePrefix="1" applyFont="1" applyBorder="1" applyAlignment="1">
      <alignment vertical="center" wrapText="1"/>
    </xf>
    <xf numFmtId="4" fontId="1" fillId="0" borderId="1" xfId="15" quotePrefix="1" applyNumberFormat="1" applyFont="1" applyBorder="1" applyAlignment="1">
      <alignment horizontal="center" vertical="center"/>
    </xf>
    <xf numFmtId="0" fontId="19" fillId="0" borderId="1" xfId="0" quotePrefix="1" applyFont="1" applyBorder="1" applyAlignment="1">
      <alignment horizontal="center" vertical="center" wrapText="1"/>
    </xf>
    <xf numFmtId="0" fontId="1" fillId="0" borderId="5" xfId="0" applyFont="1" applyBorder="1" applyAlignment="1">
      <alignment horizontal="center" vertical="center" wrapText="1"/>
    </xf>
    <xf numFmtId="9" fontId="1" fillId="0" borderId="5" xfId="0" quotePrefix="1" applyNumberFormat="1" applyFont="1" applyBorder="1" applyAlignment="1">
      <alignment horizontal="center" vertical="center" wrapText="1"/>
    </xf>
    <xf numFmtId="9" fontId="1" fillId="0" borderId="5" xfId="0" applyNumberFormat="1" applyFont="1" applyBorder="1" applyAlignment="1">
      <alignment horizontal="center" vertical="center" wrapText="1"/>
    </xf>
    <xf numFmtId="0" fontId="15" fillId="0" borderId="19" xfId="0" quotePrefix="1" applyFont="1" applyBorder="1" applyAlignment="1">
      <alignment vertical="center" wrapText="1"/>
    </xf>
    <xf numFmtId="4" fontId="1" fillId="0" borderId="5" xfId="0" quotePrefix="1" applyNumberFormat="1" applyFont="1" applyBorder="1" applyAlignment="1">
      <alignment horizontal="center" vertical="center"/>
    </xf>
    <xf numFmtId="0" fontId="19" fillId="0" borderId="5" xfId="0" quotePrefix="1" applyFont="1" applyBorder="1" applyAlignment="1">
      <alignment horizontal="center" vertical="center" wrapText="1"/>
    </xf>
    <xf numFmtId="9" fontId="1" fillId="0" borderId="1" xfId="14" applyFont="1" applyFill="1" applyBorder="1" applyAlignment="1">
      <alignment horizontal="center" vertical="center" wrapText="1"/>
    </xf>
    <xf numFmtId="9" fontId="1" fillId="0" borderId="1" xfId="12" applyFont="1" applyFill="1" applyBorder="1" applyAlignment="1">
      <alignment horizontal="center" vertical="center" wrapText="1"/>
    </xf>
    <xf numFmtId="4" fontId="24" fillId="0" borderId="1" xfId="0" quotePrefix="1" applyNumberFormat="1" applyFont="1" applyBorder="1" applyAlignment="1">
      <alignment horizontal="center" vertical="center"/>
    </xf>
    <xf numFmtId="0" fontId="21" fillId="0" borderId="1" xfId="0" quotePrefix="1" applyFont="1" applyBorder="1" applyAlignment="1">
      <alignment horizontal="center" vertical="center" wrapText="1"/>
    </xf>
    <xf numFmtId="4" fontId="19" fillId="0" borderId="1" xfId="15" applyNumberFormat="1" applyFont="1" applyBorder="1" applyAlignment="1">
      <alignment horizontal="center" vertical="center"/>
    </xf>
    <xf numFmtId="0" fontId="19" fillId="0" borderId="4" xfId="0" applyFont="1" applyBorder="1" applyAlignment="1">
      <alignment vertical="center" wrapText="1"/>
    </xf>
    <xf numFmtId="0" fontId="19" fillId="0" borderId="2" xfId="0" applyFont="1" applyBorder="1" applyAlignment="1">
      <alignment vertical="center" wrapText="1"/>
    </xf>
    <xf numFmtId="0" fontId="19" fillId="0" borderId="0" xfId="0" applyFont="1" applyAlignment="1">
      <alignment vertical="center" wrapText="1"/>
    </xf>
    <xf numFmtId="0" fontId="19" fillId="0" borderId="0" xfId="0" quotePrefix="1" applyFont="1" applyAlignment="1">
      <alignment horizontal="center" vertical="center" wrapText="1"/>
    </xf>
    <xf numFmtId="0" fontId="19" fillId="0" borderId="0" xfId="0" applyFont="1" applyAlignment="1">
      <alignment vertical="center"/>
    </xf>
    <xf numFmtId="0" fontId="19" fillId="0" borderId="0" xfId="0" applyFont="1" applyAlignment="1">
      <alignment horizontal="center" vertical="center" wrapText="1"/>
    </xf>
    <xf numFmtId="0" fontId="0" fillId="0" borderId="0" xfId="0" applyAlignment="1">
      <alignment horizontal="center"/>
    </xf>
    <xf numFmtId="0" fontId="15" fillId="5" borderId="1" xfId="0" applyFont="1" applyFill="1" applyBorder="1" applyAlignment="1">
      <alignment vertical="center"/>
    </xf>
    <xf numFmtId="0" fontId="15" fillId="5" borderId="2" xfId="0" applyFont="1" applyFill="1" applyBorder="1" applyAlignment="1">
      <alignment vertical="center"/>
    </xf>
    <xf numFmtId="0" fontId="15" fillId="5" borderId="1" xfId="0" applyFont="1" applyFill="1" applyBorder="1" applyAlignment="1">
      <alignment horizontal="center" vertical="center"/>
    </xf>
    <xf numFmtId="0" fontId="15" fillId="5" borderId="0" xfId="0" applyFont="1" applyFill="1" applyAlignment="1">
      <alignment vertical="center"/>
    </xf>
    <xf numFmtId="0" fontId="12" fillId="3" borderId="1" xfId="0" applyFont="1" applyFill="1" applyBorder="1" applyAlignment="1">
      <alignment horizontal="center" vertical="center" wrapText="1"/>
    </xf>
    <xf numFmtId="0" fontId="12" fillId="3" borderId="2" xfId="0" applyFont="1" applyFill="1" applyBorder="1" applyAlignment="1">
      <alignment horizontal="left" vertical="center" wrapText="1"/>
    </xf>
    <xf numFmtId="9" fontId="12" fillId="3" borderId="2" xfId="0" applyNumberFormat="1" applyFont="1" applyFill="1" applyBorder="1" applyAlignment="1">
      <alignment horizontal="center"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12" fillId="3" borderId="4" xfId="0" applyFont="1" applyFill="1" applyBorder="1" applyAlignment="1">
      <alignment horizontal="left" vertical="center" wrapText="1"/>
    </xf>
    <xf numFmtId="0" fontId="33" fillId="0" borderId="0" xfId="19" applyFont="1"/>
    <xf numFmtId="0" fontId="34" fillId="7" borderId="1" xfId="0" applyFont="1" applyFill="1" applyBorder="1" applyAlignment="1">
      <alignment horizontal="center" vertical="center" wrapText="1"/>
    </xf>
    <xf numFmtId="0" fontId="33" fillId="8" borderId="0" xfId="19" applyFont="1" applyFill="1"/>
    <xf numFmtId="0" fontId="10" fillId="0" borderId="1" xfId="0" applyFont="1" applyBorder="1" applyAlignment="1">
      <alignment horizontal="center" vertical="center" wrapText="1"/>
    </xf>
    <xf numFmtId="0" fontId="9" fillId="0" borderId="1" xfId="0" applyFont="1" applyBorder="1" applyAlignment="1">
      <alignment horizontal="center" vertical="center" wrapText="1"/>
    </xf>
    <xf numFmtId="14" fontId="10" fillId="0" borderId="1" xfId="0" quotePrefix="1" applyNumberFormat="1" applyFont="1" applyBorder="1" applyAlignment="1">
      <alignment horizontal="center" vertical="center" wrapText="1"/>
    </xf>
    <xf numFmtId="0" fontId="10" fillId="0" borderId="1" xfId="0" applyFont="1" applyBorder="1" applyAlignment="1">
      <alignment horizontal="left" vertical="center" wrapText="1"/>
    </xf>
    <xf numFmtId="169" fontId="34" fillId="7" borderId="1" xfId="0" applyNumberFormat="1" applyFont="1" applyFill="1" applyBorder="1" applyAlignment="1">
      <alignment horizontal="center" vertical="center" wrapText="1"/>
    </xf>
    <xf numFmtId="170" fontId="34" fillId="7" borderId="1" xfId="0" applyNumberFormat="1" applyFont="1" applyFill="1" applyBorder="1" applyAlignment="1">
      <alignment horizontal="center" vertical="center" wrapText="1"/>
    </xf>
    <xf numFmtId="0" fontId="35" fillId="0" borderId="0" xfId="0" applyFont="1"/>
    <xf numFmtId="0" fontId="9" fillId="0" borderId="1" xfId="0" applyFont="1" applyBorder="1" applyAlignment="1">
      <alignment horizontal="left" vertical="center" wrapText="1"/>
    </xf>
    <xf numFmtId="170" fontId="9" fillId="0" borderId="1" xfId="0" applyNumberFormat="1" applyFont="1" applyBorder="1" applyAlignment="1">
      <alignment horizontal="center" vertical="center" wrapText="1"/>
    </xf>
    <xf numFmtId="3" fontId="10" fillId="0" borderId="1" xfId="0" applyNumberFormat="1" applyFont="1" applyBorder="1" applyAlignment="1">
      <alignment horizontal="center" vertical="center" wrapText="1"/>
    </xf>
    <xf numFmtId="0" fontId="5" fillId="0" borderId="0" xfId="19"/>
    <xf numFmtId="0" fontId="34" fillId="9" borderId="1" xfId="19" applyFont="1" applyFill="1" applyBorder="1" applyAlignment="1">
      <alignment horizontal="center" vertical="center"/>
    </xf>
    <xf numFmtId="0" fontId="34" fillId="9" borderId="1" xfId="19" applyFont="1" applyFill="1" applyBorder="1" applyAlignment="1">
      <alignment horizontal="center" vertical="center" wrapText="1"/>
    </xf>
    <xf numFmtId="0" fontId="34" fillId="10" borderId="1" xfId="19" applyFont="1" applyFill="1" applyBorder="1" applyAlignment="1">
      <alignment horizontal="center" vertical="center" wrapText="1"/>
    </xf>
    <xf numFmtId="0" fontId="34" fillId="11" borderId="1" xfId="19" applyFont="1" applyFill="1" applyBorder="1" applyAlignment="1">
      <alignment horizontal="center" vertical="center" wrapText="1"/>
    </xf>
    <xf numFmtId="0" fontId="34" fillId="12" borderId="1" xfId="19" applyFont="1" applyFill="1" applyBorder="1" applyAlignment="1">
      <alignment horizontal="center" vertical="center" wrapText="1"/>
    </xf>
    <xf numFmtId="0" fontId="9" fillId="13" borderId="1" xfId="19" applyFont="1" applyFill="1" applyBorder="1" applyAlignment="1">
      <alignment horizontal="center" vertical="center" wrapText="1"/>
    </xf>
    <xf numFmtId="0" fontId="36" fillId="8" borderId="1" xfId="19" applyFont="1" applyFill="1" applyBorder="1" applyAlignment="1">
      <alignment horizontal="center" vertical="center"/>
    </xf>
    <xf numFmtId="0" fontId="9" fillId="8" borderId="1" xfId="0" applyFont="1" applyFill="1" applyBorder="1" applyAlignment="1">
      <alignment horizontal="center" vertical="center" wrapText="1"/>
    </xf>
    <xf numFmtId="0" fontId="9" fillId="8" borderId="1" xfId="19" applyFont="1" applyFill="1" applyBorder="1" applyAlignment="1">
      <alignment vertical="center"/>
    </xf>
    <xf numFmtId="0" fontId="9" fillId="8" borderId="1" xfId="19" applyFont="1" applyFill="1" applyBorder="1"/>
    <xf numFmtId="0" fontId="7" fillId="0" borderId="1" xfId="19" applyFont="1" applyBorder="1" applyAlignment="1">
      <alignment horizontal="center" vertical="center" wrapText="1"/>
    </xf>
    <xf numFmtId="0" fontId="7" fillId="0" borderId="1" xfId="19" applyFont="1" applyBorder="1" applyAlignment="1">
      <alignment vertical="center" wrapText="1"/>
    </xf>
    <xf numFmtId="0" fontId="9" fillId="0" borderId="1" xfId="19" applyFont="1" applyBorder="1"/>
    <xf numFmtId="0" fontId="13" fillId="6" borderId="1" xfId="0" quotePrefix="1" applyFont="1" applyFill="1" applyBorder="1" applyAlignment="1">
      <alignment horizontal="center" vertical="center"/>
    </xf>
    <xf numFmtId="0" fontId="14" fillId="6" borderId="1" xfId="5" applyFont="1" applyFill="1" applyBorder="1" applyAlignment="1">
      <alignment horizontal="center" vertical="center" wrapText="1"/>
    </xf>
    <xf numFmtId="9" fontId="14" fillId="6" borderId="1" xfId="5" applyNumberFormat="1" applyFont="1" applyFill="1" applyBorder="1" applyAlignment="1">
      <alignment horizontal="center" vertical="center" wrapText="1"/>
    </xf>
    <xf numFmtId="0" fontId="14" fillId="6" borderId="1" xfId="5" quotePrefix="1" applyFont="1" applyFill="1" applyBorder="1" applyAlignment="1">
      <alignment horizontal="center" vertical="center" wrapText="1"/>
    </xf>
    <xf numFmtId="0" fontId="14" fillId="6" borderId="1" xfId="6" quotePrefix="1" applyFont="1" applyFill="1" applyBorder="1" applyAlignment="1">
      <alignment horizontal="left" vertical="center" wrapText="1"/>
    </xf>
    <xf numFmtId="0" fontId="14" fillId="6" borderId="1" xfId="6" quotePrefix="1" applyFont="1" applyFill="1" applyBorder="1" applyAlignment="1">
      <alignment horizontal="center" vertical="center" wrapText="1"/>
    </xf>
    <xf numFmtId="9" fontId="15" fillId="6" borderId="1" xfId="6" quotePrefix="1" applyNumberFormat="1" applyFont="1" applyFill="1" applyBorder="1" applyAlignment="1">
      <alignment horizontal="center" vertical="center" wrapText="1"/>
    </xf>
    <xf numFmtId="9" fontId="15" fillId="6" borderId="1" xfId="6" quotePrefix="1" applyNumberFormat="1" applyFont="1" applyFill="1" applyBorder="1" applyAlignment="1">
      <alignment horizontal="left" vertical="center" wrapText="1"/>
    </xf>
    <xf numFmtId="14" fontId="15" fillId="6" borderId="1" xfId="0" applyNumberFormat="1" applyFont="1" applyFill="1" applyBorder="1" applyAlignment="1">
      <alignment horizontal="center" vertical="center" wrapText="1"/>
    </xf>
    <xf numFmtId="14" fontId="14" fillId="6" borderId="1" xfId="6" quotePrefix="1" applyNumberFormat="1" applyFont="1" applyFill="1" applyBorder="1" applyAlignment="1">
      <alignment horizontal="center" vertical="center" wrapText="1"/>
    </xf>
    <xf numFmtId="0" fontId="15" fillId="6" borderId="1" xfId="0" quotePrefix="1" applyFont="1" applyFill="1" applyBorder="1" applyAlignment="1">
      <alignment horizontal="center" vertical="center" wrapText="1"/>
    </xf>
    <xf numFmtId="0" fontId="14" fillId="6" borderId="1" xfId="0" quotePrefix="1" applyFont="1" applyFill="1" applyBorder="1" applyAlignment="1">
      <alignment horizontal="center" vertical="center" wrapText="1"/>
    </xf>
    <xf numFmtId="0" fontId="14" fillId="6" borderId="0" xfId="0" applyFont="1" applyFill="1" applyAlignment="1">
      <alignment vertical="center" wrapText="1"/>
    </xf>
    <xf numFmtId="0" fontId="15" fillId="6" borderId="0" xfId="0" applyFont="1" applyFill="1" applyAlignment="1">
      <alignment vertical="center"/>
    </xf>
    <xf numFmtId="0" fontId="12" fillId="6" borderId="1" xfId="0" applyFont="1" applyFill="1" applyBorder="1" applyAlignment="1">
      <alignment horizontal="center" vertical="center"/>
    </xf>
    <xf numFmtId="9" fontId="14" fillId="6" borderId="1" xfId="6" quotePrefix="1" applyNumberFormat="1" applyFont="1" applyFill="1" applyBorder="1" applyAlignment="1">
      <alignment horizontal="center" vertical="center" wrapText="1"/>
    </xf>
    <xf numFmtId="0" fontId="16" fillId="6" borderId="1" xfId="5" applyFont="1" applyFill="1" applyBorder="1" applyAlignment="1">
      <alignment horizontal="center" vertical="center" wrapText="1"/>
    </xf>
    <xf numFmtId="9" fontId="16" fillId="6" borderId="1" xfId="5" applyNumberFormat="1" applyFont="1" applyFill="1" applyBorder="1" applyAlignment="1">
      <alignment horizontal="center" vertical="center" wrapText="1"/>
    </xf>
    <xf numFmtId="9" fontId="14" fillId="6" borderId="1" xfId="6" quotePrefix="1" applyNumberFormat="1" applyFont="1" applyFill="1" applyBorder="1" applyAlignment="1">
      <alignment horizontal="left" vertical="center" wrapText="1"/>
    </xf>
    <xf numFmtId="14" fontId="14" fillId="6" borderId="1" xfId="0" applyNumberFormat="1" applyFont="1" applyFill="1" applyBorder="1" applyAlignment="1">
      <alignment horizontal="center" vertical="center" wrapText="1"/>
    </xf>
    <xf numFmtId="0" fontId="9" fillId="0" borderId="1" xfId="20" applyFont="1" applyBorder="1" applyAlignment="1">
      <alignment horizontal="center" vertical="center" wrapText="1"/>
    </xf>
    <xf numFmtId="0" fontId="7" fillId="15" borderId="1" xfId="0" applyFont="1" applyFill="1" applyBorder="1" applyAlignment="1">
      <alignment vertical="center" wrapText="1"/>
    </xf>
    <xf numFmtId="0" fontId="10" fillId="8" borderId="1" xfId="0" applyFont="1" applyFill="1" applyBorder="1" applyAlignment="1">
      <alignment vertical="center" wrapText="1"/>
    </xf>
    <xf numFmtId="0" fontId="7" fillId="0" borderId="1" xfId="0" applyFont="1" applyBorder="1" applyAlignment="1">
      <alignment horizontal="center" vertical="center" wrapText="1"/>
    </xf>
    <xf numFmtId="0" fontId="9" fillId="0" borderId="2" xfId="0" applyFont="1" applyBorder="1" applyAlignment="1">
      <alignment horizontal="center" vertical="center" wrapText="1"/>
    </xf>
    <xf numFmtId="0" fontId="43" fillId="0" borderId="1" xfId="21" applyFont="1" applyBorder="1" applyAlignment="1">
      <alignment horizontal="left" vertical="center" wrapText="1"/>
    </xf>
    <xf numFmtId="0" fontId="9" fillId="0" borderId="1" xfId="22" applyFont="1" applyBorder="1" applyAlignment="1">
      <alignment horizontal="center" vertical="center" wrapText="1"/>
    </xf>
    <xf numFmtId="14" fontId="9" fillId="0" borderId="1" xfId="0" quotePrefix="1" applyNumberFormat="1" applyFont="1" applyBorder="1" applyAlignment="1">
      <alignment horizontal="center" vertical="center" wrapText="1"/>
    </xf>
    <xf numFmtId="0" fontId="44" fillId="8" borderId="1" xfId="0" applyFont="1" applyFill="1" applyBorder="1" applyAlignment="1">
      <alignment vertical="center" wrapText="1"/>
    </xf>
    <xf numFmtId="0" fontId="44" fillId="0" borderId="1" xfId="0" applyFont="1" applyBorder="1" applyAlignment="1">
      <alignment horizontal="left" vertical="center" wrapText="1"/>
    </xf>
    <xf numFmtId="0" fontId="45" fillId="0" borderId="1" xfId="0" applyFont="1" applyBorder="1" applyAlignment="1">
      <alignment horizontal="center" vertical="center" wrapText="1"/>
    </xf>
    <xf numFmtId="0" fontId="44" fillId="0" borderId="1" xfId="0" applyFont="1" applyBorder="1" applyAlignment="1">
      <alignment horizontal="center" vertical="center" wrapText="1"/>
    </xf>
    <xf numFmtId="0" fontId="44" fillId="0" borderId="2" xfId="0" applyFont="1" applyBorder="1" applyAlignment="1">
      <alignment horizontal="center" vertical="center" wrapText="1"/>
    </xf>
    <xf numFmtId="0" fontId="44" fillId="0" borderId="1" xfId="21" applyFont="1" applyBorder="1" applyAlignment="1">
      <alignment horizontal="left" vertical="center" wrapText="1"/>
    </xf>
    <xf numFmtId="0" fontId="44" fillId="0" borderId="1" xfId="22" applyFont="1" applyBorder="1" applyAlignment="1">
      <alignment horizontal="center" vertical="center" wrapText="1"/>
    </xf>
    <xf numFmtId="14" fontId="44" fillId="0" borderId="1" xfId="0" quotePrefix="1" applyNumberFormat="1" applyFont="1" applyBorder="1" applyAlignment="1">
      <alignment horizontal="center" vertical="center" wrapText="1"/>
    </xf>
    <xf numFmtId="0" fontId="46" fillId="0" borderId="1" xfId="21" applyFont="1" applyBorder="1" applyAlignment="1">
      <alignment horizontal="left" vertical="center" wrapText="1"/>
    </xf>
    <xf numFmtId="0" fontId="9" fillId="0" borderId="1" xfId="0" applyFont="1" applyBorder="1"/>
    <xf numFmtId="0" fontId="44" fillId="0" borderId="1" xfId="0" applyFont="1" applyBorder="1" applyAlignment="1">
      <alignment vertical="center" wrapText="1"/>
    </xf>
    <xf numFmtId="0" fontId="11" fillId="0" borderId="0" xfId="0" applyFont="1" applyAlignment="1">
      <alignment horizontal="center" vertical="center"/>
    </xf>
    <xf numFmtId="0" fontId="7" fillId="0" borderId="1" xfId="0" applyFont="1" applyBorder="1" applyAlignment="1">
      <alignment horizontal="center" vertical="center"/>
    </xf>
    <xf numFmtId="0" fontId="10" fillId="0" borderId="1" xfId="0" applyFont="1" applyBorder="1" applyAlignment="1">
      <alignment horizontal="center" vertical="center"/>
    </xf>
    <xf numFmtId="0" fontId="10" fillId="8" borderId="1" xfId="0" applyFont="1" applyFill="1" applyBorder="1" applyAlignment="1">
      <alignment horizontal="left" vertical="center" wrapText="1"/>
    </xf>
    <xf numFmtId="0" fontId="10" fillId="8" borderId="1" xfId="23" applyFont="1" applyFill="1" applyBorder="1" applyAlignment="1">
      <alignment horizontal="left" vertical="center" wrapText="1"/>
    </xf>
    <xf numFmtId="0" fontId="10" fillId="0" borderId="1" xfId="24" applyFont="1" applyBorder="1" applyAlignment="1">
      <alignment vertical="center" wrapText="1"/>
    </xf>
    <xf numFmtId="0" fontId="10" fillId="0" borderId="1" xfId="24" applyFont="1" applyBorder="1" applyAlignment="1">
      <alignment horizontal="left" vertical="center" wrapText="1"/>
    </xf>
    <xf numFmtId="0" fontId="10" fillId="0" borderId="1" xfId="25" applyFont="1" applyBorder="1" applyAlignment="1">
      <alignment horizontal="center" vertical="center"/>
    </xf>
    <xf numFmtId="49" fontId="10" fillId="0" borderId="1" xfId="24" applyNumberFormat="1" applyFont="1" applyBorder="1" applyAlignment="1">
      <alignment horizontal="center" vertical="center" wrapText="1"/>
    </xf>
    <xf numFmtId="0" fontId="53" fillId="0" borderId="1" xfId="0" applyFont="1" applyBorder="1" applyAlignment="1">
      <alignment horizontal="center" vertical="center" wrapText="1"/>
    </xf>
    <xf numFmtId="3" fontId="10" fillId="0" borderId="1" xfId="0" applyNumberFormat="1" applyFont="1" applyBorder="1" applyAlignment="1">
      <alignment horizontal="left" vertical="center" wrapText="1"/>
    </xf>
    <xf numFmtId="3" fontId="9" fillId="0" borderId="1" xfId="0" quotePrefix="1" applyNumberFormat="1" applyFont="1" applyBorder="1" applyAlignment="1">
      <alignment horizontal="left" vertical="center" wrapText="1"/>
    </xf>
    <xf numFmtId="0" fontId="35" fillId="0" borderId="0" xfId="0" applyFont="1" applyAlignment="1">
      <alignment horizontal="center" vertical="center"/>
    </xf>
    <xf numFmtId="0" fontId="54" fillId="0" borderId="1" xfId="0" applyFont="1" applyBorder="1" applyAlignment="1">
      <alignment horizontal="center" vertical="center" wrapText="1"/>
    </xf>
    <xf numFmtId="0" fontId="54" fillId="0" borderId="1" xfId="0" applyFont="1" applyBorder="1" applyAlignment="1">
      <alignment horizontal="left" vertical="center" wrapText="1"/>
    </xf>
    <xf numFmtId="0" fontId="9" fillId="0" borderId="1" xfId="0" applyFont="1" applyBorder="1" applyAlignment="1">
      <alignment horizontal="left" vertical="center"/>
    </xf>
    <xf numFmtId="3" fontId="9" fillId="8" borderId="1" xfId="0" quotePrefix="1" applyNumberFormat="1" applyFont="1" applyFill="1" applyBorder="1" applyAlignment="1">
      <alignment horizontal="left" vertical="center" wrapText="1"/>
    </xf>
    <xf numFmtId="0" fontId="9" fillId="0" borderId="1" xfId="0" quotePrefix="1" applyFont="1" applyBorder="1" applyAlignment="1">
      <alignment horizontal="left" vertical="center" wrapText="1"/>
    </xf>
    <xf numFmtId="0" fontId="10" fillId="14" borderId="25" xfId="0" applyFont="1" applyFill="1" applyBorder="1" applyAlignment="1">
      <alignment horizontal="center" vertical="center" wrapText="1"/>
    </xf>
    <xf numFmtId="9" fontId="10" fillId="0" borderId="1" xfId="0" applyNumberFormat="1" applyFont="1" applyBorder="1" applyAlignment="1">
      <alignment vertical="center" wrapText="1"/>
    </xf>
    <xf numFmtId="0" fontId="0" fillId="0" borderId="1" xfId="0" applyBorder="1" applyAlignment="1">
      <alignment vertical="center" wrapText="1"/>
    </xf>
    <xf numFmtId="0" fontId="10" fillId="0" borderId="1" xfId="0" applyFont="1" applyBorder="1" applyAlignment="1">
      <alignment horizontal="left" vertical="center"/>
    </xf>
    <xf numFmtId="0" fontId="0" fillId="0" borderId="1" xfId="0" applyBorder="1"/>
    <xf numFmtId="0" fontId="22" fillId="16" borderId="5" xfId="0" applyFont="1" applyFill="1" applyBorder="1" applyAlignment="1">
      <alignment horizontal="center" vertical="center"/>
    </xf>
    <xf numFmtId="0" fontId="7" fillId="16" borderId="5" xfId="0" applyFont="1" applyFill="1" applyBorder="1" applyAlignment="1">
      <alignment horizontal="center" vertical="center" wrapText="1"/>
    </xf>
    <xf numFmtId="14" fontId="10" fillId="0" borderId="1" xfId="0" quotePrefix="1" applyNumberFormat="1" applyFont="1" applyBorder="1" applyAlignment="1">
      <alignment horizontal="left" vertical="center" wrapText="1"/>
    </xf>
    <xf numFmtId="3" fontId="9" fillId="0" borderId="1" xfId="0" quotePrefix="1" applyNumberFormat="1" applyFont="1" applyBorder="1" applyAlignment="1">
      <alignment horizontal="center" vertical="center" wrapText="1"/>
    </xf>
    <xf numFmtId="0" fontId="14" fillId="18" borderId="0" xfId="0" applyFont="1" applyFill="1" applyAlignment="1">
      <alignment vertical="center" wrapText="1"/>
    </xf>
    <xf numFmtId="0" fontId="12" fillId="20" borderId="5" xfId="0" quotePrefix="1" applyFont="1" applyFill="1" applyBorder="1" applyAlignment="1">
      <alignment horizontal="center" vertical="center" wrapText="1"/>
    </xf>
    <xf numFmtId="0" fontId="0" fillId="0" borderId="1" xfId="0" applyBorder="1" applyAlignment="1">
      <alignment horizontal="center" vertical="center"/>
    </xf>
    <xf numFmtId="0" fontId="9" fillId="0" borderId="26" xfId="20" applyFont="1" applyBorder="1" applyAlignment="1">
      <alignment horizontal="center" vertical="center" wrapText="1"/>
    </xf>
    <xf numFmtId="14" fontId="9" fillId="0" borderId="15" xfId="0" quotePrefix="1" applyNumberFormat="1" applyFont="1" applyBorder="1" applyAlignment="1">
      <alignment horizontal="center" vertical="center" wrapText="1"/>
    </xf>
    <xf numFmtId="0" fontId="9" fillId="0" borderId="15" xfId="20" applyFont="1" applyBorder="1" applyAlignment="1">
      <alignment horizontal="center" vertical="center" wrapText="1"/>
    </xf>
    <xf numFmtId="0" fontId="19" fillId="20" borderId="1" xfId="0" quotePrefix="1" applyFont="1" applyFill="1" applyBorder="1" applyAlignment="1">
      <alignment horizontal="center" vertical="center" wrapText="1"/>
    </xf>
    <xf numFmtId="0" fontId="56" fillId="0" borderId="1" xfId="0" applyFont="1" applyBorder="1" applyAlignment="1">
      <alignment horizontal="center" vertical="center" wrapText="1"/>
    </xf>
    <xf numFmtId="0" fontId="56" fillId="0" borderId="1" xfId="0" applyFont="1" applyBorder="1" applyAlignment="1">
      <alignment vertical="center" wrapText="1"/>
    </xf>
    <xf numFmtId="9" fontId="9" fillId="3" borderId="1" xfId="0" applyNumberFormat="1" applyFont="1" applyFill="1" applyBorder="1" applyAlignment="1">
      <alignment horizontal="center" vertical="center"/>
    </xf>
    <xf numFmtId="0" fontId="9" fillId="3" borderId="1" xfId="0" applyFont="1" applyFill="1" applyBorder="1" applyAlignment="1">
      <alignment horizontal="center" vertical="center"/>
    </xf>
    <xf numFmtId="0" fontId="9" fillId="3" borderId="1" xfId="0" applyFont="1" applyFill="1" applyBorder="1" applyAlignment="1">
      <alignment horizontal="center" vertical="center" wrapText="1"/>
    </xf>
    <xf numFmtId="0" fontId="9" fillId="6" borderId="1" xfId="0" applyFont="1" applyFill="1" applyBorder="1" applyAlignment="1">
      <alignment horizontal="center" vertical="center" wrapText="1"/>
    </xf>
    <xf numFmtId="0" fontId="9" fillId="6" borderId="1" xfId="0" applyFont="1" applyFill="1" applyBorder="1" applyAlignment="1">
      <alignment horizontal="center" vertical="center"/>
    </xf>
    <xf numFmtId="9" fontId="10" fillId="6" borderId="1" xfId="0" applyNumberFormat="1" applyFont="1" applyFill="1" applyBorder="1" applyAlignment="1">
      <alignment vertical="center" wrapText="1"/>
    </xf>
    <xf numFmtId="9" fontId="10" fillId="3" borderId="1" xfId="0" applyNumberFormat="1" applyFont="1" applyFill="1" applyBorder="1" applyAlignment="1">
      <alignment vertical="center" wrapText="1"/>
    </xf>
    <xf numFmtId="9" fontId="9" fillId="3" borderId="1" xfId="0" applyNumberFormat="1" applyFont="1" applyFill="1" applyBorder="1" applyAlignment="1">
      <alignment horizontal="center" vertical="center" wrapText="1"/>
    </xf>
    <xf numFmtId="9" fontId="10" fillId="22" borderId="1" xfId="0" quotePrefix="1" applyNumberFormat="1" applyFont="1" applyFill="1" applyBorder="1" applyAlignment="1">
      <alignment horizontal="center" vertical="center" wrapText="1"/>
    </xf>
    <xf numFmtId="14" fontId="10" fillId="22" borderId="1" xfId="0" quotePrefix="1" applyNumberFormat="1" applyFont="1" applyFill="1" applyBorder="1" applyAlignment="1">
      <alignment horizontal="center" vertical="center" wrapText="1"/>
    </xf>
    <xf numFmtId="0" fontId="0" fillId="0" borderId="1" xfId="0" applyBorder="1" applyAlignment="1">
      <alignment horizontal="center" vertical="center" wrapText="1"/>
    </xf>
    <xf numFmtId="0" fontId="9" fillId="6" borderId="1" xfId="0" applyFont="1" applyFill="1" applyBorder="1" applyAlignment="1">
      <alignment horizontal="left" vertical="center" wrapText="1"/>
    </xf>
    <xf numFmtId="0" fontId="13" fillId="0" borderId="0" xfId="0" quotePrefix="1" applyFont="1" applyAlignment="1">
      <alignment horizontal="center" vertical="center" wrapText="1"/>
    </xf>
    <xf numFmtId="0" fontId="14" fillId="18" borderId="1" xfId="0" applyFont="1" applyFill="1" applyBorder="1" applyAlignment="1">
      <alignment vertical="center" wrapText="1"/>
    </xf>
    <xf numFmtId="0" fontId="22" fillId="2" borderId="1" xfId="0" applyFont="1" applyFill="1" applyBorder="1" applyAlignment="1">
      <alignment horizontal="center" vertical="center" wrapText="1"/>
    </xf>
    <xf numFmtId="9" fontId="22" fillId="2" borderId="1" xfId="0" applyNumberFormat="1" applyFont="1" applyFill="1" applyBorder="1" applyAlignment="1">
      <alignment horizontal="center" vertical="center" wrapText="1"/>
    </xf>
    <xf numFmtId="0" fontId="22" fillId="18" borderId="1" xfId="0" applyFont="1" applyFill="1" applyBorder="1" applyAlignment="1">
      <alignment horizontal="center" vertical="center" wrapText="1"/>
    </xf>
    <xf numFmtId="0" fontId="22" fillId="20" borderId="1" xfId="0" quotePrefix="1" applyFont="1" applyFill="1" applyBorder="1" applyAlignment="1">
      <alignment horizontal="center" vertical="center" wrapText="1"/>
    </xf>
    <xf numFmtId="0" fontId="22" fillId="20" borderId="1" xfId="0" applyFont="1" applyFill="1" applyBorder="1" applyAlignment="1">
      <alignment horizontal="center" vertical="center" wrapText="1"/>
    </xf>
    <xf numFmtId="0" fontId="22" fillId="19" borderId="1" xfId="0" quotePrefix="1" applyFont="1" applyFill="1" applyBorder="1" applyAlignment="1">
      <alignment horizontal="center" vertical="center" wrapText="1"/>
    </xf>
    <xf numFmtId="0" fontId="22" fillId="19" borderId="1" xfId="0" applyFont="1" applyFill="1" applyBorder="1" applyAlignment="1">
      <alignment horizontal="center" vertical="center" wrapText="1"/>
    </xf>
    <xf numFmtId="0" fontId="7" fillId="3" borderId="1" xfId="0" quotePrefix="1" applyFont="1" applyFill="1" applyBorder="1" applyAlignment="1">
      <alignment horizontal="center" vertical="center"/>
    </xf>
    <xf numFmtId="0" fontId="7" fillId="3" borderId="1" xfId="0" quotePrefix="1" applyFont="1" applyFill="1" applyBorder="1" applyAlignment="1">
      <alignment horizontal="center" vertical="center" wrapText="1"/>
    </xf>
    <xf numFmtId="0" fontId="7" fillId="3" borderId="1" xfId="0" quotePrefix="1" applyFont="1" applyFill="1" applyBorder="1" applyAlignment="1">
      <alignment horizontal="left" vertical="center" wrapText="1"/>
    </xf>
    <xf numFmtId="0" fontId="22" fillId="3" borderId="1" xfId="0" quotePrefix="1" applyFont="1" applyFill="1" applyBorder="1" applyAlignment="1">
      <alignment horizontal="center" vertical="center" wrapText="1"/>
    </xf>
    <xf numFmtId="9" fontId="22" fillId="3" borderId="1" xfId="0" quotePrefix="1" applyNumberFormat="1" applyFont="1" applyFill="1" applyBorder="1" applyAlignment="1">
      <alignment horizontal="center" vertical="center" wrapText="1"/>
    </xf>
    <xf numFmtId="9" fontId="22" fillId="3" borderId="1" xfId="0" quotePrefix="1" applyNumberFormat="1" applyFont="1" applyFill="1" applyBorder="1" applyAlignment="1">
      <alignment horizontal="left" vertical="center" wrapText="1"/>
    </xf>
    <xf numFmtId="0" fontId="7" fillId="3" borderId="1" xfId="0" quotePrefix="1" applyFont="1" applyFill="1" applyBorder="1" applyAlignment="1">
      <alignment vertical="center" wrapText="1"/>
    </xf>
    <xf numFmtId="0" fontId="7" fillId="18" borderId="1" xfId="0" quotePrefix="1" applyFont="1" applyFill="1" applyBorder="1" applyAlignment="1">
      <alignment horizontal="center"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9" fillId="0" borderId="1" xfId="0" quotePrefix="1" applyFont="1" applyBorder="1" applyAlignment="1">
      <alignment horizontal="center" vertical="center"/>
    </xf>
    <xf numFmtId="0" fontId="9" fillId="0" borderId="1" xfId="5" quotePrefix="1" applyFont="1" applyBorder="1" applyAlignment="1">
      <alignment horizontal="center" vertical="center" wrapText="1"/>
    </xf>
    <xf numFmtId="0" fontId="9" fillId="0" borderId="1" xfId="6" quotePrefix="1" applyFont="1" applyBorder="1" applyAlignment="1">
      <alignment horizontal="left" vertical="center" wrapText="1"/>
    </xf>
    <xf numFmtId="0" fontId="9" fillId="0" borderId="1" xfId="6" quotePrefix="1" applyFont="1" applyBorder="1" applyAlignment="1">
      <alignment horizontal="center" vertical="center" wrapText="1"/>
    </xf>
    <xf numFmtId="9" fontId="9" fillId="0" borderId="1" xfId="6" quotePrefix="1" applyNumberFormat="1" applyFont="1" applyBorder="1" applyAlignment="1">
      <alignment horizontal="center" vertical="center" wrapText="1"/>
    </xf>
    <xf numFmtId="9" fontId="9" fillId="0" borderId="1" xfId="6" quotePrefix="1" applyNumberFormat="1" applyFont="1" applyBorder="1" applyAlignment="1">
      <alignment horizontal="left" vertical="center" wrapText="1"/>
    </xf>
    <xf numFmtId="14" fontId="9" fillId="0" borderId="1" xfId="0" applyNumberFormat="1" applyFont="1" applyBorder="1" applyAlignment="1">
      <alignment horizontal="center" vertical="center" wrapText="1"/>
    </xf>
    <xf numFmtId="14" fontId="9" fillId="0" borderId="1" xfId="6" quotePrefix="1" applyNumberFormat="1" applyFont="1" applyBorder="1" applyAlignment="1">
      <alignment horizontal="center" vertical="center" wrapText="1"/>
    </xf>
    <xf numFmtId="0" fontId="9" fillId="0" borderId="1" xfId="0" quotePrefix="1" applyFont="1" applyBorder="1" applyAlignment="1">
      <alignment horizontal="center" vertical="center" wrapText="1"/>
    </xf>
    <xf numFmtId="0" fontId="9" fillId="18" borderId="1" xfId="0" quotePrefix="1" applyFont="1" applyFill="1" applyBorder="1" applyAlignment="1">
      <alignment horizontal="center" vertical="center" wrapText="1"/>
    </xf>
    <xf numFmtId="0" fontId="9" fillId="0" borderId="1" xfId="0" quotePrefix="1" applyFont="1" applyBorder="1" applyAlignment="1">
      <alignment vertical="center" wrapText="1"/>
    </xf>
    <xf numFmtId="9" fontId="44" fillId="0" borderId="1" xfId="6" quotePrefix="1" applyNumberFormat="1" applyFont="1" applyBorder="1" applyAlignment="1">
      <alignment horizontal="left" vertical="center" wrapText="1"/>
    </xf>
    <xf numFmtId="0" fontId="7" fillId="3" borderId="1" xfId="0" quotePrefix="1" applyFont="1" applyFill="1" applyBorder="1" applyAlignment="1">
      <alignment horizontal="left" vertical="center"/>
    </xf>
    <xf numFmtId="0" fontId="7" fillId="3" borderId="1" xfId="0" applyFont="1" applyFill="1" applyBorder="1" applyAlignment="1">
      <alignment horizontal="center" vertical="center" wrapText="1"/>
    </xf>
    <xf numFmtId="0" fontId="10" fillId="0" borderId="1" xfId="5" quotePrefix="1" applyFont="1" applyBorder="1" applyAlignment="1">
      <alignment horizontal="center" vertical="center" wrapText="1"/>
    </xf>
    <xf numFmtId="9" fontId="9" fillId="0" borderId="1" xfId="0" applyNumberFormat="1" applyFont="1" applyBorder="1" applyAlignment="1">
      <alignment horizontal="center" vertical="center" wrapText="1"/>
    </xf>
    <xf numFmtId="0" fontId="10" fillId="0" borderId="1" xfId="0" applyFont="1" applyBorder="1" applyAlignment="1">
      <alignment vertical="center"/>
    </xf>
    <xf numFmtId="9" fontId="10" fillId="0" borderId="1" xfId="6" quotePrefix="1" applyNumberFormat="1" applyFont="1" applyBorder="1" applyAlignment="1">
      <alignment horizontal="center" vertical="center" wrapText="1"/>
    </xf>
    <xf numFmtId="9" fontId="10" fillId="0" borderId="1" xfId="6" quotePrefix="1" applyNumberFormat="1" applyFont="1" applyBorder="1" applyAlignment="1">
      <alignment horizontal="left" vertical="center" wrapText="1"/>
    </xf>
    <xf numFmtId="14" fontId="10" fillId="0" borderId="1" xfId="0" applyNumberFormat="1" applyFont="1" applyBorder="1" applyAlignment="1">
      <alignment horizontal="center" vertical="center" wrapText="1"/>
    </xf>
    <xf numFmtId="0" fontId="10" fillId="0" borderId="1" xfId="0" quotePrefix="1" applyFont="1" applyBorder="1" applyAlignment="1">
      <alignment horizontal="center" vertical="center" wrapText="1"/>
    </xf>
    <xf numFmtId="9" fontId="10" fillId="0" borderId="1" xfId="0" applyNumberFormat="1" applyFont="1" applyBorder="1" applyAlignment="1">
      <alignment horizontal="center" vertical="center" wrapText="1"/>
    </xf>
    <xf numFmtId="0" fontId="22" fillId="3" borderId="1" xfId="0" quotePrefix="1" applyFont="1" applyFill="1" applyBorder="1" applyAlignment="1">
      <alignment horizontal="left" vertical="center" wrapText="1"/>
    </xf>
    <xf numFmtId="0" fontId="10" fillId="0" borderId="1" xfId="6" quotePrefix="1" applyFont="1" applyBorder="1" applyAlignment="1">
      <alignment horizontal="left" vertical="center" wrapText="1"/>
    </xf>
    <xf numFmtId="0" fontId="10" fillId="0" borderId="1" xfId="6" quotePrefix="1" applyFont="1" applyBorder="1" applyAlignment="1">
      <alignment horizontal="center" vertical="center" wrapText="1"/>
    </xf>
    <xf numFmtId="14" fontId="10" fillId="0" borderId="1" xfId="6" quotePrefix="1" applyNumberFormat="1" applyFont="1" applyBorder="1" applyAlignment="1">
      <alignment horizontal="center" vertical="center" wrapText="1"/>
    </xf>
    <xf numFmtId="0" fontId="44" fillId="0" borderId="1" xfId="0" quotePrefix="1" applyFont="1" applyBorder="1" applyAlignment="1">
      <alignment horizontal="center" vertical="center" wrapText="1"/>
    </xf>
    <xf numFmtId="0" fontId="58" fillId="0" borderId="1" xfId="0" applyFont="1" applyBorder="1" applyAlignment="1">
      <alignment horizontal="center" vertical="center" wrapText="1"/>
    </xf>
    <xf numFmtId="0" fontId="9" fillId="0" borderId="1" xfId="5" applyFont="1" applyBorder="1" applyAlignment="1">
      <alignment horizontal="center" vertical="center" wrapText="1"/>
    </xf>
    <xf numFmtId="0" fontId="10" fillId="0" borderId="1" xfId="0" quotePrefix="1" applyFont="1" applyBorder="1" applyAlignment="1">
      <alignment vertical="center" wrapText="1"/>
    </xf>
    <xf numFmtId="0" fontId="22" fillId="3"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2" fillId="18" borderId="1" xfId="0" applyFont="1" applyFill="1" applyBorder="1" applyAlignment="1">
      <alignment horizontal="left" vertical="center" wrapText="1"/>
    </xf>
    <xf numFmtId="16" fontId="10" fillId="0" borderId="1" xfId="0" applyNumberFormat="1" applyFont="1" applyBorder="1" applyAlignment="1">
      <alignment vertical="center"/>
    </xf>
    <xf numFmtId="0" fontId="44" fillId="18" borderId="1" xfId="0" quotePrefix="1" applyFont="1" applyFill="1" applyBorder="1" applyAlignment="1">
      <alignment horizontal="center" vertical="center" wrapText="1"/>
    </xf>
    <xf numFmtId="166" fontId="10" fillId="0" borderId="1" xfId="0" applyNumberFormat="1" applyFont="1" applyBorder="1" applyAlignment="1">
      <alignment vertical="center"/>
    </xf>
    <xf numFmtId="0" fontId="9" fillId="3" borderId="1" xfId="6" quotePrefix="1" applyFont="1" applyFill="1" applyBorder="1" applyAlignment="1">
      <alignment horizontal="center" vertical="center" wrapText="1"/>
    </xf>
    <xf numFmtId="9" fontId="7" fillId="3" borderId="1" xfId="0" quotePrefix="1" applyNumberFormat="1" applyFont="1" applyFill="1" applyBorder="1" applyAlignment="1">
      <alignment horizontal="center" vertical="center" wrapText="1"/>
    </xf>
    <xf numFmtId="9" fontId="9" fillId="3" borderId="1" xfId="6" quotePrefix="1" applyNumberFormat="1" applyFont="1" applyFill="1" applyBorder="1" applyAlignment="1">
      <alignment horizontal="center" vertical="center" wrapText="1"/>
    </xf>
    <xf numFmtId="0" fontId="39" fillId="0" borderId="1" xfId="0" applyFont="1" applyBorder="1" applyAlignment="1">
      <alignment vertical="center" wrapText="1"/>
    </xf>
    <xf numFmtId="0" fontId="44" fillId="0" borderId="1" xfId="6" quotePrefix="1" applyFont="1" applyBorder="1" applyAlignment="1">
      <alignment horizontal="center" vertical="center" wrapText="1"/>
    </xf>
    <xf numFmtId="9" fontId="44" fillId="0" borderId="1" xfId="0" applyNumberFormat="1" applyFont="1" applyBorder="1" applyAlignment="1">
      <alignment horizontal="center" vertical="center" wrapText="1"/>
    </xf>
    <xf numFmtId="9" fontId="59" fillId="21" borderId="1" xfId="0" applyNumberFormat="1" applyFont="1" applyFill="1" applyBorder="1" applyAlignment="1">
      <alignment horizontal="center" vertical="center" wrapText="1"/>
    </xf>
    <xf numFmtId="0" fontId="9" fillId="21" borderId="1" xfId="0" applyFont="1" applyFill="1" applyBorder="1" applyAlignment="1">
      <alignment vertical="center" wrapText="1"/>
    </xf>
    <xf numFmtId="0" fontId="38" fillId="3"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9" fontId="59" fillId="21" borderId="1" xfId="0" applyNumberFormat="1" applyFont="1" applyFill="1" applyBorder="1" applyAlignment="1">
      <alignment horizontal="center" vertical="center" wrapText="1"/>
    </xf>
    <xf numFmtId="0" fontId="59" fillId="21" borderId="1" xfId="0" applyFont="1" applyFill="1" applyBorder="1" applyAlignment="1">
      <alignment horizontal="center" vertical="center" wrapText="1"/>
    </xf>
    <xf numFmtId="0" fontId="42" fillId="19" borderId="1" xfId="0" applyFont="1" applyFill="1" applyBorder="1" applyAlignment="1">
      <alignment horizontal="center" vertical="center" wrapText="1"/>
    </xf>
    <xf numFmtId="0" fontId="9" fillId="0" borderId="5" xfId="0" applyFont="1" applyBorder="1" applyAlignment="1">
      <alignment horizontal="center" vertical="center"/>
    </xf>
    <xf numFmtId="0" fontId="9" fillId="0" borderId="21" xfId="0" applyFont="1" applyBorder="1" applyAlignment="1">
      <alignment horizontal="center" vertical="center"/>
    </xf>
    <xf numFmtId="0" fontId="9" fillId="0" borderId="15" xfId="0" applyFont="1" applyBorder="1" applyAlignment="1">
      <alignment horizontal="center" vertical="center"/>
    </xf>
    <xf numFmtId="0" fontId="50" fillId="0" borderId="20" xfId="18" applyFont="1" applyBorder="1" applyAlignment="1">
      <alignment horizontal="center" vertical="center" wrapText="1"/>
    </xf>
    <xf numFmtId="0" fontId="7" fillId="15" borderId="1" xfId="20" applyFont="1" applyFill="1" applyBorder="1" applyAlignment="1">
      <alignment horizontal="center" vertical="center" wrapText="1"/>
    </xf>
    <xf numFmtId="0" fontId="7" fillId="15" borderId="5" xfId="20" applyFont="1" applyFill="1" applyBorder="1" applyAlignment="1">
      <alignment horizontal="center" vertical="center" wrapText="1"/>
    </xf>
    <xf numFmtId="0" fontId="41" fillId="0" borderId="0" xfId="0" applyFont="1" applyAlignment="1">
      <alignment horizontal="center" vertical="center" wrapText="1"/>
    </xf>
    <xf numFmtId="0" fontId="7" fillId="15" borderId="1" xfId="20" applyFont="1" applyFill="1" applyBorder="1" applyAlignment="1">
      <alignment horizontal="left" vertical="center" wrapText="1"/>
    </xf>
    <xf numFmtId="0" fontId="7" fillId="15" borderId="1" xfId="0" applyFont="1" applyFill="1" applyBorder="1" applyAlignment="1">
      <alignment horizontal="center" vertical="center"/>
    </xf>
    <xf numFmtId="0" fontId="22" fillId="15" borderId="1" xfId="0" applyFont="1" applyFill="1" applyBorder="1" applyAlignment="1">
      <alignment horizontal="center" vertical="center" wrapText="1"/>
    </xf>
    <xf numFmtId="0" fontId="7" fillId="15" borderId="1" xfId="0" applyFont="1" applyFill="1" applyBorder="1" applyAlignment="1">
      <alignment horizontal="center" vertical="center" wrapText="1"/>
    </xf>
    <xf numFmtId="0" fontId="47" fillId="0" borderId="0" xfId="19" applyFont="1" applyAlignment="1">
      <alignment horizontal="center" vertical="center" wrapText="1"/>
    </xf>
    <xf numFmtId="0" fontId="37" fillId="14" borderId="1" xfId="19"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9" fillId="20" borderId="1" xfId="0" quotePrefix="1" applyFont="1" applyFill="1" applyBorder="1" applyAlignment="1">
      <alignment horizontal="center" vertical="center" wrapText="1"/>
    </xf>
    <xf numFmtId="0" fontId="50" fillId="0" borderId="0" xfId="0" applyFont="1" applyAlignment="1">
      <alignment horizontal="center" vertical="center" wrapText="1"/>
    </xf>
    <xf numFmtId="0" fontId="22" fillId="16" borderId="22" xfId="0" applyFont="1" applyFill="1" applyBorder="1" applyAlignment="1">
      <alignment horizontal="center" vertical="center"/>
    </xf>
    <xf numFmtId="0" fontId="22" fillId="16" borderId="23" xfId="0" applyFont="1" applyFill="1" applyBorder="1" applyAlignment="1">
      <alignment horizontal="center" vertical="center"/>
    </xf>
    <xf numFmtId="0" fontId="22" fillId="16" borderId="24" xfId="0" applyFont="1" applyFill="1" applyBorder="1" applyAlignment="1">
      <alignment horizontal="center" vertical="center"/>
    </xf>
    <xf numFmtId="0" fontId="7" fillId="16" borderId="1" xfId="0" applyFont="1" applyFill="1" applyBorder="1" applyAlignment="1">
      <alignment horizontal="center" vertical="center" wrapText="1"/>
    </xf>
    <xf numFmtId="0" fontId="7" fillId="17" borderId="1" xfId="0" applyFont="1" applyFill="1" applyBorder="1" applyAlignment="1">
      <alignment horizontal="center" vertical="center" wrapText="1"/>
    </xf>
    <xf numFmtId="0" fontId="42" fillId="3" borderId="1" xfId="0" applyFont="1" applyFill="1" applyBorder="1" applyAlignment="1">
      <alignment horizontal="center" vertical="center"/>
    </xf>
    <xf numFmtId="0" fontId="42" fillId="3" borderId="1" xfId="0" applyFont="1" applyFill="1" applyBorder="1" applyAlignment="1">
      <alignment horizontal="center" vertical="center" wrapText="1"/>
    </xf>
    <xf numFmtId="0" fontId="10" fillId="0" borderId="6" xfId="0" applyFont="1" applyBorder="1" applyAlignment="1">
      <alignment horizontal="left" vertical="center" wrapText="1"/>
    </xf>
    <xf numFmtId="0" fontId="10" fillId="0" borderId="6" xfId="0" applyFont="1" applyBorder="1" applyAlignment="1">
      <alignment horizontal="left" vertical="center"/>
    </xf>
    <xf numFmtId="0" fontId="19" fillId="0" borderId="1" xfId="0" applyFont="1" applyBorder="1" applyAlignment="1">
      <alignment horizontal="left" vertical="center" wrapText="1"/>
    </xf>
    <xf numFmtId="0" fontId="19" fillId="0" borderId="0" xfId="5" applyFont="1" applyAlignment="1">
      <alignment horizontal="center" vertical="center"/>
    </xf>
    <xf numFmtId="0" fontId="20" fillId="0" borderId="0" xfId="5" applyFont="1" applyAlignment="1">
      <alignment horizontal="center" vertical="center"/>
    </xf>
    <xf numFmtId="0" fontId="19" fillId="0" borderId="1" xfId="0" applyFont="1" applyBorder="1" applyAlignment="1">
      <alignment horizontal="center" vertical="center" wrapText="1"/>
    </xf>
    <xf numFmtId="0" fontId="19" fillId="0" borderId="1" xfId="0" quotePrefix="1" applyFont="1" applyBorder="1" applyAlignment="1">
      <alignment horizontal="left" vertical="center" wrapText="1"/>
    </xf>
    <xf numFmtId="0" fontId="21" fillId="0" borderId="2" xfId="0" applyFont="1" applyBorder="1" applyAlignment="1">
      <alignment horizontal="left" vertical="center" wrapText="1"/>
    </xf>
    <xf numFmtId="0" fontId="21" fillId="0" borderId="3" xfId="0" applyFont="1" applyBorder="1" applyAlignment="1">
      <alignment horizontal="left" vertical="center" wrapText="1"/>
    </xf>
    <xf numFmtId="0" fontId="21" fillId="0" borderId="4"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4" xfId="0" applyFont="1" applyBorder="1" applyAlignment="1">
      <alignment horizontal="left" vertical="center" wrapText="1"/>
    </xf>
    <xf numFmtId="0" fontId="19" fillId="0" borderId="0" xfId="5" applyFont="1" applyAlignment="1">
      <alignment horizontal="center" wrapText="1"/>
    </xf>
    <xf numFmtId="0" fontId="12" fillId="3" borderId="2"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3" fillId="4" borderId="11" xfId="0" applyFont="1" applyFill="1" applyBorder="1" applyAlignment="1">
      <alignment horizontal="center" vertical="center" wrapText="1"/>
    </xf>
    <xf numFmtId="0" fontId="13" fillId="4" borderId="7" xfId="0" applyFont="1" applyFill="1" applyBorder="1" applyAlignment="1">
      <alignment horizontal="center" vertical="center" wrapText="1"/>
    </xf>
    <xf numFmtId="0" fontId="13" fillId="4" borderId="8" xfId="0" applyFont="1" applyFill="1" applyBorder="1" applyAlignment="1">
      <alignment horizontal="center" vertical="center" wrapText="1"/>
    </xf>
    <xf numFmtId="0" fontId="13" fillId="5" borderId="2" xfId="0" applyFont="1" applyFill="1" applyBorder="1" applyAlignment="1">
      <alignment horizontal="left" vertical="center" wrapText="1"/>
    </xf>
    <xf numFmtId="0" fontId="13" fillId="5" borderId="3" xfId="0" applyFont="1" applyFill="1" applyBorder="1" applyAlignment="1">
      <alignment horizontal="left" vertical="center" wrapText="1"/>
    </xf>
    <xf numFmtId="0" fontId="13" fillId="5" borderId="4" xfId="0" applyFont="1" applyFill="1" applyBorder="1" applyAlignment="1">
      <alignment horizontal="left"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cellXfs>
  <cellStyles count="27">
    <cellStyle name="Comma 2" xfId="1" xr:uid="{00000000-0005-0000-0000-000000000000}"/>
    <cellStyle name="Comma 2 2" xfId="10" xr:uid="{47916D39-4F81-40E0-9FB8-BDB50F805C0D}"/>
    <cellStyle name="Comma 3" xfId="2" xr:uid="{00000000-0005-0000-0000-000001000000}"/>
    <cellStyle name="Comma 3 2" xfId="15" xr:uid="{3A18225C-53ED-4DDF-8D43-F4DBEF2F71D8}"/>
    <cellStyle name="Comma 4" xfId="9" xr:uid="{F8CD4910-D9F8-4836-A9C2-7585E803CDCF}"/>
    <cellStyle name="Comma 5" xfId="13" xr:uid="{F9C8823B-D59E-4BCD-9B91-C28EC1437EFD}"/>
    <cellStyle name="Hyperlink" xfId="21" builtinId="8"/>
    <cellStyle name="Ledger 17 x 11 in" xfId="3" xr:uid="{00000000-0005-0000-0000-000002000000}"/>
    <cellStyle name="Normal" xfId="0" builtinId="0"/>
    <cellStyle name="Normal 10" xfId="24" xr:uid="{857181B9-E7F0-4C1E-B088-E416D469B482}"/>
    <cellStyle name="Normal 107" xfId="23" xr:uid="{D1505A2A-E822-42EE-98F7-6E3C81B23F54}"/>
    <cellStyle name="Normal 12" xfId="25" xr:uid="{B1DEDA6A-063E-4700-956F-16BBEA85B7ED}"/>
    <cellStyle name="Normal 140" xfId="20" xr:uid="{51064024-6425-4E7B-8547-3257145AC50E}"/>
    <cellStyle name="Normal 140 2 5" xfId="22" xr:uid="{C07F6F74-B5BB-4378-9D93-6BCACB028160}"/>
    <cellStyle name="Normal 2" xfId="4" xr:uid="{00000000-0005-0000-0000-000004000000}"/>
    <cellStyle name="Normal 2 2" xfId="5" xr:uid="{00000000-0005-0000-0000-000005000000}"/>
    <cellStyle name="Normal 2 2 2 2 2" xfId="26" xr:uid="{87BEA8D1-F16E-4C45-9F81-FC456CA28BEB}"/>
    <cellStyle name="Normal 2 2 4" xfId="16" xr:uid="{266F557F-2D72-41EE-BBF2-3C47DD50A2CD}"/>
    <cellStyle name="Normal 2 3" xfId="8" xr:uid="{CB933B2E-45F8-4DB6-86C1-96583D9F05B8}"/>
    <cellStyle name="Normal 2 4" xfId="19" xr:uid="{E36E7C45-DA3A-4D85-AD8E-95AD39B13823}"/>
    <cellStyle name="Normal 3" xfId="7" xr:uid="{15486C3E-C9AC-4626-B702-FB9A9E3DABAF}"/>
    <cellStyle name="Normal 3 2" xfId="6" xr:uid="{A12D2684-7F7C-48D1-BAF5-89D13BCC951A}"/>
    <cellStyle name="Normal 3 3" xfId="18" xr:uid="{132B549E-D439-4C9D-A12C-F0E3148188A9}"/>
    <cellStyle name="Percent" xfId="14" builtinId="5"/>
    <cellStyle name="Percent 2" xfId="11" xr:uid="{0F472DA6-7E5B-4774-A058-E0168B96D0F8}"/>
    <cellStyle name="Percent 2 2" xfId="12" xr:uid="{36203464-364A-479D-B43F-A20013CEE6C7}"/>
    <cellStyle name="Percent 2 3" xfId="17" xr:uid="{C93D9E58-922A-4950-9519-7CFF07EF2ACF}"/>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658038</xdr:colOff>
      <xdr:row>2</xdr:row>
      <xdr:rowOff>1680</xdr:rowOff>
    </xdr:from>
    <xdr:to>
      <xdr:col>3</xdr:col>
      <xdr:colOff>2069850</xdr:colOff>
      <xdr:row>2</xdr:row>
      <xdr:rowOff>1680</xdr:rowOff>
    </xdr:to>
    <xdr:cxnSp macro="">
      <xdr:nvCxnSpPr>
        <xdr:cNvPr id="2" name="Straight Connector 1">
          <a:extLst>
            <a:ext uri="{FF2B5EF4-FFF2-40B4-BE49-F238E27FC236}">
              <a16:creationId xmlns:a16="http://schemas.microsoft.com/office/drawing/2014/main" id="{A83AD123-CC64-464B-BF85-62251CCD317A}"/>
            </a:ext>
          </a:extLst>
        </xdr:cNvPr>
        <xdr:cNvCxnSpPr/>
      </xdr:nvCxnSpPr>
      <xdr:spPr>
        <a:xfrm>
          <a:off x="3915588" y="0"/>
          <a:ext cx="1411812"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Vunv@pvcfc.com.vn" TargetMode="External"/><Relationship Id="rId13" Type="http://schemas.openxmlformats.org/officeDocument/2006/relationships/hyperlink" Target="mailto:cunghv@pvcfc.com.vn" TargetMode="External"/><Relationship Id="rId3" Type="http://schemas.openxmlformats.org/officeDocument/2006/relationships/hyperlink" Target="mailto:Vunv@pvcfc.com.vn" TargetMode="External"/><Relationship Id="rId7" Type="http://schemas.openxmlformats.org/officeDocument/2006/relationships/hyperlink" Target="mailto:linhln@pvcfc.com.vn" TargetMode="External"/><Relationship Id="rId12" Type="http://schemas.openxmlformats.org/officeDocument/2006/relationships/hyperlink" Target="mailto:linhln@pvcfc.com.vn" TargetMode="External"/><Relationship Id="rId2" Type="http://schemas.openxmlformats.org/officeDocument/2006/relationships/hyperlink" Target="mailto:nhatpm@pvcfc.com.vn" TargetMode="External"/><Relationship Id="rId1" Type="http://schemas.openxmlformats.org/officeDocument/2006/relationships/hyperlink" Target="mailto:nhatpm@pvcfc.com.vn" TargetMode="External"/><Relationship Id="rId6" Type="http://schemas.openxmlformats.org/officeDocument/2006/relationships/hyperlink" Target="mailto:linhln@pvcfc.com.vn" TargetMode="External"/><Relationship Id="rId11" Type="http://schemas.openxmlformats.org/officeDocument/2006/relationships/hyperlink" Target="mailto:nhatpm@pvcfc.com.vn" TargetMode="External"/><Relationship Id="rId5" Type="http://schemas.openxmlformats.org/officeDocument/2006/relationships/hyperlink" Target="mailto:linhln@pvcfc.com.vn" TargetMode="External"/><Relationship Id="rId15" Type="http://schemas.openxmlformats.org/officeDocument/2006/relationships/comments" Target="../comments1.xml"/><Relationship Id="rId10" Type="http://schemas.openxmlformats.org/officeDocument/2006/relationships/hyperlink" Target="mailto:cunghv@pvcfc.com.vn" TargetMode="External"/><Relationship Id="rId4" Type="http://schemas.openxmlformats.org/officeDocument/2006/relationships/hyperlink" Target="mailto:linhln@pvcfc.com.vn" TargetMode="External"/><Relationship Id="rId9" Type="http://schemas.openxmlformats.org/officeDocument/2006/relationships/hyperlink" Target="mailto:vunv@pvcfc.com.vn" TargetMode="External"/><Relationship Id="rId1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56189-BB23-475A-A7CA-FA57A3BB513F}">
  <sheetPr>
    <tabColor rgb="FF92D050"/>
  </sheetPr>
  <dimension ref="A1:AE47"/>
  <sheetViews>
    <sheetView tabSelected="1" view="pageBreakPreview" zoomScale="70" zoomScaleNormal="70" zoomScaleSheetLayoutView="70" workbookViewId="0">
      <pane xSplit="2" ySplit="2" topLeftCell="C34" activePane="bottomRight" state="frozen"/>
      <selection pane="topRight" activeCell="C1" sqref="C1"/>
      <selection pane="bottomLeft" activeCell="A3" sqref="A3"/>
      <selection pane="bottomRight" activeCell="AD15" sqref="AD15"/>
    </sheetView>
  </sheetViews>
  <sheetFormatPr defaultColWidth="9" defaultRowHeight="18.75"/>
  <cols>
    <col min="1" max="1" width="7.85546875" style="7" customWidth="1"/>
    <col min="2" max="2" width="18.7109375" style="7" customWidth="1"/>
    <col min="3" max="3" width="19.28515625" style="7" customWidth="1"/>
    <col min="4" max="4" width="50.28515625" style="65" customWidth="1"/>
    <col min="5" max="5" width="26.140625" style="60" customWidth="1"/>
    <col min="6" max="6" width="13" style="60" customWidth="1"/>
    <col min="7" max="7" width="14" style="60" customWidth="1"/>
    <col min="8" max="8" width="10.28515625" style="61" customWidth="1"/>
    <col min="9" max="9" width="59" style="61" hidden="1" customWidth="1"/>
    <col min="10" max="10" width="59" style="61" customWidth="1"/>
    <col min="11" max="11" width="11.7109375" style="7" customWidth="1"/>
    <col min="12" max="12" width="13.5703125" style="7" customWidth="1"/>
    <col min="13" max="13" width="20.28515625" style="7" hidden="1" customWidth="1"/>
    <col min="14" max="14" width="13.140625" style="7" customWidth="1"/>
    <col min="15" max="15" width="10.7109375" style="7" customWidth="1"/>
    <col min="16" max="16" width="17.85546875" style="316" hidden="1" customWidth="1"/>
    <col min="17" max="17" width="25.28515625" style="7" hidden="1" customWidth="1"/>
    <col min="18" max="18" width="17.42578125" style="7" hidden="1" customWidth="1"/>
    <col min="19" max="19" width="9" style="7" hidden="1" customWidth="1"/>
    <col min="20" max="20" width="27.7109375" style="7" hidden="1" customWidth="1"/>
    <col min="21" max="21" width="15.85546875" style="7" hidden="1" customWidth="1"/>
    <col min="22" max="22" width="14" style="7" hidden="1" customWidth="1"/>
    <col min="23" max="24" width="24.28515625" style="7" hidden="1" customWidth="1"/>
    <col min="25" max="25" width="18.5703125" style="7" hidden="1" customWidth="1"/>
    <col min="26" max="26" width="39.5703125" style="7" hidden="1" customWidth="1"/>
    <col min="27" max="27" width="20" style="7" hidden="1" customWidth="1"/>
    <col min="28" max="28" width="24.28515625" style="7" hidden="1" customWidth="1"/>
    <col min="29" max="29" width="44.42578125" style="7" customWidth="1"/>
    <col min="30" max="30" width="13.42578125" style="7" customWidth="1"/>
    <col min="31" max="31" width="14.140625" style="7" customWidth="1"/>
    <col min="32" max="16384" width="9" style="7"/>
  </cols>
  <sheetData>
    <row r="1" spans="1:31" ht="47.25" customHeight="1">
      <c r="A1" s="400" t="s">
        <v>888</v>
      </c>
      <c r="B1" s="400"/>
      <c r="C1" s="400"/>
      <c r="D1" s="400"/>
      <c r="E1" s="400"/>
      <c r="F1" s="400"/>
      <c r="G1" s="400"/>
      <c r="H1" s="400"/>
      <c r="I1" s="400"/>
      <c r="J1" s="400"/>
      <c r="K1" s="400"/>
      <c r="L1" s="400"/>
      <c r="M1" s="400"/>
      <c r="N1" s="400"/>
      <c r="O1" s="400"/>
      <c r="P1" s="338"/>
      <c r="Q1" s="401" t="s">
        <v>798</v>
      </c>
      <c r="R1" s="401"/>
      <c r="S1" s="401"/>
      <c r="T1" s="401" t="s">
        <v>800</v>
      </c>
      <c r="U1" s="401"/>
      <c r="V1" s="401"/>
      <c r="W1" s="401" t="s">
        <v>832</v>
      </c>
      <c r="X1" s="401"/>
      <c r="Y1" s="401"/>
      <c r="Z1" s="401" t="s">
        <v>842</v>
      </c>
      <c r="AA1" s="401"/>
      <c r="AB1" s="401"/>
      <c r="AC1" s="404" t="s">
        <v>871</v>
      </c>
      <c r="AD1" s="404"/>
      <c r="AE1" s="404"/>
    </row>
    <row r="2" spans="1:31" ht="78" customHeight="1">
      <c r="A2" s="339" t="s">
        <v>0</v>
      </c>
      <c r="B2" s="339" t="s">
        <v>159</v>
      </c>
      <c r="C2" s="339" t="s">
        <v>379</v>
      </c>
      <c r="D2" s="339" t="s">
        <v>160</v>
      </c>
      <c r="E2" s="339" t="s">
        <v>21</v>
      </c>
      <c r="F2" s="339" t="s">
        <v>161</v>
      </c>
      <c r="G2" s="339" t="s">
        <v>13</v>
      </c>
      <c r="H2" s="340" t="s">
        <v>162</v>
      </c>
      <c r="I2" s="340" t="s">
        <v>477</v>
      </c>
      <c r="J2" s="340" t="s">
        <v>478</v>
      </c>
      <c r="K2" s="339" t="s">
        <v>6</v>
      </c>
      <c r="L2" s="339" t="s">
        <v>7</v>
      </c>
      <c r="M2" s="339" t="s">
        <v>1</v>
      </c>
      <c r="N2" s="339" t="s">
        <v>120</v>
      </c>
      <c r="O2" s="339" t="s">
        <v>45</v>
      </c>
      <c r="P2" s="341" t="s">
        <v>782</v>
      </c>
      <c r="Q2" s="342" t="s">
        <v>2</v>
      </c>
      <c r="R2" s="342" t="s">
        <v>799</v>
      </c>
      <c r="S2" s="343" t="s">
        <v>5</v>
      </c>
      <c r="T2" s="344" t="s">
        <v>2</v>
      </c>
      <c r="U2" s="344" t="s">
        <v>799</v>
      </c>
      <c r="V2" s="345" t="s">
        <v>5</v>
      </c>
      <c r="W2" s="344" t="s">
        <v>2</v>
      </c>
      <c r="X2" s="344" t="s">
        <v>799</v>
      </c>
      <c r="Y2" s="345" t="s">
        <v>5</v>
      </c>
      <c r="Z2" s="344" t="s">
        <v>2</v>
      </c>
      <c r="AA2" s="344" t="s">
        <v>799</v>
      </c>
      <c r="AB2" s="345" t="s">
        <v>5</v>
      </c>
      <c r="AC2" s="344" t="s">
        <v>2</v>
      </c>
      <c r="AD2" s="344" t="s">
        <v>799</v>
      </c>
      <c r="AE2" s="345" t="s">
        <v>5</v>
      </c>
    </row>
    <row r="3" spans="1:31" s="15" customFormat="1" ht="52.15" customHeight="1">
      <c r="A3" s="346">
        <v>1</v>
      </c>
      <c r="B3" s="347" t="s">
        <v>163</v>
      </c>
      <c r="C3" s="347" t="s">
        <v>461</v>
      </c>
      <c r="D3" s="348" t="s">
        <v>100</v>
      </c>
      <c r="E3" s="349" t="s">
        <v>101</v>
      </c>
      <c r="F3" s="349">
        <v>0</v>
      </c>
      <c r="G3" s="349" t="s">
        <v>14</v>
      </c>
      <c r="H3" s="350">
        <v>0.15</v>
      </c>
      <c r="I3" s="350"/>
      <c r="J3" s="351"/>
      <c r="K3" s="352"/>
      <c r="L3" s="352"/>
      <c r="M3" s="346"/>
      <c r="N3" s="346"/>
      <c r="O3" s="346"/>
      <c r="P3" s="353"/>
      <c r="Q3" s="354"/>
      <c r="R3" s="354"/>
      <c r="S3" s="354"/>
      <c r="T3" s="355"/>
      <c r="U3" s="354"/>
      <c r="V3" s="354"/>
      <c r="W3" s="355"/>
      <c r="X3" s="354"/>
      <c r="Y3" s="354"/>
      <c r="Z3" s="355"/>
      <c r="AA3" s="354"/>
      <c r="AB3" s="354"/>
      <c r="AC3" s="355"/>
      <c r="AD3" s="355"/>
      <c r="AE3" s="354"/>
    </row>
    <row r="4" spans="1:31" ht="171" customHeight="1">
      <c r="A4" s="356">
        <v>2</v>
      </c>
      <c r="B4" s="357" t="s">
        <v>164</v>
      </c>
      <c r="C4" s="357" t="s">
        <v>459</v>
      </c>
      <c r="D4" s="358" t="s">
        <v>378</v>
      </c>
      <c r="E4" s="359" t="s">
        <v>116</v>
      </c>
      <c r="F4" s="360">
        <v>1</v>
      </c>
      <c r="G4" s="359" t="s">
        <v>23</v>
      </c>
      <c r="H4" s="360">
        <v>0.1</v>
      </c>
      <c r="I4" s="361" t="s">
        <v>890</v>
      </c>
      <c r="J4" s="361" t="s">
        <v>891</v>
      </c>
      <c r="K4" s="362">
        <v>46023</v>
      </c>
      <c r="L4" s="363" t="s">
        <v>446</v>
      </c>
      <c r="M4" s="364"/>
      <c r="N4" s="364" t="s">
        <v>124</v>
      </c>
      <c r="O4" s="364" t="s">
        <v>87</v>
      </c>
      <c r="P4" s="365" t="s">
        <v>776</v>
      </c>
      <c r="Q4" s="366" t="s">
        <v>801</v>
      </c>
      <c r="R4" s="227" t="s">
        <v>759</v>
      </c>
      <c r="S4" s="3"/>
      <c r="T4" s="366" t="s">
        <v>816</v>
      </c>
      <c r="U4" s="227" t="s">
        <v>759</v>
      </c>
      <c r="V4" s="3"/>
      <c r="W4" s="366" t="s">
        <v>833</v>
      </c>
      <c r="X4" s="227" t="s">
        <v>759</v>
      </c>
      <c r="Y4" s="3"/>
      <c r="Z4" s="366" t="s">
        <v>892</v>
      </c>
      <c r="AA4" s="280" t="s">
        <v>852</v>
      </c>
      <c r="AB4" s="3"/>
      <c r="AC4" s="366" t="s">
        <v>870</v>
      </c>
      <c r="AD4" s="281" t="s">
        <v>864</v>
      </c>
      <c r="AE4" s="3"/>
    </row>
    <row r="5" spans="1:31" ht="74.45" customHeight="1">
      <c r="A5" s="356">
        <v>3</v>
      </c>
      <c r="B5" s="357" t="s">
        <v>165</v>
      </c>
      <c r="C5" s="357" t="s">
        <v>460</v>
      </c>
      <c r="D5" s="358" t="s">
        <v>893</v>
      </c>
      <c r="E5" s="359" t="s">
        <v>117</v>
      </c>
      <c r="F5" s="360">
        <v>1</v>
      </c>
      <c r="G5" s="359" t="s">
        <v>23</v>
      </c>
      <c r="H5" s="360">
        <v>0.03</v>
      </c>
      <c r="I5" s="367" t="s">
        <v>451</v>
      </c>
      <c r="J5" s="361" t="s">
        <v>889</v>
      </c>
      <c r="K5" s="362">
        <v>46023</v>
      </c>
      <c r="L5" s="363" t="s">
        <v>446</v>
      </c>
      <c r="M5" s="364"/>
      <c r="N5" s="364" t="s">
        <v>124</v>
      </c>
      <c r="O5" s="364" t="s">
        <v>87</v>
      </c>
      <c r="P5" s="365" t="s">
        <v>776</v>
      </c>
      <c r="Q5" s="3" t="s">
        <v>802</v>
      </c>
      <c r="R5" s="227" t="s">
        <v>759</v>
      </c>
      <c r="S5" s="3"/>
      <c r="T5" s="3" t="s">
        <v>802</v>
      </c>
      <c r="U5" s="227" t="s">
        <v>759</v>
      </c>
      <c r="V5" s="3"/>
      <c r="W5" s="3" t="s">
        <v>802</v>
      </c>
      <c r="X5" s="227" t="s">
        <v>759</v>
      </c>
      <c r="Y5" s="3"/>
      <c r="Z5" s="3" t="s">
        <v>802</v>
      </c>
      <c r="AA5" s="227" t="s">
        <v>759</v>
      </c>
      <c r="AB5" s="3"/>
      <c r="AC5" s="3" t="s">
        <v>872</v>
      </c>
      <c r="AD5" s="227" t="s">
        <v>759</v>
      </c>
      <c r="AE5" s="3"/>
    </row>
    <row r="6" spans="1:31" ht="153.6" customHeight="1">
      <c r="A6" s="356">
        <v>4</v>
      </c>
      <c r="B6" s="357" t="s">
        <v>166</v>
      </c>
      <c r="C6" s="357" t="s">
        <v>691</v>
      </c>
      <c r="D6" s="358" t="s">
        <v>377</v>
      </c>
      <c r="E6" s="359" t="s">
        <v>117</v>
      </c>
      <c r="F6" s="360">
        <v>1</v>
      </c>
      <c r="G6" s="359" t="s">
        <v>23</v>
      </c>
      <c r="H6" s="360">
        <v>0.02</v>
      </c>
      <c r="I6" s="367" t="s">
        <v>452</v>
      </c>
      <c r="J6" s="361" t="s">
        <v>452</v>
      </c>
      <c r="K6" s="362">
        <v>46023</v>
      </c>
      <c r="L6" s="363" t="s">
        <v>446</v>
      </c>
      <c r="M6" s="364"/>
      <c r="N6" s="364" t="s">
        <v>124</v>
      </c>
      <c r="O6" s="364" t="s">
        <v>87</v>
      </c>
      <c r="P6" s="365" t="s">
        <v>776</v>
      </c>
      <c r="Q6" s="3" t="s">
        <v>802</v>
      </c>
      <c r="R6" s="227" t="s">
        <v>759</v>
      </c>
      <c r="S6" s="3"/>
      <c r="T6" s="3" t="s">
        <v>802</v>
      </c>
      <c r="U6" s="227" t="s">
        <v>759</v>
      </c>
      <c r="V6" s="3"/>
      <c r="W6" s="3" t="s">
        <v>802</v>
      </c>
      <c r="X6" s="227" t="s">
        <v>759</v>
      </c>
      <c r="Y6" s="3"/>
      <c r="Z6" s="3" t="s">
        <v>802</v>
      </c>
      <c r="AA6" s="227" t="s">
        <v>759</v>
      </c>
      <c r="AB6" s="3"/>
      <c r="AC6" s="3" t="s">
        <v>802</v>
      </c>
      <c r="AD6" s="227" t="s">
        <v>759</v>
      </c>
      <c r="AE6" s="3"/>
    </row>
    <row r="7" spans="1:31" s="15" customFormat="1" ht="70.900000000000006" customHeight="1">
      <c r="A7" s="346">
        <v>5</v>
      </c>
      <c r="B7" s="347" t="s">
        <v>167</v>
      </c>
      <c r="C7" s="347" t="s">
        <v>462</v>
      </c>
      <c r="D7" s="368" t="s">
        <v>36</v>
      </c>
      <c r="E7" s="349" t="s">
        <v>90</v>
      </c>
      <c r="F7" s="349" t="s">
        <v>89</v>
      </c>
      <c r="G7" s="349" t="s">
        <v>15</v>
      </c>
      <c r="H7" s="350">
        <v>0.2</v>
      </c>
      <c r="I7" s="350"/>
      <c r="J7" s="350"/>
      <c r="K7" s="352"/>
      <c r="L7" s="352"/>
      <c r="M7" s="346"/>
      <c r="N7" s="346"/>
      <c r="O7" s="346"/>
      <c r="P7" s="353"/>
      <c r="Q7" s="354"/>
      <c r="R7" s="369" t="s">
        <v>759</v>
      </c>
      <c r="S7" s="354"/>
      <c r="T7" s="355"/>
      <c r="U7" s="369"/>
      <c r="V7" s="354"/>
      <c r="W7" s="355"/>
      <c r="X7" s="369"/>
      <c r="Y7" s="354"/>
      <c r="Z7" s="355"/>
      <c r="AA7" s="369"/>
      <c r="AB7" s="354"/>
      <c r="AC7" s="355"/>
      <c r="AD7" s="369"/>
      <c r="AE7" s="354"/>
    </row>
    <row r="8" spans="1:31" s="15" customFormat="1" ht="87.6" customHeight="1">
      <c r="A8" s="356">
        <v>6</v>
      </c>
      <c r="B8" s="357" t="s">
        <v>168</v>
      </c>
      <c r="C8" s="370" t="s">
        <v>463</v>
      </c>
      <c r="D8" s="358" t="s">
        <v>93</v>
      </c>
      <c r="E8" s="359" t="s">
        <v>26</v>
      </c>
      <c r="F8" s="359">
        <v>1</v>
      </c>
      <c r="G8" s="359" t="s">
        <v>14</v>
      </c>
      <c r="H8" s="371">
        <v>0.03</v>
      </c>
      <c r="I8" s="361" t="s">
        <v>380</v>
      </c>
      <c r="J8" s="361" t="s">
        <v>468</v>
      </c>
      <c r="K8" s="362">
        <v>46023</v>
      </c>
      <c r="L8" s="363">
        <v>46387</v>
      </c>
      <c r="M8" s="227"/>
      <c r="N8" s="364" t="s">
        <v>97</v>
      </c>
      <c r="O8" s="364" t="s">
        <v>87</v>
      </c>
      <c r="P8" s="365" t="s">
        <v>783</v>
      </c>
      <c r="Q8" s="4" t="s">
        <v>803</v>
      </c>
      <c r="R8" s="227" t="s">
        <v>759</v>
      </c>
      <c r="S8" s="372"/>
      <c r="T8" s="4" t="s">
        <v>803</v>
      </c>
      <c r="U8" s="227" t="s">
        <v>759</v>
      </c>
      <c r="V8" s="372"/>
      <c r="W8" s="4" t="s">
        <v>803</v>
      </c>
      <c r="X8" s="227" t="s">
        <v>759</v>
      </c>
      <c r="Y8" s="372"/>
      <c r="Z8" s="4" t="s">
        <v>843</v>
      </c>
      <c r="AA8" s="227" t="s">
        <v>759</v>
      </c>
      <c r="AB8" s="372"/>
      <c r="AC8" s="4" t="s">
        <v>873</v>
      </c>
      <c r="AD8" s="227" t="s">
        <v>759</v>
      </c>
      <c r="AE8" s="372"/>
    </row>
    <row r="9" spans="1:31" s="37" customFormat="1" ht="248.45" customHeight="1">
      <c r="A9" s="356">
        <v>7</v>
      </c>
      <c r="B9" s="357" t="s">
        <v>169</v>
      </c>
      <c r="C9" s="370" t="s">
        <v>464</v>
      </c>
      <c r="D9" s="358" t="s">
        <v>894</v>
      </c>
      <c r="E9" s="359" t="s">
        <v>33</v>
      </c>
      <c r="F9" s="360" t="s">
        <v>38</v>
      </c>
      <c r="G9" s="359" t="s">
        <v>23</v>
      </c>
      <c r="H9" s="373">
        <v>0.1</v>
      </c>
      <c r="I9" s="374" t="s">
        <v>46</v>
      </c>
      <c r="J9" s="374" t="s">
        <v>469</v>
      </c>
      <c r="K9" s="375">
        <v>46023</v>
      </c>
      <c r="L9" s="363" t="s">
        <v>446</v>
      </c>
      <c r="M9" s="376"/>
      <c r="N9" s="376" t="s">
        <v>124</v>
      </c>
      <c r="O9" s="364" t="s">
        <v>87</v>
      </c>
      <c r="P9" s="365" t="s">
        <v>776</v>
      </c>
      <c r="Q9" s="4" t="s">
        <v>895</v>
      </c>
      <c r="R9" s="227" t="s">
        <v>759</v>
      </c>
      <c r="S9" s="4"/>
      <c r="T9" s="4" t="s">
        <v>896</v>
      </c>
      <c r="U9" s="227" t="s">
        <v>759</v>
      </c>
      <c r="V9" s="4"/>
      <c r="W9" s="4" t="s">
        <v>897</v>
      </c>
      <c r="X9" s="227" t="s">
        <v>759</v>
      </c>
      <c r="Y9" s="4"/>
      <c r="Z9" s="4" t="s">
        <v>898</v>
      </c>
      <c r="AA9" s="227" t="s">
        <v>759</v>
      </c>
      <c r="AB9" s="4"/>
      <c r="AC9" s="4" t="s">
        <v>899</v>
      </c>
      <c r="AD9" s="227" t="s">
        <v>759</v>
      </c>
      <c r="AE9" s="4"/>
    </row>
    <row r="10" spans="1:31" ht="226.9" customHeight="1">
      <c r="A10" s="356">
        <v>8</v>
      </c>
      <c r="B10" s="357" t="s">
        <v>171</v>
      </c>
      <c r="C10" s="370" t="s">
        <v>465</v>
      </c>
      <c r="D10" s="358" t="s">
        <v>900</v>
      </c>
      <c r="E10" s="359" t="s">
        <v>91</v>
      </c>
      <c r="F10" s="360" t="s">
        <v>92</v>
      </c>
      <c r="G10" s="359" t="s">
        <v>15</v>
      </c>
      <c r="H10" s="377">
        <v>0.05</v>
      </c>
      <c r="I10" s="374" t="s">
        <v>48</v>
      </c>
      <c r="J10" s="374" t="s">
        <v>470</v>
      </c>
      <c r="K10" s="375">
        <v>46023</v>
      </c>
      <c r="L10" s="363" t="s">
        <v>446</v>
      </c>
      <c r="M10" s="227"/>
      <c r="N10" s="227" t="s">
        <v>19</v>
      </c>
      <c r="O10" s="364" t="s">
        <v>87</v>
      </c>
      <c r="P10" s="365" t="s">
        <v>776</v>
      </c>
      <c r="Q10" s="3" t="s">
        <v>802</v>
      </c>
      <c r="R10" s="227" t="s">
        <v>759</v>
      </c>
      <c r="S10" s="3"/>
      <c r="T10" s="3" t="s">
        <v>802</v>
      </c>
      <c r="U10" s="227" t="s">
        <v>759</v>
      </c>
      <c r="V10" s="3"/>
      <c r="W10" s="3" t="s">
        <v>834</v>
      </c>
      <c r="X10" s="227" t="s">
        <v>759</v>
      </c>
      <c r="Y10" s="3"/>
      <c r="Z10" s="3" t="s">
        <v>844</v>
      </c>
      <c r="AA10" s="227" t="s">
        <v>759</v>
      </c>
      <c r="AB10" s="3"/>
      <c r="AC10" s="3" t="s">
        <v>874</v>
      </c>
      <c r="AD10" s="227" t="s">
        <v>759</v>
      </c>
      <c r="AE10" s="3"/>
    </row>
    <row r="11" spans="1:31" ht="138.6" customHeight="1">
      <c r="A11" s="356">
        <v>9</v>
      </c>
      <c r="B11" s="357" t="s">
        <v>172</v>
      </c>
      <c r="C11" s="370" t="s">
        <v>466</v>
      </c>
      <c r="D11" s="358" t="s">
        <v>104</v>
      </c>
      <c r="E11" s="359" t="s">
        <v>105</v>
      </c>
      <c r="F11" s="360">
        <v>1</v>
      </c>
      <c r="G11" s="359" t="s">
        <v>15</v>
      </c>
      <c r="H11" s="371">
        <v>0.01</v>
      </c>
      <c r="I11" s="361" t="s">
        <v>381</v>
      </c>
      <c r="J11" s="361" t="s">
        <v>875</v>
      </c>
      <c r="K11" s="362">
        <v>46023</v>
      </c>
      <c r="L11" s="363">
        <v>46387</v>
      </c>
      <c r="M11" s="227"/>
      <c r="N11" s="364" t="s">
        <v>475</v>
      </c>
      <c r="O11" s="364" t="s">
        <v>87</v>
      </c>
      <c r="P11" s="365" t="s">
        <v>784</v>
      </c>
      <c r="Q11" s="3" t="s">
        <v>802</v>
      </c>
      <c r="R11" s="227" t="s">
        <v>759</v>
      </c>
      <c r="S11" s="3"/>
      <c r="T11" s="3" t="s">
        <v>802</v>
      </c>
      <c r="U11" s="227" t="s">
        <v>759</v>
      </c>
      <c r="V11" s="3"/>
      <c r="W11" s="3" t="s">
        <v>802</v>
      </c>
      <c r="X11" s="227" t="s">
        <v>759</v>
      </c>
      <c r="Y11" s="3"/>
      <c r="Z11" s="3" t="s">
        <v>802</v>
      </c>
      <c r="AA11" s="227" t="s">
        <v>759</v>
      </c>
      <c r="AB11" s="3"/>
      <c r="AC11" s="3" t="s">
        <v>802</v>
      </c>
      <c r="AD11" s="227" t="s">
        <v>759</v>
      </c>
      <c r="AE11" s="3"/>
    </row>
    <row r="12" spans="1:31" s="37" customFormat="1" ht="62.45" customHeight="1">
      <c r="A12" s="356">
        <v>10</v>
      </c>
      <c r="B12" s="357" t="s">
        <v>454</v>
      </c>
      <c r="C12" s="370" t="s">
        <v>467</v>
      </c>
      <c r="D12" s="358" t="s">
        <v>31</v>
      </c>
      <c r="E12" s="359" t="s">
        <v>40</v>
      </c>
      <c r="F12" s="360" t="s">
        <v>37</v>
      </c>
      <c r="G12" s="359" t="s">
        <v>15</v>
      </c>
      <c r="H12" s="371">
        <v>0.01</v>
      </c>
      <c r="I12" s="361" t="s">
        <v>49</v>
      </c>
      <c r="J12" s="361" t="s">
        <v>438</v>
      </c>
      <c r="K12" s="362">
        <v>46023</v>
      </c>
      <c r="L12" s="363" t="s">
        <v>446</v>
      </c>
      <c r="M12" s="364"/>
      <c r="N12" s="376" t="s">
        <v>124</v>
      </c>
      <c r="O12" s="364" t="s">
        <v>87</v>
      </c>
      <c r="P12" s="365" t="s">
        <v>776</v>
      </c>
      <c r="Q12" s="3" t="s">
        <v>804</v>
      </c>
      <c r="R12" s="227" t="s">
        <v>759</v>
      </c>
      <c r="S12" s="4"/>
      <c r="T12" s="3" t="s">
        <v>802</v>
      </c>
      <c r="U12" s="227" t="s">
        <v>759</v>
      </c>
      <c r="V12" s="4"/>
      <c r="W12" s="3" t="s">
        <v>802</v>
      </c>
      <c r="X12" s="227" t="s">
        <v>759</v>
      </c>
      <c r="Y12" s="4"/>
      <c r="Z12" s="3" t="s">
        <v>802</v>
      </c>
      <c r="AA12" s="227" t="s">
        <v>759</v>
      </c>
      <c r="AB12" s="4"/>
      <c r="AC12" s="3" t="s">
        <v>876</v>
      </c>
      <c r="AD12" s="227" t="s">
        <v>759</v>
      </c>
      <c r="AE12" s="4"/>
    </row>
    <row r="13" spans="1:31" s="15" customFormat="1" ht="61.9" customHeight="1">
      <c r="A13" s="346">
        <v>11</v>
      </c>
      <c r="B13" s="347" t="s">
        <v>173</v>
      </c>
      <c r="C13" s="347" t="s">
        <v>471</v>
      </c>
      <c r="D13" s="378" t="s">
        <v>12</v>
      </c>
      <c r="E13" s="349" t="s">
        <v>16</v>
      </c>
      <c r="F13" s="349">
        <v>0</v>
      </c>
      <c r="G13" s="349"/>
      <c r="H13" s="350">
        <v>0.15</v>
      </c>
      <c r="I13" s="350"/>
      <c r="J13" s="350"/>
      <c r="K13" s="347"/>
      <c r="L13" s="347"/>
      <c r="M13" s="346"/>
      <c r="N13" s="346"/>
      <c r="O13" s="346"/>
      <c r="P13" s="353"/>
      <c r="Q13" s="354"/>
      <c r="R13" s="369" t="s">
        <v>759</v>
      </c>
      <c r="S13" s="354"/>
      <c r="T13" s="355"/>
      <c r="U13" s="369"/>
      <c r="V13" s="354"/>
      <c r="W13" s="355"/>
      <c r="X13" s="369"/>
      <c r="Y13" s="354"/>
      <c r="Z13" s="355"/>
      <c r="AA13" s="369"/>
      <c r="AB13" s="354"/>
      <c r="AC13" s="355"/>
      <c r="AD13" s="369"/>
      <c r="AE13" s="354"/>
    </row>
    <row r="14" spans="1:31" s="37" customFormat="1" ht="269.45" customHeight="1">
      <c r="A14" s="356">
        <v>12</v>
      </c>
      <c r="B14" s="357" t="s">
        <v>174</v>
      </c>
      <c r="C14" s="357" t="s">
        <v>472</v>
      </c>
      <c r="D14" s="358" t="s">
        <v>41</v>
      </c>
      <c r="E14" s="359" t="s">
        <v>26</v>
      </c>
      <c r="F14" s="359">
        <v>1</v>
      </c>
      <c r="G14" s="359" t="s">
        <v>23</v>
      </c>
      <c r="H14" s="373">
        <v>0.05</v>
      </c>
      <c r="I14" s="374" t="s">
        <v>50</v>
      </c>
      <c r="J14" s="374" t="s">
        <v>476</v>
      </c>
      <c r="K14" s="375">
        <v>46023</v>
      </c>
      <c r="L14" s="363" t="s">
        <v>446</v>
      </c>
      <c r="M14" s="376"/>
      <c r="N14" s="376" t="s">
        <v>124</v>
      </c>
      <c r="O14" s="364" t="s">
        <v>87</v>
      </c>
      <c r="P14" s="365" t="s">
        <v>785</v>
      </c>
      <c r="Q14" s="4" t="s">
        <v>805</v>
      </c>
      <c r="R14" s="227" t="s">
        <v>759</v>
      </c>
      <c r="S14" s="4"/>
      <c r="T14" s="4" t="s">
        <v>805</v>
      </c>
      <c r="U14" s="227" t="s">
        <v>759</v>
      </c>
      <c r="V14" s="4"/>
      <c r="W14" s="4" t="s">
        <v>805</v>
      </c>
      <c r="X14" s="281" t="s">
        <v>836</v>
      </c>
      <c r="Y14" s="288" t="s">
        <v>837</v>
      </c>
      <c r="Z14" s="4" t="s">
        <v>805</v>
      </c>
      <c r="AA14" s="227" t="s">
        <v>759</v>
      </c>
      <c r="AB14" s="288"/>
      <c r="AC14" s="4" t="s">
        <v>805</v>
      </c>
      <c r="AD14" s="227" t="s">
        <v>759</v>
      </c>
      <c r="AE14" s="288"/>
    </row>
    <row r="15" spans="1:31" s="37" customFormat="1" ht="70.900000000000006" customHeight="1">
      <c r="A15" s="291">
        <v>13</v>
      </c>
      <c r="B15" s="357" t="s">
        <v>175</v>
      </c>
      <c r="C15" s="357" t="s">
        <v>473</v>
      </c>
      <c r="D15" s="379" t="s">
        <v>29</v>
      </c>
      <c r="E15" s="380" t="s">
        <v>30</v>
      </c>
      <c r="F15" s="380">
        <v>7</v>
      </c>
      <c r="G15" s="380" t="s">
        <v>455</v>
      </c>
      <c r="H15" s="373">
        <v>0.08</v>
      </c>
      <c r="I15" s="374" t="s">
        <v>51</v>
      </c>
      <c r="J15" s="374" t="s">
        <v>439</v>
      </c>
      <c r="K15" s="375">
        <v>46023</v>
      </c>
      <c r="L15" s="381" t="s">
        <v>446</v>
      </c>
      <c r="M15" s="382"/>
      <c r="N15" s="376" t="s">
        <v>124</v>
      </c>
      <c r="O15" s="364" t="s">
        <v>87</v>
      </c>
      <c r="P15" s="365" t="s">
        <v>786</v>
      </c>
      <c r="Q15" s="4" t="s">
        <v>901</v>
      </c>
      <c r="R15" s="280" t="s">
        <v>806</v>
      </c>
      <c r="S15" s="4"/>
      <c r="T15" s="4" t="s">
        <v>821</v>
      </c>
      <c r="U15" s="280" t="s">
        <v>806</v>
      </c>
      <c r="V15" s="4"/>
      <c r="W15" s="4" t="s">
        <v>835</v>
      </c>
      <c r="X15" s="280" t="s">
        <v>806</v>
      </c>
      <c r="Y15" s="4"/>
      <c r="Z15" s="4" t="s">
        <v>845</v>
      </c>
      <c r="AA15" s="281" t="s">
        <v>806</v>
      </c>
      <c r="AB15" s="4"/>
      <c r="AC15" s="4" t="s">
        <v>877</v>
      </c>
      <c r="AD15" s="383" t="s">
        <v>806</v>
      </c>
      <c r="AE15" s="4"/>
    </row>
    <row r="16" spans="1:31" s="37" customFormat="1" ht="43.9" customHeight="1">
      <c r="A16" s="356">
        <v>14</v>
      </c>
      <c r="B16" s="357" t="s">
        <v>176</v>
      </c>
      <c r="C16" s="357" t="s">
        <v>474</v>
      </c>
      <c r="D16" s="358" t="s">
        <v>28</v>
      </c>
      <c r="E16" s="359" t="s">
        <v>34</v>
      </c>
      <c r="F16" s="360">
        <v>1</v>
      </c>
      <c r="G16" s="359" t="s">
        <v>15</v>
      </c>
      <c r="H16" s="373">
        <v>0.02</v>
      </c>
      <c r="I16" s="374" t="s">
        <v>52</v>
      </c>
      <c r="J16" s="374" t="s">
        <v>440</v>
      </c>
      <c r="K16" s="375">
        <v>46023</v>
      </c>
      <c r="L16" s="363" t="s">
        <v>446</v>
      </c>
      <c r="M16" s="376"/>
      <c r="N16" s="376" t="s">
        <v>124</v>
      </c>
      <c r="O16" s="364" t="s">
        <v>87</v>
      </c>
      <c r="P16" s="365" t="s">
        <v>776</v>
      </c>
      <c r="Q16" s="4" t="s">
        <v>807</v>
      </c>
      <c r="R16" s="226"/>
      <c r="S16" s="4"/>
      <c r="T16" s="4" t="s">
        <v>807</v>
      </c>
      <c r="U16" s="226"/>
      <c r="V16" s="4"/>
      <c r="W16" s="4" t="s">
        <v>807</v>
      </c>
      <c r="X16" s="226"/>
      <c r="Y16" s="4"/>
      <c r="Z16" s="4" t="s">
        <v>807</v>
      </c>
      <c r="AA16" s="226"/>
      <c r="AB16" s="4"/>
      <c r="AC16" s="4" t="s">
        <v>807</v>
      </c>
      <c r="AD16" s="226"/>
      <c r="AE16" s="4"/>
    </row>
    <row r="17" spans="1:31" s="15" customFormat="1" ht="40.15" customHeight="1">
      <c r="A17" s="346">
        <v>15</v>
      </c>
      <c r="B17" s="347" t="s">
        <v>179</v>
      </c>
      <c r="C17" s="347" t="s">
        <v>485</v>
      </c>
      <c r="D17" s="378" t="s">
        <v>20</v>
      </c>
      <c r="E17" s="349"/>
      <c r="F17" s="349"/>
      <c r="G17" s="349"/>
      <c r="H17" s="350">
        <v>0.2</v>
      </c>
      <c r="I17" s="350"/>
      <c r="J17" s="350"/>
      <c r="K17" s="352"/>
      <c r="L17" s="352"/>
      <c r="M17" s="346"/>
      <c r="N17" s="346"/>
      <c r="O17" s="346"/>
      <c r="P17" s="353"/>
      <c r="Q17" s="354"/>
      <c r="R17" s="369" t="s">
        <v>759</v>
      </c>
      <c r="S17" s="354"/>
      <c r="T17" s="355"/>
      <c r="U17" s="369" t="s">
        <v>759</v>
      </c>
      <c r="V17" s="354"/>
      <c r="W17" s="355"/>
      <c r="X17" s="369" t="s">
        <v>759</v>
      </c>
      <c r="Y17" s="354"/>
      <c r="Z17" s="355"/>
      <c r="AA17" s="369" t="s">
        <v>759</v>
      </c>
      <c r="AB17" s="354"/>
      <c r="AC17" s="355"/>
      <c r="AD17" s="369" t="s">
        <v>759</v>
      </c>
      <c r="AE17" s="354"/>
    </row>
    <row r="18" spans="1:31" s="15" customFormat="1" ht="120" customHeight="1">
      <c r="A18" s="291">
        <v>16</v>
      </c>
      <c r="B18" s="384" t="s">
        <v>180</v>
      </c>
      <c r="C18" s="357" t="s">
        <v>486</v>
      </c>
      <c r="D18" s="358" t="s">
        <v>94</v>
      </c>
      <c r="E18" s="359" t="s">
        <v>32</v>
      </c>
      <c r="F18" s="360">
        <v>1</v>
      </c>
      <c r="G18" s="359" t="s">
        <v>15</v>
      </c>
      <c r="H18" s="360">
        <v>0.02</v>
      </c>
      <c r="I18" s="361" t="s">
        <v>53</v>
      </c>
      <c r="J18" s="361" t="s">
        <v>53</v>
      </c>
      <c r="K18" s="362">
        <v>46023</v>
      </c>
      <c r="L18" s="363" t="s">
        <v>446</v>
      </c>
      <c r="M18" s="364"/>
      <c r="N18" s="376" t="s">
        <v>124</v>
      </c>
      <c r="O18" s="364" t="s">
        <v>87</v>
      </c>
      <c r="P18" s="365" t="s">
        <v>787</v>
      </c>
      <c r="Q18" s="4" t="s">
        <v>808</v>
      </c>
      <c r="R18" s="227" t="s">
        <v>759</v>
      </c>
      <c r="S18" s="372"/>
      <c r="T18" s="4" t="s">
        <v>808</v>
      </c>
      <c r="U18" s="227" t="s">
        <v>759</v>
      </c>
      <c r="V18" s="372"/>
      <c r="W18" s="4" t="s">
        <v>808</v>
      </c>
      <c r="X18" s="227" t="s">
        <v>759</v>
      </c>
      <c r="Y18" s="372"/>
      <c r="Z18" s="4" t="s">
        <v>808</v>
      </c>
      <c r="AA18" s="227" t="s">
        <v>759</v>
      </c>
      <c r="AB18" s="372"/>
      <c r="AC18" s="4" t="s">
        <v>808</v>
      </c>
      <c r="AD18" s="227" t="s">
        <v>759</v>
      </c>
      <c r="AE18" s="372"/>
    </row>
    <row r="19" spans="1:31" s="15" customFormat="1" ht="126" customHeight="1">
      <c r="A19" s="291">
        <v>17</v>
      </c>
      <c r="B19" s="384" t="s">
        <v>181</v>
      </c>
      <c r="C19" s="357" t="s">
        <v>487</v>
      </c>
      <c r="D19" s="358" t="s">
        <v>131</v>
      </c>
      <c r="E19" s="359" t="s">
        <v>44</v>
      </c>
      <c r="F19" s="360">
        <v>1</v>
      </c>
      <c r="G19" s="359" t="s">
        <v>15</v>
      </c>
      <c r="H19" s="360">
        <v>0.02</v>
      </c>
      <c r="I19" s="361" t="s">
        <v>56</v>
      </c>
      <c r="J19" s="361" t="s">
        <v>56</v>
      </c>
      <c r="K19" s="362">
        <v>46023</v>
      </c>
      <c r="L19" s="363">
        <v>46387</v>
      </c>
      <c r="M19" s="364"/>
      <c r="N19" s="364" t="s">
        <v>125</v>
      </c>
      <c r="O19" s="364" t="s">
        <v>87</v>
      </c>
      <c r="P19" s="365" t="s">
        <v>787</v>
      </c>
      <c r="Q19" s="4" t="s">
        <v>808</v>
      </c>
      <c r="R19" s="227" t="s">
        <v>759</v>
      </c>
      <c r="S19" s="372"/>
      <c r="T19" s="4" t="s">
        <v>817</v>
      </c>
      <c r="U19" s="227" t="s">
        <v>759</v>
      </c>
      <c r="V19" s="372"/>
      <c r="W19" s="4" t="s">
        <v>838</v>
      </c>
      <c r="X19" s="227" t="s">
        <v>759</v>
      </c>
      <c r="Y19" s="385" t="s">
        <v>839</v>
      </c>
      <c r="Z19" s="4" t="s">
        <v>846</v>
      </c>
      <c r="AA19" s="227" t="s">
        <v>759</v>
      </c>
      <c r="AB19" s="385"/>
      <c r="AC19" s="4" t="s">
        <v>908</v>
      </c>
      <c r="AD19" s="227" t="s">
        <v>759</v>
      </c>
      <c r="AE19" s="385"/>
    </row>
    <row r="20" spans="1:31" s="15" customFormat="1" ht="40.9" customHeight="1">
      <c r="A20" s="291">
        <v>18</v>
      </c>
      <c r="B20" s="384" t="s">
        <v>182</v>
      </c>
      <c r="C20" s="357" t="s">
        <v>488</v>
      </c>
      <c r="D20" s="358" t="s">
        <v>349</v>
      </c>
      <c r="E20" s="359" t="s">
        <v>44</v>
      </c>
      <c r="F20" s="360">
        <v>1</v>
      </c>
      <c r="G20" s="359" t="s">
        <v>15</v>
      </c>
      <c r="H20" s="360">
        <v>0.01</v>
      </c>
      <c r="I20" s="361" t="s">
        <v>384</v>
      </c>
      <c r="J20" s="374" t="s">
        <v>506</v>
      </c>
      <c r="K20" s="362">
        <v>46023</v>
      </c>
      <c r="L20" s="363">
        <v>46387</v>
      </c>
      <c r="M20" s="364"/>
      <c r="N20" s="382" t="s">
        <v>97</v>
      </c>
      <c r="O20" s="364" t="s">
        <v>87</v>
      </c>
      <c r="P20" s="365" t="s">
        <v>775</v>
      </c>
      <c r="Q20" s="4" t="s">
        <v>808</v>
      </c>
      <c r="R20" s="227" t="s">
        <v>759</v>
      </c>
      <c r="S20" s="372"/>
      <c r="T20" s="4" t="s">
        <v>808</v>
      </c>
      <c r="U20" s="227" t="s">
        <v>759</v>
      </c>
      <c r="V20" s="372"/>
      <c r="W20" s="4" t="s">
        <v>808</v>
      </c>
      <c r="X20" s="227" t="s">
        <v>759</v>
      </c>
      <c r="Y20" s="372"/>
      <c r="Z20" s="4" t="s">
        <v>808</v>
      </c>
      <c r="AA20" s="227" t="s">
        <v>759</v>
      </c>
      <c r="AB20" s="372"/>
      <c r="AC20" s="4" t="s">
        <v>808</v>
      </c>
      <c r="AD20" s="227" t="s">
        <v>759</v>
      </c>
      <c r="AE20" s="372"/>
    </row>
    <row r="21" spans="1:31" s="15" customFormat="1" ht="48.6" customHeight="1">
      <c r="A21" s="291">
        <v>19</v>
      </c>
      <c r="B21" s="384" t="s">
        <v>183</v>
      </c>
      <c r="C21" s="357" t="s">
        <v>489</v>
      </c>
      <c r="D21" s="358" t="s">
        <v>95</v>
      </c>
      <c r="E21" s="359" t="s">
        <v>44</v>
      </c>
      <c r="F21" s="360">
        <v>1</v>
      </c>
      <c r="G21" s="359" t="s">
        <v>15</v>
      </c>
      <c r="H21" s="360">
        <v>0.01</v>
      </c>
      <c r="I21" s="361" t="s">
        <v>382</v>
      </c>
      <c r="J21" s="374" t="s">
        <v>506</v>
      </c>
      <c r="K21" s="362">
        <v>46023</v>
      </c>
      <c r="L21" s="363">
        <v>46387</v>
      </c>
      <c r="M21" s="364"/>
      <c r="N21" s="364" t="s">
        <v>97</v>
      </c>
      <c r="O21" s="364" t="s">
        <v>87</v>
      </c>
      <c r="P21" s="365" t="s">
        <v>789</v>
      </c>
      <c r="Q21" s="4" t="s">
        <v>808</v>
      </c>
      <c r="R21" s="227" t="s">
        <v>759</v>
      </c>
      <c r="S21" s="372"/>
      <c r="T21" s="4" t="s">
        <v>808</v>
      </c>
      <c r="U21" s="227" t="s">
        <v>759</v>
      </c>
      <c r="V21" s="372"/>
      <c r="W21" s="4" t="s">
        <v>808</v>
      </c>
      <c r="X21" s="227" t="s">
        <v>759</v>
      </c>
      <c r="Y21" s="372"/>
      <c r="Z21" s="4" t="s">
        <v>808</v>
      </c>
      <c r="AA21" s="227" t="s">
        <v>759</v>
      </c>
      <c r="AB21" s="372"/>
      <c r="AC21" s="4" t="s">
        <v>808</v>
      </c>
      <c r="AD21" s="227" t="s">
        <v>759</v>
      </c>
      <c r="AE21" s="372"/>
    </row>
    <row r="22" spans="1:31" s="15" customFormat="1" ht="48.6" customHeight="1">
      <c r="A22" s="291">
        <v>20</v>
      </c>
      <c r="B22" s="384" t="s">
        <v>184</v>
      </c>
      <c r="C22" s="357" t="s">
        <v>490</v>
      </c>
      <c r="D22" s="358" t="s">
        <v>110</v>
      </c>
      <c r="E22" s="359" t="s">
        <v>44</v>
      </c>
      <c r="F22" s="360">
        <v>1</v>
      </c>
      <c r="G22" s="359" t="s">
        <v>15</v>
      </c>
      <c r="H22" s="360">
        <v>0.05</v>
      </c>
      <c r="I22" s="361" t="s">
        <v>383</v>
      </c>
      <c r="J22" s="374" t="s">
        <v>506</v>
      </c>
      <c r="K22" s="362">
        <v>46023</v>
      </c>
      <c r="L22" s="363" t="s">
        <v>446</v>
      </c>
      <c r="M22" s="364"/>
      <c r="N22" s="364" t="s">
        <v>84</v>
      </c>
      <c r="O22" s="364" t="s">
        <v>87</v>
      </c>
      <c r="P22" s="365" t="s">
        <v>776</v>
      </c>
      <c r="Q22" s="4" t="s">
        <v>809</v>
      </c>
      <c r="R22" s="227" t="s">
        <v>759</v>
      </c>
      <c r="S22" s="372"/>
      <c r="T22" s="4" t="s">
        <v>808</v>
      </c>
      <c r="U22" s="227" t="s">
        <v>759</v>
      </c>
      <c r="V22" s="372"/>
      <c r="W22" s="4" t="s">
        <v>808</v>
      </c>
      <c r="X22" s="227" t="s">
        <v>759</v>
      </c>
      <c r="Y22" s="372"/>
      <c r="Z22" s="4" t="s">
        <v>808</v>
      </c>
      <c r="AA22" s="227" t="s">
        <v>759</v>
      </c>
      <c r="AB22" s="372"/>
      <c r="AC22" s="4" t="s">
        <v>808</v>
      </c>
      <c r="AD22" s="227" t="s">
        <v>759</v>
      </c>
      <c r="AE22" s="372"/>
    </row>
    <row r="23" spans="1:31" s="15" customFormat="1" ht="144" customHeight="1">
      <c r="A23" s="291">
        <v>21</v>
      </c>
      <c r="B23" s="384" t="s">
        <v>185</v>
      </c>
      <c r="C23" s="357" t="s">
        <v>491</v>
      </c>
      <c r="D23" s="358" t="s">
        <v>111</v>
      </c>
      <c r="E23" s="359" t="s">
        <v>126</v>
      </c>
      <c r="F23" s="360">
        <v>1</v>
      </c>
      <c r="G23" s="359" t="s">
        <v>15</v>
      </c>
      <c r="H23" s="360">
        <v>0.09</v>
      </c>
      <c r="I23" s="361" t="s">
        <v>384</v>
      </c>
      <c r="J23" s="361" t="s">
        <v>384</v>
      </c>
      <c r="K23" s="362">
        <v>46023</v>
      </c>
      <c r="L23" s="363">
        <v>46387</v>
      </c>
      <c r="M23" s="364"/>
      <c r="N23" s="382" t="s">
        <v>526</v>
      </c>
      <c r="O23" s="364" t="s">
        <v>87</v>
      </c>
      <c r="P23" s="365" t="s">
        <v>783</v>
      </c>
      <c r="Q23" s="4" t="s">
        <v>902</v>
      </c>
      <c r="R23" s="227" t="s">
        <v>759</v>
      </c>
      <c r="S23" s="372"/>
      <c r="T23" s="4" t="s">
        <v>818</v>
      </c>
      <c r="U23" s="227" t="s">
        <v>759</v>
      </c>
      <c r="V23" s="372"/>
      <c r="W23" s="4" t="s">
        <v>818</v>
      </c>
      <c r="X23" s="227" t="s">
        <v>759</v>
      </c>
      <c r="Y23" s="372"/>
      <c r="Z23" s="4" t="s">
        <v>818</v>
      </c>
      <c r="AA23" s="227" t="s">
        <v>759</v>
      </c>
      <c r="AB23" s="372"/>
      <c r="AC23" s="4" t="s">
        <v>818</v>
      </c>
      <c r="AD23" s="227" t="s">
        <v>759</v>
      </c>
      <c r="AE23" s="372"/>
    </row>
    <row r="24" spans="1:31" s="216" customFormat="1" ht="43.15" customHeight="1">
      <c r="A24" s="386">
        <v>22</v>
      </c>
      <c r="B24" s="347" t="s">
        <v>361</v>
      </c>
      <c r="C24" s="347" t="s">
        <v>484</v>
      </c>
      <c r="D24" s="378" t="s">
        <v>190</v>
      </c>
      <c r="E24" s="349"/>
      <c r="F24" s="349"/>
      <c r="G24" s="349"/>
      <c r="H24" s="350">
        <v>0.25</v>
      </c>
      <c r="I24" s="350"/>
      <c r="J24" s="387"/>
      <c r="K24" s="387"/>
      <c r="L24" s="387"/>
      <c r="M24" s="387"/>
      <c r="N24" s="387"/>
      <c r="O24" s="387"/>
      <c r="P24" s="388"/>
      <c r="Q24" s="354"/>
      <c r="R24" s="369" t="s">
        <v>759</v>
      </c>
      <c r="S24" s="354"/>
      <c r="T24" s="355"/>
      <c r="U24" s="369"/>
      <c r="V24" s="354"/>
      <c r="W24" s="355"/>
      <c r="X24" s="369"/>
      <c r="Y24" s="354"/>
      <c r="Z24" s="355"/>
      <c r="AA24" s="369"/>
      <c r="AB24" s="354"/>
      <c r="AC24" s="355"/>
      <c r="AD24" s="369"/>
      <c r="AE24" s="354"/>
    </row>
    <row r="25" spans="1:31" s="15" customFormat="1" ht="43.9" customHeight="1">
      <c r="A25" s="291">
        <v>23</v>
      </c>
      <c r="B25" s="357" t="s">
        <v>359</v>
      </c>
      <c r="C25" s="357" t="s">
        <v>492</v>
      </c>
      <c r="D25" s="358" t="s">
        <v>42</v>
      </c>
      <c r="E25" s="359" t="s">
        <v>27</v>
      </c>
      <c r="F25" s="359">
        <v>8</v>
      </c>
      <c r="G25" s="359" t="s">
        <v>15</v>
      </c>
      <c r="H25" s="373">
        <v>0.04</v>
      </c>
      <c r="I25" s="374" t="s">
        <v>360</v>
      </c>
      <c r="J25" s="374" t="s">
        <v>441</v>
      </c>
      <c r="K25" s="375">
        <v>46023</v>
      </c>
      <c r="L25" s="363" t="s">
        <v>446</v>
      </c>
      <c r="M25" s="376"/>
      <c r="N25" s="364" t="s">
        <v>97</v>
      </c>
      <c r="O25" s="364" t="s">
        <v>87</v>
      </c>
      <c r="P25" s="365" t="s">
        <v>790</v>
      </c>
      <c r="Q25" s="4" t="s">
        <v>808</v>
      </c>
      <c r="R25" s="227" t="s">
        <v>759</v>
      </c>
      <c r="S25" s="372"/>
      <c r="T25" s="4" t="s">
        <v>808</v>
      </c>
      <c r="U25" s="227" t="s">
        <v>759</v>
      </c>
      <c r="V25" s="372"/>
      <c r="W25" s="4" t="s">
        <v>808</v>
      </c>
      <c r="X25" s="227" t="s">
        <v>759</v>
      </c>
      <c r="Y25" s="372"/>
      <c r="Z25" s="4" t="s">
        <v>808</v>
      </c>
      <c r="AA25" s="227" t="s">
        <v>759</v>
      </c>
      <c r="AB25" s="372"/>
      <c r="AC25" s="4" t="s">
        <v>878</v>
      </c>
      <c r="AD25" s="227" t="s">
        <v>759</v>
      </c>
      <c r="AE25" s="372"/>
    </row>
    <row r="26" spans="1:31" s="15" customFormat="1" ht="43.9" customHeight="1">
      <c r="A26" s="356">
        <v>24</v>
      </c>
      <c r="B26" s="357" t="s">
        <v>362</v>
      </c>
      <c r="C26" s="357" t="s">
        <v>493</v>
      </c>
      <c r="D26" s="358" t="s">
        <v>43</v>
      </c>
      <c r="E26" s="359" t="s">
        <v>112</v>
      </c>
      <c r="F26" s="359">
        <v>33</v>
      </c>
      <c r="G26" s="359" t="s">
        <v>15</v>
      </c>
      <c r="H26" s="373">
        <v>0.04</v>
      </c>
      <c r="I26" s="374" t="s">
        <v>54</v>
      </c>
      <c r="J26" s="374" t="s">
        <v>442</v>
      </c>
      <c r="K26" s="375">
        <v>46023</v>
      </c>
      <c r="L26" s="363" t="s">
        <v>446</v>
      </c>
      <c r="M26" s="376"/>
      <c r="N26" s="364" t="s">
        <v>97</v>
      </c>
      <c r="O26" s="364" t="s">
        <v>87</v>
      </c>
      <c r="P26" s="365" t="s">
        <v>790</v>
      </c>
      <c r="Q26" s="4" t="s">
        <v>808</v>
      </c>
      <c r="R26" s="227" t="s">
        <v>759</v>
      </c>
      <c r="S26" s="372"/>
      <c r="T26" s="4" t="s">
        <v>808</v>
      </c>
      <c r="U26" s="227" t="s">
        <v>759</v>
      </c>
      <c r="V26" s="372"/>
      <c r="W26" s="4" t="s">
        <v>808</v>
      </c>
      <c r="X26" s="227" t="s">
        <v>759</v>
      </c>
      <c r="Y26" s="372"/>
      <c r="Z26" s="4" t="s">
        <v>808</v>
      </c>
      <c r="AA26" s="227" t="s">
        <v>759</v>
      </c>
      <c r="AB26" s="372"/>
      <c r="AC26" s="4" t="s">
        <v>808</v>
      </c>
      <c r="AD26" s="227" t="s">
        <v>759</v>
      </c>
      <c r="AE26" s="372"/>
    </row>
    <row r="27" spans="1:31" s="15" customFormat="1" ht="88.9" customHeight="1">
      <c r="A27" s="291">
        <v>25</v>
      </c>
      <c r="B27" s="357" t="s">
        <v>363</v>
      </c>
      <c r="C27" s="357" t="s">
        <v>494</v>
      </c>
      <c r="D27" s="358" t="s">
        <v>188</v>
      </c>
      <c r="E27" s="359" t="s">
        <v>129</v>
      </c>
      <c r="F27" s="360">
        <v>1</v>
      </c>
      <c r="G27" s="359" t="s">
        <v>15</v>
      </c>
      <c r="H27" s="373">
        <v>0.01</v>
      </c>
      <c r="I27" s="374" t="s">
        <v>385</v>
      </c>
      <c r="J27" s="374" t="s">
        <v>903</v>
      </c>
      <c r="K27" s="375">
        <v>46023</v>
      </c>
      <c r="L27" s="363" t="s">
        <v>446</v>
      </c>
      <c r="M27" s="376"/>
      <c r="N27" s="364" t="s">
        <v>371</v>
      </c>
      <c r="O27" s="364" t="s">
        <v>87</v>
      </c>
      <c r="P27" s="365" t="s">
        <v>791</v>
      </c>
      <c r="Q27" s="4" t="s">
        <v>808</v>
      </c>
      <c r="R27" s="227" t="s">
        <v>759</v>
      </c>
      <c r="S27" s="372"/>
      <c r="T27" s="4" t="s">
        <v>820</v>
      </c>
      <c r="U27" s="227" t="s">
        <v>759</v>
      </c>
      <c r="V27" s="389"/>
      <c r="W27" s="4" t="s">
        <v>840</v>
      </c>
      <c r="X27" s="227" t="s">
        <v>759</v>
      </c>
      <c r="Y27" s="389"/>
      <c r="Z27" s="4" t="s">
        <v>847</v>
      </c>
      <c r="AA27" s="227" t="s">
        <v>759</v>
      </c>
      <c r="AB27" s="389"/>
      <c r="AC27" s="4" t="s">
        <v>879</v>
      </c>
      <c r="AD27" s="227" t="s">
        <v>759</v>
      </c>
      <c r="AE27" s="389"/>
    </row>
    <row r="28" spans="1:31" s="15" customFormat="1" ht="74.45" customHeight="1">
      <c r="A28" s="356">
        <v>26</v>
      </c>
      <c r="B28" s="357" t="s">
        <v>364</v>
      </c>
      <c r="C28" s="357" t="s">
        <v>495</v>
      </c>
      <c r="D28" s="358" t="s">
        <v>189</v>
      </c>
      <c r="E28" s="359" t="s">
        <v>26</v>
      </c>
      <c r="F28" s="359">
        <v>15</v>
      </c>
      <c r="G28" s="359" t="s">
        <v>15</v>
      </c>
      <c r="H28" s="373">
        <v>0.01</v>
      </c>
      <c r="I28" s="374" t="s">
        <v>389</v>
      </c>
      <c r="J28" s="374" t="s">
        <v>904</v>
      </c>
      <c r="K28" s="375">
        <v>46023</v>
      </c>
      <c r="L28" s="363" t="s">
        <v>446</v>
      </c>
      <c r="M28" s="376"/>
      <c r="N28" s="364" t="s">
        <v>124</v>
      </c>
      <c r="O28" s="364" t="s">
        <v>87</v>
      </c>
      <c r="P28" s="365" t="s">
        <v>791</v>
      </c>
      <c r="Q28" s="4" t="s">
        <v>808</v>
      </c>
      <c r="R28" s="227" t="s">
        <v>759</v>
      </c>
      <c r="S28" s="372"/>
      <c r="T28" s="4" t="s">
        <v>808</v>
      </c>
      <c r="U28" s="227" t="s">
        <v>759</v>
      </c>
      <c r="V28" s="372"/>
      <c r="W28" s="4" t="s">
        <v>808</v>
      </c>
      <c r="X28" s="227" t="s">
        <v>759</v>
      </c>
      <c r="Y28" s="372"/>
      <c r="Z28" s="4" t="s">
        <v>808</v>
      </c>
      <c r="AA28" s="227" t="s">
        <v>759</v>
      </c>
      <c r="AB28" s="372"/>
      <c r="AC28" s="4" t="s">
        <v>880</v>
      </c>
      <c r="AD28" s="227" t="s">
        <v>759</v>
      </c>
      <c r="AE28" s="372"/>
    </row>
    <row r="29" spans="1:31" s="15" customFormat="1" ht="58.15" customHeight="1">
      <c r="A29" s="291">
        <v>27</v>
      </c>
      <c r="B29" s="357" t="s">
        <v>366</v>
      </c>
      <c r="C29" s="357" t="s">
        <v>496</v>
      </c>
      <c r="D29" s="358" t="s">
        <v>357</v>
      </c>
      <c r="E29" s="359" t="s">
        <v>105</v>
      </c>
      <c r="F29" s="360">
        <v>1</v>
      </c>
      <c r="G29" s="359" t="s">
        <v>15</v>
      </c>
      <c r="H29" s="373">
        <v>0.01</v>
      </c>
      <c r="I29" s="374" t="s">
        <v>390</v>
      </c>
      <c r="J29" s="374" t="s">
        <v>905</v>
      </c>
      <c r="K29" s="375">
        <v>46023</v>
      </c>
      <c r="L29" s="363" t="s">
        <v>446</v>
      </c>
      <c r="M29" s="376"/>
      <c r="N29" s="364" t="s">
        <v>371</v>
      </c>
      <c r="O29" s="364" t="s">
        <v>87</v>
      </c>
      <c r="P29" s="365" t="s">
        <v>791</v>
      </c>
      <c r="Q29" s="4" t="s">
        <v>810</v>
      </c>
      <c r="R29" s="227" t="s">
        <v>759</v>
      </c>
      <c r="S29" s="372"/>
      <c r="T29" s="4" t="s">
        <v>808</v>
      </c>
      <c r="U29" s="227" t="s">
        <v>759</v>
      </c>
      <c r="V29" s="372"/>
      <c r="W29" s="4" t="s">
        <v>841</v>
      </c>
      <c r="X29" s="227" t="s">
        <v>759</v>
      </c>
      <c r="Y29" s="372"/>
      <c r="Z29" s="4" t="s">
        <v>848</v>
      </c>
      <c r="AA29" s="227" t="s">
        <v>759</v>
      </c>
      <c r="AB29" s="4" t="s">
        <v>849</v>
      </c>
      <c r="AC29" s="4" t="s">
        <v>881</v>
      </c>
      <c r="AD29" s="227" t="s">
        <v>759</v>
      </c>
      <c r="AE29" s="4"/>
    </row>
    <row r="30" spans="1:31" s="15" customFormat="1" ht="117.6" customHeight="1">
      <c r="A30" s="356">
        <v>28</v>
      </c>
      <c r="B30" s="357" t="s">
        <v>367</v>
      </c>
      <c r="C30" s="357" t="s">
        <v>497</v>
      </c>
      <c r="D30" s="358" t="s">
        <v>350</v>
      </c>
      <c r="E30" s="359" t="s">
        <v>105</v>
      </c>
      <c r="F30" s="360">
        <v>1</v>
      </c>
      <c r="G30" s="359" t="s">
        <v>15</v>
      </c>
      <c r="H30" s="360">
        <v>0.03</v>
      </c>
      <c r="I30" s="361" t="s">
        <v>396</v>
      </c>
      <c r="J30" s="361" t="s">
        <v>396</v>
      </c>
      <c r="K30" s="362">
        <v>46023</v>
      </c>
      <c r="L30" s="363" t="s">
        <v>446</v>
      </c>
      <c r="M30" s="364"/>
      <c r="N30" s="364" t="s">
        <v>130</v>
      </c>
      <c r="O30" s="364" t="s">
        <v>87</v>
      </c>
      <c r="P30" s="365" t="s">
        <v>792</v>
      </c>
      <c r="Q30" s="4" t="s">
        <v>808</v>
      </c>
      <c r="R30" s="227" t="s">
        <v>759</v>
      </c>
      <c r="S30" s="372"/>
      <c r="T30" s="4" t="s">
        <v>808</v>
      </c>
      <c r="U30" s="227" t="s">
        <v>759</v>
      </c>
      <c r="V30" s="372"/>
      <c r="W30" s="4" t="s">
        <v>808</v>
      </c>
      <c r="X30" s="227" t="s">
        <v>759</v>
      </c>
      <c r="Y30" s="372"/>
      <c r="Z30" s="4" t="s">
        <v>808</v>
      </c>
      <c r="AA30" s="227" t="s">
        <v>759</v>
      </c>
      <c r="AB30" s="372"/>
      <c r="AC30" s="4" t="s">
        <v>808</v>
      </c>
      <c r="AD30" s="227" t="s">
        <v>759</v>
      </c>
      <c r="AE30" s="372"/>
    </row>
    <row r="31" spans="1:31" s="15" customFormat="1" ht="82.5">
      <c r="A31" s="291">
        <v>29</v>
      </c>
      <c r="B31" s="357" t="s">
        <v>368</v>
      </c>
      <c r="C31" s="357" t="s">
        <v>498</v>
      </c>
      <c r="D31" s="358" t="s">
        <v>128</v>
      </c>
      <c r="E31" s="359" t="s">
        <v>105</v>
      </c>
      <c r="F31" s="360">
        <v>1</v>
      </c>
      <c r="G31" s="359" t="s">
        <v>15</v>
      </c>
      <c r="H31" s="360">
        <v>0.03</v>
      </c>
      <c r="I31" s="361" t="s">
        <v>395</v>
      </c>
      <c r="J31" s="361" t="s">
        <v>395</v>
      </c>
      <c r="K31" s="362">
        <v>46023</v>
      </c>
      <c r="L31" s="363" t="s">
        <v>446</v>
      </c>
      <c r="M31" s="364"/>
      <c r="N31" s="364" t="s">
        <v>882</v>
      </c>
      <c r="O31" s="364" t="s">
        <v>87</v>
      </c>
      <c r="P31" s="365" t="s">
        <v>792</v>
      </c>
      <c r="Q31" s="4" t="s">
        <v>808</v>
      </c>
      <c r="R31" s="227" t="s">
        <v>759</v>
      </c>
      <c r="S31" s="372"/>
      <c r="T31" s="4" t="s">
        <v>808</v>
      </c>
      <c r="U31" s="227" t="s">
        <v>759</v>
      </c>
      <c r="V31" s="372"/>
      <c r="W31" s="4" t="s">
        <v>808</v>
      </c>
      <c r="X31" s="227" t="s">
        <v>759</v>
      </c>
      <c r="Y31" s="372"/>
      <c r="Z31" s="4" t="s">
        <v>808</v>
      </c>
      <c r="AA31" s="227" t="s">
        <v>759</v>
      </c>
      <c r="AB31" s="372"/>
      <c r="AC31" s="4" t="s">
        <v>883</v>
      </c>
      <c r="AD31" s="227" t="s">
        <v>759</v>
      </c>
      <c r="AE31" s="372"/>
    </row>
    <row r="32" spans="1:31" s="15" customFormat="1" ht="93" customHeight="1">
      <c r="A32" s="356">
        <v>30</v>
      </c>
      <c r="B32" s="357" t="s">
        <v>369</v>
      </c>
      <c r="C32" s="357" t="s">
        <v>499</v>
      </c>
      <c r="D32" s="358" t="s">
        <v>133</v>
      </c>
      <c r="E32" s="359" t="s">
        <v>105</v>
      </c>
      <c r="F32" s="360">
        <v>1</v>
      </c>
      <c r="G32" s="359" t="s">
        <v>15</v>
      </c>
      <c r="H32" s="360">
        <v>0.01</v>
      </c>
      <c r="I32" s="361" t="s">
        <v>397</v>
      </c>
      <c r="J32" s="361" t="s">
        <v>397</v>
      </c>
      <c r="K32" s="362">
        <v>46023</v>
      </c>
      <c r="L32" s="363" t="s">
        <v>446</v>
      </c>
      <c r="M32" s="364"/>
      <c r="N32" s="364" t="s">
        <v>882</v>
      </c>
      <c r="O32" s="364" t="s">
        <v>87</v>
      </c>
      <c r="P32" s="365" t="s">
        <v>792</v>
      </c>
      <c r="Q32" s="4" t="s">
        <v>808</v>
      </c>
      <c r="R32" s="227" t="s">
        <v>759</v>
      </c>
      <c r="S32" s="372"/>
      <c r="T32" s="4" t="s">
        <v>808</v>
      </c>
      <c r="U32" s="227" t="s">
        <v>759</v>
      </c>
      <c r="V32" s="372"/>
      <c r="W32" s="4" t="s">
        <v>808</v>
      </c>
      <c r="X32" s="227" t="s">
        <v>759</v>
      </c>
      <c r="Y32" s="372"/>
      <c r="Z32" s="4" t="s">
        <v>808</v>
      </c>
      <c r="AA32" s="227" t="s">
        <v>759</v>
      </c>
      <c r="AB32" s="372"/>
      <c r="AC32" s="4" t="s">
        <v>883</v>
      </c>
      <c r="AD32" s="227" t="s">
        <v>759</v>
      </c>
      <c r="AE32" s="372"/>
    </row>
    <row r="33" spans="1:31" s="15" customFormat="1" ht="95.45" customHeight="1">
      <c r="A33" s="291">
        <v>31</v>
      </c>
      <c r="B33" s="357" t="s">
        <v>370</v>
      </c>
      <c r="C33" s="357" t="s">
        <v>500</v>
      </c>
      <c r="D33" s="358" t="s">
        <v>136</v>
      </c>
      <c r="E33" s="359" t="s">
        <v>105</v>
      </c>
      <c r="F33" s="360">
        <v>1</v>
      </c>
      <c r="G33" s="359" t="s">
        <v>15</v>
      </c>
      <c r="H33" s="360">
        <v>0.02</v>
      </c>
      <c r="I33" s="361" t="s">
        <v>398</v>
      </c>
      <c r="J33" s="361" t="s">
        <v>443</v>
      </c>
      <c r="K33" s="362">
        <v>46023</v>
      </c>
      <c r="L33" s="363" t="s">
        <v>446</v>
      </c>
      <c r="M33" s="364"/>
      <c r="N33" s="364" t="s">
        <v>137</v>
      </c>
      <c r="O33" s="364" t="s">
        <v>87</v>
      </c>
      <c r="P33" s="365" t="s">
        <v>788</v>
      </c>
      <c r="Q33" s="4" t="s">
        <v>808</v>
      </c>
      <c r="R33" s="227" t="s">
        <v>759</v>
      </c>
      <c r="S33" s="372"/>
      <c r="T33" s="4" t="s">
        <v>819</v>
      </c>
      <c r="U33" s="227" t="s">
        <v>759</v>
      </c>
      <c r="V33" s="372"/>
      <c r="W33" s="4" t="s">
        <v>819</v>
      </c>
      <c r="X33" s="227" t="s">
        <v>759</v>
      </c>
      <c r="Y33" s="372"/>
      <c r="Z33" s="4" t="s">
        <v>819</v>
      </c>
      <c r="AA33" s="227" t="s">
        <v>759</v>
      </c>
      <c r="AB33" s="372"/>
      <c r="AC33" s="4" t="s">
        <v>819</v>
      </c>
      <c r="AD33" s="227" t="s">
        <v>759</v>
      </c>
      <c r="AE33" s="372"/>
    </row>
    <row r="34" spans="1:31" s="15" customFormat="1" ht="151.15" customHeight="1">
      <c r="A34" s="356">
        <v>32</v>
      </c>
      <c r="B34" s="357" t="s">
        <v>372</v>
      </c>
      <c r="C34" s="357" t="s">
        <v>501</v>
      </c>
      <c r="D34" s="358" t="s">
        <v>906</v>
      </c>
      <c r="E34" s="359" t="s">
        <v>105</v>
      </c>
      <c r="F34" s="360">
        <v>1</v>
      </c>
      <c r="G34" s="359" t="s">
        <v>15</v>
      </c>
      <c r="H34" s="360">
        <v>0.01</v>
      </c>
      <c r="I34" s="361" t="s">
        <v>387</v>
      </c>
      <c r="J34" s="361" t="s">
        <v>907</v>
      </c>
      <c r="K34" s="362">
        <v>46023</v>
      </c>
      <c r="L34" s="363" t="s">
        <v>446</v>
      </c>
      <c r="M34" s="364"/>
      <c r="N34" s="382" t="s">
        <v>690</v>
      </c>
      <c r="O34" s="364" t="s">
        <v>87</v>
      </c>
      <c r="P34" s="365" t="s">
        <v>791</v>
      </c>
      <c r="Q34" s="4" t="s">
        <v>808</v>
      </c>
      <c r="R34" s="227" t="s">
        <v>759</v>
      </c>
      <c r="S34" s="372"/>
      <c r="T34" s="4" t="s">
        <v>808</v>
      </c>
      <c r="U34" s="227" t="s">
        <v>759</v>
      </c>
      <c r="V34" s="372"/>
      <c r="W34" s="4" t="s">
        <v>808</v>
      </c>
      <c r="X34" s="227" t="s">
        <v>759</v>
      </c>
      <c r="Y34" s="372"/>
      <c r="Z34" s="4" t="s">
        <v>808</v>
      </c>
      <c r="AA34" s="227" t="s">
        <v>759</v>
      </c>
      <c r="AB34" s="372"/>
      <c r="AC34" s="4" t="s">
        <v>808</v>
      </c>
      <c r="AD34" s="227" t="s">
        <v>759</v>
      </c>
      <c r="AE34" s="372"/>
    </row>
    <row r="35" spans="1:31" s="15" customFormat="1" ht="99.6" customHeight="1">
      <c r="A35" s="291">
        <v>33</v>
      </c>
      <c r="B35" s="357" t="s">
        <v>373</v>
      </c>
      <c r="C35" s="357" t="s">
        <v>502</v>
      </c>
      <c r="D35" s="358" t="s">
        <v>139</v>
      </c>
      <c r="E35" s="359" t="s">
        <v>115</v>
      </c>
      <c r="F35" s="359">
        <v>2</v>
      </c>
      <c r="G35" s="359" t="s">
        <v>15</v>
      </c>
      <c r="H35" s="360">
        <v>0.01</v>
      </c>
      <c r="I35" s="361" t="s">
        <v>386</v>
      </c>
      <c r="J35" s="361" t="s">
        <v>386</v>
      </c>
      <c r="K35" s="362">
        <v>46023</v>
      </c>
      <c r="L35" s="363" t="s">
        <v>446</v>
      </c>
      <c r="M35" s="364"/>
      <c r="N35" s="364" t="s">
        <v>97</v>
      </c>
      <c r="O35" s="364" t="s">
        <v>87</v>
      </c>
      <c r="P35" s="390" t="s">
        <v>787</v>
      </c>
      <c r="Q35" s="4" t="s">
        <v>811</v>
      </c>
      <c r="R35" s="227" t="s">
        <v>759</v>
      </c>
      <c r="S35" s="372"/>
      <c r="T35" s="4" t="s">
        <v>811</v>
      </c>
      <c r="U35" s="227" t="s">
        <v>759</v>
      </c>
      <c r="V35" s="372"/>
      <c r="W35" s="4" t="s">
        <v>811</v>
      </c>
      <c r="X35" s="227" t="s">
        <v>759</v>
      </c>
      <c r="Y35" s="372"/>
      <c r="Z35" s="4" t="s">
        <v>811</v>
      </c>
      <c r="AA35" s="227" t="s">
        <v>759</v>
      </c>
      <c r="AB35" s="372"/>
      <c r="AC35" s="4" t="s">
        <v>811</v>
      </c>
      <c r="AD35" s="227" t="s">
        <v>759</v>
      </c>
      <c r="AE35" s="372"/>
    </row>
    <row r="36" spans="1:31" s="15" customFormat="1" ht="82.5">
      <c r="A36" s="356">
        <v>34</v>
      </c>
      <c r="B36" s="357" t="s">
        <v>374</v>
      </c>
      <c r="C36" s="357" t="s">
        <v>503</v>
      </c>
      <c r="D36" s="358" t="s">
        <v>140</v>
      </c>
      <c r="E36" s="359" t="s">
        <v>138</v>
      </c>
      <c r="F36" s="359">
        <v>1</v>
      </c>
      <c r="G36" s="359" t="s">
        <v>23</v>
      </c>
      <c r="H36" s="360">
        <v>0.01</v>
      </c>
      <c r="I36" s="361" t="s">
        <v>393</v>
      </c>
      <c r="J36" s="361" t="s">
        <v>456</v>
      </c>
      <c r="K36" s="362">
        <v>46023</v>
      </c>
      <c r="L36" s="363" t="s">
        <v>446</v>
      </c>
      <c r="M36" s="364"/>
      <c r="N36" s="364" t="s">
        <v>97</v>
      </c>
      <c r="O36" s="364" t="s">
        <v>87</v>
      </c>
      <c r="P36" s="390" t="s">
        <v>787</v>
      </c>
      <c r="Q36" s="385" t="s">
        <v>812</v>
      </c>
      <c r="R36" s="227" t="s">
        <v>759</v>
      </c>
      <c r="S36" s="372"/>
      <c r="T36" s="385" t="s">
        <v>822</v>
      </c>
      <c r="U36" s="280" t="s">
        <v>806</v>
      </c>
      <c r="V36" s="372"/>
      <c r="W36" s="385" t="s">
        <v>822</v>
      </c>
      <c r="X36" s="280" t="s">
        <v>806</v>
      </c>
      <c r="Y36" s="372"/>
      <c r="Z36" s="385" t="s">
        <v>812</v>
      </c>
      <c r="AA36" s="227" t="s">
        <v>759</v>
      </c>
      <c r="AB36" s="372"/>
      <c r="AC36" s="385" t="s">
        <v>822</v>
      </c>
      <c r="AD36" s="383" t="s">
        <v>806</v>
      </c>
      <c r="AE36" s="372"/>
    </row>
    <row r="37" spans="1:31" s="15" customFormat="1" ht="69" customHeight="1">
      <c r="A37" s="291">
        <v>35</v>
      </c>
      <c r="B37" s="357" t="s">
        <v>375</v>
      </c>
      <c r="C37" s="357" t="s">
        <v>504</v>
      </c>
      <c r="D37" s="358" t="s">
        <v>141</v>
      </c>
      <c r="E37" s="359" t="s">
        <v>134</v>
      </c>
      <c r="F37" s="360">
        <v>1</v>
      </c>
      <c r="G37" s="359" t="s">
        <v>15</v>
      </c>
      <c r="H37" s="360">
        <v>0.01</v>
      </c>
      <c r="I37" s="361" t="s">
        <v>399</v>
      </c>
      <c r="J37" s="361" t="s">
        <v>444</v>
      </c>
      <c r="K37" s="362">
        <v>46023</v>
      </c>
      <c r="L37" s="363" t="s">
        <v>446</v>
      </c>
      <c r="M37" s="364"/>
      <c r="N37" s="364" t="s">
        <v>400</v>
      </c>
      <c r="O37" s="364" t="s">
        <v>87</v>
      </c>
      <c r="P37" s="365" t="s">
        <v>788</v>
      </c>
      <c r="Q37" s="4" t="s">
        <v>808</v>
      </c>
      <c r="R37" s="227" t="s">
        <v>759</v>
      </c>
      <c r="S37" s="372"/>
      <c r="T37" s="4" t="s">
        <v>808</v>
      </c>
      <c r="U37" s="227" t="s">
        <v>759</v>
      </c>
      <c r="V37" s="372"/>
      <c r="W37" s="4" t="s">
        <v>808</v>
      </c>
      <c r="X37" s="227" t="s">
        <v>759</v>
      </c>
      <c r="Y37" s="372"/>
      <c r="Z37" s="4" t="s">
        <v>808</v>
      </c>
      <c r="AA37" s="227" t="s">
        <v>759</v>
      </c>
      <c r="AB37" s="372"/>
      <c r="AC37" s="4" t="s">
        <v>808</v>
      </c>
      <c r="AD37" s="227" t="s">
        <v>759</v>
      </c>
      <c r="AE37" s="372"/>
    </row>
    <row r="38" spans="1:31" s="15" customFormat="1" ht="52.9" customHeight="1">
      <c r="A38" s="356">
        <v>36</v>
      </c>
      <c r="B38" s="357" t="s">
        <v>376</v>
      </c>
      <c r="C38" s="357" t="s">
        <v>505</v>
      </c>
      <c r="D38" s="358" t="s">
        <v>142</v>
      </c>
      <c r="E38" s="359" t="s">
        <v>134</v>
      </c>
      <c r="F38" s="360">
        <v>1</v>
      </c>
      <c r="G38" s="359" t="s">
        <v>15</v>
      </c>
      <c r="H38" s="360">
        <v>0.01</v>
      </c>
      <c r="I38" s="361" t="s">
        <v>394</v>
      </c>
      <c r="J38" s="361" t="s">
        <v>445</v>
      </c>
      <c r="K38" s="362">
        <v>46023</v>
      </c>
      <c r="L38" s="363" t="s">
        <v>446</v>
      </c>
      <c r="M38" s="364"/>
      <c r="N38" s="364" t="s">
        <v>124</v>
      </c>
      <c r="O38" s="364" t="s">
        <v>87</v>
      </c>
      <c r="P38" s="365" t="s">
        <v>776</v>
      </c>
      <c r="Q38" s="4" t="s">
        <v>808</v>
      </c>
      <c r="R38" s="227" t="s">
        <v>759</v>
      </c>
      <c r="S38" s="372"/>
      <c r="T38" s="4" t="s">
        <v>808</v>
      </c>
      <c r="U38" s="227" t="s">
        <v>759</v>
      </c>
      <c r="V38" s="372"/>
      <c r="W38" s="4" t="s">
        <v>808</v>
      </c>
      <c r="X38" s="227" t="s">
        <v>759</v>
      </c>
      <c r="Y38" s="372"/>
      <c r="Z38" s="4" t="s">
        <v>808</v>
      </c>
      <c r="AA38" s="227" t="s">
        <v>759</v>
      </c>
      <c r="AB38" s="391"/>
      <c r="AC38" s="4" t="s">
        <v>808</v>
      </c>
      <c r="AD38" s="227" t="s">
        <v>759</v>
      </c>
      <c r="AE38" s="391"/>
    </row>
    <row r="39" spans="1:31" s="15" customFormat="1" ht="48" customHeight="1">
      <c r="A39" s="346">
        <v>37</v>
      </c>
      <c r="B39" s="347" t="s">
        <v>351</v>
      </c>
      <c r="C39" s="347" t="s">
        <v>479</v>
      </c>
      <c r="D39" s="348" t="s">
        <v>17</v>
      </c>
      <c r="E39" s="392"/>
      <c r="F39" s="392"/>
      <c r="G39" s="392"/>
      <c r="H39" s="393">
        <v>0.05</v>
      </c>
      <c r="I39" s="394"/>
      <c r="J39" s="394"/>
      <c r="K39" s="347"/>
      <c r="L39" s="347"/>
      <c r="M39" s="346"/>
      <c r="N39" s="346"/>
      <c r="O39" s="346"/>
      <c r="P39" s="353"/>
      <c r="Q39" s="354"/>
      <c r="R39" s="369" t="s">
        <v>759</v>
      </c>
      <c r="S39" s="354"/>
      <c r="T39" s="355"/>
      <c r="U39" s="369"/>
      <c r="V39" s="354"/>
      <c r="W39" s="355"/>
      <c r="X39" s="369"/>
      <c r="Y39" s="354"/>
      <c r="Z39" s="355"/>
      <c r="AA39" s="369"/>
      <c r="AB39" s="354"/>
      <c r="AC39" s="355"/>
      <c r="AD39" s="369"/>
      <c r="AE39" s="354"/>
    </row>
    <row r="40" spans="1:31" s="15" customFormat="1" ht="157.15" customHeight="1">
      <c r="A40" s="291">
        <v>38</v>
      </c>
      <c r="B40" s="357" t="s">
        <v>352</v>
      </c>
      <c r="C40" s="357" t="s">
        <v>480</v>
      </c>
      <c r="D40" s="358" t="s">
        <v>24</v>
      </c>
      <c r="E40" s="359" t="s">
        <v>694</v>
      </c>
      <c r="F40" s="359" t="s">
        <v>693</v>
      </c>
      <c r="G40" s="359" t="s">
        <v>146</v>
      </c>
      <c r="H40" s="360">
        <v>0.01</v>
      </c>
      <c r="I40" s="361" t="s">
        <v>55</v>
      </c>
      <c r="J40" s="361" t="s">
        <v>448</v>
      </c>
      <c r="K40" s="362">
        <v>46023</v>
      </c>
      <c r="L40" s="363" t="s">
        <v>446</v>
      </c>
      <c r="M40" s="364"/>
      <c r="N40" s="364" t="s">
        <v>147</v>
      </c>
      <c r="O40" s="364" t="s">
        <v>87</v>
      </c>
      <c r="P40" s="365" t="s">
        <v>777</v>
      </c>
      <c r="Q40" s="385" t="s">
        <v>813</v>
      </c>
      <c r="R40" s="280" t="s">
        <v>806</v>
      </c>
      <c r="S40" s="372"/>
      <c r="T40" s="385" t="s">
        <v>825</v>
      </c>
      <c r="U40" s="280" t="s">
        <v>824</v>
      </c>
      <c r="V40" s="395" t="s">
        <v>823</v>
      </c>
      <c r="W40" s="385" t="s">
        <v>825</v>
      </c>
      <c r="X40" s="280" t="s">
        <v>824</v>
      </c>
      <c r="Y40" s="395" t="s">
        <v>823</v>
      </c>
      <c r="Z40" s="385" t="s">
        <v>857</v>
      </c>
      <c r="AA40" s="227" t="s">
        <v>806</v>
      </c>
      <c r="AB40" s="395" t="s">
        <v>823</v>
      </c>
      <c r="AC40" s="385" t="s">
        <v>884</v>
      </c>
      <c r="AD40" s="383" t="s">
        <v>806</v>
      </c>
      <c r="AE40" s="395" t="s">
        <v>823</v>
      </c>
    </row>
    <row r="41" spans="1:31" s="37" customFormat="1" ht="67.150000000000006" customHeight="1">
      <c r="A41" s="291">
        <v>39</v>
      </c>
      <c r="B41" s="357" t="s">
        <v>353</v>
      </c>
      <c r="C41" s="357" t="s">
        <v>481</v>
      </c>
      <c r="D41" s="358" t="s">
        <v>25</v>
      </c>
      <c r="E41" s="359" t="s">
        <v>694</v>
      </c>
      <c r="F41" s="359" t="s">
        <v>693</v>
      </c>
      <c r="G41" s="227" t="s">
        <v>14</v>
      </c>
      <c r="H41" s="360">
        <v>0.01</v>
      </c>
      <c r="I41" s="361" t="s">
        <v>55</v>
      </c>
      <c r="J41" s="361" t="s">
        <v>448</v>
      </c>
      <c r="K41" s="362">
        <v>46023</v>
      </c>
      <c r="L41" s="363" t="s">
        <v>446</v>
      </c>
      <c r="M41" s="364"/>
      <c r="N41" s="364" t="s">
        <v>147</v>
      </c>
      <c r="O41" s="364" t="s">
        <v>87</v>
      </c>
      <c r="P41" s="365" t="s">
        <v>777</v>
      </c>
      <c r="Q41" s="4" t="s">
        <v>808</v>
      </c>
      <c r="R41" s="227" t="s">
        <v>759</v>
      </c>
      <c r="S41" s="4"/>
      <c r="T41" s="4" t="s">
        <v>808</v>
      </c>
      <c r="U41" s="227" t="s">
        <v>759</v>
      </c>
      <c r="V41" s="395" t="s">
        <v>823</v>
      </c>
      <c r="W41" s="4" t="s">
        <v>808</v>
      </c>
      <c r="X41" s="227" t="s">
        <v>759</v>
      </c>
      <c r="Y41" s="395" t="s">
        <v>823</v>
      </c>
      <c r="Z41" s="4" t="s">
        <v>808</v>
      </c>
      <c r="AA41" s="227" t="s">
        <v>759</v>
      </c>
      <c r="AB41" s="395" t="s">
        <v>823</v>
      </c>
      <c r="AC41" s="4" t="s">
        <v>808</v>
      </c>
      <c r="AD41" s="227" t="s">
        <v>759</v>
      </c>
      <c r="AE41" s="395" t="s">
        <v>823</v>
      </c>
    </row>
    <row r="42" spans="1:31" s="37" customFormat="1" ht="91.9" customHeight="1">
      <c r="A42" s="291">
        <v>40</v>
      </c>
      <c r="B42" s="357" t="s">
        <v>354</v>
      </c>
      <c r="C42" s="357" t="s">
        <v>482</v>
      </c>
      <c r="D42" s="358" t="s">
        <v>143</v>
      </c>
      <c r="E42" s="396" t="s">
        <v>126</v>
      </c>
      <c r="F42" s="397">
        <v>1</v>
      </c>
      <c r="G42" s="281" t="s">
        <v>23</v>
      </c>
      <c r="H42" s="360">
        <v>0.02</v>
      </c>
      <c r="I42" s="361" t="s">
        <v>388</v>
      </c>
      <c r="J42" s="367" t="s">
        <v>793</v>
      </c>
      <c r="K42" s="362">
        <v>46023</v>
      </c>
      <c r="L42" s="363" t="s">
        <v>446</v>
      </c>
      <c r="M42" s="364"/>
      <c r="N42" s="364" t="s">
        <v>147</v>
      </c>
      <c r="O42" s="364" t="s">
        <v>87</v>
      </c>
      <c r="P42" s="365" t="s">
        <v>794</v>
      </c>
      <c r="Q42" s="4" t="s">
        <v>808</v>
      </c>
      <c r="R42" s="227" t="s">
        <v>759</v>
      </c>
      <c r="S42" s="4"/>
      <c r="T42" s="4" t="s">
        <v>808</v>
      </c>
      <c r="U42" s="227" t="s">
        <v>759</v>
      </c>
      <c r="V42" s="4"/>
      <c r="W42" s="4" t="s">
        <v>808</v>
      </c>
      <c r="X42" s="227" t="s">
        <v>759</v>
      </c>
      <c r="Y42" s="4"/>
      <c r="Z42" s="4" t="s">
        <v>850</v>
      </c>
      <c r="AA42" s="227" t="s">
        <v>759</v>
      </c>
      <c r="AB42" s="4"/>
      <c r="AC42" s="4" t="s">
        <v>885</v>
      </c>
      <c r="AD42" s="227" t="s">
        <v>759</v>
      </c>
      <c r="AE42" s="4"/>
    </row>
    <row r="43" spans="1:31" s="37" customFormat="1" ht="97.9" customHeight="1">
      <c r="A43" s="291">
        <v>41</v>
      </c>
      <c r="B43" s="357" t="s">
        <v>355</v>
      </c>
      <c r="C43" s="357" t="s">
        <v>483</v>
      </c>
      <c r="D43" s="358" t="s">
        <v>145</v>
      </c>
      <c r="E43" s="359" t="s">
        <v>695</v>
      </c>
      <c r="F43" s="359" t="s">
        <v>696</v>
      </c>
      <c r="G43" s="227" t="s">
        <v>14</v>
      </c>
      <c r="H43" s="360">
        <v>0.01</v>
      </c>
      <c r="I43" s="361" t="s">
        <v>391</v>
      </c>
      <c r="J43" s="361" t="s">
        <v>692</v>
      </c>
      <c r="K43" s="362">
        <v>46023</v>
      </c>
      <c r="L43" s="363" t="s">
        <v>446</v>
      </c>
      <c r="M43" s="364"/>
      <c r="N43" s="364" t="s">
        <v>147</v>
      </c>
      <c r="O43" s="364" t="s">
        <v>87</v>
      </c>
      <c r="P43" s="365" t="s">
        <v>777</v>
      </c>
      <c r="Q43" s="4" t="s">
        <v>808</v>
      </c>
      <c r="R43" s="227" t="s">
        <v>759</v>
      </c>
      <c r="S43" s="4"/>
      <c r="T43" s="4" t="s">
        <v>808</v>
      </c>
      <c r="U43" s="227" t="s">
        <v>759</v>
      </c>
      <c r="V43" s="4"/>
      <c r="W43" s="4" t="s">
        <v>808</v>
      </c>
      <c r="X43" s="227" t="s">
        <v>759</v>
      </c>
      <c r="Y43" s="4"/>
      <c r="Z43" s="4" t="s">
        <v>808</v>
      </c>
      <c r="AA43" s="227" t="s">
        <v>759</v>
      </c>
      <c r="AB43" s="4"/>
      <c r="AC43" s="4" t="s">
        <v>886</v>
      </c>
      <c r="AD43" s="227" t="s">
        <v>759</v>
      </c>
      <c r="AE43" s="4"/>
    </row>
    <row r="44" spans="1:31" ht="45.6" customHeight="1">
      <c r="A44" s="402" t="s">
        <v>814</v>
      </c>
      <c r="B44" s="402"/>
      <c r="C44" s="402"/>
      <c r="D44" s="402"/>
      <c r="E44" s="402"/>
      <c r="F44" s="402"/>
      <c r="G44" s="402"/>
      <c r="H44" s="398">
        <f>SUM(H4+H5+H6+H8+H10+H9+H11+H12+H14+H15+H16+H18+H19+H20+H21+H22+H23+H25+H26+H27+H28+H29+H30+H31+H32+H34+H35+H36+H37+H38+H40+H42+H43+H41+H33)</f>
        <v>1.0000000000000002</v>
      </c>
      <c r="I44" s="398"/>
      <c r="J44" s="402" t="s">
        <v>815</v>
      </c>
      <c r="K44" s="402"/>
      <c r="L44" s="402"/>
      <c r="M44" s="402"/>
      <c r="N44" s="402"/>
      <c r="O44" s="402"/>
      <c r="P44" s="399"/>
      <c r="Q44" s="403" t="s">
        <v>59</v>
      </c>
      <c r="R44" s="403"/>
      <c r="S44" s="403"/>
      <c r="T44" s="403" t="s">
        <v>60</v>
      </c>
      <c r="U44" s="403"/>
      <c r="V44" s="403"/>
      <c r="W44" s="403" t="s">
        <v>60</v>
      </c>
      <c r="X44" s="403"/>
      <c r="Y44" s="403"/>
      <c r="Z44" s="403" t="s">
        <v>851</v>
      </c>
      <c r="AA44" s="403"/>
      <c r="AB44" s="403"/>
      <c r="AC44" s="403" t="s">
        <v>60</v>
      </c>
      <c r="AD44" s="403"/>
      <c r="AE44" s="403"/>
    </row>
    <row r="45" spans="1:31">
      <c r="C45" s="337"/>
      <c r="D45" s="63"/>
    </row>
    <row r="47" spans="1:31" s="60" customFormat="1">
      <c r="A47" s="7"/>
      <c r="B47" s="7"/>
      <c r="C47" s="7"/>
      <c r="D47" s="66"/>
      <c r="H47" s="61"/>
      <c r="I47" s="61"/>
      <c r="J47" s="61"/>
      <c r="K47" s="7"/>
      <c r="L47" s="7"/>
      <c r="M47" s="7"/>
      <c r="N47" s="7"/>
      <c r="O47" s="7"/>
      <c r="P47" s="316"/>
    </row>
  </sheetData>
  <autoFilter ref="A2:X2" xr:uid="{D8456189-BB23-475A-A7CA-FA57A3BB513F}"/>
  <mergeCells count="13">
    <mergeCell ref="AC1:AE1"/>
    <mergeCell ref="AC44:AE44"/>
    <mergeCell ref="Z1:AB1"/>
    <mergeCell ref="Z44:AB44"/>
    <mergeCell ref="W1:Y1"/>
    <mergeCell ref="W44:Y44"/>
    <mergeCell ref="A1:O1"/>
    <mergeCell ref="T1:V1"/>
    <mergeCell ref="Q1:S1"/>
    <mergeCell ref="A44:G44"/>
    <mergeCell ref="J44:O44"/>
    <mergeCell ref="T44:V44"/>
    <mergeCell ref="Q44:S44"/>
  </mergeCells>
  <phoneticPr fontId="8" type="noConversion"/>
  <printOptions horizontalCentered="1"/>
  <pageMargins left="0.25" right="0.25" top="0.25" bottom="0.25" header="0.25" footer="3.9370078740157501E-2"/>
  <pageSetup paperSize="9" scale="42"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8B369-BD22-408C-974B-6327B991021B}">
  <sheetPr filterMode="1">
    <tabColor theme="9" tint="0.59999389629810485"/>
  </sheetPr>
  <dimension ref="A1:O72"/>
  <sheetViews>
    <sheetView zoomScale="70" zoomScaleNormal="70" workbookViewId="0">
      <selection activeCell="E59" sqref="E59"/>
    </sheetView>
  </sheetViews>
  <sheetFormatPr defaultRowHeight="15"/>
  <cols>
    <col min="1" max="1" width="6.5703125" customWidth="1"/>
    <col min="2" max="2" width="17" customWidth="1"/>
    <col min="3" max="3" width="25" customWidth="1"/>
    <col min="4" max="4" width="68.28515625" customWidth="1"/>
    <col min="5" max="5" width="30.28515625" customWidth="1"/>
    <col min="6" max="6" width="32.42578125" customWidth="1"/>
    <col min="7" max="9" width="12.7109375" customWidth="1"/>
    <col min="10" max="10" width="11.7109375" customWidth="1"/>
    <col min="11" max="11" width="26.42578125" hidden="1" customWidth="1"/>
    <col min="12" max="12" width="14.7109375" customWidth="1"/>
    <col min="13" max="13" width="12.85546875" customWidth="1"/>
    <col min="14" max="14" width="18.42578125" customWidth="1"/>
    <col min="15" max="15" width="15.7109375" customWidth="1"/>
  </cols>
  <sheetData>
    <row r="1" spans="1:15" ht="56.45" customHeight="1">
      <c r="A1" s="408" t="s">
        <v>697</v>
      </c>
      <c r="B1" s="408"/>
      <c r="C1" s="408"/>
      <c r="D1" s="408"/>
      <c r="E1" s="408"/>
      <c r="F1" s="408"/>
      <c r="G1" s="408"/>
      <c r="H1" s="408"/>
      <c r="I1" s="408"/>
      <c r="J1" s="408"/>
      <c r="K1" s="408"/>
      <c r="L1" s="408"/>
      <c r="M1" s="408"/>
      <c r="N1" s="401" t="s">
        <v>863</v>
      </c>
      <c r="O1" s="401"/>
    </row>
    <row r="2" spans="1:15" ht="49.5">
      <c r="A2" s="312" t="s">
        <v>0</v>
      </c>
      <c r="B2" s="313" t="s">
        <v>611</v>
      </c>
      <c r="C2" s="313" t="s">
        <v>616</v>
      </c>
      <c r="D2" s="313" t="s">
        <v>617</v>
      </c>
      <c r="E2" s="313" t="s">
        <v>612</v>
      </c>
      <c r="F2" s="313" t="s">
        <v>613</v>
      </c>
      <c r="G2" s="224" t="s">
        <v>686</v>
      </c>
      <c r="H2" s="313" t="s">
        <v>614</v>
      </c>
      <c r="I2" s="313" t="s">
        <v>615</v>
      </c>
      <c r="J2" s="224" t="s">
        <v>401</v>
      </c>
      <c r="K2" s="224" t="s">
        <v>402</v>
      </c>
      <c r="L2" s="224" t="s">
        <v>403</v>
      </c>
      <c r="M2" s="224" t="s">
        <v>404</v>
      </c>
      <c r="N2" s="317" t="s">
        <v>2</v>
      </c>
      <c r="O2" s="317" t="s">
        <v>799</v>
      </c>
    </row>
    <row r="3" spans="1:15" ht="49.5" hidden="1">
      <c r="A3" s="302">
        <v>1</v>
      </c>
      <c r="B3" s="299" t="s">
        <v>618</v>
      </c>
      <c r="C3" s="300" t="s">
        <v>698</v>
      </c>
      <c r="D3" s="300" t="s">
        <v>699</v>
      </c>
      <c r="E3" s="300" t="s">
        <v>700</v>
      </c>
      <c r="F3" s="315" t="s">
        <v>18</v>
      </c>
      <c r="G3" s="302">
        <v>4</v>
      </c>
      <c r="H3" s="302">
        <v>2</v>
      </c>
      <c r="I3" s="302">
        <f>G3*H3</f>
        <v>8</v>
      </c>
      <c r="J3" s="314" t="s">
        <v>409</v>
      </c>
      <c r="K3" s="303"/>
      <c r="L3" s="2" t="s">
        <v>408</v>
      </c>
      <c r="M3" s="303"/>
      <c r="N3" s="325">
        <v>1</v>
      </c>
      <c r="O3" s="326" t="s">
        <v>853</v>
      </c>
    </row>
    <row r="4" spans="1:15" ht="49.5" hidden="1">
      <c r="A4" s="302">
        <v>2</v>
      </c>
      <c r="B4" s="299" t="s">
        <v>622</v>
      </c>
      <c r="C4" s="233" t="s">
        <v>623</v>
      </c>
      <c r="D4" s="300" t="s">
        <v>701</v>
      </c>
      <c r="E4" s="300" t="s">
        <v>700</v>
      </c>
      <c r="F4" s="315" t="s">
        <v>18</v>
      </c>
      <c r="G4" s="2">
        <v>2</v>
      </c>
      <c r="H4" s="302">
        <v>2</v>
      </c>
      <c r="I4" s="302">
        <f t="shared" ref="I4:I7" si="0">G4*H4</f>
        <v>4</v>
      </c>
      <c r="J4" s="314" t="s">
        <v>409</v>
      </c>
      <c r="K4" s="303"/>
      <c r="L4" s="2" t="s">
        <v>408</v>
      </c>
      <c r="M4" s="303"/>
      <c r="N4" s="325">
        <v>1</v>
      </c>
      <c r="O4" s="326" t="s">
        <v>853</v>
      </c>
    </row>
    <row r="5" spans="1:15" ht="66" hidden="1">
      <c r="A5" s="302">
        <v>3</v>
      </c>
      <c r="B5" s="299" t="s">
        <v>624</v>
      </c>
      <c r="C5" s="233" t="s">
        <v>625</v>
      </c>
      <c r="D5" s="300" t="s">
        <v>702</v>
      </c>
      <c r="E5" s="300" t="s">
        <v>703</v>
      </c>
      <c r="F5" s="315" t="s">
        <v>778</v>
      </c>
      <c r="G5" s="2">
        <v>4</v>
      </c>
      <c r="H5" s="302">
        <v>2</v>
      </c>
      <c r="I5" s="302">
        <f t="shared" si="0"/>
        <v>8</v>
      </c>
      <c r="J5" s="314" t="s">
        <v>409</v>
      </c>
      <c r="K5" s="303"/>
      <c r="L5" s="2" t="s">
        <v>408</v>
      </c>
      <c r="M5" s="303"/>
      <c r="N5" s="325">
        <v>1</v>
      </c>
      <c r="O5" s="326" t="s">
        <v>853</v>
      </c>
    </row>
    <row r="6" spans="1:15" ht="66" hidden="1">
      <c r="A6" s="302">
        <v>4</v>
      </c>
      <c r="B6" s="299" t="s">
        <v>624</v>
      </c>
      <c r="C6" s="233" t="s">
        <v>626</v>
      </c>
      <c r="D6" s="300" t="s">
        <v>704</v>
      </c>
      <c r="E6" s="300" t="s">
        <v>703</v>
      </c>
      <c r="F6" s="315" t="s">
        <v>778</v>
      </c>
      <c r="G6" s="2">
        <v>4</v>
      </c>
      <c r="H6" s="302">
        <v>2</v>
      </c>
      <c r="I6" s="302">
        <f t="shared" si="0"/>
        <v>8</v>
      </c>
      <c r="J6" s="314" t="s">
        <v>409</v>
      </c>
      <c r="K6" s="303"/>
      <c r="L6" s="2" t="s">
        <v>408</v>
      </c>
      <c r="M6" s="303"/>
      <c r="N6" s="325">
        <v>1</v>
      </c>
      <c r="O6" s="326" t="s">
        <v>853</v>
      </c>
    </row>
    <row r="7" spans="1:15" ht="66" hidden="1">
      <c r="A7" s="302">
        <v>5</v>
      </c>
      <c r="B7" s="299" t="s">
        <v>624</v>
      </c>
      <c r="C7" s="233" t="s">
        <v>627</v>
      </c>
      <c r="D7" s="300" t="s">
        <v>704</v>
      </c>
      <c r="E7" s="300" t="s">
        <v>703</v>
      </c>
      <c r="F7" s="315" t="s">
        <v>18</v>
      </c>
      <c r="G7" s="2">
        <v>4</v>
      </c>
      <c r="H7" s="302">
        <v>2</v>
      </c>
      <c r="I7" s="302">
        <f t="shared" si="0"/>
        <v>8</v>
      </c>
      <c r="J7" s="314" t="s">
        <v>409</v>
      </c>
      <c r="K7" s="303"/>
      <c r="L7" s="2" t="s">
        <v>408</v>
      </c>
      <c r="M7" s="303"/>
      <c r="N7" s="325">
        <v>1</v>
      </c>
      <c r="O7" s="326" t="s">
        <v>853</v>
      </c>
    </row>
    <row r="8" spans="1:15" ht="49.5" hidden="1">
      <c r="A8" s="302">
        <v>6</v>
      </c>
      <c r="B8" s="299" t="s">
        <v>618</v>
      </c>
      <c r="C8" s="300" t="s">
        <v>705</v>
      </c>
      <c r="D8" s="300" t="s">
        <v>699</v>
      </c>
      <c r="E8" s="300" t="s">
        <v>700</v>
      </c>
      <c r="F8" s="315" t="s">
        <v>18</v>
      </c>
      <c r="G8" s="302">
        <v>4</v>
      </c>
      <c r="H8" s="302">
        <v>2</v>
      </c>
      <c r="I8" s="302">
        <f>G8*H8</f>
        <v>8</v>
      </c>
      <c r="J8" s="314" t="s">
        <v>409</v>
      </c>
      <c r="K8" s="303"/>
      <c r="L8" s="304" t="s">
        <v>407</v>
      </c>
      <c r="M8" s="303"/>
      <c r="N8" s="325">
        <v>1</v>
      </c>
      <c r="O8" s="326" t="s">
        <v>853</v>
      </c>
    </row>
    <row r="9" spans="1:15" ht="66" hidden="1">
      <c r="A9" s="302">
        <v>7</v>
      </c>
      <c r="B9" s="299" t="s">
        <v>618</v>
      </c>
      <c r="C9" s="300" t="s">
        <v>619</v>
      </c>
      <c r="D9" s="300" t="s">
        <v>699</v>
      </c>
      <c r="E9" s="300" t="s">
        <v>700</v>
      </c>
      <c r="F9" s="315" t="s">
        <v>18</v>
      </c>
      <c r="G9" s="302">
        <v>4</v>
      </c>
      <c r="H9" s="302">
        <v>2</v>
      </c>
      <c r="I9" s="302">
        <f t="shared" ref="I9:I72" si="1">G9*H9</f>
        <v>8</v>
      </c>
      <c r="J9" s="314" t="s">
        <v>409</v>
      </c>
      <c r="K9" s="303"/>
      <c r="L9" s="304" t="s">
        <v>407</v>
      </c>
      <c r="M9" s="303"/>
      <c r="N9" s="333" t="s">
        <v>858</v>
      </c>
      <c r="O9" s="334" t="s">
        <v>859</v>
      </c>
    </row>
    <row r="10" spans="1:15" ht="66" hidden="1">
      <c r="A10" s="302">
        <v>8</v>
      </c>
      <c r="B10" s="299" t="s">
        <v>618</v>
      </c>
      <c r="C10" s="305" t="s">
        <v>620</v>
      </c>
      <c r="D10" s="300" t="s">
        <v>699</v>
      </c>
      <c r="E10" s="300" t="s">
        <v>700</v>
      </c>
      <c r="F10" s="315" t="s">
        <v>18</v>
      </c>
      <c r="G10" s="302">
        <v>2</v>
      </c>
      <c r="H10" s="302">
        <v>2</v>
      </c>
      <c r="I10" s="302">
        <f t="shared" si="1"/>
        <v>4</v>
      </c>
      <c r="J10" s="314" t="s">
        <v>409</v>
      </c>
      <c r="K10" s="303"/>
      <c r="L10" s="304" t="s">
        <v>407</v>
      </c>
      <c r="M10" s="303"/>
      <c r="N10" s="333" t="s">
        <v>858</v>
      </c>
      <c r="O10" s="334" t="s">
        <v>859</v>
      </c>
    </row>
    <row r="11" spans="1:15" ht="49.5" hidden="1">
      <c r="A11" s="302">
        <v>9</v>
      </c>
      <c r="B11" s="299" t="s">
        <v>618</v>
      </c>
      <c r="C11" s="305" t="s">
        <v>706</v>
      </c>
      <c r="D11" s="300" t="s">
        <v>699</v>
      </c>
      <c r="E11" s="300" t="s">
        <v>700</v>
      </c>
      <c r="F11" s="315" t="s">
        <v>18</v>
      </c>
      <c r="G11" s="302">
        <v>2</v>
      </c>
      <c r="H11" s="302">
        <v>2</v>
      </c>
      <c r="I11" s="302">
        <f t="shared" si="1"/>
        <v>4</v>
      </c>
      <c r="J11" s="314" t="s">
        <v>409</v>
      </c>
      <c r="K11" s="303"/>
      <c r="L11" s="304" t="s">
        <v>407</v>
      </c>
      <c r="M11" s="303"/>
      <c r="N11" s="325">
        <v>1</v>
      </c>
      <c r="O11" s="326" t="s">
        <v>853</v>
      </c>
    </row>
    <row r="12" spans="1:15" ht="49.5" hidden="1">
      <c r="A12" s="302">
        <v>10</v>
      </c>
      <c r="B12" s="299" t="s">
        <v>618</v>
      </c>
      <c r="C12" s="305" t="s">
        <v>621</v>
      </c>
      <c r="D12" s="300" t="s">
        <v>699</v>
      </c>
      <c r="E12" s="300" t="s">
        <v>700</v>
      </c>
      <c r="F12" s="315" t="s">
        <v>18</v>
      </c>
      <c r="G12" s="2">
        <v>2</v>
      </c>
      <c r="H12" s="302">
        <v>2</v>
      </c>
      <c r="I12" s="302">
        <f t="shared" si="1"/>
        <v>4</v>
      </c>
      <c r="J12" s="314" t="s">
        <v>409</v>
      </c>
      <c r="K12" s="303"/>
      <c r="L12" s="304" t="s">
        <v>407</v>
      </c>
      <c r="M12" s="303"/>
      <c r="N12" s="325">
        <v>1</v>
      </c>
      <c r="O12" s="326" t="s">
        <v>853</v>
      </c>
    </row>
    <row r="13" spans="1:15" ht="66">
      <c r="A13" s="302">
        <v>11</v>
      </c>
      <c r="B13" s="299" t="s">
        <v>618</v>
      </c>
      <c r="C13" s="300" t="s">
        <v>707</v>
      </c>
      <c r="D13" s="300" t="s">
        <v>699</v>
      </c>
      <c r="E13" s="300" t="s">
        <v>700</v>
      </c>
      <c r="F13" s="315" t="s">
        <v>18</v>
      </c>
      <c r="G13" s="302">
        <v>4</v>
      </c>
      <c r="H13" s="302">
        <v>2</v>
      </c>
      <c r="I13" s="302">
        <f>G13*H13</f>
        <v>8</v>
      </c>
      <c r="J13" s="314" t="s">
        <v>409</v>
      </c>
      <c r="K13" s="303"/>
      <c r="L13" s="304" t="s">
        <v>406</v>
      </c>
      <c r="M13" s="303"/>
      <c r="N13" s="333" t="s">
        <v>858</v>
      </c>
      <c r="O13" s="334" t="s">
        <v>859</v>
      </c>
    </row>
    <row r="14" spans="1:15" ht="49.5">
      <c r="A14" s="302">
        <v>12</v>
      </c>
      <c r="B14" s="299" t="s">
        <v>618</v>
      </c>
      <c r="C14" s="300" t="s">
        <v>708</v>
      </c>
      <c r="D14" s="300" t="s">
        <v>699</v>
      </c>
      <c r="E14" s="300" t="s">
        <v>700</v>
      </c>
      <c r="F14" s="315" t="s">
        <v>18</v>
      </c>
      <c r="G14" s="302">
        <v>4</v>
      </c>
      <c r="H14" s="302">
        <v>2</v>
      </c>
      <c r="I14" s="302">
        <f>G14*H14</f>
        <v>8</v>
      </c>
      <c r="J14" s="314" t="s">
        <v>409</v>
      </c>
      <c r="K14" s="303"/>
      <c r="L14" s="304" t="s">
        <v>406</v>
      </c>
      <c r="M14" s="303"/>
      <c r="N14" s="335" t="s">
        <v>887</v>
      </c>
      <c r="O14" s="326" t="s">
        <v>853</v>
      </c>
    </row>
    <row r="15" spans="1:15" ht="49.5" hidden="1">
      <c r="A15" s="302">
        <v>13</v>
      </c>
      <c r="B15" s="299" t="s">
        <v>628</v>
      </c>
      <c r="C15" s="233" t="s">
        <v>629</v>
      </c>
      <c r="D15" s="300" t="s">
        <v>699</v>
      </c>
      <c r="E15" s="300" t="s">
        <v>700</v>
      </c>
      <c r="F15" s="315" t="s">
        <v>18</v>
      </c>
      <c r="G15" s="2">
        <v>2</v>
      </c>
      <c r="H15" s="302">
        <v>2</v>
      </c>
      <c r="I15" s="302">
        <f t="shared" si="1"/>
        <v>4</v>
      </c>
      <c r="J15" s="314" t="s">
        <v>409</v>
      </c>
      <c r="K15" s="303"/>
      <c r="L15" s="304" t="s">
        <v>588</v>
      </c>
      <c r="M15" s="303"/>
      <c r="N15" s="318" t="s">
        <v>18</v>
      </c>
      <c r="O15" s="311"/>
    </row>
    <row r="16" spans="1:15" ht="49.5" hidden="1">
      <c r="A16" s="302">
        <v>14</v>
      </c>
      <c r="B16" s="299" t="s">
        <v>628</v>
      </c>
      <c r="C16" s="233" t="s">
        <v>630</v>
      </c>
      <c r="D16" s="300" t="s">
        <v>699</v>
      </c>
      <c r="E16" s="300" t="s">
        <v>700</v>
      </c>
      <c r="F16" s="315" t="s">
        <v>18</v>
      </c>
      <c r="G16" s="302">
        <v>2</v>
      </c>
      <c r="H16" s="302">
        <v>2</v>
      </c>
      <c r="I16" s="302">
        <f t="shared" si="1"/>
        <v>4</v>
      </c>
      <c r="J16" s="314" t="s">
        <v>409</v>
      </c>
      <c r="K16" s="303"/>
      <c r="L16" s="304" t="s">
        <v>588</v>
      </c>
      <c r="M16" s="303"/>
      <c r="N16" s="318" t="s">
        <v>18</v>
      </c>
      <c r="O16" s="311"/>
    </row>
    <row r="17" spans="1:15" ht="49.5" hidden="1">
      <c r="A17" s="302">
        <v>15</v>
      </c>
      <c r="B17" s="299" t="s">
        <v>628</v>
      </c>
      <c r="C17" s="233" t="s">
        <v>631</v>
      </c>
      <c r="D17" s="300" t="s">
        <v>699</v>
      </c>
      <c r="E17" s="300" t="s">
        <v>700</v>
      </c>
      <c r="F17" s="315" t="s">
        <v>18</v>
      </c>
      <c r="G17" s="2">
        <v>2</v>
      </c>
      <c r="H17" s="2">
        <v>2</v>
      </c>
      <c r="I17" s="2">
        <f t="shared" si="1"/>
        <v>4</v>
      </c>
      <c r="J17" s="314" t="s">
        <v>409</v>
      </c>
      <c r="K17" s="304"/>
      <c r="L17" s="304" t="s">
        <v>588</v>
      </c>
      <c r="M17" s="304"/>
      <c r="N17" s="318" t="s">
        <v>18</v>
      </c>
      <c r="O17" s="311"/>
    </row>
    <row r="18" spans="1:15" ht="49.5" hidden="1">
      <c r="A18" s="302">
        <v>16</v>
      </c>
      <c r="B18" s="299" t="s">
        <v>628</v>
      </c>
      <c r="C18" s="233" t="s">
        <v>632</v>
      </c>
      <c r="D18" s="300" t="s">
        <v>699</v>
      </c>
      <c r="E18" s="300" t="s">
        <v>700</v>
      </c>
      <c r="F18" s="315" t="s">
        <v>18</v>
      </c>
      <c r="G18" s="2">
        <v>2</v>
      </c>
      <c r="H18" s="2">
        <v>2</v>
      </c>
      <c r="I18" s="2">
        <f t="shared" si="1"/>
        <v>4</v>
      </c>
      <c r="J18" s="314" t="s">
        <v>409</v>
      </c>
      <c r="K18" s="304"/>
      <c r="L18" s="304" t="s">
        <v>588</v>
      </c>
      <c r="M18" s="304"/>
      <c r="N18" s="318" t="s">
        <v>18</v>
      </c>
      <c r="O18" s="311"/>
    </row>
    <row r="19" spans="1:15" ht="49.5" hidden="1">
      <c r="A19" s="302">
        <v>17</v>
      </c>
      <c r="B19" s="299" t="s">
        <v>628</v>
      </c>
      <c r="C19" s="233" t="s">
        <v>633</v>
      </c>
      <c r="D19" s="300" t="s">
        <v>699</v>
      </c>
      <c r="E19" s="300" t="s">
        <v>700</v>
      </c>
      <c r="F19" s="315" t="s">
        <v>18</v>
      </c>
      <c r="G19" s="2">
        <v>2</v>
      </c>
      <c r="H19" s="2">
        <v>2</v>
      </c>
      <c r="I19" s="2">
        <f t="shared" si="1"/>
        <v>4</v>
      </c>
      <c r="J19" s="314" t="s">
        <v>409</v>
      </c>
      <c r="K19" s="304"/>
      <c r="L19" s="304" t="s">
        <v>588</v>
      </c>
      <c r="M19" s="304"/>
      <c r="N19" s="318" t="s">
        <v>18</v>
      </c>
      <c r="O19" s="311"/>
    </row>
    <row r="20" spans="1:15" ht="49.5" hidden="1">
      <c r="A20" s="302">
        <v>18</v>
      </c>
      <c r="B20" s="299" t="s">
        <v>628</v>
      </c>
      <c r="C20" s="233" t="s">
        <v>634</v>
      </c>
      <c r="D20" s="300" t="s">
        <v>699</v>
      </c>
      <c r="E20" s="300" t="s">
        <v>700</v>
      </c>
      <c r="F20" s="315" t="s">
        <v>18</v>
      </c>
      <c r="G20" s="2">
        <v>2</v>
      </c>
      <c r="H20" s="2">
        <v>2</v>
      </c>
      <c r="I20" s="2">
        <f t="shared" si="1"/>
        <v>4</v>
      </c>
      <c r="J20" s="314" t="s">
        <v>409</v>
      </c>
      <c r="K20" s="304"/>
      <c r="L20" s="304" t="s">
        <v>588</v>
      </c>
      <c r="M20" s="304"/>
      <c r="N20" s="318" t="s">
        <v>18</v>
      </c>
      <c r="O20" s="311"/>
    </row>
    <row r="21" spans="1:15" ht="49.5" hidden="1">
      <c r="A21" s="302">
        <v>19</v>
      </c>
      <c r="B21" s="299" t="s">
        <v>628</v>
      </c>
      <c r="C21" s="233" t="s">
        <v>635</v>
      </c>
      <c r="D21" s="300" t="s">
        <v>699</v>
      </c>
      <c r="E21" s="300" t="s">
        <v>700</v>
      </c>
      <c r="F21" s="315" t="s">
        <v>18</v>
      </c>
      <c r="G21" s="2">
        <v>2</v>
      </c>
      <c r="H21" s="2">
        <v>2</v>
      </c>
      <c r="I21" s="2">
        <f t="shared" si="1"/>
        <v>4</v>
      </c>
      <c r="J21" s="314" t="s">
        <v>409</v>
      </c>
      <c r="K21" s="304"/>
      <c r="L21" s="304" t="s">
        <v>588</v>
      </c>
      <c r="M21" s="304"/>
      <c r="N21" s="318" t="s">
        <v>18</v>
      </c>
      <c r="O21" s="311"/>
    </row>
    <row r="22" spans="1:15" ht="49.5" hidden="1">
      <c r="A22" s="302">
        <v>20</v>
      </c>
      <c r="B22" s="299" t="s">
        <v>628</v>
      </c>
      <c r="C22" s="233" t="s">
        <v>636</v>
      </c>
      <c r="D22" s="300" t="s">
        <v>699</v>
      </c>
      <c r="E22" s="300" t="s">
        <v>700</v>
      </c>
      <c r="F22" s="315" t="s">
        <v>18</v>
      </c>
      <c r="G22" s="2">
        <v>2</v>
      </c>
      <c r="H22" s="2">
        <v>2</v>
      </c>
      <c r="I22" s="2">
        <f t="shared" si="1"/>
        <v>4</v>
      </c>
      <c r="J22" s="314" t="s">
        <v>409</v>
      </c>
      <c r="K22" s="304"/>
      <c r="L22" s="304" t="s">
        <v>588</v>
      </c>
      <c r="M22" s="304"/>
      <c r="N22" s="318" t="s">
        <v>18</v>
      </c>
      <c r="O22" s="311"/>
    </row>
    <row r="23" spans="1:15" ht="49.5" hidden="1">
      <c r="A23" s="302">
        <v>21</v>
      </c>
      <c r="B23" s="299" t="s">
        <v>628</v>
      </c>
      <c r="C23" s="233" t="s">
        <v>637</v>
      </c>
      <c r="D23" s="300" t="s">
        <v>699</v>
      </c>
      <c r="E23" s="300" t="s">
        <v>700</v>
      </c>
      <c r="F23" s="315" t="s">
        <v>18</v>
      </c>
      <c r="G23" s="2">
        <v>2</v>
      </c>
      <c r="H23" s="2">
        <v>2</v>
      </c>
      <c r="I23" s="2">
        <f t="shared" si="1"/>
        <v>4</v>
      </c>
      <c r="J23" s="314" t="s">
        <v>409</v>
      </c>
      <c r="K23" s="304"/>
      <c r="L23" s="304" t="s">
        <v>458</v>
      </c>
      <c r="M23" s="304"/>
      <c r="N23" s="318" t="s">
        <v>18</v>
      </c>
      <c r="O23" s="311"/>
    </row>
    <row r="24" spans="1:15" ht="49.5" hidden="1">
      <c r="A24" s="302">
        <v>22</v>
      </c>
      <c r="B24" s="299" t="s">
        <v>628</v>
      </c>
      <c r="C24" s="233" t="s">
        <v>638</v>
      </c>
      <c r="D24" s="300" t="s">
        <v>699</v>
      </c>
      <c r="E24" s="300" t="s">
        <v>700</v>
      </c>
      <c r="F24" s="315" t="s">
        <v>18</v>
      </c>
      <c r="G24" s="2">
        <v>2</v>
      </c>
      <c r="H24" s="2">
        <v>2</v>
      </c>
      <c r="I24" s="2">
        <f t="shared" si="1"/>
        <v>4</v>
      </c>
      <c r="J24" s="314" t="s">
        <v>409</v>
      </c>
      <c r="K24" s="304"/>
      <c r="L24" s="304" t="s">
        <v>458</v>
      </c>
      <c r="M24" s="304"/>
      <c r="N24" s="318" t="s">
        <v>18</v>
      </c>
      <c r="O24" s="311"/>
    </row>
    <row r="25" spans="1:15" ht="49.5" hidden="1">
      <c r="A25" s="302">
        <v>23</v>
      </c>
      <c r="B25" s="299" t="s">
        <v>628</v>
      </c>
      <c r="C25" s="233" t="s">
        <v>639</v>
      </c>
      <c r="D25" s="300" t="s">
        <v>699</v>
      </c>
      <c r="E25" s="300" t="s">
        <v>700</v>
      </c>
      <c r="F25" s="315" t="s">
        <v>18</v>
      </c>
      <c r="G25" s="2">
        <v>2</v>
      </c>
      <c r="H25" s="2">
        <v>2</v>
      </c>
      <c r="I25" s="2">
        <f t="shared" si="1"/>
        <v>4</v>
      </c>
      <c r="J25" s="314" t="s">
        <v>409</v>
      </c>
      <c r="K25" s="304"/>
      <c r="L25" s="304" t="s">
        <v>458</v>
      </c>
      <c r="M25" s="304"/>
      <c r="N25" s="318" t="s">
        <v>18</v>
      </c>
      <c r="O25" s="311"/>
    </row>
    <row r="26" spans="1:15" ht="49.5" hidden="1">
      <c r="A26" s="302">
        <v>24</v>
      </c>
      <c r="B26" s="299" t="s">
        <v>628</v>
      </c>
      <c r="C26" s="233" t="s">
        <v>640</v>
      </c>
      <c r="D26" s="300" t="s">
        <v>699</v>
      </c>
      <c r="E26" s="300" t="s">
        <v>700</v>
      </c>
      <c r="F26" s="315" t="s">
        <v>18</v>
      </c>
      <c r="G26" s="2">
        <v>2</v>
      </c>
      <c r="H26" s="2">
        <v>2</v>
      </c>
      <c r="I26" s="2">
        <f t="shared" si="1"/>
        <v>4</v>
      </c>
      <c r="J26" s="314" t="s">
        <v>409</v>
      </c>
      <c r="K26" s="304"/>
      <c r="L26" s="304" t="s">
        <v>458</v>
      </c>
      <c r="M26" s="304"/>
      <c r="N26" s="318" t="s">
        <v>18</v>
      </c>
      <c r="O26" s="311"/>
    </row>
    <row r="27" spans="1:15" ht="49.5" hidden="1">
      <c r="A27" s="302">
        <v>25</v>
      </c>
      <c r="B27" s="299" t="s">
        <v>628</v>
      </c>
      <c r="C27" s="233" t="s">
        <v>641</v>
      </c>
      <c r="D27" s="300" t="s">
        <v>699</v>
      </c>
      <c r="E27" s="300" t="s">
        <v>700</v>
      </c>
      <c r="F27" s="315" t="s">
        <v>18</v>
      </c>
      <c r="G27" s="2">
        <v>2</v>
      </c>
      <c r="H27" s="2">
        <v>2</v>
      </c>
      <c r="I27" s="2">
        <f t="shared" si="1"/>
        <v>4</v>
      </c>
      <c r="J27" s="314" t="s">
        <v>409</v>
      </c>
      <c r="K27" s="304"/>
      <c r="L27" s="304" t="s">
        <v>458</v>
      </c>
      <c r="M27" s="304"/>
      <c r="N27" s="318" t="s">
        <v>18</v>
      </c>
      <c r="O27" s="311"/>
    </row>
    <row r="28" spans="1:15" ht="49.5" hidden="1">
      <c r="A28" s="302">
        <v>26</v>
      </c>
      <c r="B28" s="299" t="s">
        <v>628</v>
      </c>
      <c r="C28" s="233" t="s">
        <v>642</v>
      </c>
      <c r="D28" s="300" t="s">
        <v>699</v>
      </c>
      <c r="E28" s="300" t="s">
        <v>700</v>
      </c>
      <c r="F28" s="315" t="s">
        <v>18</v>
      </c>
      <c r="G28" s="2">
        <v>2</v>
      </c>
      <c r="H28" s="2">
        <v>2</v>
      </c>
      <c r="I28" s="2">
        <f t="shared" si="1"/>
        <v>4</v>
      </c>
      <c r="J28" s="314" t="s">
        <v>409</v>
      </c>
      <c r="K28" s="304"/>
      <c r="L28" s="304" t="s">
        <v>458</v>
      </c>
      <c r="M28" s="304"/>
      <c r="N28" s="318" t="s">
        <v>18</v>
      </c>
      <c r="O28" s="311"/>
    </row>
    <row r="29" spans="1:15" ht="49.5" hidden="1">
      <c r="A29" s="302">
        <v>27</v>
      </c>
      <c r="B29" s="299" t="s">
        <v>628</v>
      </c>
      <c r="C29" s="233" t="s">
        <v>643</v>
      </c>
      <c r="D29" s="300" t="s">
        <v>699</v>
      </c>
      <c r="E29" s="300" t="s">
        <v>700</v>
      </c>
      <c r="F29" s="315" t="s">
        <v>18</v>
      </c>
      <c r="G29" s="2">
        <v>2</v>
      </c>
      <c r="H29" s="2">
        <v>2</v>
      </c>
      <c r="I29" s="2">
        <f t="shared" si="1"/>
        <v>4</v>
      </c>
      <c r="J29" s="314" t="s">
        <v>409</v>
      </c>
      <c r="K29" s="304"/>
      <c r="L29" s="304" t="s">
        <v>458</v>
      </c>
      <c r="M29" s="304"/>
      <c r="N29" s="318" t="s">
        <v>18</v>
      </c>
      <c r="O29" s="311"/>
    </row>
    <row r="30" spans="1:15" ht="49.5" hidden="1">
      <c r="A30" s="302">
        <v>28</v>
      </c>
      <c r="B30" s="299" t="s">
        <v>628</v>
      </c>
      <c r="C30" s="233" t="s">
        <v>644</v>
      </c>
      <c r="D30" s="300" t="s">
        <v>699</v>
      </c>
      <c r="E30" s="300" t="s">
        <v>700</v>
      </c>
      <c r="F30" s="315" t="s">
        <v>18</v>
      </c>
      <c r="G30" s="2">
        <v>2</v>
      </c>
      <c r="H30" s="2">
        <v>2</v>
      </c>
      <c r="I30" s="2">
        <f t="shared" si="1"/>
        <v>4</v>
      </c>
      <c r="J30" s="314" t="s">
        <v>409</v>
      </c>
      <c r="K30" s="304"/>
      <c r="L30" s="304" t="s">
        <v>458</v>
      </c>
      <c r="M30" s="304"/>
      <c r="N30" s="318" t="s">
        <v>18</v>
      </c>
      <c r="O30" s="311"/>
    </row>
    <row r="31" spans="1:15" ht="66" hidden="1">
      <c r="A31" s="302">
        <v>29</v>
      </c>
      <c r="B31" s="300" t="s">
        <v>645</v>
      </c>
      <c r="C31" s="233" t="s">
        <v>646</v>
      </c>
      <c r="D31" s="300" t="s">
        <v>704</v>
      </c>
      <c r="E31" s="300" t="s">
        <v>703</v>
      </c>
      <c r="F31" s="315" t="s">
        <v>18</v>
      </c>
      <c r="G31" s="2">
        <v>2</v>
      </c>
      <c r="H31" s="2">
        <v>2</v>
      </c>
      <c r="I31" s="2">
        <f t="shared" si="1"/>
        <v>4</v>
      </c>
      <c r="J31" s="314" t="s">
        <v>409</v>
      </c>
      <c r="K31" s="304"/>
      <c r="L31" s="304" t="s">
        <v>585</v>
      </c>
      <c r="M31" s="304"/>
      <c r="N31" s="318" t="s">
        <v>18</v>
      </c>
      <c r="O31" s="311"/>
    </row>
    <row r="32" spans="1:15" ht="66" hidden="1">
      <c r="A32" s="302">
        <v>30</v>
      </c>
      <c r="B32" s="300" t="s">
        <v>645</v>
      </c>
      <c r="C32" s="233" t="s">
        <v>647</v>
      </c>
      <c r="D32" s="300" t="s">
        <v>704</v>
      </c>
      <c r="E32" s="300" t="s">
        <v>703</v>
      </c>
      <c r="F32" s="315" t="s">
        <v>18</v>
      </c>
      <c r="G32" s="2">
        <v>2</v>
      </c>
      <c r="H32" s="2">
        <v>2</v>
      </c>
      <c r="I32" s="2">
        <f t="shared" si="1"/>
        <v>4</v>
      </c>
      <c r="J32" s="314" t="s">
        <v>409</v>
      </c>
      <c r="K32" s="304"/>
      <c r="L32" s="304" t="s">
        <v>585</v>
      </c>
      <c r="M32" s="304"/>
      <c r="N32" s="318" t="s">
        <v>18</v>
      </c>
      <c r="O32" s="311"/>
    </row>
    <row r="33" spans="1:15" ht="66" hidden="1">
      <c r="A33" s="302">
        <v>31</v>
      </c>
      <c r="B33" s="300" t="s">
        <v>645</v>
      </c>
      <c r="C33" s="233" t="s">
        <v>648</v>
      </c>
      <c r="D33" s="300" t="s">
        <v>704</v>
      </c>
      <c r="E33" s="300" t="s">
        <v>703</v>
      </c>
      <c r="F33" s="315" t="s">
        <v>18</v>
      </c>
      <c r="G33" s="2">
        <v>2</v>
      </c>
      <c r="H33" s="2">
        <v>2</v>
      </c>
      <c r="I33" s="2">
        <f t="shared" si="1"/>
        <v>4</v>
      </c>
      <c r="J33" s="314" t="s">
        <v>409</v>
      </c>
      <c r="K33" s="304"/>
      <c r="L33" s="304" t="s">
        <v>585</v>
      </c>
      <c r="M33" s="304"/>
      <c r="N33" s="318" t="s">
        <v>18</v>
      </c>
      <c r="O33" s="311"/>
    </row>
    <row r="34" spans="1:15" ht="66" hidden="1">
      <c r="A34" s="302">
        <v>32</v>
      </c>
      <c r="B34" s="300" t="s">
        <v>645</v>
      </c>
      <c r="C34" s="233" t="s">
        <v>649</v>
      </c>
      <c r="D34" s="300" t="s">
        <v>704</v>
      </c>
      <c r="E34" s="300" t="s">
        <v>703</v>
      </c>
      <c r="F34" s="315" t="s">
        <v>18</v>
      </c>
      <c r="G34" s="2">
        <v>2</v>
      </c>
      <c r="H34" s="2">
        <v>2</v>
      </c>
      <c r="I34" s="2">
        <f t="shared" si="1"/>
        <v>4</v>
      </c>
      <c r="J34" s="314" t="s">
        <v>409</v>
      </c>
      <c r="K34" s="304"/>
      <c r="L34" s="304" t="s">
        <v>585</v>
      </c>
      <c r="M34" s="304"/>
      <c r="N34" s="318" t="s">
        <v>18</v>
      </c>
      <c r="O34" s="311"/>
    </row>
    <row r="35" spans="1:15" ht="66" hidden="1">
      <c r="A35" s="302">
        <v>33</v>
      </c>
      <c r="B35" s="300" t="s">
        <v>645</v>
      </c>
      <c r="C35" s="233" t="s">
        <v>650</v>
      </c>
      <c r="D35" s="300" t="s">
        <v>704</v>
      </c>
      <c r="E35" s="300" t="s">
        <v>703</v>
      </c>
      <c r="F35" s="315" t="s">
        <v>18</v>
      </c>
      <c r="G35" s="2">
        <v>2</v>
      </c>
      <c r="H35" s="2">
        <v>2</v>
      </c>
      <c r="I35" s="2">
        <f t="shared" si="1"/>
        <v>4</v>
      </c>
      <c r="J35" s="314" t="s">
        <v>409</v>
      </c>
      <c r="K35" s="304"/>
      <c r="L35" s="304" t="s">
        <v>585</v>
      </c>
      <c r="M35" s="304"/>
      <c r="N35" s="318" t="s">
        <v>18</v>
      </c>
      <c r="O35" s="311"/>
    </row>
    <row r="36" spans="1:15" ht="66" hidden="1">
      <c r="A36" s="302">
        <v>34</v>
      </c>
      <c r="B36" s="300" t="s">
        <v>645</v>
      </c>
      <c r="C36" s="233" t="s">
        <v>651</v>
      </c>
      <c r="D36" s="300" t="s">
        <v>704</v>
      </c>
      <c r="E36" s="300" t="s">
        <v>703</v>
      </c>
      <c r="F36" s="315" t="s">
        <v>18</v>
      </c>
      <c r="G36" s="2">
        <v>2</v>
      </c>
      <c r="H36" s="2">
        <v>2</v>
      </c>
      <c r="I36" s="2">
        <f t="shared" si="1"/>
        <v>4</v>
      </c>
      <c r="J36" s="314" t="s">
        <v>409</v>
      </c>
      <c r="K36" s="304"/>
      <c r="L36" s="304" t="s">
        <v>585</v>
      </c>
      <c r="M36" s="304"/>
      <c r="N36" s="318" t="s">
        <v>18</v>
      </c>
      <c r="O36" s="311"/>
    </row>
    <row r="37" spans="1:15" ht="66" hidden="1">
      <c r="A37" s="302">
        <v>35</v>
      </c>
      <c r="B37" s="300" t="s">
        <v>645</v>
      </c>
      <c r="C37" s="233" t="s">
        <v>652</v>
      </c>
      <c r="D37" s="300" t="s">
        <v>704</v>
      </c>
      <c r="E37" s="300" t="s">
        <v>703</v>
      </c>
      <c r="F37" s="315" t="s">
        <v>18</v>
      </c>
      <c r="G37" s="2">
        <v>2</v>
      </c>
      <c r="H37" s="2">
        <v>2</v>
      </c>
      <c r="I37" s="2">
        <f t="shared" si="1"/>
        <v>4</v>
      </c>
      <c r="J37" s="314" t="s">
        <v>409</v>
      </c>
      <c r="K37" s="304"/>
      <c r="L37" s="304" t="s">
        <v>585</v>
      </c>
      <c r="M37" s="304"/>
      <c r="N37" s="318" t="s">
        <v>18</v>
      </c>
      <c r="O37" s="311"/>
    </row>
    <row r="38" spans="1:15" ht="66" hidden="1">
      <c r="A38" s="302">
        <v>36</v>
      </c>
      <c r="B38" s="300" t="s">
        <v>645</v>
      </c>
      <c r="C38" s="233" t="s">
        <v>653</v>
      </c>
      <c r="D38" s="300" t="s">
        <v>704</v>
      </c>
      <c r="E38" s="300" t="s">
        <v>703</v>
      </c>
      <c r="F38" s="315" t="s">
        <v>18</v>
      </c>
      <c r="G38" s="2">
        <v>2</v>
      </c>
      <c r="H38" s="2">
        <v>2</v>
      </c>
      <c r="I38" s="2">
        <f t="shared" si="1"/>
        <v>4</v>
      </c>
      <c r="J38" s="314" t="s">
        <v>409</v>
      </c>
      <c r="K38" s="304"/>
      <c r="L38" s="304" t="s">
        <v>586</v>
      </c>
      <c r="M38" s="304"/>
      <c r="N38" s="318" t="s">
        <v>18</v>
      </c>
      <c r="O38" s="311"/>
    </row>
    <row r="39" spans="1:15" ht="66" hidden="1">
      <c r="A39" s="302">
        <v>37</v>
      </c>
      <c r="B39" s="300" t="s">
        <v>645</v>
      </c>
      <c r="C39" s="233" t="s">
        <v>654</v>
      </c>
      <c r="D39" s="300" t="s">
        <v>704</v>
      </c>
      <c r="E39" s="300" t="s">
        <v>703</v>
      </c>
      <c r="F39" s="315" t="s">
        <v>18</v>
      </c>
      <c r="G39" s="2">
        <v>2</v>
      </c>
      <c r="H39" s="2">
        <v>2</v>
      </c>
      <c r="I39" s="2">
        <f t="shared" si="1"/>
        <v>4</v>
      </c>
      <c r="J39" s="314" t="s">
        <v>409</v>
      </c>
      <c r="K39" s="304"/>
      <c r="L39" s="304" t="s">
        <v>586</v>
      </c>
      <c r="M39" s="304"/>
      <c r="N39" s="318" t="s">
        <v>18</v>
      </c>
      <c r="O39" s="311"/>
    </row>
    <row r="40" spans="1:15" ht="66" hidden="1">
      <c r="A40" s="302">
        <v>38</v>
      </c>
      <c r="B40" s="300" t="s">
        <v>645</v>
      </c>
      <c r="C40" s="233" t="s">
        <v>655</v>
      </c>
      <c r="D40" s="300" t="s">
        <v>704</v>
      </c>
      <c r="E40" s="300" t="s">
        <v>703</v>
      </c>
      <c r="F40" s="315" t="s">
        <v>18</v>
      </c>
      <c r="G40" s="2">
        <v>2</v>
      </c>
      <c r="H40" s="2">
        <v>2</v>
      </c>
      <c r="I40" s="2">
        <f t="shared" si="1"/>
        <v>4</v>
      </c>
      <c r="J40" s="314" t="s">
        <v>409</v>
      </c>
      <c r="K40" s="304"/>
      <c r="L40" s="304" t="s">
        <v>586</v>
      </c>
      <c r="M40" s="304"/>
      <c r="N40" s="318" t="s">
        <v>18</v>
      </c>
      <c r="O40" s="311"/>
    </row>
    <row r="41" spans="1:15" ht="66" hidden="1">
      <c r="A41" s="302">
        <v>39</v>
      </c>
      <c r="B41" s="300" t="s">
        <v>645</v>
      </c>
      <c r="C41" s="233" t="s">
        <v>656</v>
      </c>
      <c r="D41" s="300" t="s">
        <v>704</v>
      </c>
      <c r="E41" s="300" t="s">
        <v>703</v>
      </c>
      <c r="F41" s="315" t="s">
        <v>18</v>
      </c>
      <c r="G41" s="2">
        <v>2</v>
      </c>
      <c r="H41" s="2">
        <v>2</v>
      </c>
      <c r="I41" s="2">
        <f t="shared" si="1"/>
        <v>4</v>
      </c>
      <c r="J41" s="314" t="s">
        <v>409</v>
      </c>
      <c r="K41" s="304"/>
      <c r="L41" s="304" t="s">
        <v>586</v>
      </c>
      <c r="M41" s="304"/>
      <c r="N41" s="318" t="s">
        <v>18</v>
      </c>
      <c r="O41" s="311"/>
    </row>
    <row r="42" spans="1:15" ht="66" hidden="1">
      <c r="A42" s="302">
        <v>40</v>
      </c>
      <c r="B42" s="300" t="s">
        <v>645</v>
      </c>
      <c r="C42" s="233" t="s">
        <v>657</v>
      </c>
      <c r="D42" s="300" t="s">
        <v>704</v>
      </c>
      <c r="E42" s="300" t="s">
        <v>703</v>
      </c>
      <c r="F42" s="315" t="s">
        <v>18</v>
      </c>
      <c r="G42" s="2">
        <v>2</v>
      </c>
      <c r="H42" s="2">
        <v>2</v>
      </c>
      <c r="I42" s="2">
        <f t="shared" si="1"/>
        <v>4</v>
      </c>
      <c r="J42" s="314" t="s">
        <v>409</v>
      </c>
      <c r="K42" s="304"/>
      <c r="L42" s="304" t="s">
        <v>586</v>
      </c>
      <c r="M42" s="304"/>
      <c r="N42" s="318" t="s">
        <v>18</v>
      </c>
      <c r="O42" s="311"/>
    </row>
    <row r="43" spans="1:15" ht="66" hidden="1">
      <c r="A43" s="302">
        <v>41</v>
      </c>
      <c r="B43" s="300" t="s">
        <v>645</v>
      </c>
      <c r="C43" s="233" t="s">
        <v>658</v>
      </c>
      <c r="D43" s="300" t="s">
        <v>704</v>
      </c>
      <c r="E43" s="300" t="s">
        <v>703</v>
      </c>
      <c r="F43" s="315" t="s">
        <v>18</v>
      </c>
      <c r="G43" s="2">
        <v>2</v>
      </c>
      <c r="H43" s="2">
        <v>2</v>
      </c>
      <c r="I43" s="2">
        <f t="shared" si="1"/>
        <v>4</v>
      </c>
      <c r="J43" s="314" t="s">
        <v>409</v>
      </c>
      <c r="K43" s="304"/>
      <c r="L43" s="304" t="s">
        <v>586</v>
      </c>
      <c r="M43" s="304"/>
      <c r="N43" s="318" t="s">
        <v>18</v>
      </c>
      <c r="O43" s="311"/>
    </row>
    <row r="44" spans="1:15" ht="66" hidden="1">
      <c r="A44" s="302">
        <v>42</v>
      </c>
      <c r="B44" s="300" t="s">
        <v>645</v>
      </c>
      <c r="C44" s="233" t="s">
        <v>659</v>
      </c>
      <c r="D44" s="300" t="s">
        <v>704</v>
      </c>
      <c r="E44" s="300" t="s">
        <v>703</v>
      </c>
      <c r="F44" s="315" t="s">
        <v>18</v>
      </c>
      <c r="G44" s="2">
        <v>2</v>
      </c>
      <c r="H44" s="2">
        <v>2</v>
      </c>
      <c r="I44" s="2">
        <f t="shared" si="1"/>
        <v>4</v>
      </c>
      <c r="J44" s="314" t="s">
        <v>409</v>
      </c>
      <c r="K44" s="304"/>
      <c r="L44" s="304" t="s">
        <v>586</v>
      </c>
      <c r="M44" s="304"/>
      <c r="N44" s="318" t="s">
        <v>18</v>
      </c>
      <c r="O44" s="311"/>
    </row>
    <row r="45" spans="1:15" ht="66" hidden="1">
      <c r="A45" s="302">
        <v>43</v>
      </c>
      <c r="B45" s="300" t="s">
        <v>645</v>
      </c>
      <c r="C45" s="233" t="s">
        <v>660</v>
      </c>
      <c r="D45" s="300" t="s">
        <v>704</v>
      </c>
      <c r="E45" s="300" t="s">
        <v>703</v>
      </c>
      <c r="F45" s="315" t="s">
        <v>18</v>
      </c>
      <c r="G45" s="2">
        <v>2</v>
      </c>
      <c r="H45" s="2">
        <v>2</v>
      </c>
      <c r="I45" s="2">
        <f t="shared" si="1"/>
        <v>4</v>
      </c>
      <c r="J45" s="314" t="s">
        <v>409</v>
      </c>
      <c r="K45" s="304"/>
      <c r="L45" s="304" t="s">
        <v>437</v>
      </c>
      <c r="M45" s="304"/>
      <c r="N45" s="318" t="s">
        <v>18</v>
      </c>
      <c r="O45" s="311"/>
    </row>
    <row r="46" spans="1:15" ht="66" hidden="1">
      <c r="A46" s="302">
        <v>45</v>
      </c>
      <c r="B46" s="300" t="s">
        <v>645</v>
      </c>
      <c r="C46" s="233" t="s">
        <v>661</v>
      </c>
      <c r="D46" s="300" t="s">
        <v>704</v>
      </c>
      <c r="E46" s="300" t="s">
        <v>703</v>
      </c>
      <c r="F46" s="315" t="s">
        <v>18</v>
      </c>
      <c r="G46" s="2">
        <v>2</v>
      </c>
      <c r="H46" s="2">
        <v>2</v>
      </c>
      <c r="I46" s="2">
        <f t="shared" si="1"/>
        <v>4</v>
      </c>
      <c r="J46" s="314" t="s">
        <v>409</v>
      </c>
      <c r="K46" s="304"/>
      <c r="L46" s="304" t="s">
        <v>437</v>
      </c>
      <c r="M46" s="304"/>
      <c r="N46" s="318" t="s">
        <v>18</v>
      </c>
      <c r="O46" s="311"/>
    </row>
    <row r="47" spans="1:15" ht="66" hidden="1">
      <c r="A47" s="302">
        <v>46</v>
      </c>
      <c r="B47" s="300" t="s">
        <v>645</v>
      </c>
      <c r="C47" s="233" t="s">
        <v>662</v>
      </c>
      <c r="D47" s="300" t="s">
        <v>704</v>
      </c>
      <c r="E47" s="300" t="s">
        <v>703</v>
      </c>
      <c r="F47" s="315" t="s">
        <v>18</v>
      </c>
      <c r="G47" s="2">
        <v>3</v>
      </c>
      <c r="H47" s="2">
        <v>2</v>
      </c>
      <c r="I47" s="2">
        <f t="shared" si="1"/>
        <v>6</v>
      </c>
      <c r="J47" s="314" t="s">
        <v>409</v>
      </c>
      <c r="K47" s="304"/>
      <c r="L47" s="304" t="s">
        <v>437</v>
      </c>
      <c r="M47" s="304"/>
      <c r="N47" s="318" t="s">
        <v>18</v>
      </c>
      <c r="O47" s="311"/>
    </row>
    <row r="48" spans="1:15" ht="66" hidden="1">
      <c r="A48" s="302">
        <v>47</v>
      </c>
      <c r="B48" s="300" t="s">
        <v>645</v>
      </c>
      <c r="C48" s="233" t="s">
        <v>663</v>
      </c>
      <c r="D48" s="300" t="s">
        <v>704</v>
      </c>
      <c r="E48" s="300" t="s">
        <v>703</v>
      </c>
      <c r="F48" s="315" t="s">
        <v>18</v>
      </c>
      <c r="G48" s="2">
        <v>3</v>
      </c>
      <c r="H48" s="2">
        <v>2</v>
      </c>
      <c r="I48" s="2">
        <f t="shared" si="1"/>
        <v>6</v>
      </c>
      <c r="J48" s="314" t="s">
        <v>409</v>
      </c>
      <c r="K48" s="304"/>
      <c r="L48" s="304" t="s">
        <v>437</v>
      </c>
      <c r="M48" s="304"/>
      <c r="N48" s="318" t="s">
        <v>18</v>
      </c>
      <c r="O48" s="311"/>
    </row>
    <row r="49" spans="1:15" ht="66" hidden="1">
      <c r="A49" s="302">
        <v>48</v>
      </c>
      <c r="B49" s="300" t="s">
        <v>645</v>
      </c>
      <c r="C49" s="233" t="s">
        <v>664</v>
      </c>
      <c r="D49" s="300" t="s">
        <v>704</v>
      </c>
      <c r="E49" s="300" t="s">
        <v>703</v>
      </c>
      <c r="F49" s="315" t="s">
        <v>18</v>
      </c>
      <c r="G49" s="2">
        <v>2</v>
      </c>
      <c r="H49" s="2">
        <v>2</v>
      </c>
      <c r="I49" s="2">
        <f t="shared" si="1"/>
        <v>4</v>
      </c>
      <c r="J49" s="314" t="s">
        <v>409</v>
      </c>
      <c r="K49" s="304"/>
      <c r="L49" s="304" t="s">
        <v>437</v>
      </c>
      <c r="M49" s="304"/>
      <c r="N49" s="318" t="s">
        <v>18</v>
      </c>
      <c r="O49" s="311"/>
    </row>
    <row r="50" spans="1:15" ht="49.5" hidden="1">
      <c r="A50" s="302">
        <v>49</v>
      </c>
      <c r="B50" s="233" t="s">
        <v>665</v>
      </c>
      <c r="C50" s="229" t="s">
        <v>666</v>
      </c>
      <c r="D50" s="233" t="s">
        <v>762</v>
      </c>
      <c r="E50" s="233" t="s">
        <v>667</v>
      </c>
      <c r="F50" s="315" t="s">
        <v>18</v>
      </c>
      <c r="G50" s="2">
        <v>2</v>
      </c>
      <c r="H50" s="2">
        <v>2</v>
      </c>
      <c r="I50" s="2">
        <f t="shared" si="1"/>
        <v>4</v>
      </c>
      <c r="J50" s="233" t="s">
        <v>405</v>
      </c>
      <c r="K50" s="405"/>
      <c r="L50" s="2" t="s">
        <v>408</v>
      </c>
      <c r="M50" s="304"/>
      <c r="N50" s="325">
        <v>1</v>
      </c>
      <c r="O50" s="326" t="s">
        <v>853</v>
      </c>
    </row>
    <row r="51" spans="1:15" ht="49.5" hidden="1">
      <c r="A51" s="302">
        <v>50</v>
      </c>
      <c r="B51" s="233" t="s">
        <v>665</v>
      </c>
      <c r="C51" s="229" t="s">
        <v>668</v>
      </c>
      <c r="D51" s="233" t="s">
        <v>762</v>
      </c>
      <c r="E51" s="233" t="s">
        <v>667</v>
      </c>
      <c r="F51" s="315" t="s">
        <v>18</v>
      </c>
      <c r="G51" s="2">
        <v>2</v>
      </c>
      <c r="H51" s="2">
        <v>2</v>
      </c>
      <c r="I51" s="2">
        <f t="shared" si="1"/>
        <v>4</v>
      </c>
      <c r="J51" s="233" t="s">
        <v>405</v>
      </c>
      <c r="K51" s="406"/>
      <c r="L51" s="2" t="s">
        <v>408</v>
      </c>
      <c r="M51" s="304"/>
      <c r="N51" s="325">
        <v>1</v>
      </c>
      <c r="O51" s="326" t="s">
        <v>853</v>
      </c>
    </row>
    <row r="52" spans="1:15" ht="49.5" hidden="1">
      <c r="A52" s="302">
        <v>51</v>
      </c>
      <c r="B52" s="233" t="s">
        <v>665</v>
      </c>
      <c r="C52" s="229" t="s">
        <v>669</v>
      </c>
      <c r="D52" s="233" t="s">
        <v>762</v>
      </c>
      <c r="E52" s="233" t="s">
        <v>667</v>
      </c>
      <c r="F52" s="315" t="s">
        <v>18</v>
      </c>
      <c r="G52" s="2">
        <v>2</v>
      </c>
      <c r="H52" s="2">
        <v>2</v>
      </c>
      <c r="I52" s="2">
        <f t="shared" si="1"/>
        <v>4</v>
      </c>
      <c r="J52" s="233" t="s">
        <v>405</v>
      </c>
      <c r="K52" s="407"/>
      <c r="L52" s="2" t="s">
        <v>408</v>
      </c>
      <c r="M52" s="304"/>
      <c r="N52" s="325">
        <v>1</v>
      </c>
      <c r="O52" s="326" t="s">
        <v>853</v>
      </c>
    </row>
    <row r="53" spans="1:15" ht="49.5" hidden="1">
      <c r="A53" s="302">
        <v>52</v>
      </c>
      <c r="B53" s="233" t="s">
        <v>665</v>
      </c>
      <c r="C53" s="233" t="s">
        <v>670</v>
      </c>
      <c r="D53" s="233" t="s">
        <v>762</v>
      </c>
      <c r="E53" s="233" t="s">
        <v>667</v>
      </c>
      <c r="F53" s="315" t="s">
        <v>18</v>
      </c>
      <c r="G53" s="2">
        <v>2</v>
      </c>
      <c r="H53" s="2">
        <v>2</v>
      </c>
      <c r="I53" s="2">
        <f t="shared" si="1"/>
        <v>4</v>
      </c>
      <c r="J53" s="233" t="s">
        <v>405</v>
      </c>
      <c r="K53" s="405"/>
      <c r="L53" s="304" t="s">
        <v>407</v>
      </c>
      <c r="M53" s="304"/>
      <c r="N53" s="325">
        <v>1</v>
      </c>
      <c r="O53" s="326" t="s">
        <v>853</v>
      </c>
    </row>
    <row r="54" spans="1:15" ht="49.5" hidden="1">
      <c r="A54" s="302">
        <v>53</v>
      </c>
      <c r="B54" s="233" t="s">
        <v>665</v>
      </c>
      <c r="C54" s="233" t="s">
        <v>671</v>
      </c>
      <c r="D54" s="233" t="s">
        <v>762</v>
      </c>
      <c r="E54" s="233" t="s">
        <v>667</v>
      </c>
      <c r="F54" s="315" t="s">
        <v>18</v>
      </c>
      <c r="G54" s="2">
        <v>2</v>
      </c>
      <c r="H54" s="2">
        <v>2</v>
      </c>
      <c r="I54" s="2">
        <f t="shared" si="1"/>
        <v>4</v>
      </c>
      <c r="J54" s="233" t="s">
        <v>405</v>
      </c>
      <c r="K54" s="406"/>
      <c r="L54" s="304" t="s">
        <v>407</v>
      </c>
      <c r="M54" s="304"/>
      <c r="N54" s="325">
        <v>1</v>
      </c>
      <c r="O54" s="326" t="s">
        <v>853</v>
      </c>
    </row>
    <row r="55" spans="1:15" ht="49.5" hidden="1">
      <c r="A55" s="302">
        <v>54</v>
      </c>
      <c r="B55" s="233" t="s">
        <v>665</v>
      </c>
      <c r="C55" s="233" t="s">
        <v>672</v>
      </c>
      <c r="D55" s="233" t="s">
        <v>762</v>
      </c>
      <c r="E55" s="233" t="s">
        <v>667</v>
      </c>
      <c r="F55" s="315" t="s">
        <v>18</v>
      </c>
      <c r="G55" s="2">
        <v>2</v>
      </c>
      <c r="H55" s="2">
        <v>2</v>
      </c>
      <c r="I55" s="2">
        <f t="shared" si="1"/>
        <v>4</v>
      </c>
      <c r="J55" s="233" t="s">
        <v>405</v>
      </c>
      <c r="K55" s="407"/>
      <c r="L55" s="304" t="s">
        <v>407</v>
      </c>
      <c r="M55" s="304"/>
      <c r="N55" s="325">
        <v>1</v>
      </c>
      <c r="O55" s="326" t="s">
        <v>853</v>
      </c>
    </row>
    <row r="56" spans="1:15" ht="49.5">
      <c r="A56" s="302">
        <v>55</v>
      </c>
      <c r="B56" s="233" t="s">
        <v>665</v>
      </c>
      <c r="C56" s="233" t="s">
        <v>673</v>
      </c>
      <c r="D56" s="233" t="s">
        <v>762</v>
      </c>
      <c r="E56" s="233" t="s">
        <v>667</v>
      </c>
      <c r="F56" s="315" t="s">
        <v>18</v>
      </c>
      <c r="G56" s="2">
        <v>2</v>
      </c>
      <c r="H56" s="2">
        <v>2</v>
      </c>
      <c r="I56" s="2">
        <f t="shared" si="1"/>
        <v>4</v>
      </c>
      <c r="J56" s="233" t="s">
        <v>405</v>
      </c>
      <c r="K56" s="405"/>
      <c r="L56" s="304" t="s">
        <v>406</v>
      </c>
      <c r="M56" s="304"/>
      <c r="N56" s="325">
        <v>1</v>
      </c>
      <c r="O56" s="326" t="s">
        <v>853</v>
      </c>
    </row>
    <row r="57" spans="1:15" ht="49.5">
      <c r="A57" s="302">
        <v>56</v>
      </c>
      <c r="B57" s="233" t="s">
        <v>665</v>
      </c>
      <c r="C57" s="233" t="s">
        <v>674</v>
      </c>
      <c r="D57" s="233" t="s">
        <v>762</v>
      </c>
      <c r="E57" s="233" t="s">
        <v>667</v>
      </c>
      <c r="F57" s="315" t="s">
        <v>18</v>
      </c>
      <c r="G57" s="2">
        <v>2</v>
      </c>
      <c r="H57" s="2">
        <v>2</v>
      </c>
      <c r="I57" s="2">
        <f t="shared" si="1"/>
        <v>4</v>
      </c>
      <c r="J57" s="233" t="s">
        <v>405</v>
      </c>
      <c r="K57" s="406"/>
      <c r="L57" s="304" t="s">
        <v>406</v>
      </c>
      <c r="M57" s="304"/>
      <c r="N57" s="325">
        <v>1</v>
      </c>
      <c r="O57" s="326" t="s">
        <v>853</v>
      </c>
    </row>
    <row r="58" spans="1:15" ht="49.5">
      <c r="A58" s="302">
        <v>57</v>
      </c>
      <c r="B58" s="233" t="s">
        <v>665</v>
      </c>
      <c r="C58" s="233" t="s">
        <v>675</v>
      </c>
      <c r="D58" s="233" t="s">
        <v>762</v>
      </c>
      <c r="E58" s="233" t="s">
        <v>667</v>
      </c>
      <c r="F58" s="315" t="s">
        <v>18</v>
      </c>
      <c r="G58" s="2">
        <v>2</v>
      </c>
      <c r="H58" s="2">
        <v>2</v>
      </c>
      <c r="I58" s="2">
        <f t="shared" si="1"/>
        <v>4</v>
      </c>
      <c r="J58" s="233" t="s">
        <v>405</v>
      </c>
      <c r="K58" s="407"/>
      <c r="L58" s="304" t="s">
        <v>406</v>
      </c>
      <c r="M58" s="304"/>
      <c r="N58" s="325">
        <v>1</v>
      </c>
      <c r="O58" s="326" t="s">
        <v>853</v>
      </c>
    </row>
    <row r="59" spans="1:15" ht="49.5">
      <c r="A59" s="302">
        <v>58</v>
      </c>
      <c r="B59" s="233" t="s">
        <v>665</v>
      </c>
      <c r="C59" s="233" t="s">
        <v>676</v>
      </c>
      <c r="D59" s="233" t="s">
        <v>762</v>
      </c>
      <c r="E59" s="233" t="s">
        <v>667</v>
      </c>
      <c r="F59" s="315" t="s">
        <v>18</v>
      </c>
      <c r="G59" s="2">
        <v>2</v>
      </c>
      <c r="H59" s="2">
        <v>2</v>
      </c>
      <c r="I59" s="2">
        <f t="shared" si="1"/>
        <v>4</v>
      </c>
      <c r="J59" s="233" t="s">
        <v>405</v>
      </c>
      <c r="K59" s="304"/>
      <c r="L59" s="304" t="s">
        <v>406</v>
      </c>
      <c r="M59" s="304"/>
      <c r="N59" s="325">
        <v>1</v>
      </c>
      <c r="O59" s="326" t="s">
        <v>853</v>
      </c>
    </row>
    <row r="60" spans="1:15" ht="49.5" hidden="1">
      <c r="A60" s="302">
        <v>59</v>
      </c>
      <c r="B60" s="233" t="s">
        <v>677</v>
      </c>
      <c r="C60" s="233" t="s">
        <v>678</v>
      </c>
      <c r="D60" s="233" t="s">
        <v>762</v>
      </c>
      <c r="E60" s="233" t="s">
        <v>679</v>
      </c>
      <c r="F60" s="315" t="s">
        <v>18</v>
      </c>
      <c r="G60" s="2">
        <v>2</v>
      </c>
      <c r="H60" s="2">
        <v>2</v>
      </c>
      <c r="I60" s="2">
        <f t="shared" si="1"/>
        <v>4</v>
      </c>
      <c r="J60" s="233" t="s">
        <v>409</v>
      </c>
      <c r="K60" s="405"/>
      <c r="L60" s="304" t="s">
        <v>588</v>
      </c>
      <c r="M60" s="304"/>
      <c r="N60" s="318" t="s">
        <v>18</v>
      </c>
      <c r="O60" s="311"/>
    </row>
    <row r="61" spans="1:15" ht="49.5" hidden="1">
      <c r="A61" s="302">
        <v>60</v>
      </c>
      <c r="B61" s="233" t="s">
        <v>677</v>
      </c>
      <c r="C61" s="233" t="s">
        <v>680</v>
      </c>
      <c r="D61" s="233" t="s">
        <v>762</v>
      </c>
      <c r="E61" s="233" t="s">
        <v>679</v>
      </c>
      <c r="F61" s="315" t="s">
        <v>18</v>
      </c>
      <c r="G61" s="2">
        <v>2</v>
      </c>
      <c r="H61" s="2">
        <v>2</v>
      </c>
      <c r="I61" s="2">
        <f t="shared" si="1"/>
        <v>4</v>
      </c>
      <c r="J61" s="233" t="s">
        <v>409</v>
      </c>
      <c r="K61" s="407"/>
      <c r="L61" s="304" t="s">
        <v>588</v>
      </c>
      <c r="M61" s="304"/>
      <c r="N61" s="318" t="s">
        <v>18</v>
      </c>
      <c r="O61" s="311"/>
    </row>
    <row r="62" spans="1:15" ht="49.5" hidden="1">
      <c r="A62" s="302">
        <v>61</v>
      </c>
      <c r="B62" s="233" t="s">
        <v>677</v>
      </c>
      <c r="C62" s="233" t="s">
        <v>681</v>
      </c>
      <c r="D62" s="233" t="s">
        <v>762</v>
      </c>
      <c r="E62" s="233" t="s">
        <v>682</v>
      </c>
      <c r="F62" s="315" t="s">
        <v>18</v>
      </c>
      <c r="G62" s="2">
        <v>2</v>
      </c>
      <c r="H62" s="2">
        <v>2</v>
      </c>
      <c r="I62" s="2">
        <f t="shared" si="1"/>
        <v>4</v>
      </c>
      <c r="J62" s="233" t="s">
        <v>405</v>
      </c>
      <c r="K62" s="304"/>
      <c r="L62" s="304" t="s">
        <v>588</v>
      </c>
      <c r="M62" s="304"/>
      <c r="N62" s="318" t="s">
        <v>18</v>
      </c>
      <c r="O62" s="311"/>
    </row>
    <row r="63" spans="1:15" ht="49.5" hidden="1">
      <c r="A63" s="302">
        <v>62</v>
      </c>
      <c r="B63" s="233" t="s">
        <v>677</v>
      </c>
      <c r="C63" s="233" t="s">
        <v>683</v>
      </c>
      <c r="D63" s="233" t="s">
        <v>762</v>
      </c>
      <c r="E63" s="233" t="s">
        <v>682</v>
      </c>
      <c r="F63" s="315" t="s">
        <v>18</v>
      </c>
      <c r="G63" s="2">
        <v>2</v>
      </c>
      <c r="H63" s="2">
        <v>2</v>
      </c>
      <c r="I63" s="2">
        <f t="shared" si="1"/>
        <v>4</v>
      </c>
      <c r="J63" s="233" t="s">
        <v>405</v>
      </c>
      <c r="K63" s="304"/>
      <c r="L63" s="304" t="s">
        <v>588</v>
      </c>
      <c r="M63" s="304"/>
      <c r="N63" s="318" t="s">
        <v>18</v>
      </c>
      <c r="O63" s="311"/>
    </row>
    <row r="64" spans="1:15" ht="49.5" hidden="1">
      <c r="A64" s="302">
        <v>63</v>
      </c>
      <c r="B64" s="233" t="s">
        <v>684</v>
      </c>
      <c r="C64" s="233" t="s">
        <v>685</v>
      </c>
      <c r="D64" s="233" t="s">
        <v>762</v>
      </c>
      <c r="E64" s="233" t="s">
        <v>667</v>
      </c>
      <c r="F64" s="315" t="s">
        <v>18</v>
      </c>
      <c r="G64" s="2">
        <v>8</v>
      </c>
      <c r="H64" s="2">
        <v>2</v>
      </c>
      <c r="I64" s="2">
        <f t="shared" si="1"/>
        <v>16</v>
      </c>
      <c r="J64" s="233" t="s">
        <v>405</v>
      </c>
      <c r="K64" s="304"/>
      <c r="L64" s="304" t="s">
        <v>458</v>
      </c>
      <c r="M64" s="304"/>
      <c r="N64" s="318" t="s">
        <v>18</v>
      </c>
      <c r="O64" s="311"/>
    </row>
    <row r="65" spans="1:15" ht="33" hidden="1">
      <c r="A65" s="302">
        <v>64</v>
      </c>
      <c r="B65" s="233" t="s">
        <v>709</v>
      </c>
      <c r="C65" s="233" t="s">
        <v>710</v>
      </c>
      <c r="D65" s="306" t="s">
        <v>763</v>
      </c>
      <c r="E65" s="306" t="s">
        <v>711</v>
      </c>
      <c r="F65" s="315" t="s">
        <v>18</v>
      </c>
      <c r="G65" s="2">
        <v>8</v>
      </c>
      <c r="H65" s="2">
        <v>2</v>
      </c>
      <c r="I65" s="2">
        <f t="shared" si="1"/>
        <v>16</v>
      </c>
      <c r="J65" s="304" t="s">
        <v>409</v>
      </c>
      <c r="K65" s="405"/>
      <c r="L65" s="2" t="s">
        <v>408</v>
      </c>
      <c r="M65" s="304"/>
      <c r="N65" s="325">
        <v>1</v>
      </c>
      <c r="O65" s="326" t="s">
        <v>853</v>
      </c>
    </row>
    <row r="66" spans="1:15" ht="33" hidden="1">
      <c r="A66" s="302">
        <v>65</v>
      </c>
      <c r="B66" s="233" t="s">
        <v>709</v>
      </c>
      <c r="C66" s="233" t="s">
        <v>712</v>
      </c>
      <c r="D66" s="306" t="s">
        <v>763</v>
      </c>
      <c r="E66" s="306" t="s">
        <v>711</v>
      </c>
      <c r="F66" s="315" t="s">
        <v>18</v>
      </c>
      <c r="G66" s="2">
        <v>8</v>
      </c>
      <c r="H66" s="2">
        <v>2</v>
      </c>
      <c r="I66" s="2">
        <f t="shared" si="1"/>
        <v>16</v>
      </c>
      <c r="J66" s="304" t="s">
        <v>409</v>
      </c>
      <c r="K66" s="406"/>
      <c r="L66" s="304" t="s">
        <v>407</v>
      </c>
      <c r="M66" s="304"/>
      <c r="N66" s="325">
        <v>1</v>
      </c>
      <c r="O66" s="326" t="s">
        <v>853</v>
      </c>
    </row>
    <row r="67" spans="1:15" ht="33">
      <c r="A67" s="302">
        <v>66</v>
      </c>
      <c r="B67" s="233" t="s">
        <v>709</v>
      </c>
      <c r="C67" s="233" t="s">
        <v>713</v>
      </c>
      <c r="D67" s="306" t="s">
        <v>763</v>
      </c>
      <c r="E67" s="306" t="s">
        <v>714</v>
      </c>
      <c r="F67" s="315" t="s">
        <v>18</v>
      </c>
      <c r="G67" s="2">
        <v>8</v>
      </c>
      <c r="H67" s="2">
        <v>2</v>
      </c>
      <c r="I67" s="2">
        <f t="shared" si="1"/>
        <v>16</v>
      </c>
      <c r="J67" s="304" t="s">
        <v>409</v>
      </c>
      <c r="K67" s="407"/>
      <c r="L67" s="304" t="s">
        <v>406</v>
      </c>
      <c r="M67" s="304"/>
      <c r="N67" s="325">
        <v>1</v>
      </c>
      <c r="O67" s="326" t="s">
        <v>853</v>
      </c>
    </row>
    <row r="68" spans="1:15" ht="82.5" hidden="1">
      <c r="A68" s="302">
        <v>67</v>
      </c>
      <c r="B68" s="304" t="s">
        <v>715</v>
      </c>
      <c r="C68" s="233" t="s">
        <v>716</v>
      </c>
      <c r="D68" s="233" t="s">
        <v>764</v>
      </c>
      <c r="E68" s="233" t="s">
        <v>717</v>
      </c>
      <c r="F68" s="315" t="s">
        <v>18</v>
      </c>
      <c r="G68" s="2">
        <v>4</v>
      </c>
      <c r="H68" s="2">
        <v>2</v>
      </c>
      <c r="I68" s="2">
        <f t="shared" si="1"/>
        <v>8</v>
      </c>
      <c r="J68" s="304" t="s">
        <v>409</v>
      </c>
      <c r="K68" s="405"/>
      <c r="L68" s="304" t="s">
        <v>588</v>
      </c>
      <c r="M68" s="304"/>
      <c r="N68" s="318" t="s">
        <v>18</v>
      </c>
      <c r="O68" s="311"/>
    </row>
    <row r="69" spans="1:15" ht="82.5" hidden="1">
      <c r="A69" s="302">
        <v>68</v>
      </c>
      <c r="B69" s="304" t="s">
        <v>715</v>
      </c>
      <c r="C69" s="233" t="s">
        <v>718</v>
      </c>
      <c r="D69" s="233" t="s">
        <v>764</v>
      </c>
      <c r="E69" s="233" t="s">
        <v>717</v>
      </c>
      <c r="F69" s="315" t="s">
        <v>18</v>
      </c>
      <c r="G69" s="2">
        <v>4</v>
      </c>
      <c r="H69" s="2">
        <v>2</v>
      </c>
      <c r="I69" s="2">
        <f t="shared" si="1"/>
        <v>8</v>
      </c>
      <c r="J69" s="304" t="s">
        <v>409</v>
      </c>
      <c r="K69" s="406"/>
      <c r="L69" s="304" t="s">
        <v>588</v>
      </c>
      <c r="M69" s="304"/>
      <c r="N69" s="318" t="s">
        <v>18</v>
      </c>
      <c r="O69" s="311"/>
    </row>
    <row r="70" spans="1:15" ht="82.5" hidden="1">
      <c r="A70" s="302">
        <v>69</v>
      </c>
      <c r="B70" s="304" t="s">
        <v>715</v>
      </c>
      <c r="C70" s="233" t="s">
        <v>719</v>
      </c>
      <c r="D70" s="233" t="s">
        <v>764</v>
      </c>
      <c r="E70" s="233" t="s">
        <v>717</v>
      </c>
      <c r="F70" s="315" t="s">
        <v>18</v>
      </c>
      <c r="G70" s="2">
        <v>4</v>
      </c>
      <c r="H70" s="2">
        <v>2</v>
      </c>
      <c r="I70" s="2">
        <f t="shared" si="1"/>
        <v>8</v>
      </c>
      <c r="J70" s="304" t="s">
        <v>409</v>
      </c>
      <c r="K70" s="406"/>
      <c r="L70" s="304" t="s">
        <v>458</v>
      </c>
      <c r="M70" s="304"/>
      <c r="N70" s="318" t="s">
        <v>18</v>
      </c>
      <c r="O70" s="311"/>
    </row>
    <row r="71" spans="1:15" ht="82.5" hidden="1">
      <c r="A71" s="302">
        <v>70</v>
      </c>
      <c r="B71" s="304" t="s">
        <v>715</v>
      </c>
      <c r="C71" s="233" t="s">
        <v>720</v>
      </c>
      <c r="D71" s="233" t="s">
        <v>764</v>
      </c>
      <c r="E71" s="233" t="s">
        <v>717</v>
      </c>
      <c r="F71" s="315" t="s">
        <v>18</v>
      </c>
      <c r="G71" s="2">
        <v>4</v>
      </c>
      <c r="H71" s="2">
        <v>2</v>
      </c>
      <c r="I71" s="2">
        <f t="shared" si="1"/>
        <v>8</v>
      </c>
      <c r="J71" s="304" t="s">
        <v>409</v>
      </c>
      <c r="K71" s="407"/>
      <c r="L71" s="304" t="s">
        <v>458</v>
      </c>
      <c r="M71" s="304"/>
      <c r="N71" s="318" t="s">
        <v>18</v>
      </c>
      <c r="O71" s="311"/>
    </row>
    <row r="72" spans="1:15" ht="33" hidden="1">
      <c r="A72" s="302">
        <v>72</v>
      </c>
      <c r="B72" s="304" t="s">
        <v>721</v>
      </c>
      <c r="C72" s="233" t="s">
        <v>765</v>
      </c>
      <c r="D72" s="233" t="s">
        <v>766</v>
      </c>
      <c r="E72" s="233" t="s">
        <v>722</v>
      </c>
      <c r="F72" s="315" t="s">
        <v>18</v>
      </c>
      <c r="G72" s="2">
        <v>16</v>
      </c>
      <c r="H72" s="2">
        <v>2</v>
      </c>
      <c r="I72" s="2">
        <f t="shared" si="1"/>
        <v>32</v>
      </c>
      <c r="J72" s="304" t="s">
        <v>409</v>
      </c>
      <c r="K72" s="304"/>
      <c r="L72" s="304" t="s">
        <v>586</v>
      </c>
      <c r="M72" s="304"/>
      <c r="N72" s="318" t="s">
        <v>18</v>
      </c>
      <c r="O72" s="311"/>
    </row>
  </sheetData>
  <autoFilter ref="A2:M72" xr:uid="{8268B369-BD22-408C-974B-6327B991021B}">
    <filterColumn colId="11">
      <filters>
        <filter val="Tháng 5"/>
      </filters>
    </filterColumn>
  </autoFilter>
  <mergeCells count="8">
    <mergeCell ref="N1:O1"/>
    <mergeCell ref="K65:K67"/>
    <mergeCell ref="K68:K71"/>
    <mergeCell ref="A1:M1"/>
    <mergeCell ref="K50:K52"/>
    <mergeCell ref="K53:K55"/>
    <mergeCell ref="K56:K58"/>
    <mergeCell ref="K60:K61"/>
  </mergeCells>
  <conditionalFormatting sqref="C2">
    <cfRule type="duplicateValues" dxfId="56" priority="1"/>
  </conditionalFormatting>
  <conditionalFormatting sqref="C3:C64">
    <cfRule type="duplicateValues" dxfId="55" priority="2"/>
  </conditionalFormatting>
  <conditionalFormatting sqref="C68:C72">
    <cfRule type="duplicateValues" dxfId="54" priority="3"/>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CA531-B6B3-472F-A555-1433926B676A}">
  <sheetPr filterMode="1">
    <tabColor theme="9" tint="0.59999389629810485"/>
  </sheetPr>
  <dimension ref="A1:T16"/>
  <sheetViews>
    <sheetView topLeftCell="D1" zoomScale="70" zoomScaleNormal="70" workbookViewId="0">
      <selection activeCell="S2" sqref="S2:T2"/>
    </sheetView>
  </sheetViews>
  <sheetFormatPr defaultRowHeight="15"/>
  <cols>
    <col min="1" max="1" width="5.5703125" customWidth="1"/>
    <col min="2" max="2" width="18.42578125" customWidth="1"/>
    <col min="3" max="3" width="31.28515625" customWidth="1"/>
    <col min="4" max="4" width="57.42578125" customWidth="1"/>
    <col min="5" max="5" width="13" customWidth="1"/>
    <col min="6" max="6" width="11.28515625" customWidth="1"/>
    <col min="7" max="7" width="11.85546875" customWidth="1"/>
    <col min="8" max="8" width="10.7109375" customWidth="1"/>
    <col min="9" max="9" width="7.5703125" customWidth="1"/>
    <col min="10" max="10" width="10.140625" customWidth="1"/>
    <col min="11" max="11" width="18.42578125" customWidth="1"/>
    <col min="12" max="12" width="12.7109375" customWidth="1"/>
    <col min="13" max="13" width="11.28515625" customWidth="1"/>
    <col min="14" max="14" width="8.7109375" customWidth="1"/>
    <col min="15" max="16" width="13.28515625" customWidth="1"/>
    <col min="17" max="17" width="19.7109375" customWidth="1"/>
    <col min="18" max="18" width="16.28515625" hidden="1" customWidth="1"/>
    <col min="19" max="19" width="23.28515625" customWidth="1"/>
    <col min="20" max="20" width="26.7109375" customWidth="1"/>
  </cols>
  <sheetData>
    <row r="1" spans="1:20" ht="54" customHeight="1">
      <c r="A1" s="411" t="s">
        <v>598</v>
      </c>
      <c r="B1" s="411"/>
      <c r="C1" s="411"/>
      <c r="D1" s="411"/>
      <c r="E1" s="411"/>
      <c r="F1" s="411"/>
      <c r="G1" s="411"/>
      <c r="H1" s="411"/>
      <c r="I1" s="411"/>
      <c r="J1" s="411"/>
      <c r="K1" s="411"/>
      <c r="L1" s="411"/>
      <c r="M1" s="411"/>
      <c r="N1" s="411"/>
      <c r="O1" s="411"/>
      <c r="P1" s="411"/>
      <c r="Q1" s="411"/>
    </row>
    <row r="2" spans="1:20" ht="30" customHeight="1">
      <c r="A2" s="413" t="s">
        <v>0</v>
      </c>
      <c r="B2" s="414" t="s">
        <v>507</v>
      </c>
      <c r="C2" s="415" t="s">
        <v>410</v>
      </c>
      <c r="D2" s="415" t="s">
        <v>411</v>
      </c>
      <c r="E2" s="413" t="s">
        <v>412</v>
      </c>
      <c r="F2" s="413"/>
      <c r="G2" s="413"/>
      <c r="H2" s="413"/>
      <c r="I2" s="413"/>
      <c r="J2" s="415" t="s">
        <v>508</v>
      </c>
      <c r="K2" s="412" t="s">
        <v>509</v>
      </c>
      <c r="L2" s="409" t="s">
        <v>413</v>
      </c>
      <c r="M2" s="409" t="s">
        <v>510</v>
      </c>
      <c r="N2" s="409" t="s">
        <v>511</v>
      </c>
      <c r="O2" s="409" t="s">
        <v>512</v>
      </c>
      <c r="P2" s="409" t="s">
        <v>513</v>
      </c>
      <c r="Q2" s="409" t="s">
        <v>5</v>
      </c>
      <c r="S2" s="401" t="s">
        <v>863</v>
      </c>
      <c r="T2" s="401"/>
    </row>
    <row r="3" spans="1:20" ht="82.5">
      <c r="A3" s="413"/>
      <c r="B3" s="414"/>
      <c r="C3" s="415"/>
      <c r="D3" s="415"/>
      <c r="E3" s="271" t="s">
        <v>414</v>
      </c>
      <c r="F3" s="271" t="s">
        <v>415</v>
      </c>
      <c r="G3" s="271" t="s">
        <v>416</v>
      </c>
      <c r="H3" s="271" t="s">
        <v>417</v>
      </c>
      <c r="I3" s="271" t="s">
        <v>418</v>
      </c>
      <c r="J3" s="415"/>
      <c r="K3" s="412"/>
      <c r="L3" s="409"/>
      <c r="M3" s="409"/>
      <c r="N3" s="409"/>
      <c r="O3" s="410"/>
      <c r="P3" s="410"/>
      <c r="Q3" s="410"/>
      <c r="S3" s="317" t="s">
        <v>2</v>
      </c>
      <c r="T3" s="317" t="s">
        <v>799</v>
      </c>
    </row>
    <row r="4" spans="1:20" ht="99">
      <c r="A4" s="2">
        <v>1</v>
      </c>
      <c r="B4" s="272" t="s">
        <v>514</v>
      </c>
      <c r="C4" s="233" t="s">
        <v>515</v>
      </c>
      <c r="D4" s="233" t="s">
        <v>516</v>
      </c>
      <c r="E4" s="273"/>
      <c r="F4" s="273"/>
      <c r="G4" s="227">
        <v>15</v>
      </c>
      <c r="H4" s="273"/>
      <c r="I4" s="273"/>
      <c r="J4" s="274">
        <v>15</v>
      </c>
      <c r="K4" s="233" t="s">
        <v>517</v>
      </c>
      <c r="L4" s="275" t="s">
        <v>518</v>
      </c>
      <c r="M4" s="227">
        <v>6</v>
      </c>
      <c r="N4" s="276">
        <v>5</v>
      </c>
      <c r="O4" s="277" t="s">
        <v>565</v>
      </c>
      <c r="P4" s="277" t="s">
        <v>566</v>
      </c>
      <c r="Q4" s="270" t="s">
        <v>582</v>
      </c>
      <c r="R4" s="319" t="s">
        <v>587</v>
      </c>
      <c r="S4" s="332" t="s">
        <v>854</v>
      </c>
      <c r="T4" s="326" t="s">
        <v>853</v>
      </c>
    </row>
    <row r="5" spans="1:20" ht="99">
      <c r="A5" s="2">
        <v>2</v>
      </c>
      <c r="B5" s="272" t="s">
        <v>519</v>
      </c>
      <c r="C5" s="233" t="s">
        <v>520</v>
      </c>
      <c r="D5" s="233" t="s">
        <v>521</v>
      </c>
      <c r="E5" s="273"/>
      <c r="F5" s="273"/>
      <c r="G5" s="227">
        <v>15</v>
      </c>
      <c r="H5" s="273"/>
      <c r="I5" s="273"/>
      <c r="J5" s="274">
        <v>15</v>
      </c>
      <c r="K5" s="233" t="s">
        <v>517</v>
      </c>
      <c r="L5" s="275" t="s">
        <v>518</v>
      </c>
      <c r="M5" s="227">
        <v>6</v>
      </c>
      <c r="N5" s="276">
        <v>5</v>
      </c>
      <c r="O5" s="320" t="s">
        <v>567</v>
      </c>
      <c r="P5" s="320" t="s">
        <v>568</v>
      </c>
      <c r="Q5" s="321" t="s">
        <v>582</v>
      </c>
      <c r="R5" s="289" t="s">
        <v>408</v>
      </c>
      <c r="S5" s="332" t="s">
        <v>854</v>
      </c>
      <c r="T5" s="326" t="s">
        <v>853</v>
      </c>
    </row>
    <row r="6" spans="1:20" ht="99">
      <c r="A6" s="2">
        <v>3</v>
      </c>
      <c r="B6" s="278" t="s">
        <v>522</v>
      </c>
      <c r="C6" s="279" t="s">
        <v>523</v>
      </c>
      <c r="D6" s="279" t="s">
        <v>524</v>
      </c>
      <c r="E6" s="280"/>
      <c r="F6" s="280"/>
      <c r="G6" s="281">
        <v>15</v>
      </c>
      <c r="H6" s="280"/>
      <c r="I6" s="280"/>
      <c r="J6" s="282">
        <v>15</v>
      </c>
      <c r="K6" s="279" t="s">
        <v>525</v>
      </c>
      <c r="L6" s="283" t="s">
        <v>526</v>
      </c>
      <c r="M6" s="281">
        <v>6</v>
      </c>
      <c r="N6" s="284">
        <v>5</v>
      </c>
      <c r="O6" s="285" t="s">
        <v>567</v>
      </c>
      <c r="P6" s="285" t="s">
        <v>568</v>
      </c>
      <c r="Q6" s="270" t="s">
        <v>583</v>
      </c>
      <c r="R6" s="289" t="s">
        <v>408</v>
      </c>
      <c r="S6" s="332" t="s">
        <v>854</v>
      </c>
      <c r="T6" s="326" t="s">
        <v>853</v>
      </c>
    </row>
    <row r="7" spans="1:20" ht="99">
      <c r="A7" s="2">
        <v>4</v>
      </c>
      <c r="B7" s="272" t="s">
        <v>527</v>
      </c>
      <c r="C7" s="229" t="s">
        <v>528</v>
      </c>
      <c r="D7" s="229" t="s">
        <v>529</v>
      </c>
      <c r="E7" s="227"/>
      <c r="F7" s="227"/>
      <c r="G7" s="227">
        <v>30</v>
      </c>
      <c r="H7" s="227"/>
      <c r="I7" s="227"/>
      <c r="J7" s="274">
        <v>30</v>
      </c>
      <c r="K7" s="233" t="s">
        <v>530</v>
      </c>
      <c r="L7" s="286" t="s">
        <v>531</v>
      </c>
      <c r="M7" s="227">
        <v>6</v>
      </c>
      <c r="N7" s="227">
        <v>10</v>
      </c>
      <c r="O7" s="277" t="s">
        <v>569</v>
      </c>
      <c r="P7" s="277" t="s">
        <v>570</v>
      </c>
      <c r="Q7" s="270" t="s">
        <v>582</v>
      </c>
      <c r="R7" s="289" t="s">
        <v>407</v>
      </c>
      <c r="S7" s="332" t="s">
        <v>854</v>
      </c>
      <c r="T7" s="326" t="s">
        <v>853</v>
      </c>
    </row>
    <row r="8" spans="1:20" ht="99">
      <c r="A8" s="2">
        <v>5</v>
      </c>
      <c r="B8" s="272" t="s">
        <v>532</v>
      </c>
      <c r="C8" s="229" t="s">
        <v>533</v>
      </c>
      <c r="D8" s="229" t="s">
        <v>534</v>
      </c>
      <c r="E8" s="227"/>
      <c r="F8" s="227"/>
      <c r="G8" s="227">
        <v>30</v>
      </c>
      <c r="H8" s="227"/>
      <c r="I8" s="227"/>
      <c r="J8" s="274">
        <v>30</v>
      </c>
      <c r="K8" s="233" t="s">
        <v>530</v>
      </c>
      <c r="L8" s="286" t="s">
        <v>531</v>
      </c>
      <c r="M8" s="227">
        <v>6</v>
      </c>
      <c r="N8" s="227">
        <v>10</v>
      </c>
      <c r="O8" s="277" t="s">
        <v>571</v>
      </c>
      <c r="P8" s="277" t="s">
        <v>572</v>
      </c>
      <c r="Q8" s="270" t="s">
        <v>583</v>
      </c>
      <c r="R8" s="289" t="s">
        <v>406</v>
      </c>
      <c r="S8" s="328" t="s">
        <v>860</v>
      </c>
      <c r="T8" s="329" t="s">
        <v>853</v>
      </c>
    </row>
    <row r="9" spans="1:20" ht="99" hidden="1">
      <c r="A9" s="2">
        <v>6</v>
      </c>
      <c r="B9" s="272" t="s">
        <v>535</v>
      </c>
      <c r="C9" s="229" t="s">
        <v>536</v>
      </c>
      <c r="D9" s="229" t="s">
        <v>537</v>
      </c>
      <c r="E9" s="2"/>
      <c r="F9" s="287"/>
      <c r="G9" s="227">
        <v>27</v>
      </c>
      <c r="H9" s="287"/>
      <c r="I9" s="287"/>
      <c r="J9" s="274">
        <v>27</v>
      </c>
      <c r="K9" s="233" t="s">
        <v>530</v>
      </c>
      <c r="L9" s="275" t="s">
        <v>538</v>
      </c>
      <c r="M9" s="227">
        <v>6</v>
      </c>
      <c r="N9" s="276">
        <v>10</v>
      </c>
      <c r="O9" s="277" t="s">
        <v>573</v>
      </c>
      <c r="P9" s="277" t="s">
        <v>574</v>
      </c>
      <c r="Q9" s="270" t="s">
        <v>582</v>
      </c>
      <c r="R9" s="289" t="s">
        <v>588</v>
      </c>
    </row>
    <row r="10" spans="1:20" ht="99" hidden="1">
      <c r="A10" s="2">
        <v>7</v>
      </c>
      <c r="B10" s="272" t="s">
        <v>539</v>
      </c>
      <c r="C10" s="4" t="s">
        <v>540</v>
      </c>
      <c r="D10" s="4" t="s">
        <v>541</v>
      </c>
      <c r="E10" s="227">
        <v>9</v>
      </c>
      <c r="F10" s="227"/>
      <c r="G10" s="227">
        <v>21</v>
      </c>
      <c r="H10" s="227"/>
      <c r="I10" s="227"/>
      <c r="J10" s="274">
        <v>30</v>
      </c>
      <c r="K10" s="233" t="s">
        <v>542</v>
      </c>
      <c r="L10" s="275" t="s">
        <v>526</v>
      </c>
      <c r="M10" s="227">
        <v>6</v>
      </c>
      <c r="N10" s="276">
        <v>10</v>
      </c>
      <c r="O10" s="277" t="s">
        <v>575</v>
      </c>
      <c r="P10" s="277" t="s">
        <v>576</v>
      </c>
      <c r="Q10" s="270" t="s">
        <v>583</v>
      </c>
      <c r="R10" s="289" t="s">
        <v>458</v>
      </c>
    </row>
    <row r="11" spans="1:20" ht="99" hidden="1">
      <c r="A11" s="2">
        <v>8</v>
      </c>
      <c r="B11" s="278" t="s">
        <v>543</v>
      </c>
      <c r="C11" s="279" t="s">
        <v>544</v>
      </c>
      <c r="D11" s="288" t="s">
        <v>545</v>
      </c>
      <c r="E11" s="281">
        <v>6</v>
      </c>
      <c r="F11" s="281"/>
      <c r="G11" s="281">
        <v>12</v>
      </c>
      <c r="H11" s="281"/>
      <c r="I11" s="281"/>
      <c r="J11" s="282">
        <v>18</v>
      </c>
      <c r="K11" s="279" t="s">
        <v>546</v>
      </c>
      <c r="L11" s="283" t="s">
        <v>547</v>
      </c>
      <c r="M11" s="281">
        <v>6</v>
      </c>
      <c r="N11" s="281">
        <v>9</v>
      </c>
      <c r="O11" s="285" t="s">
        <v>577</v>
      </c>
      <c r="P11" s="285" t="s">
        <v>578</v>
      </c>
      <c r="Q11" s="270" t="s">
        <v>583</v>
      </c>
      <c r="R11" s="289" t="s">
        <v>585</v>
      </c>
    </row>
    <row r="12" spans="1:20" ht="99" hidden="1">
      <c r="A12" s="2">
        <v>9</v>
      </c>
      <c r="B12" s="272" t="s">
        <v>548</v>
      </c>
      <c r="C12" s="4" t="s">
        <v>549</v>
      </c>
      <c r="D12" s="4" t="s">
        <v>550</v>
      </c>
      <c r="E12" s="226">
        <v>8</v>
      </c>
      <c r="F12" s="226"/>
      <c r="G12" s="226">
        <v>16</v>
      </c>
      <c r="H12" s="273"/>
      <c r="I12" s="273"/>
      <c r="J12" s="274">
        <v>24</v>
      </c>
      <c r="K12" s="233" t="s">
        <v>546</v>
      </c>
      <c r="L12" s="275" t="s">
        <v>547</v>
      </c>
      <c r="M12" s="227">
        <v>6</v>
      </c>
      <c r="N12" s="227">
        <v>8</v>
      </c>
      <c r="O12" s="277" t="s">
        <v>577</v>
      </c>
      <c r="P12" s="277" t="s">
        <v>578</v>
      </c>
      <c r="Q12" s="270" t="s">
        <v>582</v>
      </c>
      <c r="R12" s="289" t="s">
        <v>585</v>
      </c>
    </row>
    <row r="13" spans="1:20" ht="99" hidden="1">
      <c r="A13" s="2">
        <v>10</v>
      </c>
      <c r="B13" s="272" t="s">
        <v>551</v>
      </c>
      <c r="C13" s="233" t="s">
        <v>552</v>
      </c>
      <c r="D13" s="4" t="s">
        <v>553</v>
      </c>
      <c r="E13" s="227">
        <v>6</v>
      </c>
      <c r="F13" s="227"/>
      <c r="G13" s="227">
        <v>12</v>
      </c>
      <c r="H13" s="227"/>
      <c r="I13" s="227"/>
      <c r="J13" s="274">
        <v>18</v>
      </c>
      <c r="K13" s="233" t="s">
        <v>546</v>
      </c>
      <c r="L13" s="275" t="s">
        <v>547</v>
      </c>
      <c r="M13" s="227">
        <v>6</v>
      </c>
      <c r="N13" s="227">
        <v>9</v>
      </c>
      <c r="O13" s="277" t="s">
        <v>579</v>
      </c>
      <c r="P13" s="277" t="s">
        <v>419</v>
      </c>
      <c r="Q13" s="270" t="s">
        <v>583</v>
      </c>
      <c r="R13" s="289" t="s">
        <v>586</v>
      </c>
    </row>
    <row r="14" spans="1:20" ht="99" hidden="1">
      <c r="A14" s="2">
        <v>11</v>
      </c>
      <c r="B14" s="272" t="s">
        <v>554</v>
      </c>
      <c r="C14" s="233" t="s">
        <v>555</v>
      </c>
      <c r="D14" s="229" t="s">
        <v>556</v>
      </c>
      <c r="E14" s="273"/>
      <c r="F14" s="273"/>
      <c r="G14" s="227">
        <v>15</v>
      </c>
      <c r="H14" s="273"/>
      <c r="I14" s="273"/>
      <c r="J14" s="274">
        <v>15</v>
      </c>
      <c r="K14" s="233" t="s">
        <v>525</v>
      </c>
      <c r="L14" s="275" t="s">
        <v>557</v>
      </c>
      <c r="M14" s="227">
        <v>6</v>
      </c>
      <c r="N14" s="276">
        <v>5</v>
      </c>
      <c r="O14" s="277" t="s">
        <v>579</v>
      </c>
      <c r="P14" s="277" t="s">
        <v>419</v>
      </c>
      <c r="Q14" s="270" t="s">
        <v>583</v>
      </c>
      <c r="R14" s="289" t="s">
        <v>586</v>
      </c>
    </row>
    <row r="15" spans="1:20" ht="99" hidden="1">
      <c r="A15" s="2">
        <v>12</v>
      </c>
      <c r="B15" s="272" t="s">
        <v>558</v>
      </c>
      <c r="C15" s="229" t="s">
        <v>559</v>
      </c>
      <c r="D15" s="233" t="s">
        <v>560</v>
      </c>
      <c r="E15" s="273"/>
      <c r="F15" s="273"/>
      <c r="G15" s="227">
        <v>15</v>
      </c>
      <c r="H15" s="273"/>
      <c r="I15" s="273"/>
      <c r="J15" s="274">
        <v>15</v>
      </c>
      <c r="K15" s="233" t="s">
        <v>517</v>
      </c>
      <c r="L15" s="275" t="s">
        <v>518</v>
      </c>
      <c r="M15" s="227">
        <v>6</v>
      </c>
      <c r="N15" s="276">
        <v>5</v>
      </c>
      <c r="O15" s="277" t="s">
        <v>580</v>
      </c>
      <c r="P15" s="277" t="s">
        <v>581</v>
      </c>
      <c r="Q15" s="270" t="s">
        <v>582</v>
      </c>
      <c r="R15" s="289" t="s">
        <v>437</v>
      </c>
    </row>
    <row r="16" spans="1:20" ht="99" hidden="1">
      <c r="A16" s="2">
        <v>13</v>
      </c>
      <c r="B16" s="272" t="s">
        <v>561</v>
      </c>
      <c r="C16" s="233" t="s">
        <v>562</v>
      </c>
      <c r="D16" s="4" t="s">
        <v>563</v>
      </c>
      <c r="E16" s="227">
        <v>9</v>
      </c>
      <c r="F16" s="273"/>
      <c r="G16" s="227">
        <v>21</v>
      </c>
      <c r="H16" s="273"/>
      <c r="I16" s="273"/>
      <c r="J16" s="274">
        <v>30</v>
      </c>
      <c r="K16" s="233" t="s">
        <v>564</v>
      </c>
      <c r="L16" s="275" t="s">
        <v>538</v>
      </c>
      <c r="M16" s="227">
        <v>6</v>
      </c>
      <c r="N16" s="276">
        <v>10</v>
      </c>
      <c r="O16" s="277" t="s">
        <v>580</v>
      </c>
      <c r="P16" s="277" t="s">
        <v>581</v>
      </c>
      <c r="Q16" s="270" t="s">
        <v>583</v>
      </c>
      <c r="R16" s="289" t="s">
        <v>437</v>
      </c>
    </row>
  </sheetData>
  <autoFilter ref="A3:Q16" xr:uid="{F46CA531-B6B3-472F-A555-1433926B676A}">
    <filterColumn colId="14">
      <filters>
        <filter val="01/04/2026"/>
        <filter val="01/05/2025"/>
        <filter val="02/02/2026"/>
        <filter val="02/03/2026"/>
      </filters>
    </filterColumn>
  </autoFilter>
  <mergeCells count="15">
    <mergeCell ref="S2:T2"/>
    <mergeCell ref="O2:O3"/>
    <mergeCell ref="P2:P3"/>
    <mergeCell ref="Q2:Q3"/>
    <mergeCell ref="A1:Q1"/>
    <mergeCell ref="K2:K3"/>
    <mergeCell ref="L2:L3"/>
    <mergeCell ref="M2:M3"/>
    <mergeCell ref="N2:N3"/>
    <mergeCell ref="A2:A3"/>
    <mergeCell ref="B2:B3"/>
    <mergeCell ref="C2:C3"/>
    <mergeCell ref="D2:D3"/>
    <mergeCell ref="E2:I2"/>
    <mergeCell ref="J2:J3"/>
  </mergeCells>
  <conditionalFormatting sqref="C2:C3">
    <cfRule type="duplicateValues" dxfId="53" priority="19"/>
  </conditionalFormatting>
  <conditionalFormatting sqref="C4:C5">
    <cfRule type="duplicateValues" dxfId="52" priority="17"/>
  </conditionalFormatting>
  <conditionalFormatting sqref="C7">
    <cfRule type="duplicateValues" dxfId="51" priority="3"/>
    <cfRule type="duplicateValues" dxfId="50" priority="4"/>
  </conditionalFormatting>
  <conditionalFormatting sqref="C8">
    <cfRule type="duplicateValues" dxfId="49" priority="1"/>
    <cfRule type="duplicateValues" dxfId="48" priority="2"/>
  </conditionalFormatting>
  <conditionalFormatting sqref="C9">
    <cfRule type="duplicateValues" dxfId="47" priority="5"/>
  </conditionalFormatting>
  <conditionalFormatting sqref="C10">
    <cfRule type="duplicateValues" dxfId="46" priority="6"/>
    <cfRule type="duplicateValues" dxfId="45" priority="7"/>
    <cfRule type="duplicateValues" dxfId="44" priority="8"/>
    <cfRule type="duplicateValues" dxfId="43" priority="9"/>
    <cfRule type="duplicateValues" dxfId="42" priority="10"/>
    <cfRule type="duplicateValues" dxfId="41" priority="11"/>
    <cfRule type="duplicateValues" dxfId="40" priority="12"/>
    <cfRule type="duplicateValues" dxfId="39" priority="13"/>
  </conditionalFormatting>
  <conditionalFormatting sqref="C11 C13">
    <cfRule type="duplicateValues" dxfId="38" priority="15"/>
  </conditionalFormatting>
  <conditionalFormatting sqref="C12">
    <cfRule type="duplicateValues" dxfId="37" priority="14"/>
  </conditionalFormatting>
  <conditionalFormatting sqref="C15">
    <cfRule type="duplicateValues" dxfId="36" priority="16"/>
  </conditionalFormatting>
  <conditionalFormatting sqref="C16 C14 C6">
    <cfRule type="duplicateValues" dxfId="35" priority="18"/>
  </conditionalFormatting>
  <hyperlinks>
    <hyperlink ref="L4" r:id="rId1" display="nhatpm@pvcfc.com.vn" xr:uid="{5A6693AE-BE46-4FE5-936C-260514F82F98}"/>
    <hyperlink ref="L15" r:id="rId2" display="nhatpm@pvcfc.com.vn" xr:uid="{A7DAFBE6-A7A4-4514-A309-B84D142F30C3}"/>
    <hyperlink ref="L10" r:id="rId3" display="Vunv@pvcfc.com.vn" xr:uid="{B31B6BC9-9F69-465B-9E8D-7E929C26F863}"/>
    <hyperlink ref="L12" r:id="rId4" display="linhln@pvcfc.com.vn" xr:uid="{B35589FB-1922-4B2F-8045-61AD0F9E97E0}"/>
    <hyperlink ref="L11" r:id="rId5" display="linhln@pvcfc.com.vn" xr:uid="{A2E00607-D32C-4D07-B3FC-CA1D95EAFF1E}"/>
    <hyperlink ref="L13" r:id="rId6" display="linhln@pvcfc.com.vn" xr:uid="{51B19222-B145-48E8-B248-185A7AE2091B}"/>
    <hyperlink ref="L7" r:id="rId7" display="linhln@pvcfc.com.vn" xr:uid="{C952E8DF-53DD-4673-8AB6-6178DE61F44F}"/>
    <hyperlink ref="L6" r:id="rId8" display="Vunv@pvcfc.com.vn" xr:uid="{B8259E9E-2EBC-4C27-933A-9685FA016FB1}"/>
    <hyperlink ref="L14" r:id="rId9" display="vunv@pvcfc.com.vn" xr:uid="{8EBB04B3-71C1-4082-8292-BF5FBA73E57A}"/>
    <hyperlink ref="L16" r:id="rId10" display="cunghv@pvcfc.com.vn" xr:uid="{D1554DF3-F279-4047-BC84-00B19B5818A7}"/>
    <hyperlink ref="L5" r:id="rId11" display="nhatpm@pvcfc.com.vn" xr:uid="{C06FCB2D-CB4C-4B36-B8C5-A66186DE6A32}"/>
    <hyperlink ref="L8" r:id="rId12" display="linhln@pvcfc.com.vn" xr:uid="{10207D71-0164-4856-BAFF-93A92A46D98B}"/>
    <hyperlink ref="L9" r:id="rId13" display="cunghv@pvcfc.com.vn" xr:uid="{CFCA76C2-54BD-4580-B20F-A3322F5EF392}"/>
  </hyperlinks>
  <pageMargins left="0.7" right="0.7" top="0.75" bottom="0.75" header="0.3" footer="0.3"/>
  <legacy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41162-C278-4193-8533-212AFF3BB2AD}">
  <sheetPr filterMode="1">
    <tabColor theme="9" tint="0.59999389629810485"/>
  </sheetPr>
  <dimension ref="A1:N13"/>
  <sheetViews>
    <sheetView view="pageBreakPreview" zoomScale="70" zoomScaleNormal="55" zoomScaleSheetLayoutView="70" workbookViewId="0">
      <selection activeCell="I8" sqref="I8"/>
    </sheetView>
  </sheetViews>
  <sheetFormatPr defaultRowHeight="15"/>
  <cols>
    <col min="2" max="2" width="20.7109375" customWidth="1"/>
    <col min="3" max="3" width="40.140625" customWidth="1"/>
    <col min="4" max="4" width="58.42578125" customWidth="1"/>
    <col min="5" max="8" width="16.5703125" customWidth="1"/>
    <col min="9" max="9" width="27.140625" customWidth="1"/>
    <col min="10" max="10" width="15.42578125" style="212" customWidth="1"/>
    <col min="11" max="11" width="24.42578125" customWidth="1"/>
    <col min="12" max="12" width="14.140625" hidden="1" customWidth="1"/>
    <col min="13" max="14" width="13.42578125" customWidth="1"/>
  </cols>
  <sheetData>
    <row r="1" spans="1:14" ht="53.45" customHeight="1">
      <c r="A1" s="416" t="s">
        <v>599</v>
      </c>
      <c r="B1" s="416"/>
      <c r="C1" s="416"/>
      <c r="D1" s="416"/>
      <c r="E1" s="416"/>
      <c r="F1" s="416"/>
      <c r="G1" s="416"/>
      <c r="H1" s="416"/>
      <c r="I1" s="416"/>
      <c r="J1" s="416"/>
      <c r="K1" s="416"/>
      <c r="M1" s="401" t="s">
        <v>863</v>
      </c>
      <c r="N1" s="401"/>
    </row>
    <row r="2" spans="1:14" s="232" customFormat="1" ht="76.150000000000006" customHeight="1">
      <c r="A2" s="224" t="s">
        <v>421</v>
      </c>
      <c r="B2" s="224" t="s">
        <v>601</v>
      </c>
      <c r="C2" s="224" t="s">
        <v>422</v>
      </c>
      <c r="D2" s="224" t="s">
        <v>423</v>
      </c>
      <c r="E2" s="224" t="s">
        <v>424</v>
      </c>
      <c r="F2" s="224" t="s">
        <v>425</v>
      </c>
      <c r="G2" s="230" t="s">
        <v>426</v>
      </c>
      <c r="H2" s="230" t="s">
        <v>427</v>
      </c>
      <c r="I2" s="231" t="s">
        <v>428</v>
      </c>
      <c r="J2" s="231" t="s">
        <v>429</v>
      </c>
      <c r="K2" s="231" t="s">
        <v>5</v>
      </c>
      <c r="L2" s="301" t="s">
        <v>689</v>
      </c>
      <c r="M2" s="317" t="s">
        <v>2</v>
      </c>
      <c r="N2" s="317" t="s">
        <v>799</v>
      </c>
    </row>
    <row r="3" spans="1:14" s="232" customFormat="1" ht="60.6" customHeight="1">
      <c r="A3" s="226">
        <v>1</v>
      </c>
      <c r="B3" s="296" t="s">
        <v>608</v>
      </c>
      <c r="C3" s="294" t="s">
        <v>606</v>
      </c>
      <c r="D3" s="295" t="s">
        <v>607</v>
      </c>
      <c r="E3" s="297" t="s">
        <v>430</v>
      </c>
      <c r="F3" s="298" t="s">
        <v>609</v>
      </c>
      <c r="G3" s="228" t="s">
        <v>408</v>
      </c>
      <c r="H3" s="228" t="s">
        <v>408</v>
      </c>
      <c r="I3" s="234" t="s">
        <v>610</v>
      </c>
      <c r="J3" s="235">
        <v>7000000</v>
      </c>
      <c r="K3" s="275" t="s">
        <v>779</v>
      </c>
      <c r="L3" s="289" t="s">
        <v>408</v>
      </c>
      <c r="M3" s="327" t="s">
        <v>854</v>
      </c>
      <c r="N3" s="326" t="s">
        <v>853</v>
      </c>
    </row>
    <row r="4" spans="1:14" s="232" customFormat="1" ht="86.45" customHeight="1">
      <c r="A4" s="226">
        <v>2</v>
      </c>
      <c r="B4" s="278" t="s">
        <v>688</v>
      </c>
      <c r="C4" s="279" t="s">
        <v>523</v>
      </c>
      <c r="D4" s="279" t="s">
        <v>524</v>
      </c>
      <c r="E4" s="226" t="s">
        <v>430</v>
      </c>
      <c r="F4" s="227" t="s">
        <v>431</v>
      </c>
      <c r="G4" s="228" t="s">
        <v>408</v>
      </c>
      <c r="H4" s="228" t="s">
        <v>408</v>
      </c>
      <c r="I4" s="234" t="s">
        <v>584</v>
      </c>
      <c r="J4" s="235">
        <v>3000000</v>
      </c>
      <c r="K4" s="283" t="s">
        <v>583</v>
      </c>
      <c r="L4" s="289" t="s">
        <v>408</v>
      </c>
      <c r="M4" s="327" t="s">
        <v>854</v>
      </c>
      <c r="N4" s="326" t="s">
        <v>853</v>
      </c>
    </row>
    <row r="5" spans="1:14" s="232" customFormat="1" ht="53.45" customHeight="1">
      <c r="A5" s="226">
        <v>3</v>
      </c>
      <c r="B5" s="272" t="s">
        <v>687</v>
      </c>
      <c r="C5" s="3" t="s">
        <v>604</v>
      </c>
      <c r="D5" s="293" t="s">
        <v>605</v>
      </c>
      <c r="E5" s="226" t="s">
        <v>430</v>
      </c>
      <c r="F5" s="298" t="s">
        <v>609</v>
      </c>
      <c r="G5" s="228" t="s">
        <v>407</v>
      </c>
      <c r="H5" s="228" t="s">
        <v>407</v>
      </c>
      <c r="I5" s="234" t="s">
        <v>610</v>
      </c>
      <c r="J5" s="235">
        <v>7000000</v>
      </c>
      <c r="K5" s="275" t="s">
        <v>779</v>
      </c>
      <c r="L5" s="289"/>
      <c r="M5" s="327" t="s">
        <v>854</v>
      </c>
      <c r="N5" s="326" t="s">
        <v>853</v>
      </c>
    </row>
    <row r="6" spans="1:14" s="232" customFormat="1" ht="55.9" customHeight="1">
      <c r="A6" s="226">
        <v>4</v>
      </c>
      <c r="B6" s="278" t="s">
        <v>688</v>
      </c>
      <c r="C6" s="4" t="s">
        <v>540</v>
      </c>
      <c r="D6" s="4" t="s">
        <v>541</v>
      </c>
      <c r="E6" s="226" t="s">
        <v>430</v>
      </c>
      <c r="F6" s="227" t="s">
        <v>431</v>
      </c>
      <c r="G6" s="228" t="s">
        <v>407</v>
      </c>
      <c r="H6" s="228" t="s">
        <v>407</v>
      </c>
      <c r="I6" s="234" t="s">
        <v>584</v>
      </c>
      <c r="J6" s="235">
        <v>3000000</v>
      </c>
      <c r="K6" s="283" t="s">
        <v>583</v>
      </c>
      <c r="L6" s="289" t="s">
        <v>458</v>
      </c>
      <c r="M6" s="327" t="s">
        <v>854</v>
      </c>
      <c r="N6" s="326" t="s">
        <v>853</v>
      </c>
    </row>
    <row r="7" spans="1:14" s="232" customFormat="1" ht="72.599999999999994" customHeight="1">
      <c r="A7" s="226">
        <v>5</v>
      </c>
      <c r="B7" s="278" t="s">
        <v>688</v>
      </c>
      <c r="C7" s="279" t="s">
        <v>544</v>
      </c>
      <c r="D7" s="288" t="s">
        <v>545</v>
      </c>
      <c r="E7" s="226" t="s">
        <v>430</v>
      </c>
      <c r="F7" s="227" t="s">
        <v>431</v>
      </c>
      <c r="G7" s="228" t="s">
        <v>406</v>
      </c>
      <c r="H7" s="228" t="s">
        <v>406</v>
      </c>
      <c r="I7" s="234" t="s">
        <v>594</v>
      </c>
      <c r="J7" s="235">
        <v>3000000</v>
      </c>
      <c r="K7" s="283" t="s">
        <v>583</v>
      </c>
      <c r="L7" s="289" t="s">
        <v>585</v>
      </c>
      <c r="M7" s="328" t="s">
        <v>861</v>
      </c>
      <c r="N7" s="329" t="s">
        <v>853</v>
      </c>
    </row>
    <row r="8" spans="1:14" s="232" customFormat="1" ht="66">
      <c r="A8" s="226">
        <v>6</v>
      </c>
      <c r="B8" s="278" t="s">
        <v>688</v>
      </c>
      <c r="C8" s="292" t="s">
        <v>796</v>
      </c>
      <c r="D8" s="293" t="s">
        <v>603</v>
      </c>
      <c r="E8" s="226" t="s">
        <v>430</v>
      </c>
      <c r="F8" s="226" t="s">
        <v>431</v>
      </c>
      <c r="G8" s="228" t="s">
        <v>406</v>
      </c>
      <c r="H8" s="228" t="s">
        <v>406</v>
      </c>
      <c r="I8" s="234" t="s">
        <v>592</v>
      </c>
      <c r="J8" s="235">
        <v>3000000</v>
      </c>
      <c r="K8" s="275" t="s">
        <v>779</v>
      </c>
      <c r="L8" s="289"/>
      <c r="M8" s="328" t="s">
        <v>861</v>
      </c>
      <c r="N8" s="329" t="s">
        <v>853</v>
      </c>
    </row>
    <row r="9" spans="1:14" s="232" customFormat="1" ht="66" hidden="1" customHeight="1">
      <c r="A9" s="226">
        <v>7</v>
      </c>
      <c r="B9" s="278" t="s">
        <v>688</v>
      </c>
      <c r="C9" s="233" t="s">
        <v>552</v>
      </c>
      <c r="D9" s="4" t="s">
        <v>553</v>
      </c>
      <c r="E9" s="226" t="s">
        <v>430</v>
      </c>
      <c r="F9" s="227" t="s">
        <v>431</v>
      </c>
      <c r="G9" s="228" t="s">
        <v>588</v>
      </c>
      <c r="H9" s="228" t="s">
        <v>588</v>
      </c>
      <c r="I9" s="234" t="s">
        <v>594</v>
      </c>
      <c r="J9" s="235">
        <v>3000000</v>
      </c>
      <c r="K9" s="283" t="s">
        <v>583</v>
      </c>
      <c r="L9" s="289" t="s">
        <v>586</v>
      </c>
      <c r="M9" s="2" t="s">
        <v>18</v>
      </c>
      <c r="N9" s="287"/>
    </row>
    <row r="10" spans="1:14" s="232" customFormat="1" ht="58.9" hidden="1" customHeight="1">
      <c r="A10" s="226">
        <v>8</v>
      </c>
      <c r="B10" s="278" t="s">
        <v>688</v>
      </c>
      <c r="C10" s="292" t="s">
        <v>797</v>
      </c>
      <c r="D10" s="293" t="s">
        <v>603</v>
      </c>
      <c r="E10" s="226" t="s">
        <v>430</v>
      </c>
      <c r="F10" s="226" t="s">
        <v>431</v>
      </c>
      <c r="G10" s="228" t="s">
        <v>586</v>
      </c>
      <c r="H10" s="228" t="s">
        <v>586</v>
      </c>
      <c r="I10" s="234" t="s">
        <v>592</v>
      </c>
      <c r="J10" s="235">
        <v>3000000</v>
      </c>
      <c r="K10" s="275" t="s">
        <v>779</v>
      </c>
      <c r="L10" s="289"/>
      <c r="M10" s="2" t="s">
        <v>18</v>
      </c>
      <c r="N10" s="287"/>
    </row>
    <row r="11" spans="1:14" s="232" customFormat="1" ht="54" hidden="1" customHeight="1">
      <c r="A11" s="226">
        <v>9</v>
      </c>
      <c r="B11" s="278" t="s">
        <v>688</v>
      </c>
      <c r="C11" s="233" t="s">
        <v>555</v>
      </c>
      <c r="D11" s="229" t="s">
        <v>556</v>
      </c>
      <c r="E11" s="226" t="s">
        <v>430</v>
      </c>
      <c r="F11" s="227" t="s">
        <v>431</v>
      </c>
      <c r="G11" s="228" t="s">
        <v>458</v>
      </c>
      <c r="H11" s="228" t="s">
        <v>458</v>
      </c>
      <c r="I11" s="234" t="s">
        <v>584</v>
      </c>
      <c r="J11" s="235">
        <v>3000000</v>
      </c>
      <c r="K11" s="283" t="s">
        <v>583</v>
      </c>
      <c r="L11" s="289" t="s">
        <v>586</v>
      </c>
      <c r="M11" s="2" t="s">
        <v>18</v>
      </c>
      <c r="N11" s="287"/>
    </row>
    <row r="12" spans="1:14" s="232" customFormat="1" ht="55.15" hidden="1" customHeight="1">
      <c r="A12" s="226">
        <v>10</v>
      </c>
      <c r="B12" s="278" t="s">
        <v>688</v>
      </c>
      <c r="C12" s="233" t="s">
        <v>795</v>
      </c>
      <c r="D12" s="4" t="s">
        <v>563</v>
      </c>
      <c r="E12" s="226" t="s">
        <v>430</v>
      </c>
      <c r="F12" s="298" t="s">
        <v>609</v>
      </c>
      <c r="G12" s="228" t="s">
        <v>585</v>
      </c>
      <c r="H12" s="228" t="s">
        <v>585</v>
      </c>
      <c r="I12" s="234" t="s">
        <v>602</v>
      </c>
      <c r="J12" s="235">
        <v>7000000</v>
      </c>
      <c r="K12" s="283" t="s">
        <v>583</v>
      </c>
      <c r="L12" s="289" t="s">
        <v>437</v>
      </c>
      <c r="M12" s="2" t="s">
        <v>18</v>
      </c>
      <c r="N12" s="287"/>
    </row>
    <row r="13" spans="1:14" ht="31.15" customHeight="1"/>
  </sheetData>
  <autoFilter ref="A2:K12" xr:uid="{1D02F629-9F98-4EAA-9192-34CC55E9AA9A}">
    <filterColumn colId="7">
      <filters>
        <filter val="Tháng 3"/>
        <filter val="Tháng 4"/>
        <filter val="Tháng 5"/>
      </filters>
    </filterColumn>
  </autoFilter>
  <mergeCells count="2">
    <mergeCell ref="A1:K1"/>
    <mergeCell ref="M1:N1"/>
  </mergeCells>
  <conditionalFormatting sqref="B3">
    <cfRule type="duplicateValues" dxfId="34" priority="5"/>
  </conditionalFormatting>
  <conditionalFormatting sqref="C2">
    <cfRule type="duplicateValues" dxfId="33" priority="29"/>
    <cfRule type="duplicateValues" dxfId="32" priority="30"/>
  </conditionalFormatting>
  <conditionalFormatting sqref="C3">
    <cfRule type="duplicateValues" dxfId="31" priority="6"/>
    <cfRule type="duplicateValues" dxfId="30" priority="7"/>
    <cfRule type="duplicateValues" dxfId="29" priority="8"/>
    <cfRule type="duplicateValues" dxfId="28" priority="9"/>
    <cfRule type="duplicateValues" dxfId="27" priority="10"/>
    <cfRule type="duplicateValues" dxfId="26" priority="11"/>
    <cfRule type="duplicateValues" dxfId="25" priority="12"/>
    <cfRule type="duplicateValues" dxfId="24" priority="13"/>
  </conditionalFormatting>
  <conditionalFormatting sqref="C6">
    <cfRule type="duplicateValues" dxfId="23" priority="15"/>
    <cfRule type="duplicateValues" dxfId="22" priority="16"/>
    <cfRule type="duplicateValues" dxfId="21" priority="17"/>
    <cfRule type="duplicateValues" dxfId="20" priority="18"/>
    <cfRule type="duplicateValues" dxfId="19" priority="19"/>
    <cfRule type="duplicateValues" dxfId="18" priority="20"/>
    <cfRule type="duplicateValues" dxfId="17" priority="21"/>
    <cfRule type="duplicateValues" dxfId="16" priority="22"/>
  </conditionalFormatting>
  <conditionalFormatting sqref="C7 C9">
    <cfRule type="duplicateValues" dxfId="15" priority="23"/>
  </conditionalFormatting>
  <conditionalFormatting sqref="C8">
    <cfRule type="duplicateValues" dxfId="14" priority="2"/>
  </conditionalFormatting>
  <conditionalFormatting sqref="C10">
    <cfRule type="duplicateValues" dxfId="13" priority="1"/>
  </conditionalFormatting>
  <conditionalFormatting sqref="C11:C12 C4">
    <cfRule type="duplicateValues" dxfId="12" priority="33"/>
  </conditionalFormatting>
  <printOptions horizontalCentered="1"/>
  <pageMargins left="0.45" right="0.45" top="0.5" bottom="0.5" header="0" footer="0"/>
  <pageSetup paperSize="9" scale="47"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8E27-80C0-427D-9F38-284E5B8F5D34}">
  <sheetPr>
    <tabColor theme="9" tint="0.59999389629810485"/>
  </sheetPr>
  <dimension ref="A1:I7"/>
  <sheetViews>
    <sheetView view="pageBreakPreview" zoomScaleNormal="70" zoomScaleSheetLayoutView="100" workbookViewId="0">
      <selection activeCell="H3" sqref="H3"/>
    </sheetView>
  </sheetViews>
  <sheetFormatPr defaultColWidth="8.7109375" defaultRowHeight="12.75"/>
  <cols>
    <col min="1" max="1" width="7" style="236" customWidth="1"/>
    <col min="2" max="2" width="63.140625" style="236" customWidth="1"/>
    <col min="3" max="3" width="14.140625" style="236" customWidth="1"/>
    <col min="4" max="4" width="24.85546875" style="236" customWidth="1"/>
    <col min="5" max="5" width="25.28515625" style="236" customWidth="1"/>
    <col min="6" max="6" width="19" style="236" customWidth="1"/>
    <col min="7" max="7" width="14.28515625" style="236" customWidth="1"/>
    <col min="8" max="8" width="18" style="236" customWidth="1"/>
    <col min="9" max="9" width="13.5703125" style="236" customWidth="1"/>
    <col min="10" max="16384" width="8.7109375" style="236"/>
  </cols>
  <sheetData>
    <row r="1" spans="1:9" ht="52.5" customHeight="1">
      <c r="A1" s="416" t="s">
        <v>732</v>
      </c>
      <c r="B1" s="416"/>
      <c r="C1" s="416"/>
      <c r="D1" s="416"/>
      <c r="E1" s="416"/>
      <c r="F1" s="416"/>
      <c r="G1" s="416"/>
      <c r="H1" s="418" t="s">
        <v>863</v>
      </c>
      <c r="I1" s="418"/>
    </row>
    <row r="2" spans="1:9" ht="36.6" customHeight="1">
      <c r="A2" s="237" t="s">
        <v>0</v>
      </c>
      <c r="B2" s="238" t="s">
        <v>432</v>
      </c>
      <c r="C2" s="238" t="s">
        <v>433</v>
      </c>
      <c r="D2" s="239" t="s">
        <v>434</v>
      </c>
      <c r="E2" s="240" t="s">
        <v>435</v>
      </c>
      <c r="F2" s="240" t="s">
        <v>436</v>
      </c>
      <c r="G2" s="241" t="s">
        <v>5</v>
      </c>
      <c r="H2" s="322" t="s">
        <v>2</v>
      </c>
      <c r="I2" s="322" t="s">
        <v>799</v>
      </c>
    </row>
    <row r="3" spans="1:9" s="225" customFormat="1" ht="37.15" customHeight="1">
      <c r="A3" s="242">
        <v>1</v>
      </c>
      <c r="B3" s="233" t="s">
        <v>596</v>
      </c>
      <c r="C3" s="243">
        <v>4</v>
      </c>
      <c r="D3" s="244" t="s">
        <v>592</v>
      </c>
      <c r="E3" s="244" t="s">
        <v>595</v>
      </c>
      <c r="F3" s="227" t="s">
        <v>406</v>
      </c>
      <c r="G3" s="246"/>
      <c r="H3" s="328" t="s">
        <v>862</v>
      </c>
      <c r="I3" s="326" t="s">
        <v>853</v>
      </c>
    </row>
    <row r="4" spans="1:9" s="225" customFormat="1" ht="37.15" customHeight="1">
      <c r="A4" s="242">
        <v>2</v>
      </c>
      <c r="B4" s="233" t="s">
        <v>591</v>
      </c>
      <c r="C4" s="243">
        <v>4</v>
      </c>
      <c r="D4" s="244" t="s">
        <v>584</v>
      </c>
      <c r="E4" s="244" t="s">
        <v>595</v>
      </c>
      <c r="F4" s="226" t="s">
        <v>588</v>
      </c>
      <c r="G4" s="245"/>
      <c r="H4" s="2" t="s">
        <v>18</v>
      </c>
      <c r="I4" s="2"/>
    </row>
    <row r="5" spans="1:9" s="225" customFormat="1" ht="37.15" customHeight="1">
      <c r="A5" s="242">
        <v>3</v>
      </c>
      <c r="B5" s="233" t="s">
        <v>590</v>
      </c>
      <c r="C5" s="243">
        <v>4</v>
      </c>
      <c r="D5" s="244" t="s">
        <v>593</v>
      </c>
      <c r="E5" s="244" t="s">
        <v>595</v>
      </c>
      <c r="F5" s="227" t="s">
        <v>586</v>
      </c>
      <c r="G5" s="246"/>
      <c r="H5" s="2" t="s">
        <v>18</v>
      </c>
      <c r="I5" s="2"/>
    </row>
    <row r="6" spans="1:9" s="225" customFormat="1" ht="37.15" customHeight="1">
      <c r="A6" s="242">
        <v>4</v>
      </c>
      <c r="B6" s="233" t="s">
        <v>589</v>
      </c>
      <c r="C6" s="243">
        <v>4</v>
      </c>
      <c r="D6" s="244" t="s">
        <v>594</v>
      </c>
      <c r="E6" s="244" t="s">
        <v>595</v>
      </c>
      <c r="F6" s="227" t="s">
        <v>597</v>
      </c>
      <c r="G6" s="246"/>
      <c r="H6" s="2" t="s">
        <v>18</v>
      </c>
      <c r="I6" s="2"/>
    </row>
    <row r="7" spans="1:9" s="223" customFormat="1" ht="23.1" customHeight="1">
      <c r="A7" s="417" t="s">
        <v>420</v>
      </c>
      <c r="B7" s="417"/>
      <c r="C7" s="247">
        <f>SUM(C4:C6)</f>
        <v>12</v>
      </c>
      <c r="D7" s="248"/>
      <c r="E7" s="248"/>
      <c r="F7" s="248"/>
      <c r="G7" s="249"/>
      <c r="H7" s="2" t="s">
        <v>18</v>
      </c>
      <c r="I7" s="2"/>
    </row>
  </sheetData>
  <mergeCells count="3">
    <mergeCell ref="A1:G1"/>
    <mergeCell ref="A7:B7"/>
    <mergeCell ref="H1:I1"/>
  </mergeCells>
  <printOptions horizontalCentered="1"/>
  <pageMargins left="0.45" right="0.45" top="0.5" bottom="0.5" header="0.3" footer="0.3"/>
  <pageSetup paperSize="9" scale="69" orientation="landscape"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52A9C-8C54-48F9-8D62-E02AB503E53E}">
  <sheetPr filterMode="1"/>
  <dimension ref="A1:J19"/>
  <sheetViews>
    <sheetView zoomScale="70" zoomScaleNormal="70" workbookViewId="0">
      <selection activeCell="E34" sqref="E34"/>
    </sheetView>
  </sheetViews>
  <sheetFormatPr defaultRowHeight="15"/>
  <cols>
    <col min="1" max="1" width="6" customWidth="1"/>
    <col min="2" max="2" width="27.5703125" customWidth="1"/>
    <col min="3" max="3" width="86.28515625" customWidth="1"/>
    <col min="4" max="4" width="33.7109375" customWidth="1"/>
    <col min="5" max="5" width="19.5703125" customWidth="1"/>
    <col min="6" max="6" width="22.28515625" customWidth="1"/>
    <col min="7" max="7" width="20.28515625" customWidth="1"/>
    <col min="8" max="8" width="12" hidden="1" customWidth="1"/>
    <col min="9" max="9" width="26.7109375" customWidth="1"/>
    <col min="10" max="10" width="21.7109375" customWidth="1"/>
  </cols>
  <sheetData>
    <row r="1" spans="1:10" ht="53.45" customHeight="1">
      <c r="A1" s="420" t="s">
        <v>733</v>
      </c>
      <c r="B1" s="420"/>
      <c r="C1" s="420"/>
      <c r="D1" s="420"/>
      <c r="E1" s="420"/>
      <c r="F1" s="420"/>
      <c r="G1" s="420"/>
      <c r="H1" s="420"/>
      <c r="I1" s="418" t="s">
        <v>863</v>
      </c>
      <c r="J1" s="418"/>
    </row>
    <row r="2" spans="1:10" ht="62.45" customHeight="1">
      <c r="A2" s="421" t="s">
        <v>0</v>
      </c>
      <c r="B2" s="421" t="s">
        <v>601</v>
      </c>
      <c r="C2" s="424" t="s">
        <v>723</v>
      </c>
      <c r="D2" s="424" t="s">
        <v>724</v>
      </c>
      <c r="E2" s="424" t="s">
        <v>725</v>
      </c>
      <c r="F2" s="424" t="s">
        <v>726</v>
      </c>
      <c r="G2" s="424" t="s">
        <v>727</v>
      </c>
      <c r="H2" s="425" t="s">
        <v>404</v>
      </c>
      <c r="I2" s="419" t="s">
        <v>2</v>
      </c>
      <c r="J2" s="419" t="s">
        <v>799</v>
      </c>
    </row>
    <row r="3" spans="1:10">
      <c r="A3" s="422"/>
      <c r="B3" s="423"/>
      <c r="C3" s="424"/>
      <c r="D3" s="424"/>
      <c r="E3" s="424"/>
      <c r="F3" s="424"/>
      <c r="G3" s="424"/>
      <c r="H3" s="425"/>
      <c r="I3" s="419"/>
      <c r="J3" s="419"/>
    </row>
    <row r="4" spans="1:10" ht="40.15" hidden="1" customHeight="1">
      <c r="A4" s="307">
        <v>1</v>
      </c>
      <c r="B4" s="229" t="s">
        <v>781</v>
      </c>
      <c r="C4" s="272" t="s">
        <v>736</v>
      </c>
      <c r="D4" s="229" t="s">
        <v>583</v>
      </c>
      <c r="E4" s="228" t="s">
        <v>734</v>
      </c>
      <c r="F4" s="228" t="s">
        <v>735</v>
      </c>
      <c r="G4" s="228" t="s">
        <v>584</v>
      </c>
      <c r="H4" s="308"/>
      <c r="I4" s="331" t="s">
        <v>854</v>
      </c>
      <c r="J4" s="326" t="s">
        <v>853</v>
      </c>
    </row>
    <row r="5" spans="1:10" ht="36.6" hidden="1" customHeight="1">
      <c r="A5" s="307">
        <v>2</v>
      </c>
      <c r="B5" s="229" t="s">
        <v>780</v>
      </c>
      <c r="C5" s="292" t="s">
        <v>562</v>
      </c>
      <c r="D5" s="292" t="s">
        <v>729</v>
      </c>
      <c r="E5" s="228" t="s">
        <v>734</v>
      </c>
      <c r="F5" s="228" t="s">
        <v>773</v>
      </c>
      <c r="G5" s="228" t="s">
        <v>602</v>
      </c>
      <c r="H5" s="308"/>
      <c r="I5" s="331" t="s">
        <v>854</v>
      </c>
      <c r="J5" s="326" t="s">
        <v>853</v>
      </c>
    </row>
    <row r="6" spans="1:10" ht="33.6" hidden="1" customHeight="1">
      <c r="A6" s="307">
        <v>3</v>
      </c>
      <c r="B6" s="229" t="s">
        <v>728</v>
      </c>
      <c r="C6" s="292" t="s">
        <v>737</v>
      </c>
      <c r="D6" s="292" t="s">
        <v>729</v>
      </c>
      <c r="E6" s="228" t="s">
        <v>738</v>
      </c>
      <c r="F6" s="228" t="s">
        <v>739</v>
      </c>
      <c r="G6" s="228" t="s">
        <v>584</v>
      </c>
      <c r="H6" s="272"/>
      <c r="I6" s="331" t="s">
        <v>854</v>
      </c>
      <c r="J6" s="326" t="s">
        <v>853</v>
      </c>
    </row>
    <row r="7" spans="1:10" ht="35.450000000000003" hidden="1" customHeight="1">
      <c r="A7" s="307">
        <v>4</v>
      </c>
      <c r="B7" s="229" t="s">
        <v>728</v>
      </c>
      <c r="C7" s="233" t="s">
        <v>731</v>
      </c>
      <c r="D7" s="229" t="s">
        <v>583</v>
      </c>
      <c r="E7" s="228" t="s">
        <v>738</v>
      </c>
      <c r="F7" s="228" t="s">
        <v>739</v>
      </c>
      <c r="G7" s="228" t="s">
        <v>592</v>
      </c>
      <c r="H7" s="287"/>
      <c r="I7" s="331" t="s">
        <v>854</v>
      </c>
      <c r="J7" s="326" t="s">
        <v>853</v>
      </c>
    </row>
    <row r="8" spans="1:10" ht="28.9" hidden="1" customHeight="1">
      <c r="A8" s="307">
        <v>5</v>
      </c>
      <c r="B8" s="310" t="s">
        <v>728</v>
      </c>
      <c r="C8" s="233" t="s">
        <v>770</v>
      </c>
      <c r="D8" s="229" t="s">
        <v>583</v>
      </c>
      <c r="E8" s="228" t="s">
        <v>738</v>
      </c>
      <c r="F8" s="228" t="s">
        <v>739</v>
      </c>
      <c r="G8" s="228" t="s">
        <v>594</v>
      </c>
      <c r="H8" s="311"/>
      <c r="I8" s="331" t="s">
        <v>854</v>
      </c>
      <c r="J8" s="326" t="s">
        <v>853</v>
      </c>
    </row>
    <row r="9" spans="1:10" ht="29.45" hidden="1" customHeight="1">
      <c r="A9" s="307">
        <v>6</v>
      </c>
      <c r="B9" s="304" t="s">
        <v>740</v>
      </c>
      <c r="C9" s="3" t="s">
        <v>741</v>
      </c>
      <c r="D9" s="229" t="s">
        <v>742</v>
      </c>
      <c r="E9" s="228" t="s">
        <v>738</v>
      </c>
      <c r="F9" s="228" t="s">
        <v>739</v>
      </c>
      <c r="G9" s="228" t="s">
        <v>592</v>
      </c>
      <c r="H9" s="3"/>
      <c r="I9" s="331" t="s">
        <v>854</v>
      </c>
      <c r="J9" s="326" t="s">
        <v>853</v>
      </c>
    </row>
    <row r="10" spans="1:10" ht="49.15" hidden="1" customHeight="1">
      <c r="A10" s="307">
        <v>7</v>
      </c>
      <c r="B10" s="304" t="s">
        <v>743</v>
      </c>
      <c r="C10" s="233" t="s">
        <v>744</v>
      </c>
      <c r="D10" s="229" t="s">
        <v>742</v>
      </c>
      <c r="E10" s="228" t="s">
        <v>569</v>
      </c>
      <c r="F10" s="228" t="s">
        <v>745</v>
      </c>
      <c r="G10" s="228" t="s">
        <v>592</v>
      </c>
      <c r="H10" s="3"/>
      <c r="I10" s="330" t="s">
        <v>855</v>
      </c>
      <c r="J10" s="329" t="s">
        <v>853</v>
      </c>
    </row>
    <row r="11" spans="1:10" ht="49.15" hidden="1" customHeight="1">
      <c r="A11" s="307">
        <v>8</v>
      </c>
      <c r="B11" s="310" t="s">
        <v>767</v>
      </c>
      <c r="C11" s="4" t="s">
        <v>768</v>
      </c>
      <c r="D11" s="229" t="s">
        <v>769</v>
      </c>
      <c r="E11" s="228" t="s">
        <v>569</v>
      </c>
      <c r="F11" s="228" t="s">
        <v>745</v>
      </c>
      <c r="G11" s="228" t="s">
        <v>594</v>
      </c>
      <c r="H11" s="311"/>
      <c r="I11" s="330" t="s">
        <v>856</v>
      </c>
      <c r="J11" s="329" t="s">
        <v>853</v>
      </c>
    </row>
    <row r="12" spans="1:10" ht="48" customHeight="1">
      <c r="A12" s="307">
        <v>9</v>
      </c>
      <c r="B12" s="229" t="s">
        <v>869</v>
      </c>
      <c r="C12" s="4" t="s">
        <v>771</v>
      </c>
      <c r="D12" s="229" t="s">
        <v>772</v>
      </c>
      <c r="E12" s="228" t="s">
        <v>760</v>
      </c>
      <c r="F12" s="228" t="s">
        <v>761</v>
      </c>
      <c r="G12" s="228" t="s">
        <v>594</v>
      </c>
      <c r="H12" s="311"/>
      <c r="I12" s="336" t="s">
        <v>866</v>
      </c>
      <c r="J12" s="326" t="s">
        <v>853</v>
      </c>
    </row>
    <row r="13" spans="1:10" ht="47.45" customHeight="1">
      <c r="A13" s="307">
        <v>10</v>
      </c>
      <c r="B13" s="229" t="s">
        <v>867</v>
      </c>
      <c r="C13" s="272" t="s">
        <v>774</v>
      </c>
      <c r="D13" s="229" t="s">
        <v>583</v>
      </c>
      <c r="E13" s="228" t="s">
        <v>760</v>
      </c>
      <c r="F13" s="228" t="s">
        <v>761</v>
      </c>
      <c r="G13" s="228" t="s">
        <v>584</v>
      </c>
      <c r="H13" s="308"/>
      <c r="I13" s="336" t="s">
        <v>865</v>
      </c>
      <c r="J13" s="326" t="s">
        <v>853</v>
      </c>
    </row>
    <row r="14" spans="1:10" ht="39" customHeight="1">
      <c r="A14" s="307">
        <v>11</v>
      </c>
      <c r="B14" s="229" t="s">
        <v>868</v>
      </c>
      <c r="C14" s="233" t="s">
        <v>746</v>
      </c>
      <c r="D14" s="229" t="s">
        <v>742</v>
      </c>
      <c r="E14" s="228" t="s">
        <v>760</v>
      </c>
      <c r="F14" s="228" t="s">
        <v>761</v>
      </c>
      <c r="G14" s="228" t="s">
        <v>592</v>
      </c>
      <c r="H14" s="3"/>
      <c r="I14" s="336" t="s">
        <v>865</v>
      </c>
      <c r="J14" s="326" t="s">
        <v>853</v>
      </c>
    </row>
    <row r="15" spans="1:10" ht="26.45" hidden="1" customHeight="1">
      <c r="A15" s="307">
        <v>12</v>
      </c>
      <c r="B15" s="304" t="s">
        <v>747</v>
      </c>
      <c r="C15" s="233" t="s">
        <v>748</v>
      </c>
      <c r="D15" s="229" t="s">
        <v>742</v>
      </c>
      <c r="E15" s="228">
        <v>46028</v>
      </c>
      <c r="F15" s="228" t="s">
        <v>749</v>
      </c>
      <c r="G15" s="228" t="s">
        <v>592</v>
      </c>
      <c r="H15" s="309"/>
      <c r="I15" s="2" t="s">
        <v>18</v>
      </c>
      <c r="J15" s="311"/>
    </row>
    <row r="16" spans="1:10" ht="26.45" hidden="1" customHeight="1">
      <c r="A16" s="307">
        <v>13</v>
      </c>
      <c r="B16" s="304" t="s">
        <v>750</v>
      </c>
      <c r="C16" s="3" t="s">
        <v>730</v>
      </c>
      <c r="D16" s="229" t="s">
        <v>742</v>
      </c>
      <c r="E16" s="228">
        <v>46029</v>
      </c>
      <c r="F16" s="228" t="s">
        <v>751</v>
      </c>
      <c r="G16" s="228" t="s">
        <v>592</v>
      </c>
      <c r="H16" s="3"/>
      <c r="I16" s="2" t="s">
        <v>18</v>
      </c>
      <c r="J16" s="311"/>
    </row>
    <row r="17" spans="1:10" ht="26.45" hidden="1" customHeight="1">
      <c r="A17" s="307">
        <v>14</v>
      </c>
      <c r="B17" s="304" t="s">
        <v>752</v>
      </c>
      <c r="C17" s="229" t="s">
        <v>753</v>
      </c>
      <c r="D17" s="229" t="s">
        <v>742</v>
      </c>
      <c r="E17" s="228">
        <v>46031</v>
      </c>
      <c r="F17" s="228" t="s">
        <v>754</v>
      </c>
      <c r="G17" s="228" t="s">
        <v>592</v>
      </c>
      <c r="H17" s="3"/>
      <c r="I17" s="2" t="s">
        <v>18</v>
      </c>
      <c r="J17" s="311"/>
    </row>
    <row r="18" spans="1:10" ht="33" hidden="1">
      <c r="A18" s="307">
        <v>15</v>
      </c>
      <c r="B18" s="310" t="s">
        <v>755</v>
      </c>
      <c r="C18" s="4" t="s">
        <v>756</v>
      </c>
      <c r="D18" s="229" t="s">
        <v>742</v>
      </c>
      <c r="E18" s="228">
        <v>46032</v>
      </c>
      <c r="F18" s="228" t="s">
        <v>419</v>
      </c>
      <c r="G18" s="228" t="s">
        <v>592</v>
      </c>
      <c r="H18" s="311"/>
      <c r="I18" s="2" t="s">
        <v>18</v>
      </c>
      <c r="J18" s="311"/>
    </row>
    <row r="19" spans="1:10" ht="33" hidden="1">
      <c r="A19" s="307">
        <v>16</v>
      </c>
      <c r="B19" s="310" t="s">
        <v>757</v>
      </c>
      <c r="C19" s="4" t="s">
        <v>758</v>
      </c>
      <c r="D19" s="229" t="s">
        <v>742</v>
      </c>
      <c r="E19" s="228">
        <v>46033</v>
      </c>
      <c r="F19" s="228" t="s">
        <v>581</v>
      </c>
      <c r="G19" s="228" t="s">
        <v>592</v>
      </c>
      <c r="H19" s="311"/>
      <c r="I19" s="2" t="s">
        <v>18</v>
      </c>
      <c r="J19" s="311"/>
    </row>
  </sheetData>
  <autoFilter ref="A3:H19" xr:uid="{75A52A9C-8C54-48F9-8D62-E02AB503E53E}">
    <filterColumn colId="5">
      <filters>
        <filter val="30/05/2026"/>
        <filter val="31/5/2026"/>
      </filters>
    </filterColumn>
  </autoFilter>
  <mergeCells count="12">
    <mergeCell ref="I1:J1"/>
    <mergeCell ref="J2:J3"/>
    <mergeCell ref="I2:I3"/>
    <mergeCell ref="A1:H1"/>
    <mergeCell ref="A2:A3"/>
    <mergeCell ref="B2:B3"/>
    <mergeCell ref="C2:C3"/>
    <mergeCell ref="D2:D3"/>
    <mergeCell ref="E2:E3"/>
    <mergeCell ref="F2:F3"/>
    <mergeCell ref="G2:G3"/>
    <mergeCell ref="H2:H3"/>
  </mergeCells>
  <conditionalFormatting sqref="B9:B10 B15">
    <cfRule type="duplicateValues" dxfId="11" priority="9"/>
  </conditionalFormatting>
  <conditionalFormatting sqref="C5:C6">
    <cfRule type="duplicateValues" dxfId="10" priority="32"/>
  </conditionalFormatting>
  <conditionalFormatting sqref="C7">
    <cfRule type="duplicateValues" dxfId="9" priority="12"/>
  </conditionalFormatting>
  <conditionalFormatting sqref="C10">
    <cfRule type="duplicateValues" dxfId="8" priority="7" stopIfTrue="1"/>
    <cfRule type="duplicateValues" dxfId="7" priority="7"/>
  </conditionalFormatting>
  <conditionalFormatting sqref="C13 C4">
    <cfRule type="duplicateValues" dxfId="6" priority="15"/>
  </conditionalFormatting>
  <conditionalFormatting sqref="C14">
    <cfRule type="duplicateValues" dxfId="5" priority="5" stopIfTrue="1"/>
    <cfRule type="duplicateValues" dxfId="4" priority="5"/>
  </conditionalFormatting>
  <conditionalFormatting sqref="C15 C9:C10">
    <cfRule type="duplicateValues" dxfId="3" priority="16"/>
  </conditionalFormatting>
  <conditionalFormatting sqref="C15">
    <cfRule type="duplicateValues" dxfId="2" priority="2" stopIfTrue="1"/>
    <cfRule type="duplicateValues" dxfId="1" priority="2"/>
  </conditionalFormatting>
  <conditionalFormatting sqref="C17">
    <cfRule type="duplicateValues" dxfId="0" priority="8"/>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98408-5093-47E2-8996-4F00B64F8A16}">
  <dimension ref="A1:I16"/>
  <sheetViews>
    <sheetView topLeftCell="A2" zoomScale="85" zoomScaleNormal="85" zoomScaleSheetLayoutView="130" workbookViewId="0">
      <selection activeCell="A13" sqref="A13:XFD13"/>
    </sheetView>
  </sheetViews>
  <sheetFormatPr defaultRowHeight="15"/>
  <cols>
    <col min="1" max="1" width="15.7109375" customWidth="1"/>
    <col min="2" max="2" width="137.5703125" customWidth="1"/>
  </cols>
  <sheetData>
    <row r="1" spans="1:9" ht="29.45" customHeight="1">
      <c r="A1" s="426" t="s">
        <v>62</v>
      </c>
      <c r="B1" s="426"/>
    </row>
    <row r="2" spans="1:9" ht="19.899999999999999" customHeight="1">
      <c r="A2" s="290" t="s">
        <v>63</v>
      </c>
      <c r="B2" s="290" t="s">
        <v>64</v>
      </c>
    </row>
    <row r="3" spans="1:9" ht="21" customHeight="1">
      <c r="A3" s="2" t="s">
        <v>65</v>
      </c>
      <c r="B3" s="3" t="s">
        <v>66</v>
      </c>
      <c r="C3" s="6"/>
      <c r="D3" s="6"/>
      <c r="E3" s="6"/>
      <c r="F3" s="6"/>
      <c r="G3" s="6"/>
      <c r="H3" s="6"/>
      <c r="I3" s="6"/>
    </row>
    <row r="4" spans="1:9" ht="36.6" customHeight="1">
      <c r="A4" s="2" t="s">
        <v>67</v>
      </c>
      <c r="B4" s="3" t="s">
        <v>68</v>
      </c>
      <c r="C4" s="6"/>
      <c r="D4" s="6"/>
      <c r="E4" s="6"/>
      <c r="F4" s="6"/>
      <c r="G4" s="6"/>
      <c r="H4" s="6"/>
      <c r="I4" s="6"/>
    </row>
    <row r="5" spans="1:9" ht="33">
      <c r="A5" s="2" t="s">
        <v>69</v>
      </c>
      <c r="B5" s="3" t="s">
        <v>148</v>
      </c>
      <c r="C5" s="6"/>
      <c r="D5" s="6"/>
      <c r="E5" s="6"/>
      <c r="F5" s="6"/>
      <c r="G5" s="6"/>
      <c r="H5" s="6"/>
      <c r="I5" s="6"/>
    </row>
    <row r="6" spans="1:9" ht="40.15" customHeight="1">
      <c r="A6" s="2" t="s">
        <v>70</v>
      </c>
      <c r="B6" s="3" t="s">
        <v>71</v>
      </c>
      <c r="C6" s="6"/>
      <c r="D6" s="6"/>
      <c r="E6" s="6"/>
      <c r="F6" s="6"/>
      <c r="G6" s="6"/>
      <c r="H6" s="6"/>
      <c r="I6" s="6"/>
    </row>
    <row r="7" spans="1:9" ht="61.15" customHeight="1">
      <c r="A7" s="2" t="s">
        <v>72</v>
      </c>
      <c r="B7" s="3" t="s">
        <v>600</v>
      </c>
    </row>
    <row r="8" spans="1:9" ht="24.6" customHeight="1">
      <c r="A8" s="2" t="s">
        <v>73</v>
      </c>
      <c r="B8" s="3" t="s">
        <v>74</v>
      </c>
      <c r="C8" s="6"/>
      <c r="D8" s="6"/>
      <c r="E8" s="6"/>
      <c r="F8" s="6"/>
      <c r="G8" s="6"/>
      <c r="H8" s="6"/>
      <c r="I8" s="6"/>
    </row>
    <row r="9" spans="1:9" ht="24.6" customHeight="1">
      <c r="A9" s="2" t="s">
        <v>75</v>
      </c>
      <c r="B9" s="3" t="s">
        <v>76</v>
      </c>
      <c r="C9" s="6"/>
      <c r="D9" s="6"/>
      <c r="E9" s="6"/>
      <c r="F9" s="6"/>
      <c r="G9" s="6"/>
      <c r="H9" s="6"/>
      <c r="I9" s="6"/>
    </row>
    <row r="10" spans="1:9" ht="33" customHeight="1">
      <c r="A10" s="2" t="s">
        <v>77</v>
      </c>
      <c r="B10" s="3" t="s">
        <v>78</v>
      </c>
      <c r="C10" s="6"/>
      <c r="D10" s="6"/>
      <c r="E10" s="6"/>
      <c r="F10" s="6"/>
      <c r="G10" s="6"/>
      <c r="H10" s="6"/>
      <c r="I10" s="6"/>
    </row>
    <row r="11" spans="1:9" ht="40.9" customHeight="1">
      <c r="A11" s="2" t="s">
        <v>79</v>
      </c>
      <c r="B11" s="3" t="s">
        <v>149</v>
      </c>
      <c r="C11" s="6"/>
      <c r="D11" s="6"/>
      <c r="E11" s="6"/>
      <c r="F11" s="6"/>
      <c r="G11" s="6"/>
      <c r="H11" s="6"/>
      <c r="I11" s="6"/>
    </row>
    <row r="12" spans="1:9" ht="45" customHeight="1">
      <c r="A12" s="2" t="s">
        <v>80</v>
      </c>
      <c r="B12" s="3" t="s">
        <v>150</v>
      </c>
      <c r="C12" s="6"/>
      <c r="D12" s="6"/>
      <c r="E12" s="6"/>
      <c r="F12" s="6"/>
      <c r="G12" s="6"/>
      <c r="H12" s="6"/>
      <c r="I12" s="6"/>
    </row>
    <row r="13" spans="1:9" ht="39" customHeight="1">
      <c r="A13" s="2" t="s">
        <v>81</v>
      </c>
      <c r="B13" s="3" t="s">
        <v>155</v>
      </c>
      <c r="C13" s="6"/>
      <c r="D13" s="6"/>
      <c r="E13" s="6"/>
      <c r="F13" s="6"/>
      <c r="G13" s="6"/>
      <c r="H13" s="6"/>
      <c r="I13" s="6"/>
    </row>
    <row r="14" spans="1:9" ht="30.6" customHeight="1">
      <c r="A14" s="2" t="s">
        <v>82</v>
      </c>
      <c r="B14" s="3" t="s">
        <v>151</v>
      </c>
    </row>
    <row r="15" spans="1:9" ht="30.6" customHeight="1">
      <c r="A15" s="291" t="s">
        <v>153</v>
      </c>
      <c r="B15" s="4" t="s">
        <v>152</v>
      </c>
    </row>
    <row r="16" spans="1:9" ht="41.45" customHeight="1">
      <c r="A16" s="291" t="s">
        <v>154</v>
      </c>
      <c r="B16" s="4" t="s">
        <v>83</v>
      </c>
    </row>
  </sheetData>
  <mergeCells count="1">
    <mergeCell ref="A1:B1"/>
  </mergeCells>
  <phoneticPr fontId="8"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60A66-9390-425D-B23E-E2F7BA3D88C0}">
  <dimension ref="A1:C10"/>
  <sheetViews>
    <sheetView zoomScaleNormal="100" zoomScaleSheetLayoutView="100" workbookViewId="0">
      <selection activeCell="C4" sqref="C4"/>
    </sheetView>
  </sheetViews>
  <sheetFormatPr defaultColWidth="39.7109375" defaultRowHeight="16.5"/>
  <cols>
    <col min="1" max="1" width="15.7109375" style="1" customWidth="1"/>
    <col min="2" max="2" width="39.7109375" style="1"/>
    <col min="3" max="3" width="99" style="1" customWidth="1"/>
    <col min="4" max="16384" width="39.7109375" style="1"/>
  </cols>
  <sheetData>
    <row r="1" spans="1:3" ht="51" customHeight="1">
      <c r="A1" s="427" t="s">
        <v>58</v>
      </c>
      <c r="B1" s="427"/>
      <c r="C1" s="427"/>
    </row>
    <row r="2" spans="1:3" ht="49.5" customHeight="1">
      <c r="A2" s="323">
        <v>1</v>
      </c>
      <c r="B2" s="324" t="s">
        <v>826</v>
      </c>
      <c r="C2" s="324" t="s">
        <v>827</v>
      </c>
    </row>
    <row r="3" spans="1:3" ht="49.5" customHeight="1">
      <c r="A3" s="323">
        <v>2</v>
      </c>
      <c r="B3" s="324" t="s">
        <v>828</v>
      </c>
      <c r="C3" s="324" t="s">
        <v>829</v>
      </c>
    </row>
    <row r="4" spans="1:3" ht="129.75" customHeight="1">
      <c r="A4" s="323">
        <v>3</v>
      </c>
      <c r="B4" s="324" t="s">
        <v>60</v>
      </c>
      <c r="C4" s="324" t="s">
        <v>830</v>
      </c>
    </row>
    <row r="5" spans="1:3" ht="82.5" customHeight="1">
      <c r="A5" s="323">
        <v>4</v>
      </c>
      <c r="B5" s="324" t="s">
        <v>61</v>
      </c>
      <c r="C5" s="324" t="s">
        <v>831</v>
      </c>
    </row>
    <row r="6" spans="1:3" ht="78" customHeight="1">
      <c r="A6" s="428" t="s">
        <v>457</v>
      </c>
      <c r="B6" s="429"/>
      <c r="C6" s="429"/>
    </row>
    <row r="10" spans="1:3">
      <c r="B10" s="5"/>
    </row>
  </sheetData>
  <mergeCells count="2">
    <mergeCell ref="A1:C1"/>
    <mergeCell ref="A6:C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E6A3-3F8B-403A-B1FB-14667C71CCBF}">
  <sheetPr>
    <tabColor rgb="FFFFFF00"/>
    <pageSetUpPr fitToPage="1"/>
  </sheetPr>
  <dimension ref="A1:Q60"/>
  <sheetViews>
    <sheetView zoomScale="70" zoomScaleNormal="70" zoomScaleSheetLayoutView="50" workbookViewId="0">
      <pane xSplit="8" ySplit="9" topLeftCell="I10" activePane="bottomRight" state="frozen"/>
      <selection activeCell="H12" sqref="H12"/>
      <selection pane="topRight" activeCell="H12" sqref="H12"/>
      <selection pane="bottomLeft" activeCell="H12" sqref="H12"/>
      <selection pane="bottomRight" activeCell="A22" activeCellId="2" sqref="A10:XFD10 A19:XFD19 A22:XFD22"/>
    </sheetView>
  </sheetViews>
  <sheetFormatPr defaultColWidth="9.140625" defaultRowHeight="15.75"/>
  <cols>
    <col min="1" max="1" width="17.5703125" style="93" customWidth="1"/>
    <col min="2" max="2" width="21.85546875" style="93" customWidth="1"/>
    <col min="3" max="3" width="9.42578125" style="93" customWidth="1"/>
    <col min="4" max="4" width="42" style="93" customWidth="1"/>
    <col min="5" max="5" width="33.42578125" style="90" customWidth="1"/>
    <col min="6" max="6" width="17.7109375" style="93" customWidth="1"/>
    <col min="7" max="7" width="9.85546875" style="90" customWidth="1"/>
    <col min="8" max="8" width="10.140625" style="90" customWidth="1"/>
    <col min="9" max="9" width="93.42578125" style="93" customWidth="1"/>
    <col min="10" max="10" width="16.28515625" style="90" customWidth="1"/>
    <col min="11" max="11" width="27.42578125" style="93" customWidth="1"/>
    <col min="12" max="12" width="29.85546875" style="93" hidden="1" customWidth="1"/>
    <col min="13" max="13" width="23.140625" style="93" hidden="1" customWidth="1"/>
    <col min="14" max="14" width="21.42578125" style="93" hidden="1" customWidth="1"/>
    <col min="15" max="15" width="27.85546875" style="93" hidden="1" customWidth="1"/>
    <col min="16" max="16" width="22.140625" style="93" customWidth="1"/>
    <col min="17" max="17" width="25" style="90" customWidth="1"/>
    <col min="18" max="16384" width="9.140625" style="93"/>
  </cols>
  <sheetData>
    <row r="1" spans="1:17" s="87" customFormat="1" hidden="1">
      <c r="B1" s="88"/>
      <c r="C1" s="88"/>
      <c r="D1" s="89" t="s">
        <v>192</v>
      </c>
      <c r="E1" s="90"/>
      <c r="F1" s="88"/>
      <c r="G1" s="88"/>
      <c r="H1" s="88"/>
      <c r="J1" s="90"/>
      <c r="Q1" s="90"/>
    </row>
    <row r="2" spans="1:17" s="87" customFormat="1" hidden="1">
      <c r="B2" s="88"/>
      <c r="C2" s="88"/>
      <c r="D2" s="89" t="s">
        <v>193</v>
      </c>
      <c r="E2" s="90"/>
      <c r="F2" s="88"/>
      <c r="G2" s="88"/>
      <c r="H2" s="88"/>
      <c r="J2" s="90"/>
      <c r="Q2" s="90"/>
    </row>
    <row r="3" spans="1:17" s="87" customFormat="1" hidden="1">
      <c r="B3" s="88"/>
      <c r="C3" s="88"/>
      <c r="E3" s="90"/>
      <c r="F3" s="88"/>
      <c r="G3" s="88"/>
      <c r="H3" s="88"/>
      <c r="J3" s="90"/>
      <c r="Q3" s="90"/>
    </row>
    <row r="4" spans="1:17" s="87" customFormat="1">
      <c r="C4" s="431" t="str">
        <f>"PHỤ LỤC 2: KẾ HOẠCH MỤC TIÊU VÀ KẾ HOẠCH HÀNH ĐỘNG NĂM "&amp;$Q$5&amp;" CỦA NHÀ MÁY ĐẠM CÀ MAU"</f>
        <v>PHỤ LỤC 2: KẾ HOẠCH MỤC TIÊU VÀ KẾ HOẠCH HÀNH ĐỘNG NĂM 2026 CỦA NHÀ MÁY ĐẠM CÀ MAU</v>
      </c>
      <c r="D4" s="431"/>
      <c r="E4" s="431"/>
      <c r="F4" s="431"/>
      <c r="G4" s="431"/>
      <c r="H4" s="431"/>
      <c r="I4" s="431"/>
      <c r="J4" s="431"/>
      <c r="Q4" s="90"/>
    </row>
    <row r="5" spans="1:17" s="87" customFormat="1">
      <c r="C5" s="432" t="s">
        <v>194</v>
      </c>
      <c r="D5" s="432"/>
      <c r="E5" s="432"/>
      <c r="F5" s="432"/>
      <c r="G5" s="432"/>
      <c r="H5" s="432"/>
      <c r="I5" s="432"/>
      <c r="J5" s="432"/>
      <c r="K5" s="91">
        <f>15%/H10</f>
        <v>0.3</v>
      </c>
      <c r="Q5" s="92">
        <v>2026</v>
      </c>
    </row>
    <row r="6" spans="1:17" s="87" customFormat="1">
      <c r="Q6" s="90"/>
    </row>
    <row r="7" spans="1:17" hidden="1">
      <c r="B7" s="94"/>
      <c r="C7" s="94"/>
      <c r="L7" s="433" t="s">
        <v>2</v>
      </c>
      <c r="M7" s="433"/>
      <c r="N7" s="433"/>
      <c r="O7" s="433"/>
      <c r="P7" s="433"/>
    </row>
    <row r="8" spans="1:17" ht="45.75" customHeight="1">
      <c r="A8" s="95" t="s">
        <v>195</v>
      </c>
      <c r="B8" s="96" t="s">
        <v>196</v>
      </c>
      <c r="C8" s="96" t="s">
        <v>197</v>
      </c>
      <c r="D8" s="97" t="s">
        <v>198</v>
      </c>
      <c r="E8" s="98" t="s">
        <v>199</v>
      </c>
      <c r="F8" s="98" t="s">
        <v>161</v>
      </c>
      <c r="G8" s="98" t="s">
        <v>13</v>
      </c>
      <c r="H8" s="97" t="s">
        <v>200</v>
      </c>
      <c r="I8" s="98" t="s">
        <v>201</v>
      </c>
      <c r="J8" s="98" t="s">
        <v>202</v>
      </c>
      <c r="K8" s="97" t="s">
        <v>203</v>
      </c>
      <c r="L8" s="99" t="s">
        <v>2</v>
      </c>
      <c r="M8" s="95" t="s">
        <v>3</v>
      </c>
      <c r="N8" s="95" t="s">
        <v>204</v>
      </c>
      <c r="O8" s="95" t="s">
        <v>4</v>
      </c>
      <c r="P8" s="95" t="s">
        <v>5</v>
      </c>
      <c r="Q8" s="100" t="s">
        <v>205</v>
      </c>
    </row>
    <row r="9" spans="1:17">
      <c r="A9" s="101"/>
      <c r="B9" s="102"/>
      <c r="C9" s="102" t="s">
        <v>206</v>
      </c>
      <c r="D9" s="102" t="s">
        <v>207</v>
      </c>
      <c r="E9" s="102" t="s">
        <v>208</v>
      </c>
      <c r="F9" s="102" t="s">
        <v>209</v>
      </c>
      <c r="G9" s="102" t="s">
        <v>210</v>
      </c>
      <c r="H9" s="102" t="s">
        <v>211</v>
      </c>
      <c r="I9" s="102" t="s">
        <v>212</v>
      </c>
      <c r="J9" s="102" t="s">
        <v>213</v>
      </c>
      <c r="K9" s="102" t="s">
        <v>214</v>
      </c>
      <c r="L9" s="103"/>
      <c r="M9" s="104"/>
      <c r="N9" s="104"/>
      <c r="O9" s="104"/>
      <c r="P9" s="105"/>
      <c r="Q9" s="106"/>
    </row>
    <row r="10" spans="1:17" ht="35.25" customHeight="1">
      <c r="A10" s="107" t="s">
        <v>215</v>
      </c>
      <c r="B10" s="108" t="s">
        <v>103</v>
      </c>
      <c r="C10" s="95">
        <v>1</v>
      </c>
      <c r="D10" s="430" t="s">
        <v>216</v>
      </c>
      <c r="E10" s="430"/>
      <c r="F10" s="430"/>
      <c r="G10" s="430"/>
      <c r="H10" s="109">
        <v>0.5</v>
      </c>
      <c r="I10" s="110"/>
      <c r="J10" s="111">
        <f>SUM(J11:J13)</f>
        <v>452.38411626164987</v>
      </c>
      <c r="K10" s="95" t="s">
        <v>217</v>
      </c>
      <c r="L10" s="112"/>
      <c r="M10" s="101"/>
      <c r="N10" s="113">
        <f>SUMPRODUCT(N11:N21,H11:H21)</f>
        <v>0</v>
      </c>
      <c r="O10" s="101"/>
      <c r="P10" s="114"/>
      <c r="Q10" s="106"/>
    </row>
    <row r="11" spans="1:17" ht="339" hidden="1" customHeight="1">
      <c r="A11" s="101"/>
      <c r="B11" s="115" t="s">
        <v>99</v>
      </c>
      <c r="C11" s="115" t="s">
        <v>218</v>
      </c>
      <c r="D11" s="116" t="s">
        <v>100</v>
      </c>
      <c r="E11" s="117" t="s">
        <v>101</v>
      </c>
      <c r="F11" s="118">
        <v>0</v>
      </c>
      <c r="G11" s="115" t="s">
        <v>14</v>
      </c>
      <c r="H11" s="119">
        <f>H$10*30%</f>
        <v>0.15</v>
      </c>
      <c r="I11" s="120" t="s">
        <v>219</v>
      </c>
      <c r="J11" s="121"/>
      <c r="K11" s="122"/>
      <c r="L11" s="123"/>
      <c r="M11" s="101"/>
      <c r="N11" s="124"/>
      <c r="O11" s="101"/>
      <c r="P11" s="114"/>
      <c r="Q11" s="106" t="s">
        <v>220</v>
      </c>
    </row>
    <row r="12" spans="1:17" ht="220.5" hidden="1" customHeight="1">
      <c r="A12" s="101"/>
      <c r="B12" s="115" t="s">
        <v>102</v>
      </c>
      <c r="C12" s="115" t="s">
        <v>221</v>
      </c>
      <c r="D12" s="125" t="s">
        <v>222</v>
      </c>
      <c r="E12" s="126" t="s">
        <v>90</v>
      </c>
      <c r="F12" s="127" t="s">
        <v>223</v>
      </c>
      <c r="G12" s="106" t="s">
        <v>15</v>
      </c>
      <c r="H12" s="119">
        <f>H$10*40%</f>
        <v>0.2</v>
      </c>
      <c r="I12" s="120" t="s">
        <v>224</v>
      </c>
      <c r="J12" s="128">
        <v>400.89999999999986</v>
      </c>
      <c r="K12" s="122"/>
      <c r="Q12" s="129" t="s">
        <v>225</v>
      </c>
    </row>
    <row r="13" spans="1:17" ht="334.5" hidden="1" customHeight="1">
      <c r="A13" s="101"/>
      <c r="B13" s="115" t="s">
        <v>106</v>
      </c>
      <c r="C13" s="130" t="s">
        <v>226</v>
      </c>
      <c r="D13" s="120" t="s">
        <v>227</v>
      </c>
      <c r="E13" s="130" t="s">
        <v>16</v>
      </c>
      <c r="F13" s="130">
        <v>0</v>
      </c>
      <c r="G13" s="106" t="s">
        <v>14</v>
      </c>
      <c r="H13" s="119">
        <f>H$10*30%</f>
        <v>0.15</v>
      </c>
      <c r="I13" s="120" t="s">
        <v>228</v>
      </c>
      <c r="J13" s="131">
        <v>51.484116261650001</v>
      </c>
      <c r="K13" s="122"/>
      <c r="L13" s="123"/>
      <c r="M13" s="101"/>
      <c r="N13" s="124"/>
      <c r="O13" s="101"/>
      <c r="P13" s="114"/>
      <c r="Q13" s="106" t="s">
        <v>229</v>
      </c>
    </row>
    <row r="14" spans="1:17" ht="29.45" customHeight="1">
      <c r="A14" s="107" t="s">
        <v>215</v>
      </c>
      <c r="B14" s="108" t="s">
        <v>230</v>
      </c>
      <c r="C14" s="95">
        <v>2</v>
      </c>
      <c r="D14" s="430" t="s">
        <v>231</v>
      </c>
      <c r="E14" s="430"/>
      <c r="F14" s="430"/>
      <c r="G14" s="430"/>
      <c r="H14" s="132">
        <v>0.25</v>
      </c>
      <c r="I14" s="133"/>
      <c r="J14" s="134">
        <f>SUM(J15:J18)</f>
        <v>26.083350000000006</v>
      </c>
      <c r="K14" s="95" t="s">
        <v>217</v>
      </c>
      <c r="L14" s="123"/>
      <c r="M14" s="101"/>
      <c r="N14" s="135"/>
      <c r="O14" s="101"/>
      <c r="P14" s="114"/>
      <c r="Q14" s="106"/>
    </row>
    <row r="15" spans="1:17" ht="254.25" hidden="1" customHeight="1">
      <c r="A15" s="101"/>
      <c r="B15" s="115" t="s">
        <v>232</v>
      </c>
      <c r="C15" s="115" t="s">
        <v>233</v>
      </c>
      <c r="D15" s="136" t="s">
        <v>234</v>
      </c>
      <c r="E15" s="115" t="s">
        <v>235</v>
      </c>
      <c r="F15" s="137">
        <v>1</v>
      </c>
      <c r="G15" s="106" t="s">
        <v>14</v>
      </c>
      <c r="H15" s="138">
        <f>H$14*40%</f>
        <v>0.1</v>
      </c>
      <c r="I15" s="120" t="s">
        <v>236</v>
      </c>
      <c r="J15" s="139"/>
      <c r="K15" s="122"/>
      <c r="L15" s="112"/>
      <c r="M15" s="101"/>
      <c r="N15" s="124"/>
      <c r="O15" s="101"/>
      <c r="P15" s="114"/>
      <c r="Q15" s="106" t="s">
        <v>237</v>
      </c>
    </row>
    <row r="16" spans="1:17" ht="114.75" hidden="1" customHeight="1">
      <c r="A16" s="101"/>
      <c r="B16" s="115" t="s">
        <v>238</v>
      </c>
      <c r="C16" s="115" t="s">
        <v>239</v>
      </c>
      <c r="D16" s="136" t="s">
        <v>240</v>
      </c>
      <c r="E16" s="115" t="s">
        <v>241</v>
      </c>
      <c r="F16" s="110">
        <v>1</v>
      </c>
      <c r="G16" s="106" t="s">
        <v>15</v>
      </c>
      <c r="H16" s="138">
        <f>H$14*20%</f>
        <v>0.05</v>
      </c>
      <c r="I16" s="120" t="s">
        <v>242</v>
      </c>
      <c r="J16" s="140"/>
      <c r="K16" s="122"/>
      <c r="L16" s="112"/>
      <c r="M16" s="101"/>
      <c r="N16" s="124"/>
      <c r="O16" s="101"/>
      <c r="P16" s="114"/>
      <c r="Q16" s="106" t="s">
        <v>237</v>
      </c>
    </row>
    <row r="17" spans="1:17" ht="151.5" hidden="1" customHeight="1">
      <c r="A17" s="101"/>
      <c r="B17" s="115" t="s">
        <v>243</v>
      </c>
      <c r="C17" s="115" t="s">
        <v>244</v>
      </c>
      <c r="D17" s="136" t="s">
        <v>245</v>
      </c>
      <c r="E17" s="115" t="s">
        <v>246</v>
      </c>
      <c r="F17" s="110" t="s">
        <v>247</v>
      </c>
      <c r="G17" s="106" t="s">
        <v>14</v>
      </c>
      <c r="H17" s="138">
        <f>H$14*28%</f>
        <v>7.0000000000000007E-2</v>
      </c>
      <c r="I17" s="120" t="s">
        <v>248</v>
      </c>
      <c r="J17" s="141">
        <v>24.600000000000005</v>
      </c>
      <c r="K17" s="122"/>
      <c r="L17" s="123"/>
      <c r="M17" s="101"/>
      <c r="N17" s="124"/>
      <c r="O17" s="101"/>
      <c r="P17" s="114"/>
      <c r="Q17" s="106" t="s">
        <v>225</v>
      </c>
    </row>
    <row r="18" spans="1:17" ht="219" hidden="1" customHeight="1">
      <c r="A18" s="101"/>
      <c r="B18" s="115" t="s">
        <v>249</v>
      </c>
      <c r="C18" s="115" t="s">
        <v>250</v>
      </c>
      <c r="D18" s="142" t="s">
        <v>251</v>
      </c>
      <c r="E18" s="126" t="s">
        <v>252</v>
      </c>
      <c r="F18" s="143" t="s">
        <v>253</v>
      </c>
      <c r="G18" s="115" t="s">
        <v>14</v>
      </c>
      <c r="H18" s="138">
        <f>H$14*12%</f>
        <v>0.03</v>
      </c>
      <c r="I18" s="144" t="s">
        <v>254</v>
      </c>
      <c r="J18" s="145">
        <v>1.4833500000000006</v>
      </c>
      <c r="L18" s="123"/>
      <c r="M18" s="101"/>
      <c r="N18" s="124"/>
      <c r="O18" s="101"/>
      <c r="P18" s="114"/>
      <c r="Q18" s="106" t="s">
        <v>255</v>
      </c>
    </row>
    <row r="19" spans="1:17" ht="39.75" customHeight="1">
      <c r="A19" s="107" t="s">
        <v>256</v>
      </c>
      <c r="B19" s="95" t="s">
        <v>113</v>
      </c>
      <c r="C19" s="95">
        <v>3</v>
      </c>
      <c r="D19" s="430" t="s">
        <v>257</v>
      </c>
      <c r="E19" s="430"/>
      <c r="F19" s="430"/>
      <c r="G19" s="430"/>
      <c r="H19" s="146">
        <v>0.1</v>
      </c>
      <c r="I19" s="136"/>
      <c r="J19" s="147">
        <f>SUM(J20:J21)</f>
        <v>91.277000000000001</v>
      </c>
      <c r="K19" s="95" t="s">
        <v>217</v>
      </c>
      <c r="L19" s="123"/>
      <c r="M19" s="101"/>
      <c r="N19" s="148"/>
      <c r="O19" s="101"/>
      <c r="P19" s="114"/>
      <c r="Q19" s="106"/>
    </row>
    <row r="20" spans="1:17" ht="236.25" hidden="1">
      <c r="A20" s="101"/>
      <c r="B20" s="149" t="s">
        <v>177</v>
      </c>
      <c r="C20" s="149" t="s">
        <v>258</v>
      </c>
      <c r="D20" s="120" t="s">
        <v>178</v>
      </c>
      <c r="E20" s="130" t="s">
        <v>259</v>
      </c>
      <c r="F20" s="130" t="s">
        <v>260</v>
      </c>
      <c r="G20" s="106" t="s">
        <v>15</v>
      </c>
      <c r="H20" s="150">
        <f>H$19*80%</f>
        <v>8.0000000000000016E-2</v>
      </c>
      <c r="I20" s="151" t="s">
        <v>261</v>
      </c>
      <c r="J20" s="152">
        <v>56.476999999999997</v>
      </c>
      <c r="K20" s="122"/>
      <c r="L20" s="123"/>
      <c r="M20" s="101"/>
      <c r="N20" s="124"/>
      <c r="O20" s="101"/>
      <c r="P20" s="114"/>
      <c r="Q20" s="106" t="s">
        <v>262</v>
      </c>
    </row>
    <row r="21" spans="1:17" ht="204.75" hidden="1">
      <c r="A21" s="101"/>
      <c r="B21" s="149" t="s">
        <v>263</v>
      </c>
      <c r="C21" s="149" t="s">
        <v>264</v>
      </c>
      <c r="D21" s="153" t="s">
        <v>265</v>
      </c>
      <c r="E21" s="154" t="s">
        <v>266</v>
      </c>
      <c r="F21" s="155" t="s">
        <v>267</v>
      </c>
      <c r="G21" s="156" t="s">
        <v>15</v>
      </c>
      <c r="H21" s="150">
        <f>H$19*20%</f>
        <v>2.0000000000000004E-2</v>
      </c>
      <c r="I21" s="151" t="s">
        <v>268</v>
      </c>
      <c r="J21" s="152">
        <v>34.800000000000004</v>
      </c>
      <c r="K21" s="122"/>
      <c r="L21" s="157"/>
      <c r="M21" s="101"/>
      <c r="N21" s="124"/>
      <c r="O21" s="101"/>
      <c r="P21" s="114"/>
      <c r="Q21" s="106" t="s">
        <v>262</v>
      </c>
    </row>
    <row r="22" spans="1:17" ht="37.5" customHeight="1">
      <c r="A22" s="101"/>
      <c r="B22" s="95" t="s">
        <v>186</v>
      </c>
      <c r="C22" s="95">
        <v>4</v>
      </c>
      <c r="D22" s="434" t="s">
        <v>269</v>
      </c>
      <c r="E22" s="430"/>
      <c r="F22" s="430"/>
      <c r="G22" s="158"/>
      <c r="H22" s="132">
        <v>0.1</v>
      </c>
      <c r="I22" s="133"/>
      <c r="J22" s="134">
        <v>2.8</v>
      </c>
      <c r="K22" s="95" t="s">
        <v>217</v>
      </c>
      <c r="L22" s="123"/>
      <c r="M22" s="101"/>
      <c r="N22" s="148"/>
      <c r="O22" s="101"/>
      <c r="P22" s="114"/>
      <c r="Q22" s="106"/>
    </row>
    <row r="23" spans="1:17" ht="105.75" hidden="1" customHeight="1">
      <c r="A23" s="101"/>
      <c r="B23" s="149" t="s">
        <v>270</v>
      </c>
      <c r="C23" s="149" t="s">
        <v>271</v>
      </c>
      <c r="D23" s="159" t="s">
        <v>272</v>
      </c>
      <c r="E23" s="160" t="s">
        <v>273</v>
      </c>
      <c r="F23" s="161">
        <v>46112</v>
      </c>
      <c r="G23" s="162" t="s">
        <v>274</v>
      </c>
      <c r="H23" s="163">
        <f>$H$22*10%</f>
        <v>1.0000000000000002E-2</v>
      </c>
      <c r="I23" s="160" t="s">
        <v>275</v>
      </c>
      <c r="J23" s="164"/>
      <c r="K23" s="122"/>
      <c r="L23" s="123"/>
      <c r="M23" s="101"/>
      <c r="N23" s="124"/>
      <c r="O23" s="101"/>
      <c r="P23" s="114"/>
      <c r="Q23" s="106" t="s">
        <v>220</v>
      </c>
    </row>
    <row r="24" spans="1:17" ht="117.75" hidden="1" customHeight="1">
      <c r="A24" s="101"/>
      <c r="B24" s="149" t="s">
        <v>191</v>
      </c>
      <c r="C24" s="149" t="s">
        <v>276</v>
      </c>
      <c r="D24" s="165" t="s">
        <v>187</v>
      </c>
      <c r="E24" s="160" t="s">
        <v>277</v>
      </c>
      <c r="F24" s="166" t="s">
        <v>278</v>
      </c>
      <c r="G24" s="106" t="s">
        <v>279</v>
      </c>
      <c r="H24" s="150">
        <f>$H$22*20%</f>
        <v>2.0000000000000004E-2</v>
      </c>
      <c r="I24" s="120" t="s">
        <v>280</v>
      </c>
      <c r="J24" s="131">
        <v>2.8</v>
      </c>
      <c r="K24" s="167"/>
      <c r="L24" s="123"/>
      <c r="M24" s="101"/>
      <c r="N24" s="124"/>
      <c r="O24" s="101"/>
      <c r="P24" s="114"/>
      <c r="Q24" s="106" t="s">
        <v>220</v>
      </c>
    </row>
    <row r="25" spans="1:17" ht="47.25" hidden="1">
      <c r="A25" s="101"/>
      <c r="B25" s="149" t="s">
        <v>281</v>
      </c>
      <c r="C25" s="149" t="s">
        <v>282</v>
      </c>
      <c r="D25" s="165" t="s">
        <v>283</v>
      </c>
      <c r="E25" s="120" t="s">
        <v>284</v>
      </c>
      <c r="F25" s="166" t="s">
        <v>285</v>
      </c>
      <c r="G25" s="106" t="s">
        <v>279</v>
      </c>
      <c r="H25" s="150">
        <f>$H$22*40%</f>
        <v>4.0000000000000008E-2</v>
      </c>
      <c r="I25" s="120" t="s">
        <v>286</v>
      </c>
      <c r="J25" s="168"/>
      <c r="K25" s="167"/>
      <c r="L25" s="123"/>
      <c r="M25" s="101"/>
      <c r="N25" s="124"/>
      <c r="O25" s="101"/>
      <c r="P25" s="114"/>
      <c r="Q25" s="106" t="s">
        <v>220</v>
      </c>
    </row>
    <row r="26" spans="1:17" ht="47.25" hidden="1">
      <c r="A26" s="101"/>
      <c r="B26" s="149" t="s">
        <v>287</v>
      </c>
      <c r="C26" s="130" t="s">
        <v>288</v>
      </c>
      <c r="D26" s="165" t="s">
        <v>289</v>
      </c>
      <c r="E26" s="120" t="s">
        <v>290</v>
      </c>
      <c r="F26" s="166" t="s">
        <v>291</v>
      </c>
      <c r="G26" s="106" t="s">
        <v>279</v>
      </c>
      <c r="H26" s="150">
        <f t="shared" ref="H26" si="0">$H$22*30%</f>
        <v>0.03</v>
      </c>
      <c r="I26" s="120" t="s">
        <v>292</v>
      </c>
      <c r="J26" s="164"/>
      <c r="K26" s="122"/>
      <c r="L26" s="123"/>
      <c r="M26" s="101"/>
      <c r="N26" s="124"/>
      <c r="O26" s="101"/>
      <c r="P26" s="114"/>
      <c r="Q26" s="106" t="s">
        <v>220</v>
      </c>
    </row>
    <row r="27" spans="1:17" ht="56.25" customHeight="1">
      <c r="A27" s="107" t="s">
        <v>215</v>
      </c>
      <c r="B27" s="169" t="s">
        <v>293</v>
      </c>
      <c r="C27" s="169" t="s">
        <v>294</v>
      </c>
      <c r="D27" s="435" t="s">
        <v>295</v>
      </c>
      <c r="E27" s="436"/>
      <c r="F27" s="437"/>
      <c r="G27" s="170" t="s">
        <v>15</v>
      </c>
      <c r="H27" s="171">
        <v>0.05</v>
      </c>
      <c r="I27" s="172"/>
      <c r="J27" s="173">
        <f>SUM(J28:J31)</f>
        <v>0.41189535399999999</v>
      </c>
      <c r="K27" s="95" t="s">
        <v>217</v>
      </c>
      <c r="L27" s="123"/>
      <c r="M27" s="101"/>
      <c r="N27" s="124"/>
      <c r="O27" s="101"/>
      <c r="P27" s="114"/>
      <c r="Q27" s="174"/>
    </row>
    <row r="28" spans="1:17" s="87" customFormat="1" ht="31.5" hidden="1">
      <c r="A28" s="175"/>
      <c r="B28" s="176" t="s">
        <v>296</v>
      </c>
      <c r="C28" s="176" t="s">
        <v>297</v>
      </c>
      <c r="D28" s="177" t="s">
        <v>298</v>
      </c>
      <c r="E28" s="126" t="s">
        <v>299</v>
      </c>
      <c r="F28" s="178" t="s">
        <v>300</v>
      </c>
      <c r="G28" s="179" t="s">
        <v>15</v>
      </c>
      <c r="H28" s="180">
        <f>25%*$H$27</f>
        <v>1.2500000000000001E-2</v>
      </c>
      <c r="I28" s="181" t="s">
        <v>301</v>
      </c>
      <c r="J28" s="182"/>
      <c r="K28" s="115"/>
      <c r="L28" s="123"/>
      <c r="M28" s="101"/>
      <c r="N28" s="124"/>
      <c r="O28" s="101"/>
      <c r="P28" s="114"/>
      <c r="Q28" s="183" t="s">
        <v>302</v>
      </c>
    </row>
    <row r="29" spans="1:17" s="87" customFormat="1" ht="173.25" hidden="1">
      <c r="A29" s="175"/>
      <c r="B29" s="176" t="s">
        <v>303</v>
      </c>
      <c r="C29" s="176" t="s">
        <v>304</v>
      </c>
      <c r="D29" s="184" t="s">
        <v>305</v>
      </c>
      <c r="E29" s="126" t="s">
        <v>306</v>
      </c>
      <c r="F29" s="127" t="s">
        <v>307</v>
      </c>
      <c r="G29" s="179" t="s">
        <v>14</v>
      </c>
      <c r="H29" s="180">
        <f>25%*$H$27</f>
        <v>1.2500000000000001E-2</v>
      </c>
      <c r="I29" s="144" t="s">
        <v>308</v>
      </c>
      <c r="J29" s="182"/>
      <c r="K29" s="95"/>
      <c r="L29" s="123"/>
      <c r="M29" s="101"/>
      <c r="N29" s="124"/>
      <c r="O29" s="101"/>
      <c r="P29" s="114"/>
      <c r="Q29" s="183" t="s">
        <v>225</v>
      </c>
    </row>
    <row r="30" spans="1:17" ht="63" hidden="1">
      <c r="A30" s="101"/>
      <c r="B30" s="176" t="s">
        <v>309</v>
      </c>
      <c r="C30" s="185" t="s">
        <v>310</v>
      </c>
      <c r="D30" s="136" t="s">
        <v>311</v>
      </c>
      <c r="E30" s="115" t="s">
        <v>312</v>
      </c>
      <c r="F30" s="186" t="s">
        <v>313</v>
      </c>
      <c r="G30" s="106" t="s">
        <v>15</v>
      </c>
      <c r="H30" s="180">
        <f>10%*$H$27</f>
        <v>5.000000000000001E-3</v>
      </c>
      <c r="I30" s="120" t="s">
        <v>314</v>
      </c>
      <c r="J30" s="182">
        <v>7.6999999999999999E-2</v>
      </c>
      <c r="K30" s="187"/>
      <c r="L30" s="123"/>
      <c r="M30" s="101"/>
      <c r="N30" s="124"/>
      <c r="O30" s="101"/>
      <c r="P30" s="114"/>
      <c r="Q30" s="183" t="s">
        <v>262</v>
      </c>
    </row>
    <row r="31" spans="1:17" ht="70.5" hidden="1" customHeight="1">
      <c r="A31" s="101"/>
      <c r="B31" s="176" t="s">
        <v>315</v>
      </c>
      <c r="C31" s="185" t="s">
        <v>316</v>
      </c>
      <c r="D31" s="136" t="s">
        <v>317</v>
      </c>
      <c r="E31" s="115" t="s">
        <v>318</v>
      </c>
      <c r="F31" s="186">
        <v>1</v>
      </c>
      <c r="G31" s="106" t="s">
        <v>14</v>
      </c>
      <c r="H31" s="180">
        <f>15%*$H$27</f>
        <v>7.4999999999999997E-3</v>
      </c>
      <c r="I31" s="188" t="s">
        <v>319</v>
      </c>
      <c r="J31" s="182">
        <v>0.33489535399999998</v>
      </c>
      <c r="K31" s="187"/>
      <c r="L31" s="123"/>
      <c r="M31" s="101"/>
      <c r="N31" s="124"/>
      <c r="O31" s="101"/>
      <c r="P31" s="114"/>
      <c r="Q31" s="183" t="s">
        <v>262</v>
      </c>
    </row>
    <row r="32" spans="1:17" ht="49.5" hidden="1" customHeight="1">
      <c r="A32" s="101"/>
      <c r="B32" s="189"/>
      <c r="C32" s="189" t="s">
        <v>320</v>
      </c>
      <c r="D32" s="438" t="s">
        <v>321</v>
      </c>
      <c r="E32" s="439"/>
      <c r="F32" s="439"/>
      <c r="G32" s="440"/>
      <c r="H32" s="146">
        <v>7.0000000000000007E-2</v>
      </c>
      <c r="I32" s="120"/>
      <c r="J32" s="134">
        <f>J33+J34+J35+J36</f>
        <v>0</v>
      </c>
      <c r="K32" s="95" t="s">
        <v>217</v>
      </c>
      <c r="L32" s="123"/>
      <c r="M32" s="101"/>
      <c r="N32" s="124"/>
      <c r="O32" s="101"/>
      <c r="P32" s="114"/>
      <c r="Q32" s="106"/>
    </row>
    <row r="33" spans="1:17" hidden="1">
      <c r="A33" s="101"/>
      <c r="B33" s="185"/>
      <c r="C33" s="185" t="s">
        <v>322</v>
      </c>
      <c r="D33" s="136"/>
      <c r="E33" s="115"/>
      <c r="F33" s="186"/>
      <c r="G33" s="106" t="s">
        <v>15</v>
      </c>
      <c r="H33" s="138">
        <v>0.02</v>
      </c>
      <c r="I33" s="120"/>
      <c r="J33" s="139">
        <v>0</v>
      </c>
      <c r="K33" s="190"/>
      <c r="L33" s="123"/>
      <c r="M33" s="101"/>
      <c r="N33" s="124"/>
      <c r="O33" s="101"/>
      <c r="P33" s="114"/>
      <c r="Q33" s="183" t="s">
        <v>225</v>
      </c>
    </row>
    <row r="34" spans="1:17" hidden="1">
      <c r="A34" s="101"/>
      <c r="B34" s="185"/>
      <c r="C34" s="185" t="s">
        <v>323</v>
      </c>
      <c r="D34" s="136"/>
      <c r="E34" s="115"/>
      <c r="F34" s="186"/>
      <c r="G34" s="106"/>
      <c r="H34" s="138"/>
      <c r="I34" s="120"/>
      <c r="J34" s="139"/>
      <c r="K34" s="190"/>
      <c r="L34" s="123"/>
      <c r="M34" s="101"/>
      <c r="N34" s="124"/>
      <c r="O34" s="101"/>
      <c r="P34" s="114"/>
      <c r="Q34" s="106"/>
    </row>
    <row r="35" spans="1:17" hidden="1">
      <c r="A35" s="101"/>
      <c r="B35" s="185"/>
      <c r="C35" s="185" t="s">
        <v>324</v>
      </c>
      <c r="D35" s="136"/>
      <c r="E35" s="115"/>
      <c r="F35" s="186"/>
      <c r="G35" s="106"/>
      <c r="H35" s="138"/>
      <c r="I35" s="120"/>
      <c r="J35" s="139"/>
      <c r="K35" s="190"/>
      <c r="L35" s="123"/>
      <c r="M35" s="101"/>
      <c r="N35" s="124"/>
      <c r="O35" s="101"/>
      <c r="P35" s="114"/>
      <c r="Q35" s="106"/>
    </row>
    <row r="36" spans="1:17" hidden="1">
      <c r="A36" s="101"/>
      <c r="B36" s="185"/>
      <c r="C36" s="185" t="s">
        <v>325</v>
      </c>
      <c r="D36" s="136"/>
      <c r="E36" s="115"/>
      <c r="F36" s="186"/>
      <c r="G36" s="106"/>
      <c r="H36" s="138"/>
      <c r="I36" s="120"/>
      <c r="J36" s="139"/>
      <c r="K36" s="190"/>
      <c r="L36" s="123"/>
      <c r="M36" s="101"/>
      <c r="N36" s="124"/>
      <c r="O36" s="101"/>
      <c r="P36" s="114"/>
      <c r="Q36" s="106"/>
    </row>
    <row r="37" spans="1:17" ht="50.1" hidden="1" customHeight="1">
      <c r="A37" s="101"/>
      <c r="B37" s="189"/>
      <c r="C37" s="189" t="s">
        <v>326</v>
      </c>
      <c r="D37" s="438" t="s">
        <v>327</v>
      </c>
      <c r="E37" s="439"/>
      <c r="F37" s="439"/>
      <c r="G37" s="440"/>
      <c r="H37" s="146">
        <v>0.05</v>
      </c>
      <c r="I37" s="120"/>
      <c r="J37" s="134">
        <v>0</v>
      </c>
      <c r="K37" s="95" t="s">
        <v>217</v>
      </c>
      <c r="L37" s="123"/>
      <c r="M37" s="101"/>
      <c r="N37" s="124"/>
      <c r="O37" s="101"/>
      <c r="P37" s="114"/>
      <c r="Q37" s="106"/>
    </row>
    <row r="38" spans="1:17" s="87" customFormat="1" ht="183.95" hidden="1" customHeight="1">
      <c r="A38" s="175"/>
      <c r="B38" s="191"/>
      <c r="C38" s="191" t="s">
        <v>328</v>
      </c>
      <c r="D38" s="125" t="s">
        <v>329</v>
      </c>
      <c r="E38" s="115" t="s">
        <v>330</v>
      </c>
      <c r="F38" s="166" t="s">
        <v>331</v>
      </c>
      <c r="G38" s="115" t="s">
        <v>15</v>
      </c>
      <c r="H38" s="186">
        <v>0.03</v>
      </c>
      <c r="I38" s="192" t="s">
        <v>332</v>
      </c>
      <c r="J38" s="193"/>
      <c r="K38" s="194"/>
      <c r="Q38" s="106"/>
    </row>
    <row r="39" spans="1:17" s="87" customFormat="1" ht="153" hidden="1" customHeight="1">
      <c r="A39" s="175"/>
      <c r="B39" s="191"/>
      <c r="C39" s="191" t="s">
        <v>333</v>
      </c>
      <c r="D39" s="159" t="s">
        <v>334</v>
      </c>
      <c r="E39" s="195" t="s">
        <v>335</v>
      </c>
      <c r="F39" s="196" t="s">
        <v>336</v>
      </c>
      <c r="G39" s="195" t="s">
        <v>15</v>
      </c>
      <c r="H39" s="197">
        <v>0.02</v>
      </c>
      <c r="I39" s="198" t="s">
        <v>337</v>
      </c>
      <c r="J39" s="199"/>
      <c r="K39" s="200"/>
      <c r="Q39" s="162"/>
    </row>
    <row r="40" spans="1:17" s="87" customFormat="1" ht="267.75" hidden="1">
      <c r="A40" s="175"/>
      <c r="B40" s="191"/>
      <c r="C40" s="191" t="s">
        <v>338</v>
      </c>
      <c r="D40" s="125" t="s">
        <v>339</v>
      </c>
      <c r="E40" s="115" t="s">
        <v>340</v>
      </c>
      <c r="F40" s="166" t="s">
        <v>341</v>
      </c>
      <c r="G40" s="201" t="s">
        <v>15</v>
      </c>
      <c r="H40" s="138">
        <v>0.03</v>
      </c>
      <c r="I40" s="120" t="s">
        <v>342</v>
      </c>
      <c r="J40" s="131">
        <v>0</v>
      </c>
      <c r="K40" s="194"/>
      <c r="Q40" s="106"/>
    </row>
    <row r="41" spans="1:17" s="87" customFormat="1" ht="157.5" hidden="1">
      <c r="A41" s="175"/>
      <c r="B41" s="191"/>
      <c r="C41" s="191" t="s">
        <v>343</v>
      </c>
      <c r="D41" s="165" t="s">
        <v>344</v>
      </c>
      <c r="E41" s="115" t="s">
        <v>345</v>
      </c>
      <c r="F41" s="166" t="s">
        <v>346</v>
      </c>
      <c r="G41" s="202" t="s">
        <v>15</v>
      </c>
      <c r="H41" s="138">
        <v>0.02</v>
      </c>
      <c r="I41" s="120" t="s">
        <v>347</v>
      </c>
      <c r="J41" s="203"/>
      <c r="K41" s="204"/>
      <c r="Q41" s="106"/>
    </row>
    <row r="42" spans="1:17" s="208" customFormat="1">
      <c r="A42" s="133"/>
      <c r="B42" s="133"/>
      <c r="C42" s="133"/>
      <c r="D42" s="133"/>
      <c r="E42" s="95"/>
      <c r="F42" s="133"/>
      <c r="G42" s="95"/>
      <c r="H42" s="137">
        <f>H27+H22+H19+H14+H10</f>
        <v>1</v>
      </c>
      <c r="I42" s="133"/>
      <c r="J42" s="205">
        <f>J27+J22+J19+J14+J10+J32+J37</f>
        <v>572.95636161564994</v>
      </c>
      <c r="K42" s="133"/>
      <c r="L42" s="206"/>
      <c r="M42" s="133"/>
      <c r="N42" s="133"/>
      <c r="O42" s="133"/>
      <c r="P42" s="207"/>
      <c r="Q42" s="95"/>
    </row>
    <row r="43" spans="1:17" s="208" customFormat="1">
      <c r="B43" s="209"/>
      <c r="C43" s="209"/>
      <c r="D43" s="210"/>
      <c r="E43" s="211"/>
      <c r="G43" s="211"/>
      <c r="H43" s="211"/>
      <c r="J43" s="211"/>
      <c r="Q43" s="211"/>
    </row>
    <row r="44" spans="1:17" s="87" customFormat="1">
      <c r="C44" s="441" t="s">
        <v>348</v>
      </c>
      <c r="D44" s="441"/>
      <c r="E44" s="441"/>
      <c r="F44" s="441"/>
      <c r="G44" s="441"/>
      <c r="H44" s="441"/>
      <c r="I44" s="441"/>
      <c r="J44" s="441"/>
      <c r="K44" s="441"/>
      <c r="Q44" s="90"/>
    </row>
    <row r="45" spans="1:17" s="208" customFormat="1">
      <c r="B45" s="209"/>
      <c r="C45" s="209"/>
      <c r="D45" s="210"/>
      <c r="E45" s="211"/>
      <c r="G45" s="211"/>
      <c r="H45" s="211"/>
      <c r="J45" s="211"/>
      <c r="Q45" s="211"/>
    </row>
    <row r="46" spans="1:17" s="208" customFormat="1">
      <c r="B46" s="209"/>
      <c r="C46" s="209"/>
      <c r="D46" s="210"/>
      <c r="E46" s="211"/>
      <c r="G46" s="211"/>
      <c r="H46" s="211"/>
      <c r="J46" s="211"/>
      <c r="Q46" s="211"/>
    </row>
    <row r="60" spans="11:11">
      <c r="K60" s="93">
        <f>559.67+12.6</f>
        <v>572.27</v>
      </c>
    </row>
  </sheetData>
  <autoFilter ref="C9:K42" xr:uid="{1DCCBB5E-3813-4793-836E-B8276DE3499E}"/>
  <mergeCells count="11">
    <mergeCell ref="D22:F22"/>
    <mergeCell ref="D27:F27"/>
    <mergeCell ref="D32:G32"/>
    <mergeCell ref="D37:G37"/>
    <mergeCell ref="C44:K44"/>
    <mergeCell ref="D19:G19"/>
    <mergeCell ref="C4:J4"/>
    <mergeCell ref="C5:J5"/>
    <mergeCell ref="L7:P7"/>
    <mergeCell ref="D10:G10"/>
    <mergeCell ref="D14:G14"/>
  </mergeCells>
  <pageMargins left="0.39370078740157499" right="0.10433070899999999" top="0.31496062992126" bottom="0.31496062992126" header="0.31496062992126" footer="0.31496062992126"/>
  <pageSetup paperSize="9" scale="51" fitToHeight="0" orientation="landscape" r:id="rId1"/>
  <headerFooter>
    <oddFooter>&amp;R&amp;P/&amp;N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C4050-B5D4-434D-B455-2BA3AC1F35CF}">
  <sheetPr>
    <tabColor rgb="FF00B0F0"/>
  </sheetPr>
  <dimension ref="A1:W819"/>
  <sheetViews>
    <sheetView zoomScale="55" zoomScaleNormal="55" zoomScaleSheetLayoutView="70" workbookViewId="0">
      <pane xSplit="2" ySplit="2" topLeftCell="C5" activePane="bottomRight" state="frozen"/>
      <selection activeCell="B1" sqref="B1"/>
      <selection pane="topRight" activeCell="C1" sqref="C1"/>
      <selection pane="bottomLeft" activeCell="B3" sqref="B3"/>
      <selection pane="bottomRight" activeCell="F8" sqref="F8"/>
    </sheetView>
  </sheetViews>
  <sheetFormatPr defaultColWidth="9" defaultRowHeight="18.75"/>
  <cols>
    <col min="1" max="1" width="7.85546875" style="7" customWidth="1"/>
    <col min="2" max="2" width="21" style="7" customWidth="1"/>
    <col min="3" max="3" width="38.42578125" style="7" customWidth="1"/>
    <col min="4" max="4" width="20.140625" style="7" customWidth="1"/>
    <col min="5" max="5" width="34" style="7" customWidth="1"/>
    <col min="6" max="6" width="53.7109375" style="65" customWidth="1"/>
    <col min="7" max="7" width="29.28515625" style="60" customWidth="1"/>
    <col min="8" max="8" width="13" style="60" customWidth="1"/>
    <col min="9" max="9" width="15.5703125" style="60" customWidth="1"/>
    <col min="10" max="10" width="9.7109375" style="61" bestFit="1" customWidth="1"/>
    <col min="11" max="11" width="79.28515625" style="61" customWidth="1"/>
    <col min="12" max="13" width="13.5703125" style="7" customWidth="1"/>
    <col min="14" max="14" width="20.28515625" style="7" hidden="1" customWidth="1"/>
    <col min="15" max="16" width="20.140625" style="7" customWidth="1"/>
    <col min="17" max="17" width="33.140625" style="67" customWidth="1"/>
    <col min="18" max="18" width="15.7109375" style="67" customWidth="1"/>
    <col min="19" max="19" width="16.140625" style="67" customWidth="1"/>
    <col min="20" max="20" width="15" style="67" customWidth="1"/>
    <col min="21" max="21" width="13.7109375" style="67" customWidth="1"/>
    <col min="22" max="22" width="26" style="67" customWidth="1"/>
    <col min="23" max="23" width="12.28515625" style="67" customWidth="1"/>
    <col min="24" max="28" width="9" style="7" customWidth="1"/>
    <col min="29" max="29" width="9.42578125" style="7" customWidth="1"/>
    <col min="30" max="30" width="9" style="7" customWidth="1"/>
    <col min="31" max="16384" width="9" style="7"/>
  </cols>
  <sheetData>
    <row r="1" spans="1:23" ht="47.25" customHeight="1">
      <c r="A1" s="442" t="s">
        <v>57</v>
      </c>
      <c r="B1" s="443"/>
      <c r="C1" s="443"/>
      <c r="D1" s="443"/>
      <c r="E1" s="443"/>
      <c r="F1" s="443"/>
      <c r="G1" s="443"/>
      <c r="H1" s="443"/>
      <c r="I1" s="443"/>
      <c r="J1" s="443"/>
      <c r="K1" s="443"/>
      <c r="L1" s="443"/>
      <c r="M1" s="443"/>
      <c r="N1" s="443"/>
      <c r="O1" s="443"/>
      <c r="P1" s="444"/>
      <c r="Q1" s="445" t="s">
        <v>10</v>
      </c>
      <c r="R1" s="446"/>
      <c r="S1" s="446"/>
      <c r="T1" s="446"/>
      <c r="U1" s="446"/>
      <c r="V1" s="446"/>
      <c r="W1" s="447"/>
    </row>
    <row r="2" spans="1:23" ht="120" customHeight="1">
      <c r="A2" s="8" t="s">
        <v>0</v>
      </c>
      <c r="B2" s="8" t="s">
        <v>156</v>
      </c>
      <c r="C2" s="8" t="s">
        <v>157</v>
      </c>
      <c r="D2" s="8" t="s">
        <v>158</v>
      </c>
      <c r="E2" s="8" t="s">
        <v>159</v>
      </c>
      <c r="F2" s="8" t="s">
        <v>160</v>
      </c>
      <c r="G2" s="8" t="s">
        <v>21</v>
      </c>
      <c r="H2" s="8" t="s">
        <v>161</v>
      </c>
      <c r="I2" s="8" t="s">
        <v>13</v>
      </c>
      <c r="J2" s="9" t="s">
        <v>162</v>
      </c>
      <c r="K2" s="9" t="s">
        <v>22</v>
      </c>
      <c r="L2" s="8" t="s">
        <v>6</v>
      </c>
      <c r="M2" s="8" t="s">
        <v>7</v>
      </c>
      <c r="N2" s="8" t="s">
        <v>1</v>
      </c>
      <c r="O2" s="8" t="s">
        <v>120</v>
      </c>
      <c r="P2" s="8" t="s">
        <v>45</v>
      </c>
      <c r="Q2" s="10" t="s">
        <v>2</v>
      </c>
      <c r="R2" s="11" t="s">
        <v>11</v>
      </c>
      <c r="S2" s="11" t="s">
        <v>3</v>
      </c>
      <c r="T2" s="11" t="s">
        <v>8</v>
      </c>
      <c r="U2" s="11" t="s">
        <v>9</v>
      </c>
      <c r="V2" s="11" t="s">
        <v>4</v>
      </c>
      <c r="W2" s="11" t="s">
        <v>5</v>
      </c>
    </row>
    <row r="3" spans="1:23" s="15" customFormat="1" ht="39.6" customHeight="1">
      <c r="A3" s="12">
        <v>1</v>
      </c>
      <c r="B3" s="12" t="s">
        <v>103</v>
      </c>
      <c r="C3" s="72" t="s">
        <v>132</v>
      </c>
      <c r="D3" s="73">
        <v>0.5</v>
      </c>
      <c r="E3" s="448"/>
      <c r="F3" s="449"/>
      <c r="G3" s="449"/>
      <c r="H3" s="449"/>
      <c r="I3" s="449"/>
      <c r="J3" s="449"/>
      <c r="K3" s="449"/>
      <c r="L3" s="449"/>
      <c r="M3" s="449"/>
      <c r="N3" s="449"/>
      <c r="O3" s="449"/>
      <c r="P3" s="450"/>
      <c r="Q3" s="13"/>
      <c r="R3" s="14"/>
    </row>
    <row r="4" spans="1:23" s="15" customFormat="1" ht="73.5" customHeight="1">
      <c r="A4" s="16">
        <v>2</v>
      </c>
      <c r="B4" s="16" t="s">
        <v>99</v>
      </c>
      <c r="C4" s="76" t="s">
        <v>100</v>
      </c>
      <c r="D4" s="74">
        <v>0.15</v>
      </c>
      <c r="E4" s="16" t="s">
        <v>163</v>
      </c>
      <c r="F4" s="76" t="s">
        <v>100</v>
      </c>
      <c r="G4" s="18" t="s">
        <v>101</v>
      </c>
      <c r="H4" s="18">
        <v>0</v>
      </c>
      <c r="I4" s="18" t="s">
        <v>14</v>
      </c>
      <c r="J4" s="19">
        <v>0.15</v>
      </c>
      <c r="K4" s="20"/>
      <c r="L4" s="21"/>
      <c r="M4" s="21"/>
      <c r="N4" s="16"/>
      <c r="O4" s="16"/>
      <c r="P4" s="16"/>
      <c r="Q4" s="22"/>
      <c r="R4" s="22"/>
      <c r="S4" s="22"/>
      <c r="T4" s="23"/>
      <c r="U4" s="23"/>
      <c r="V4" s="22"/>
      <c r="W4" s="22"/>
    </row>
    <row r="5" spans="1:23" ht="167.45" customHeight="1">
      <c r="A5" s="79">
        <v>3</v>
      </c>
      <c r="B5" s="24"/>
      <c r="C5" s="24"/>
      <c r="D5" s="80"/>
      <c r="E5" s="75" t="s">
        <v>164</v>
      </c>
      <c r="F5" s="25" t="s">
        <v>378</v>
      </c>
      <c r="G5" s="26" t="s">
        <v>116</v>
      </c>
      <c r="H5" s="27">
        <v>1</v>
      </c>
      <c r="I5" s="26" t="s">
        <v>23</v>
      </c>
      <c r="J5" s="27">
        <v>0.05</v>
      </c>
      <c r="K5" s="38" t="s">
        <v>449</v>
      </c>
      <c r="L5" s="69">
        <v>46023</v>
      </c>
      <c r="M5" s="31">
        <v>46387</v>
      </c>
      <c r="N5" s="34"/>
      <c r="O5" s="34" t="s">
        <v>98</v>
      </c>
      <c r="P5" s="34" t="s">
        <v>85</v>
      </c>
      <c r="Q5" s="35"/>
      <c r="R5" s="35"/>
      <c r="S5" s="36"/>
      <c r="T5" s="35"/>
      <c r="U5" s="23"/>
      <c r="V5" s="36"/>
      <c r="W5" s="36"/>
    </row>
    <row r="6" spans="1:23" ht="156.6" customHeight="1">
      <c r="A6" s="78">
        <v>4</v>
      </c>
      <c r="B6" s="24"/>
      <c r="C6" s="24"/>
      <c r="D6" s="80"/>
      <c r="E6" s="75" t="s">
        <v>165</v>
      </c>
      <c r="F6" s="25" t="s">
        <v>450</v>
      </c>
      <c r="G6" s="26" t="s">
        <v>117</v>
      </c>
      <c r="H6" s="27">
        <v>1</v>
      </c>
      <c r="I6" s="26" t="s">
        <v>23</v>
      </c>
      <c r="J6" s="27">
        <v>0.05</v>
      </c>
      <c r="K6" s="49" t="s">
        <v>451</v>
      </c>
      <c r="L6" s="69">
        <v>46023</v>
      </c>
      <c r="M6" s="31">
        <v>46387</v>
      </c>
      <c r="N6" s="34"/>
      <c r="O6" s="34" t="s">
        <v>122</v>
      </c>
      <c r="P6" s="33" t="s">
        <v>87</v>
      </c>
      <c r="Q6" s="35"/>
      <c r="R6" s="35"/>
      <c r="S6" s="36"/>
      <c r="T6" s="35"/>
      <c r="U6" s="23"/>
      <c r="V6" s="36"/>
      <c r="W6" s="36"/>
    </row>
    <row r="7" spans="1:23" ht="147" customHeight="1">
      <c r="A7" s="79">
        <v>5</v>
      </c>
      <c r="B7" s="24"/>
      <c r="C7" s="24"/>
      <c r="D7" s="80"/>
      <c r="E7" s="75" t="s">
        <v>166</v>
      </c>
      <c r="F7" s="25" t="s">
        <v>377</v>
      </c>
      <c r="G7" s="26" t="s">
        <v>117</v>
      </c>
      <c r="H7" s="27">
        <v>1</v>
      </c>
      <c r="I7" s="26" t="s">
        <v>23</v>
      </c>
      <c r="J7" s="27">
        <v>0.02</v>
      </c>
      <c r="K7" s="49" t="s">
        <v>452</v>
      </c>
      <c r="L7" s="69">
        <v>46023</v>
      </c>
      <c r="M7" s="31">
        <v>46387</v>
      </c>
      <c r="N7" s="34"/>
      <c r="O7" s="34" t="s">
        <v>122</v>
      </c>
      <c r="P7" s="34" t="s">
        <v>85</v>
      </c>
      <c r="Q7" s="35"/>
      <c r="R7" s="35"/>
      <c r="S7" s="36"/>
      <c r="T7" s="35"/>
      <c r="U7" s="23"/>
      <c r="V7" s="36"/>
      <c r="W7" s="36"/>
    </row>
    <row r="8" spans="1:23" s="15" customFormat="1" ht="90" customHeight="1">
      <c r="A8" s="16">
        <v>6</v>
      </c>
      <c r="B8" s="16" t="s">
        <v>102</v>
      </c>
      <c r="C8" s="77" t="s">
        <v>36</v>
      </c>
      <c r="D8" s="74">
        <v>0.2</v>
      </c>
      <c r="E8" s="16" t="s">
        <v>167</v>
      </c>
      <c r="F8" s="77" t="s">
        <v>36</v>
      </c>
      <c r="G8" s="18" t="s">
        <v>90</v>
      </c>
      <c r="H8" s="18" t="s">
        <v>89</v>
      </c>
      <c r="I8" s="18" t="s">
        <v>15</v>
      </c>
      <c r="J8" s="19">
        <v>0.2</v>
      </c>
      <c r="K8" s="19"/>
      <c r="L8" s="21"/>
      <c r="M8" s="21"/>
      <c r="N8" s="16"/>
      <c r="O8" s="16"/>
      <c r="P8" s="16"/>
      <c r="Q8" s="22"/>
      <c r="R8" s="22"/>
      <c r="S8" s="22"/>
      <c r="T8" s="23"/>
      <c r="U8" s="23"/>
      <c r="V8" s="22"/>
      <c r="W8" s="22"/>
    </row>
    <row r="9" spans="1:23" ht="131.25" customHeight="1">
      <c r="A9" s="78">
        <v>7</v>
      </c>
      <c r="B9" s="36"/>
      <c r="C9" s="36"/>
      <c r="D9" s="35"/>
      <c r="E9" s="75" t="s">
        <v>168</v>
      </c>
      <c r="F9" s="25" t="s">
        <v>93</v>
      </c>
      <c r="G9" s="26" t="s">
        <v>26</v>
      </c>
      <c r="H9" s="26">
        <v>1</v>
      </c>
      <c r="I9" s="26" t="s">
        <v>14</v>
      </c>
      <c r="J9" s="68">
        <v>0.03</v>
      </c>
      <c r="K9" s="38" t="s">
        <v>380</v>
      </c>
      <c r="L9" s="69">
        <v>46023</v>
      </c>
      <c r="M9" s="31">
        <v>46387</v>
      </c>
      <c r="N9" s="70"/>
      <c r="O9" s="34" t="s">
        <v>97</v>
      </c>
      <c r="P9" s="34" t="s">
        <v>121</v>
      </c>
      <c r="Q9" s="36"/>
      <c r="R9" s="36"/>
      <c r="S9" s="36"/>
      <c r="T9" s="35"/>
      <c r="U9" s="23"/>
      <c r="V9" s="36"/>
      <c r="W9" s="36"/>
    </row>
    <row r="10" spans="1:23" s="37" customFormat="1" ht="252" customHeight="1">
      <c r="A10" s="79">
        <v>8</v>
      </c>
      <c r="B10" s="24"/>
      <c r="C10" s="24"/>
      <c r="D10" s="80"/>
      <c r="E10" s="75" t="s">
        <v>169</v>
      </c>
      <c r="F10" s="25" t="s">
        <v>118</v>
      </c>
      <c r="G10" s="26" t="s">
        <v>33</v>
      </c>
      <c r="H10" s="27" t="s">
        <v>38</v>
      </c>
      <c r="I10" s="26" t="s">
        <v>23</v>
      </c>
      <c r="J10" s="28">
        <v>7.0000000000000007E-2</v>
      </c>
      <c r="K10" s="29" t="s">
        <v>46</v>
      </c>
      <c r="L10" s="30">
        <v>46023</v>
      </c>
      <c r="M10" s="31">
        <v>46387</v>
      </c>
      <c r="N10" s="32"/>
      <c r="O10" s="32" t="s">
        <v>84</v>
      </c>
      <c r="P10" s="34" t="s">
        <v>85</v>
      </c>
      <c r="Q10" s="35"/>
      <c r="R10" s="35"/>
      <c r="S10" s="36"/>
      <c r="T10" s="35"/>
      <c r="U10" s="23"/>
      <c r="V10" s="36"/>
      <c r="W10" s="36"/>
    </row>
    <row r="11" spans="1:23" ht="246.75" customHeight="1">
      <c r="A11" s="78">
        <v>9</v>
      </c>
      <c r="B11" s="36"/>
      <c r="C11" s="36"/>
      <c r="D11" s="35"/>
      <c r="E11" s="75" t="s">
        <v>170</v>
      </c>
      <c r="F11" s="25" t="s">
        <v>119</v>
      </c>
      <c r="G11" s="26" t="s">
        <v>35</v>
      </c>
      <c r="H11" s="27" t="s">
        <v>39</v>
      </c>
      <c r="I11" s="26" t="s">
        <v>23</v>
      </c>
      <c r="J11" s="39">
        <v>0.06</v>
      </c>
      <c r="K11" s="29" t="s">
        <v>47</v>
      </c>
      <c r="L11" s="30">
        <v>46023</v>
      </c>
      <c r="M11" s="31">
        <v>46387</v>
      </c>
      <c r="N11" s="32"/>
      <c r="O11" s="32" t="s">
        <v>86</v>
      </c>
      <c r="P11" s="34" t="s">
        <v>85</v>
      </c>
      <c r="Q11" s="35"/>
      <c r="R11" s="35"/>
      <c r="S11" s="36"/>
      <c r="T11" s="35"/>
      <c r="U11" s="23"/>
      <c r="V11" s="36"/>
      <c r="W11" s="36"/>
    </row>
    <row r="12" spans="1:23" ht="264" customHeight="1">
      <c r="A12" s="79">
        <v>10</v>
      </c>
      <c r="B12" s="40"/>
      <c r="C12" s="40"/>
      <c r="D12" s="81"/>
      <c r="E12" s="75" t="s">
        <v>171</v>
      </c>
      <c r="F12" s="41" t="s">
        <v>453</v>
      </c>
      <c r="G12" s="26" t="s">
        <v>91</v>
      </c>
      <c r="H12" s="27" t="s">
        <v>92</v>
      </c>
      <c r="I12" s="42" t="s">
        <v>15</v>
      </c>
      <c r="J12" s="43">
        <v>0.05</v>
      </c>
      <c r="K12" s="44" t="s">
        <v>48</v>
      </c>
      <c r="L12" s="30">
        <v>46023</v>
      </c>
      <c r="M12" s="31">
        <v>46387</v>
      </c>
      <c r="N12" s="40"/>
      <c r="O12" s="40" t="s">
        <v>19</v>
      </c>
      <c r="P12" s="34" t="s">
        <v>85</v>
      </c>
      <c r="Q12" s="36"/>
      <c r="R12" s="36"/>
      <c r="S12" s="36"/>
      <c r="T12" s="35"/>
      <c r="U12" s="23"/>
      <c r="V12" s="36"/>
      <c r="W12" s="36"/>
    </row>
    <row r="13" spans="1:23" ht="164.25" customHeight="1">
      <c r="A13" s="78">
        <v>11</v>
      </c>
      <c r="B13" s="45"/>
      <c r="C13" s="45"/>
      <c r="D13" s="82"/>
      <c r="E13" s="75" t="s">
        <v>172</v>
      </c>
      <c r="F13" s="25" t="s">
        <v>104</v>
      </c>
      <c r="G13" s="26" t="s">
        <v>105</v>
      </c>
      <c r="H13" s="27">
        <v>1</v>
      </c>
      <c r="I13" s="26" t="s">
        <v>15</v>
      </c>
      <c r="J13" s="68">
        <v>0.01</v>
      </c>
      <c r="K13" s="38" t="s">
        <v>381</v>
      </c>
      <c r="L13" s="69">
        <v>46023</v>
      </c>
      <c r="M13" s="31">
        <v>46387</v>
      </c>
      <c r="N13" s="70"/>
      <c r="O13" s="34" t="s">
        <v>84</v>
      </c>
      <c r="P13" s="34" t="s">
        <v>85</v>
      </c>
      <c r="Q13" s="36"/>
      <c r="R13" s="36"/>
      <c r="S13" s="36"/>
      <c r="T13" s="35"/>
      <c r="U13" s="23"/>
      <c r="V13" s="36"/>
      <c r="W13" s="36"/>
    </row>
    <row r="14" spans="1:23" s="37" customFormat="1" ht="88.5" customHeight="1">
      <c r="A14" s="79">
        <v>12</v>
      </c>
      <c r="B14" s="24"/>
      <c r="C14" s="24"/>
      <c r="D14" s="80"/>
      <c r="E14" s="75" t="s">
        <v>454</v>
      </c>
      <c r="F14" s="25" t="s">
        <v>31</v>
      </c>
      <c r="G14" s="26" t="s">
        <v>40</v>
      </c>
      <c r="H14" s="27" t="s">
        <v>37</v>
      </c>
      <c r="I14" s="26" t="s">
        <v>15</v>
      </c>
      <c r="J14" s="68">
        <v>0.01</v>
      </c>
      <c r="K14" s="38" t="s">
        <v>49</v>
      </c>
      <c r="L14" s="69">
        <v>46023</v>
      </c>
      <c r="M14" s="31">
        <v>46387</v>
      </c>
      <c r="N14" s="34"/>
      <c r="O14" s="34" t="s">
        <v>123</v>
      </c>
      <c r="P14" s="34" t="s">
        <v>85</v>
      </c>
    </row>
    <row r="15" spans="1:23" s="15" customFormat="1" ht="70.5" customHeight="1">
      <c r="A15" s="16">
        <v>13</v>
      </c>
      <c r="B15" s="16" t="s">
        <v>106</v>
      </c>
      <c r="C15" s="17" t="s">
        <v>12</v>
      </c>
      <c r="D15" s="74">
        <v>0.15</v>
      </c>
      <c r="E15" s="16" t="s">
        <v>173</v>
      </c>
      <c r="F15" s="17" t="s">
        <v>12</v>
      </c>
      <c r="G15" s="18" t="s">
        <v>16</v>
      </c>
      <c r="H15" s="18">
        <v>0</v>
      </c>
      <c r="I15" s="18"/>
      <c r="J15" s="19">
        <v>0.15</v>
      </c>
      <c r="K15" s="19"/>
      <c r="L15" s="53"/>
      <c r="M15" s="53"/>
      <c r="N15" s="16"/>
      <c r="O15" s="16"/>
      <c r="P15" s="16"/>
      <c r="Q15" s="7"/>
      <c r="R15" s="7"/>
      <c r="S15" s="7"/>
      <c r="T15" s="54"/>
      <c r="U15" s="55"/>
      <c r="V15" s="7"/>
      <c r="W15" s="7"/>
    </row>
    <row r="16" spans="1:23" s="37" customFormat="1" ht="141.75" customHeight="1">
      <c r="A16" s="79">
        <v>14</v>
      </c>
      <c r="B16" s="24"/>
      <c r="C16" s="24"/>
      <c r="D16" s="80"/>
      <c r="E16" s="75" t="s">
        <v>174</v>
      </c>
      <c r="F16" s="25" t="s">
        <v>41</v>
      </c>
      <c r="G16" s="26" t="s">
        <v>26</v>
      </c>
      <c r="H16" s="26">
        <v>1</v>
      </c>
      <c r="I16" s="26" t="s">
        <v>23</v>
      </c>
      <c r="J16" s="28">
        <v>0.05</v>
      </c>
      <c r="K16" s="29" t="s">
        <v>50</v>
      </c>
      <c r="L16" s="30">
        <v>46023</v>
      </c>
      <c r="M16" s="31">
        <v>46387</v>
      </c>
      <c r="N16" s="32"/>
      <c r="O16" s="32" t="s">
        <v>88</v>
      </c>
      <c r="P16" s="34" t="s">
        <v>85</v>
      </c>
      <c r="Q16" s="7"/>
      <c r="R16" s="7"/>
      <c r="S16" s="7"/>
      <c r="T16" s="7"/>
      <c r="U16" s="7"/>
      <c r="V16" s="7"/>
      <c r="W16" s="7"/>
    </row>
    <row r="17" spans="1:23" s="37" customFormat="1" ht="78" customHeight="1">
      <c r="A17" s="78">
        <v>15</v>
      </c>
      <c r="B17" s="24"/>
      <c r="C17" s="24"/>
      <c r="D17" s="80"/>
      <c r="E17" s="75" t="s">
        <v>175</v>
      </c>
      <c r="F17" s="25" t="s">
        <v>29</v>
      </c>
      <c r="G17" s="26" t="s">
        <v>30</v>
      </c>
      <c r="H17" s="26" t="s">
        <v>107</v>
      </c>
      <c r="I17" s="26" t="s">
        <v>15</v>
      </c>
      <c r="J17" s="28">
        <v>0.08</v>
      </c>
      <c r="K17" s="29" t="s">
        <v>51</v>
      </c>
      <c r="L17" s="30">
        <v>46023</v>
      </c>
      <c r="M17" s="31">
        <v>46387</v>
      </c>
      <c r="N17" s="32"/>
      <c r="O17" s="32" t="s">
        <v>88</v>
      </c>
      <c r="P17" s="34" t="s">
        <v>85</v>
      </c>
      <c r="Q17" s="56"/>
      <c r="R17" s="7"/>
      <c r="S17" s="7"/>
      <c r="T17" s="7"/>
      <c r="U17" s="7"/>
      <c r="V17" s="7"/>
      <c r="W17" s="7"/>
    </row>
    <row r="18" spans="1:23" s="37" customFormat="1" ht="82.5" customHeight="1">
      <c r="A18" s="79">
        <v>16</v>
      </c>
      <c r="B18" s="24"/>
      <c r="C18" s="24"/>
      <c r="D18" s="80"/>
      <c r="E18" s="75" t="s">
        <v>176</v>
      </c>
      <c r="F18" s="25" t="s">
        <v>28</v>
      </c>
      <c r="G18" s="26" t="s">
        <v>34</v>
      </c>
      <c r="H18" s="27">
        <v>1</v>
      </c>
      <c r="I18" s="26" t="s">
        <v>15</v>
      </c>
      <c r="J18" s="28">
        <v>0.02</v>
      </c>
      <c r="K18" s="29" t="s">
        <v>52</v>
      </c>
      <c r="L18" s="30">
        <v>46023</v>
      </c>
      <c r="M18" s="31">
        <v>46387</v>
      </c>
      <c r="N18" s="32"/>
      <c r="O18" s="32" t="s">
        <v>88</v>
      </c>
      <c r="P18" s="34" t="s">
        <v>85</v>
      </c>
      <c r="Q18" s="7"/>
      <c r="R18" s="7"/>
      <c r="S18" s="7"/>
      <c r="T18" s="7"/>
      <c r="U18" s="7"/>
      <c r="V18" s="7"/>
      <c r="W18" s="7"/>
    </row>
    <row r="19" spans="1:23" s="15" customFormat="1" ht="114.75" customHeight="1">
      <c r="A19" s="58">
        <v>17</v>
      </c>
      <c r="B19" s="58" t="s">
        <v>113</v>
      </c>
      <c r="C19" s="71" t="s">
        <v>114</v>
      </c>
      <c r="D19" s="83">
        <v>0.1</v>
      </c>
      <c r="E19" s="451"/>
      <c r="F19" s="452"/>
      <c r="G19" s="452"/>
      <c r="H19" s="452"/>
      <c r="I19" s="452"/>
      <c r="J19" s="452"/>
      <c r="K19" s="452"/>
      <c r="L19" s="452"/>
      <c r="M19" s="452"/>
      <c r="N19" s="452"/>
      <c r="O19" s="452"/>
      <c r="P19" s="453"/>
      <c r="Q19" s="57"/>
      <c r="R19" s="13"/>
      <c r="S19" s="14"/>
    </row>
    <row r="20" spans="1:23" s="15" customFormat="1" ht="55.5" customHeight="1">
      <c r="A20" s="16">
        <v>18</v>
      </c>
      <c r="B20" s="16" t="s">
        <v>177</v>
      </c>
      <c r="C20" s="76" t="s">
        <v>178</v>
      </c>
      <c r="D20" s="74">
        <v>0.08</v>
      </c>
      <c r="E20" s="16" t="s">
        <v>179</v>
      </c>
      <c r="F20" s="17" t="s">
        <v>20</v>
      </c>
      <c r="G20" s="18"/>
      <c r="H20" s="18"/>
      <c r="I20" s="18"/>
      <c r="J20" s="19">
        <v>0.2</v>
      </c>
      <c r="K20" s="19"/>
      <c r="L20" s="21"/>
      <c r="M20" s="21"/>
      <c r="N20" s="16"/>
      <c r="O20" s="16"/>
      <c r="P20" s="16"/>
      <c r="Q20" s="7"/>
      <c r="R20" s="7"/>
      <c r="S20" s="7"/>
      <c r="T20" s="7"/>
      <c r="U20" s="7"/>
      <c r="V20" s="7"/>
      <c r="W20" s="7"/>
    </row>
    <row r="21" spans="1:23" s="15" customFormat="1" ht="138.75" customHeight="1">
      <c r="A21" s="78">
        <v>19</v>
      </c>
      <c r="B21" s="24"/>
      <c r="C21" s="75"/>
      <c r="D21" s="80"/>
      <c r="E21" s="24" t="s">
        <v>180</v>
      </c>
      <c r="F21" s="25" t="s">
        <v>94</v>
      </c>
      <c r="G21" s="26" t="s">
        <v>32</v>
      </c>
      <c r="H21" s="27">
        <v>1</v>
      </c>
      <c r="I21" s="26" t="s">
        <v>15</v>
      </c>
      <c r="J21" s="27">
        <v>0.02</v>
      </c>
      <c r="K21" s="38" t="s">
        <v>53</v>
      </c>
      <c r="L21" s="69">
        <v>46023</v>
      </c>
      <c r="M21" s="31">
        <v>46387</v>
      </c>
      <c r="N21" s="34"/>
      <c r="O21" s="34" t="s">
        <v>84</v>
      </c>
      <c r="P21" s="34" t="s">
        <v>85</v>
      </c>
      <c r="Q21" s="7"/>
      <c r="R21" s="7"/>
      <c r="S21" s="7"/>
      <c r="T21" s="7"/>
      <c r="U21" s="7"/>
      <c r="V21" s="7"/>
      <c r="W21" s="7"/>
    </row>
    <row r="22" spans="1:23" s="15" customFormat="1" ht="122.25" customHeight="1">
      <c r="A22" s="79">
        <v>20</v>
      </c>
      <c r="B22" s="24"/>
      <c r="C22" s="24"/>
      <c r="D22" s="80"/>
      <c r="E22" s="24" t="s">
        <v>181</v>
      </c>
      <c r="F22" s="25" t="s">
        <v>131</v>
      </c>
      <c r="G22" s="26" t="s">
        <v>44</v>
      </c>
      <c r="H22" s="27">
        <v>1</v>
      </c>
      <c r="I22" s="26" t="s">
        <v>15</v>
      </c>
      <c r="J22" s="27">
        <v>0.02</v>
      </c>
      <c r="K22" s="38" t="s">
        <v>56</v>
      </c>
      <c r="L22" s="69">
        <v>46023</v>
      </c>
      <c r="M22" s="31">
        <v>46387</v>
      </c>
      <c r="N22" s="34"/>
      <c r="O22" s="34" t="s">
        <v>125</v>
      </c>
      <c r="P22" s="34" t="s">
        <v>85</v>
      </c>
      <c r="Q22" s="7"/>
      <c r="R22" s="7"/>
      <c r="S22" s="7"/>
      <c r="T22" s="7"/>
      <c r="U22" s="7"/>
      <c r="V22" s="7"/>
      <c r="W22" s="7"/>
    </row>
    <row r="23" spans="1:23" s="15" customFormat="1" ht="177.75" customHeight="1">
      <c r="A23" s="78">
        <v>21</v>
      </c>
      <c r="B23" s="24"/>
      <c r="C23" s="24"/>
      <c r="D23" s="80"/>
      <c r="E23" s="24" t="s">
        <v>182</v>
      </c>
      <c r="F23" s="25" t="s">
        <v>349</v>
      </c>
      <c r="G23" s="26" t="s">
        <v>44</v>
      </c>
      <c r="H23" s="27">
        <v>1</v>
      </c>
      <c r="I23" s="26" t="s">
        <v>15</v>
      </c>
      <c r="J23" s="27">
        <v>0.04</v>
      </c>
      <c r="K23" s="38" t="s">
        <v>384</v>
      </c>
      <c r="L23" s="69">
        <v>46023</v>
      </c>
      <c r="M23" s="31">
        <v>46387</v>
      </c>
      <c r="N23" s="34"/>
      <c r="O23" s="33" t="s">
        <v>97</v>
      </c>
      <c r="P23" s="34" t="s">
        <v>85</v>
      </c>
      <c r="Q23" s="7"/>
      <c r="R23" s="7"/>
      <c r="S23" s="7"/>
      <c r="T23" s="7"/>
      <c r="U23" s="7"/>
      <c r="V23" s="7"/>
      <c r="W23" s="7"/>
    </row>
    <row r="24" spans="1:23" s="15" customFormat="1" ht="180.75" customHeight="1">
      <c r="A24" s="79">
        <v>22</v>
      </c>
      <c r="B24" s="24"/>
      <c r="C24" s="24"/>
      <c r="D24" s="80"/>
      <c r="E24" s="24" t="s">
        <v>183</v>
      </c>
      <c r="F24" s="25" t="s">
        <v>95</v>
      </c>
      <c r="G24" s="26" t="s">
        <v>44</v>
      </c>
      <c r="H24" s="27">
        <v>1</v>
      </c>
      <c r="I24" s="26" t="s">
        <v>15</v>
      </c>
      <c r="J24" s="27">
        <v>0.04</v>
      </c>
      <c r="K24" s="38" t="s">
        <v>382</v>
      </c>
      <c r="L24" s="69">
        <v>46023</v>
      </c>
      <c r="M24" s="31">
        <v>46387</v>
      </c>
      <c r="N24" s="34"/>
      <c r="O24" s="34" t="s">
        <v>97</v>
      </c>
      <c r="P24" s="34" t="s">
        <v>85</v>
      </c>
      <c r="Q24" s="7"/>
      <c r="R24" s="7"/>
      <c r="S24" s="7"/>
      <c r="T24" s="7"/>
      <c r="U24" s="7"/>
      <c r="V24" s="7"/>
      <c r="W24" s="7"/>
    </row>
    <row r="25" spans="1:23" s="15" customFormat="1" ht="132.75" customHeight="1">
      <c r="A25" s="78">
        <v>23</v>
      </c>
      <c r="B25" s="24"/>
      <c r="C25" s="24"/>
      <c r="D25" s="80"/>
      <c r="E25" s="24" t="s">
        <v>184</v>
      </c>
      <c r="F25" s="25" t="s">
        <v>110</v>
      </c>
      <c r="G25" s="26" t="s">
        <v>44</v>
      </c>
      <c r="H25" s="27">
        <v>1</v>
      </c>
      <c r="I25" s="26" t="s">
        <v>15</v>
      </c>
      <c r="J25" s="27">
        <v>0.02</v>
      </c>
      <c r="K25" s="38" t="s">
        <v>383</v>
      </c>
      <c r="L25" s="69">
        <v>46023</v>
      </c>
      <c r="M25" s="31">
        <v>46387</v>
      </c>
      <c r="N25" s="34"/>
      <c r="O25" s="33" t="s">
        <v>447</v>
      </c>
      <c r="P25" s="34" t="s">
        <v>85</v>
      </c>
      <c r="Q25" s="7"/>
      <c r="R25" s="7"/>
      <c r="S25" s="7"/>
      <c r="T25" s="7"/>
      <c r="U25" s="7"/>
      <c r="V25" s="7"/>
      <c r="W25" s="7"/>
    </row>
    <row r="26" spans="1:23" s="15" customFormat="1" ht="195" customHeight="1">
      <c r="A26" s="79">
        <v>24</v>
      </c>
      <c r="B26" s="24"/>
      <c r="C26" s="24"/>
      <c r="D26" s="80"/>
      <c r="E26" s="24" t="s">
        <v>185</v>
      </c>
      <c r="F26" s="25" t="s">
        <v>111</v>
      </c>
      <c r="G26" s="26" t="s">
        <v>126</v>
      </c>
      <c r="H26" s="27">
        <v>1</v>
      </c>
      <c r="I26" s="26" t="s">
        <v>15</v>
      </c>
      <c r="J26" s="27">
        <v>0.06</v>
      </c>
      <c r="K26" s="38" t="s">
        <v>384</v>
      </c>
      <c r="L26" s="69">
        <v>46023</v>
      </c>
      <c r="M26" s="31">
        <v>46387</v>
      </c>
      <c r="N26" s="34"/>
      <c r="O26" s="34" t="s">
        <v>124</v>
      </c>
      <c r="P26" s="34" t="s">
        <v>85</v>
      </c>
      <c r="Q26" s="7"/>
      <c r="R26" s="7"/>
      <c r="S26" s="7"/>
      <c r="T26" s="7"/>
      <c r="U26" s="7"/>
      <c r="V26" s="7"/>
      <c r="W26" s="7"/>
    </row>
    <row r="27" spans="1:23" s="15" customFormat="1" ht="57.75" customHeight="1">
      <c r="A27" s="78">
        <v>25</v>
      </c>
      <c r="B27" s="46"/>
      <c r="C27" s="46"/>
      <c r="D27" s="84"/>
      <c r="E27" s="46" t="s">
        <v>108</v>
      </c>
      <c r="F27" s="47" t="s">
        <v>109</v>
      </c>
      <c r="G27" s="48"/>
      <c r="H27" s="52"/>
      <c r="I27" s="48"/>
      <c r="J27" s="52"/>
      <c r="K27" s="49"/>
      <c r="L27" s="50"/>
      <c r="M27" s="51"/>
      <c r="N27" s="33"/>
      <c r="O27" s="33"/>
      <c r="P27" s="33"/>
      <c r="Q27" s="7"/>
      <c r="R27" s="7"/>
      <c r="S27" s="7"/>
      <c r="T27" s="7"/>
      <c r="U27" s="7"/>
      <c r="V27" s="7"/>
      <c r="W27" s="7"/>
    </row>
    <row r="28" spans="1:23" s="216" customFormat="1" ht="85.5" customHeight="1">
      <c r="A28" s="217">
        <v>26</v>
      </c>
      <c r="B28" s="217" t="s">
        <v>186</v>
      </c>
      <c r="C28" s="218" t="s">
        <v>96</v>
      </c>
      <c r="D28" s="219">
        <v>0.1</v>
      </c>
      <c r="E28" s="16" t="s">
        <v>361</v>
      </c>
      <c r="F28" s="17" t="s">
        <v>190</v>
      </c>
      <c r="G28" s="18"/>
      <c r="H28" s="18"/>
      <c r="I28" s="18"/>
      <c r="J28" s="19">
        <v>0.25</v>
      </c>
      <c r="K28" s="220"/>
      <c r="L28" s="221"/>
      <c r="M28" s="221"/>
      <c r="N28" s="221"/>
      <c r="O28" s="221"/>
      <c r="P28" s="222"/>
      <c r="Q28" s="213"/>
      <c r="R28" s="214"/>
      <c r="S28" s="215"/>
    </row>
    <row r="29" spans="1:23" s="15" customFormat="1" ht="261" customHeight="1">
      <c r="A29" s="78">
        <v>27</v>
      </c>
      <c r="B29" s="24"/>
      <c r="C29" s="24"/>
      <c r="D29" s="80"/>
      <c r="E29" s="75" t="s">
        <v>359</v>
      </c>
      <c r="F29" s="25" t="s">
        <v>42</v>
      </c>
      <c r="G29" s="26" t="s">
        <v>27</v>
      </c>
      <c r="H29" s="26">
        <v>8</v>
      </c>
      <c r="I29" s="26" t="s">
        <v>15</v>
      </c>
      <c r="J29" s="28">
        <v>0.04</v>
      </c>
      <c r="K29" s="29" t="s">
        <v>360</v>
      </c>
      <c r="L29" s="30">
        <v>46023</v>
      </c>
      <c r="M29" s="31">
        <v>46387</v>
      </c>
      <c r="N29" s="32"/>
      <c r="O29" s="34" t="s">
        <v>97</v>
      </c>
      <c r="P29" s="34" t="s">
        <v>85</v>
      </c>
      <c r="Q29" s="7"/>
      <c r="R29" s="7"/>
      <c r="S29" s="7"/>
      <c r="T29" s="7"/>
      <c r="U29" s="7"/>
      <c r="V29" s="7"/>
      <c r="W29" s="7"/>
    </row>
    <row r="30" spans="1:23" s="15" customFormat="1" ht="202.5" customHeight="1">
      <c r="A30" s="79">
        <v>28</v>
      </c>
      <c r="B30" s="24"/>
      <c r="C30" s="24"/>
      <c r="D30" s="80"/>
      <c r="E30" s="75" t="s">
        <v>362</v>
      </c>
      <c r="F30" s="25" t="s">
        <v>43</v>
      </c>
      <c r="G30" s="26" t="s">
        <v>112</v>
      </c>
      <c r="H30" s="26">
        <v>33</v>
      </c>
      <c r="I30" s="26" t="s">
        <v>15</v>
      </c>
      <c r="J30" s="28">
        <v>0.04</v>
      </c>
      <c r="K30" s="29" t="s">
        <v>54</v>
      </c>
      <c r="L30" s="30">
        <v>46023</v>
      </c>
      <c r="M30" s="31">
        <v>46387</v>
      </c>
      <c r="N30" s="32"/>
      <c r="O30" s="34" t="s">
        <v>97</v>
      </c>
      <c r="P30" s="34" t="s">
        <v>85</v>
      </c>
      <c r="Q30" s="7"/>
      <c r="R30" s="7"/>
      <c r="S30" s="7"/>
      <c r="T30" s="7"/>
      <c r="U30" s="7"/>
      <c r="V30" s="7"/>
      <c r="W30" s="7"/>
    </row>
    <row r="31" spans="1:23" s="15" customFormat="1" ht="99.75" customHeight="1">
      <c r="A31" s="78">
        <v>29</v>
      </c>
      <c r="B31" s="24"/>
      <c r="C31" s="24"/>
      <c r="D31" s="80"/>
      <c r="E31" s="75" t="s">
        <v>363</v>
      </c>
      <c r="F31" s="25" t="s">
        <v>188</v>
      </c>
      <c r="G31" s="26" t="s">
        <v>129</v>
      </c>
      <c r="H31" s="27">
        <v>1</v>
      </c>
      <c r="I31" s="26" t="s">
        <v>15</v>
      </c>
      <c r="J31" s="28">
        <v>0.01</v>
      </c>
      <c r="K31" s="29" t="s">
        <v>385</v>
      </c>
      <c r="L31" s="30">
        <v>46023</v>
      </c>
      <c r="M31" s="31">
        <v>46387</v>
      </c>
      <c r="N31" s="32"/>
      <c r="O31" s="34" t="s">
        <v>371</v>
      </c>
      <c r="P31" s="34" t="s">
        <v>85</v>
      </c>
      <c r="Q31" s="7"/>
      <c r="R31" s="7"/>
      <c r="S31" s="7"/>
      <c r="T31" s="7"/>
      <c r="U31" s="7"/>
      <c r="V31" s="7"/>
      <c r="W31" s="7"/>
    </row>
    <row r="32" spans="1:23" s="263" customFormat="1" ht="131.25" customHeight="1">
      <c r="A32" s="250">
        <v>30</v>
      </c>
      <c r="B32" s="251"/>
      <c r="C32" s="251"/>
      <c r="D32" s="252"/>
      <c r="E32" s="253" t="s">
        <v>364</v>
      </c>
      <c r="F32" s="254" t="s">
        <v>189</v>
      </c>
      <c r="G32" s="255" t="s">
        <v>26</v>
      </c>
      <c r="H32" s="255">
        <v>15</v>
      </c>
      <c r="I32" s="255" t="s">
        <v>15</v>
      </c>
      <c r="J32" s="256">
        <v>0.01</v>
      </c>
      <c r="K32" s="257" t="s">
        <v>389</v>
      </c>
      <c r="L32" s="258">
        <v>46023</v>
      </c>
      <c r="M32" s="259">
        <v>46387</v>
      </c>
      <c r="N32" s="260"/>
      <c r="O32" s="261" t="s">
        <v>88</v>
      </c>
      <c r="P32" s="261" t="s">
        <v>85</v>
      </c>
      <c r="Q32" s="262"/>
      <c r="R32" s="262"/>
      <c r="S32" s="262"/>
      <c r="T32" s="262"/>
      <c r="U32" s="262"/>
      <c r="V32" s="262"/>
      <c r="W32" s="262"/>
    </row>
    <row r="33" spans="1:23" s="263" customFormat="1" ht="99" customHeight="1">
      <c r="A33" s="264">
        <v>31</v>
      </c>
      <c r="B33" s="251"/>
      <c r="C33" s="251"/>
      <c r="D33" s="252"/>
      <c r="E33" s="253" t="s">
        <v>365</v>
      </c>
      <c r="F33" s="254" t="s">
        <v>356</v>
      </c>
      <c r="G33" s="255" t="s">
        <v>105</v>
      </c>
      <c r="H33" s="265">
        <v>1</v>
      </c>
      <c r="I33" s="255" t="s">
        <v>15</v>
      </c>
      <c r="J33" s="256">
        <v>0.01</v>
      </c>
      <c r="K33" s="257" t="s">
        <v>392</v>
      </c>
      <c r="L33" s="258">
        <v>46023</v>
      </c>
      <c r="M33" s="259">
        <v>46387</v>
      </c>
      <c r="N33" s="260"/>
      <c r="O33" s="261" t="s">
        <v>371</v>
      </c>
      <c r="P33" s="261" t="s">
        <v>85</v>
      </c>
      <c r="Q33" s="262"/>
      <c r="R33" s="262"/>
      <c r="S33" s="262"/>
      <c r="T33" s="262"/>
      <c r="U33" s="262"/>
      <c r="V33" s="262"/>
      <c r="W33" s="262"/>
    </row>
    <row r="34" spans="1:23" s="263" customFormat="1" ht="99" customHeight="1">
      <c r="A34" s="250">
        <v>32</v>
      </c>
      <c r="B34" s="251"/>
      <c r="C34" s="251"/>
      <c r="D34" s="252"/>
      <c r="E34" s="253" t="s">
        <v>366</v>
      </c>
      <c r="F34" s="254" t="s">
        <v>357</v>
      </c>
      <c r="G34" s="255" t="s">
        <v>105</v>
      </c>
      <c r="H34" s="265">
        <v>1</v>
      </c>
      <c r="I34" s="255" t="s">
        <v>15</v>
      </c>
      <c r="J34" s="256">
        <v>0.01</v>
      </c>
      <c r="K34" s="257" t="s">
        <v>390</v>
      </c>
      <c r="L34" s="258">
        <v>46023</v>
      </c>
      <c r="M34" s="259">
        <v>46387</v>
      </c>
      <c r="N34" s="260"/>
      <c r="O34" s="261" t="s">
        <v>371</v>
      </c>
      <c r="P34" s="261" t="s">
        <v>85</v>
      </c>
      <c r="Q34" s="262"/>
      <c r="R34" s="262"/>
      <c r="S34" s="262"/>
      <c r="T34" s="262"/>
      <c r="U34" s="262"/>
      <c r="V34" s="262"/>
      <c r="W34" s="262"/>
    </row>
    <row r="35" spans="1:23" s="15" customFormat="1" ht="147" customHeight="1">
      <c r="A35" s="78">
        <v>33</v>
      </c>
      <c r="B35" s="24"/>
      <c r="C35" s="24"/>
      <c r="D35" s="80"/>
      <c r="E35" s="75" t="s">
        <v>367</v>
      </c>
      <c r="F35" s="25" t="s">
        <v>350</v>
      </c>
      <c r="G35" s="26" t="s">
        <v>105</v>
      </c>
      <c r="H35" s="27">
        <v>1</v>
      </c>
      <c r="I35" s="26" t="s">
        <v>15</v>
      </c>
      <c r="J35" s="27">
        <v>0.03</v>
      </c>
      <c r="K35" s="38" t="s">
        <v>396</v>
      </c>
      <c r="L35" s="69">
        <v>46023</v>
      </c>
      <c r="M35" s="31">
        <v>46387</v>
      </c>
      <c r="N35" s="34"/>
      <c r="O35" s="34" t="s">
        <v>130</v>
      </c>
      <c r="P35" s="34" t="s">
        <v>85</v>
      </c>
      <c r="Q35" s="7"/>
      <c r="R35" s="7"/>
      <c r="S35" s="7"/>
      <c r="T35" s="7"/>
      <c r="U35" s="7"/>
      <c r="V35" s="7"/>
      <c r="W35" s="7"/>
    </row>
    <row r="36" spans="1:23" s="15" customFormat="1" ht="112.5" customHeight="1">
      <c r="A36" s="79">
        <v>34</v>
      </c>
      <c r="B36" s="24"/>
      <c r="C36" s="24"/>
      <c r="D36" s="80"/>
      <c r="E36" s="75" t="s">
        <v>368</v>
      </c>
      <c r="F36" s="25" t="s">
        <v>128</v>
      </c>
      <c r="G36" s="26" t="s">
        <v>105</v>
      </c>
      <c r="H36" s="27">
        <v>1</v>
      </c>
      <c r="I36" s="26" t="s">
        <v>15</v>
      </c>
      <c r="J36" s="27">
        <v>0.02</v>
      </c>
      <c r="K36" s="38" t="s">
        <v>395</v>
      </c>
      <c r="L36" s="69">
        <v>46023</v>
      </c>
      <c r="M36" s="31">
        <v>46387</v>
      </c>
      <c r="N36" s="34"/>
      <c r="O36" s="34" t="s">
        <v>127</v>
      </c>
      <c r="P36" s="34" t="s">
        <v>85</v>
      </c>
      <c r="Q36" s="7"/>
      <c r="R36" s="7"/>
      <c r="S36" s="7"/>
      <c r="T36" s="7"/>
      <c r="U36" s="7"/>
      <c r="V36" s="7"/>
      <c r="W36" s="7"/>
    </row>
    <row r="37" spans="1:23" s="15" customFormat="1" ht="111.75" customHeight="1">
      <c r="A37" s="78">
        <v>35</v>
      </c>
      <c r="B37" s="24"/>
      <c r="C37" s="24"/>
      <c r="D37" s="80"/>
      <c r="E37" s="75" t="s">
        <v>369</v>
      </c>
      <c r="F37" s="25" t="s">
        <v>133</v>
      </c>
      <c r="G37" s="26" t="s">
        <v>105</v>
      </c>
      <c r="H37" s="27">
        <v>1</v>
      </c>
      <c r="I37" s="26" t="s">
        <v>15</v>
      </c>
      <c r="J37" s="27">
        <v>0.01</v>
      </c>
      <c r="K37" s="38" t="s">
        <v>397</v>
      </c>
      <c r="L37" s="69">
        <v>46023</v>
      </c>
      <c r="M37" s="31">
        <v>46387</v>
      </c>
      <c r="N37" s="34"/>
      <c r="O37" s="34" t="s">
        <v>135</v>
      </c>
      <c r="P37" s="34" t="s">
        <v>85</v>
      </c>
      <c r="Q37" s="7"/>
      <c r="R37" s="7"/>
      <c r="S37" s="7"/>
      <c r="T37" s="7"/>
      <c r="U37" s="7"/>
      <c r="V37" s="7"/>
      <c r="W37" s="7"/>
    </row>
    <row r="38" spans="1:23" s="15" customFormat="1" ht="120.75" customHeight="1">
      <c r="A38" s="79">
        <v>36</v>
      </c>
      <c r="B38" s="24"/>
      <c r="C38" s="24"/>
      <c r="D38" s="80"/>
      <c r="E38" s="75" t="s">
        <v>370</v>
      </c>
      <c r="F38" s="25" t="s">
        <v>136</v>
      </c>
      <c r="G38" s="26" t="s">
        <v>105</v>
      </c>
      <c r="H38" s="27">
        <v>1</v>
      </c>
      <c r="I38" s="26" t="s">
        <v>15</v>
      </c>
      <c r="J38" s="27">
        <v>0.02</v>
      </c>
      <c r="K38" s="38" t="s">
        <v>398</v>
      </c>
      <c r="L38" s="69">
        <v>46023</v>
      </c>
      <c r="M38" s="31">
        <v>46387</v>
      </c>
      <c r="N38" s="34"/>
      <c r="O38" s="34" t="s">
        <v>137</v>
      </c>
      <c r="P38" s="34" t="s">
        <v>85</v>
      </c>
      <c r="Q38" s="7"/>
      <c r="R38" s="7"/>
      <c r="S38" s="7"/>
      <c r="T38" s="7"/>
      <c r="U38" s="7"/>
      <c r="V38" s="7"/>
      <c r="W38" s="7"/>
    </row>
    <row r="39" spans="1:23" s="15" customFormat="1" ht="207" customHeight="1">
      <c r="A39" s="78">
        <v>37</v>
      </c>
      <c r="B39" s="24"/>
      <c r="C39" s="24"/>
      <c r="D39" s="80"/>
      <c r="E39" s="75" t="s">
        <v>372</v>
      </c>
      <c r="F39" s="25" t="s">
        <v>358</v>
      </c>
      <c r="G39" s="26" t="s">
        <v>105</v>
      </c>
      <c r="H39" s="27">
        <v>1</v>
      </c>
      <c r="I39" s="26" t="s">
        <v>15</v>
      </c>
      <c r="J39" s="27">
        <v>0.01</v>
      </c>
      <c r="K39" s="38" t="s">
        <v>387</v>
      </c>
      <c r="L39" s="69">
        <v>46023</v>
      </c>
      <c r="M39" s="31">
        <v>46387</v>
      </c>
      <c r="N39" s="34"/>
      <c r="O39" s="34" t="s">
        <v>98</v>
      </c>
      <c r="P39" s="34" t="s">
        <v>85</v>
      </c>
      <c r="Q39" s="7"/>
      <c r="R39" s="7"/>
      <c r="S39" s="7"/>
      <c r="T39" s="7"/>
      <c r="U39" s="7"/>
      <c r="V39" s="7"/>
      <c r="W39" s="7"/>
    </row>
    <row r="40" spans="1:23" s="15" customFormat="1" ht="110.25" customHeight="1">
      <c r="A40" s="79">
        <v>38</v>
      </c>
      <c r="B40" s="46"/>
      <c r="C40" s="46"/>
      <c r="D40" s="84"/>
      <c r="E40" s="75" t="s">
        <v>373</v>
      </c>
      <c r="F40" s="25" t="s">
        <v>139</v>
      </c>
      <c r="G40" s="26" t="s">
        <v>115</v>
      </c>
      <c r="H40" s="26">
        <v>8</v>
      </c>
      <c r="I40" s="26" t="s">
        <v>15</v>
      </c>
      <c r="J40" s="27">
        <v>0.01</v>
      </c>
      <c r="K40" s="38" t="s">
        <v>386</v>
      </c>
      <c r="L40" s="69">
        <v>46023</v>
      </c>
      <c r="M40" s="31">
        <v>46387</v>
      </c>
      <c r="N40" s="34"/>
      <c r="O40" s="34" t="s">
        <v>97</v>
      </c>
      <c r="P40" s="34" t="s">
        <v>85</v>
      </c>
      <c r="Q40" s="7"/>
      <c r="R40" s="7"/>
      <c r="S40" s="7"/>
      <c r="T40" s="7"/>
      <c r="U40" s="7"/>
      <c r="V40" s="7"/>
      <c r="W40" s="7"/>
    </row>
    <row r="41" spans="1:23" s="263" customFormat="1" ht="110.25" customHeight="1">
      <c r="A41" s="264">
        <v>39</v>
      </c>
      <c r="B41" s="266"/>
      <c r="C41" s="266"/>
      <c r="D41" s="267"/>
      <c r="E41" s="253" t="s">
        <v>374</v>
      </c>
      <c r="F41" s="254" t="s">
        <v>140</v>
      </c>
      <c r="G41" s="255" t="s">
        <v>138</v>
      </c>
      <c r="H41" s="255">
        <v>1</v>
      </c>
      <c r="I41" s="255" t="s">
        <v>23</v>
      </c>
      <c r="J41" s="265">
        <v>0.01</v>
      </c>
      <c r="K41" s="268" t="s">
        <v>393</v>
      </c>
      <c r="L41" s="269">
        <v>46023</v>
      </c>
      <c r="M41" s="259">
        <v>46387</v>
      </c>
      <c r="N41" s="261"/>
      <c r="O41" s="261" t="s">
        <v>97</v>
      </c>
      <c r="P41" s="261" t="s">
        <v>85</v>
      </c>
      <c r="Q41" s="262"/>
      <c r="R41" s="262"/>
      <c r="S41" s="262"/>
      <c r="T41" s="262"/>
      <c r="U41" s="262"/>
      <c r="V41" s="262"/>
      <c r="W41" s="262"/>
    </row>
    <row r="42" spans="1:23" s="15" customFormat="1" ht="77.25" customHeight="1">
      <c r="A42" s="79">
        <v>40</v>
      </c>
      <c r="B42" s="24"/>
      <c r="C42" s="24"/>
      <c r="D42" s="80"/>
      <c r="E42" s="75" t="s">
        <v>375</v>
      </c>
      <c r="F42" s="25" t="s">
        <v>141</v>
      </c>
      <c r="G42" s="26" t="s">
        <v>134</v>
      </c>
      <c r="H42" s="27">
        <v>1</v>
      </c>
      <c r="I42" s="26" t="s">
        <v>15</v>
      </c>
      <c r="J42" s="27">
        <v>0.01</v>
      </c>
      <c r="K42" s="38" t="s">
        <v>399</v>
      </c>
      <c r="L42" s="69">
        <v>46023</v>
      </c>
      <c r="M42" s="31">
        <v>46387</v>
      </c>
      <c r="N42" s="34"/>
      <c r="O42" s="34" t="s">
        <v>400</v>
      </c>
      <c r="P42" s="34" t="s">
        <v>85</v>
      </c>
      <c r="Q42" s="7"/>
      <c r="R42" s="7"/>
      <c r="S42" s="7"/>
      <c r="T42" s="7"/>
      <c r="U42" s="7"/>
      <c r="V42" s="7"/>
      <c r="W42" s="7"/>
    </row>
    <row r="43" spans="1:23" s="15" customFormat="1" ht="100.5" customHeight="1">
      <c r="A43" s="78">
        <v>41</v>
      </c>
      <c r="B43" s="24"/>
      <c r="C43" s="24"/>
      <c r="D43" s="80"/>
      <c r="E43" s="75" t="s">
        <v>376</v>
      </c>
      <c r="F43" s="25" t="s">
        <v>142</v>
      </c>
      <c r="G43" s="26" t="s">
        <v>134</v>
      </c>
      <c r="H43" s="27">
        <v>1</v>
      </c>
      <c r="I43" s="26" t="s">
        <v>15</v>
      </c>
      <c r="J43" s="27">
        <v>0.01</v>
      </c>
      <c r="K43" s="38" t="s">
        <v>394</v>
      </c>
      <c r="L43" s="69">
        <v>46023</v>
      </c>
      <c r="M43" s="31">
        <v>46387</v>
      </c>
      <c r="N43" s="34"/>
      <c r="O43" s="34" t="s">
        <v>124</v>
      </c>
      <c r="P43" s="34" t="s">
        <v>85</v>
      </c>
      <c r="Q43" s="7"/>
      <c r="R43" s="7"/>
      <c r="S43" s="7"/>
      <c r="T43" s="7"/>
      <c r="U43" s="7"/>
      <c r="V43" s="7"/>
      <c r="W43" s="7"/>
    </row>
    <row r="44" spans="1:23" s="15" customFormat="1" ht="54.75" customHeight="1">
      <c r="A44" s="16">
        <v>42</v>
      </c>
      <c r="B44" s="16" t="s">
        <v>18</v>
      </c>
      <c r="C44" s="16" t="s">
        <v>18</v>
      </c>
      <c r="D44" s="16" t="s">
        <v>18</v>
      </c>
      <c r="E44" s="16" t="s">
        <v>351</v>
      </c>
      <c r="F44" s="76" t="s">
        <v>17</v>
      </c>
      <c r="G44" s="59"/>
      <c r="H44" s="59"/>
      <c r="I44" s="59"/>
      <c r="J44" s="85">
        <v>0.05</v>
      </c>
      <c r="K44" s="86"/>
      <c r="L44" s="53"/>
      <c r="M44" s="53"/>
      <c r="N44" s="16"/>
      <c r="O44" s="16"/>
      <c r="P44" s="16"/>
      <c r="Q44" s="7"/>
      <c r="R44" s="7"/>
      <c r="S44" s="7"/>
      <c r="T44" s="7"/>
      <c r="U44" s="7"/>
      <c r="V44" s="7"/>
      <c r="W44" s="7"/>
    </row>
    <row r="45" spans="1:23" s="15" customFormat="1" ht="143.25" customHeight="1">
      <c r="A45" s="78">
        <v>43</v>
      </c>
      <c r="B45" s="46"/>
      <c r="C45" s="46"/>
      <c r="D45" s="84"/>
      <c r="E45" s="75" t="s">
        <v>352</v>
      </c>
      <c r="F45" s="25" t="s">
        <v>24</v>
      </c>
      <c r="G45" s="26" t="s">
        <v>26</v>
      </c>
      <c r="H45" s="26">
        <v>2</v>
      </c>
      <c r="I45" s="26" t="s">
        <v>146</v>
      </c>
      <c r="J45" s="27">
        <v>0.01</v>
      </c>
      <c r="K45" s="38" t="s">
        <v>55</v>
      </c>
      <c r="L45" s="69">
        <v>46023</v>
      </c>
      <c r="M45" s="31">
        <v>46387</v>
      </c>
      <c r="N45" s="34"/>
      <c r="O45" s="34" t="s">
        <v>147</v>
      </c>
      <c r="P45" s="34" t="s">
        <v>87</v>
      </c>
      <c r="Q45" s="7"/>
      <c r="R45" s="7"/>
      <c r="S45" s="7"/>
      <c r="T45" s="7"/>
      <c r="U45" s="7"/>
      <c r="V45" s="7"/>
      <c r="W45" s="7"/>
    </row>
    <row r="46" spans="1:23" s="37" customFormat="1" ht="123" customHeight="1">
      <c r="A46" s="78">
        <v>44</v>
      </c>
      <c r="B46" s="46"/>
      <c r="C46" s="46"/>
      <c r="D46" s="84"/>
      <c r="E46" s="75" t="s">
        <v>353</v>
      </c>
      <c r="F46" s="25" t="s">
        <v>25</v>
      </c>
      <c r="G46" s="26" t="s">
        <v>26</v>
      </c>
      <c r="H46" s="70">
        <v>1</v>
      </c>
      <c r="I46" s="70" t="s">
        <v>14</v>
      </c>
      <c r="J46" s="27">
        <v>0.01</v>
      </c>
      <c r="K46" s="38" t="s">
        <v>55</v>
      </c>
      <c r="L46" s="69">
        <v>46023</v>
      </c>
      <c r="M46" s="31">
        <v>46387</v>
      </c>
      <c r="N46" s="34"/>
      <c r="O46" s="34" t="s">
        <v>147</v>
      </c>
      <c r="P46" s="34" t="s">
        <v>87</v>
      </c>
      <c r="Q46" s="7"/>
      <c r="R46" s="7"/>
      <c r="S46" s="7"/>
      <c r="T46" s="7"/>
      <c r="U46" s="7"/>
      <c r="V46" s="7"/>
      <c r="W46" s="7"/>
    </row>
    <row r="47" spans="1:23" s="37" customFormat="1" ht="167.25" customHeight="1">
      <c r="A47" s="78">
        <v>45</v>
      </c>
      <c r="B47" s="46"/>
      <c r="C47" s="46"/>
      <c r="D47" s="84"/>
      <c r="E47" s="75" t="s">
        <v>354</v>
      </c>
      <c r="F47" s="25" t="s">
        <v>143</v>
      </c>
      <c r="G47" s="26" t="s">
        <v>26</v>
      </c>
      <c r="H47" s="70">
        <v>11</v>
      </c>
      <c r="I47" s="70" t="s">
        <v>15</v>
      </c>
      <c r="J47" s="27">
        <v>0.02</v>
      </c>
      <c r="K47" s="38" t="s">
        <v>388</v>
      </c>
      <c r="L47" s="69">
        <v>46023</v>
      </c>
      <c r="M47" s="31">
        <v>46387</v>
      </c>
      <c r="N47" s="34"/>
      <c r="O47" s="34" t="s">
        <v>147</v>
      </c>
      <c r="P47" s="34" t="s">
        <v>87</v>
      </c>
      <c r="Q47" s="7"/>
      <c r="R47" s="7"/>
      <c r="S47" s="7"/>
      <c r="T47" s="7"/>
      <c r="U47" s="7"/>
      <c r="V47" s="7"/>
      <c r="W47" s="7"/>
    </row>
    <row r="48" spans="1:23" s="37" customFormat="1" ht="117" customHeight="1">
      <c r="A48" s="78">
        <v>46</v>
      </c>
      <c r="B48" s="46"/>
      <c r="C48" s="46"/>
      <c r="D48" s="84"/>
      <c r="E48" s="75" t="s">
        <v>355</v>
      </c>
      <c r="F48" s="25" t="s">
        <v>145</v>
      </c>
      <c r="G48" s="26" t="s">
        <v>144</v>
      </c>
      <c r="H48" s="70">
        <v>1</v>
      </c>
      <c r="I48" s="70" t="s">
        <v>14</v>
      </c>
      <c r="J48" s="27">
        <v>0.01</v>
      </c>
      <c r="K48" s="38" t="s">
        <v>391</v>
      </c>
      <c r="L48" s="69">
        <v>46023</v>
      </c>
      <c r="M48" s="31">
        <v>46387</v>
      </c>
      <c r="N48" s="34"/>
      <c r="O48" s="34" t="s">
        <v>147</v>
      </c>
      <c r="P48" s="34" t="s">
        <v>87</v>
      </c>
      <c r="Q48" s="7"/>
      <c r="R48" s="7"/>
      <c r="S48" s="7"/>
      <c r="T48" s="7"/>
      <c r="U48" s="7"/>
      <c r="V48" s="7"/>
      <c r="W48" s="7"/>
    </row>
    <row r="49" spans="1:23" ht="49.5" customHeight="1">
      <c r="B49" s="62"/>
      <c r="C49" s="62"/>
      <c r="D49" s="62"/>
      <c r="E49" s="62"/>
      <c r="F49" s="63"/>
      <c r="G49" s="64"/>
      <c r="H49" s="64"/>
      <c r="I49" s="64"/>
      <c r="Q49" s="7"/>
      <c r="R49" s="7"/>
      <c r="S49" s="7"/>
      <c r="T49" s="7"/>
      <c r="U49" s="7"/>
      <c r="V49" s="7"/>
      <c r="W49" s="7"/>
    </row>
    <row r="50" spans="1:23">
      <c r="E50" s="62"/>
      <c r="F50" s="63"/>
      <c r="Q50" s="7"/>
      <c r="R50" s="7"/>
      <c r="S50" s="7"/>
      <c r="T50" s="7"/>
      <c r="U50" s="7"/>
      <c r="V50" s="7"/>
      <c r="W50" s="7"/>
    </row>
    <row r="51" spans="1:23">
      <c r="Q51" s="7"/>
      <c r="R51" s="7"/>
      <c r="S51" s="7"/>
      <c r="T51" s="7"/>
      <c r="U51" s="7"/>
      <c r="V51" s="7"/>
      <c r="W51" s="7"/>
    </row>
    <row r="52" spans="1:23" s="60" customFormat="1">
      <c r="A52" s="7"/>
      <c r="B52" s="7"/>
      <c r="C52" s="7"/>
      <c r="D52" s="7"/>
      <c r="E52" s="7"/>
      <c r="F52" s="66"/>
      <c r="J52" s="61"/>
      <c r="K52" s="61"/>
      <c r="L52" s="7"/>
      <c r="M52" s="7"/>
      <c r="N52" s="7"/>
      <c r="O52" s="7"/>
      <c r="P52" s="7"/>
      <c r="Q52" s="7"/>
      <c r="R52" s="7"/>
      <c r="S52" s="7"/>
      <c r="T52" s="7"/>
      <c r="U52" s="7"/>
      <c r="V52" s="7"/>
      <c r="W52" s="7"/>
    </row>
    <row r="53" spans="1:23">
      <c r="Q53" s="7"/>
      <c r="R53" s="7"/>
      <c r="S53" s="7"/>
      <c r="T53" s="7"/>
      <c r="U53" s="7"/>
      <c r="V53" s="7"/>
      <c r="W53" s="7"/>
    </row>
    <row r="54" spans="1:23">
      <c r="Q54" s="7"/>
      <c r="R54" s="7"/>
      <c r="S54" s="7"/>
      <c r="T54" s="7"/>
      <c r="U54" s="7"/>
      <c r="V54" s="7"/>
      <c r="W54" s="7"/>
    </row>
    <row r="55" spans="1:23">
      <c r="Q55" s="7"/>
      <c r="R55" s="7"/>
      <c r="S55" s="7"/>
      <c r="T55" s="7"/>
      <c r="U55" s="7"/>
      <c r="V55" s="7"/>
      <c r="W55" s="7"/>
    </row>
    <row r="56" spans="1:23">
      <c r="Q56" s="7"/>
      <c r="R56" s="7"/>
      <c r="S56" s="7"/>
      <c r="T56" s="7"/>
      <c r="U56" s="7"/>
      <c r="V56" s="7"/>
      <c r="W56" s="7"/>
    </row>
    <row r="57" spans="1:23">
      <c r="Q57" s="7"/>
      <c r="R57" s="7"/>
      <c r="S57" s="7"/>
      <c r="T57" s="7"/>
      <c r="U57" s="7"/>
      <c r="V57" s="7"/>
      <c r="W57" s="7"/>
    </row>
    <row r="58" spans="1:23">
      <c r="Q58" s="7"/>
      <c r="R58" s="7"/>
      <c r="S58" s="7"/>
      <c r="T58" s="7"/>
      <c r="U58" s="7"/>
      <c r="V58" s="7"/>
      <c r="W58" s="7"/>
    </row>
    <row r="59" spans="1:23">
      <c r="Q59" s="7"/>
      <c r="R59" s="7"/>
      <c r="S59" s="7"/>
      <c r="T59" s="7"/>
      <c r="U59" s="7"/>
      <c r="V59" s="7"/>
      <c r="W59" s="7"/>
    </row>
    <row r="60" spans="1:23">
      <c r="Q60" s="7"/>
      <c r="R60" s="7"/>
      <c r="S60" s="7"/>
      <c r="T60" s="7"/>
      <c r="U60" s="7"/>
      <c r="V60" s="7"/>
      <c r="W60" s="7"/>
    </row>
    <row r="61" spans="1:23">
      <c r="Q61" s="7"/>
      <c r="R61" s="7"/>
      <c r="S61" s="7"/>
      <c r="T61" s="7"/>
      <c r="U61" s="7"/>
      <c r="V61" s="7"/>
      <c r="W61" s="7"/>
    </row>
    <row r="62" spans="1:23">
      <c r="Q62" s="7"/>
      <c r="R62" s="7"/>
      <c r="S62" s="7"/>
      <c r="T62" s="7"/>
      <c r="U62" s="7"/>
      <c r="V62" s="7"/>
      <c r="W62" s="7"/>
    </row>
    <row r="63" spans="1:23">
      <c r="Q63" s="7"/>
      <c r="R63" s="7"/>
      <c r="S63" s="7"/>
      <c r="T63" s="7"/>
      <c r="U63" s="7"/>
      <c r="V63" s="7"/>
      <c r="W63" s="7"/>
    </row>
    <row r="64" spans="1:23">
      <c r="Q64" s="7"/>
      <c r="R64" s="7"/>
      <c r="S64" s="7"/>
      <c r="T64" s="7"/>
      <c r="U64" s="7"/>
      <c r="V64" s="7"/>
      <c r="W64" s="7"/>
    </row>
    <row r="65" spans="17:23">
      <c r="Q65" s="7"/>
      <c r="R65" s="7"/>
      <c r="S65" s="7"/>
      <c r="T65" s="7"/>
      <c r="U65" s="7"/>
      <c r="V65" s="7"/>
      <c r="W65" s="7"/>
    </row>
    <row r="66" spans="17:23">
      <c r="Q66" s="7"/>
      <c r="R66" s="7"/>
      <c r="S66" s="7"/>
      <c r="T66" s="7"/>
      <c r="U66" s="7"/>
      <c r="V66" s="7"/>
      <c r="W66" s="7"/>
    </row>
    <row r="67" spans="17:23">
      <c r="Q67" s="7"/>
      <c r="R67" s="7"/>
      <c r="S67" s="7"/>
      <c r="T67" s="7"/>
      <c r="U67" s="7"/>
      <c r="V67" s="7"/>
      <c r="W67" s="7"/>
    </row>
    <row r="68" spans="17:23">
      <c r="Q68" s="7"/>
      <c r="R68" s="7"/>
      <c r="S68" s="7"/>
      <c r="T68" s="7"/>
      <c r="U68" s="7"/>
      <c r="V68" s="7"/>
      <c r="W68" s="7"/>
    </row>
    <row r="69" spans="17:23">
      <c r="Q69" s="7"/>
      <c r="R69" s="7"/>
      <c r="S69" s="7"/>
      <c r="T69" s="7"/>
      <c r="U69" s="7"/>
      <c r="V69" s="7"/>
      <c r="W69" s="7"/>
    </row>
    <row r="70" spans="17:23">
      <c r="Q70" s="7"/>
      <c r="R70" s="7"/>
      <c r="S70" s="7"/>
      <c r="T70" s="7"/>
      <c r="U70" s="7"/>
      <c r="V70" s="7"/>
      <c r="W70" s="7"/>
    </row>
    <row r="71" spans="17:23">
      <c r="Q71" s="7"/>
      <c r="R71" s="7"/>
      <c r="S71" s="7"/>
      <c r="T71" s="7"/>
      <c r="U71" s="7"/>
      <c r="V71" s="7"/>
      <c r="W71" s="7"/>
    </row>
    <row r="72" spans="17:23">
      <c r="Q72" s="7"/>
      <c r="R72" s="7"/>
      <c r="S72" s="7"/>
      <c r="T72" s="7"/>
      <c r="U72" s="7"/>
      <c r="V72" s="7"/>
      <c r="W72" s="7"/>
    </row>
    <row r="73" spans="17:23">
      <c r="Q73" s="7"/>
      <c r="R73" s="7"/>
      <c r="S73" s="7"/>
      <c r="T73" s="7"/>
      <c r="U73" s="7"/>
      <c r="V73" s="7"/>
      <c r="W73" s="7"/>
    </row>
    <row r="74" spans="17:23">
      <c r="Q74" s="7"/>
      <c r="R74" s="7"/>
      <c r="S74" s="7"/>
      <c r="T74" s="7"/>
      <c r="U74" s="7"/>
      <c r="V74" s="7"/>
      <c r="W74" s="7"/>
    </row>
    <row r="75" spans="17:23">
      <c r="Q75" s="7"/>
      <c r="R75" s="7"/>
      <c r="S75" s="7"/>
      <c r="T75" s="7"/>
      <c r="U75" s="7"/>
      <c r="V75" s="7"/>
      <c r="W75" s="7"/>
    </row>
    <row r="76" spans="17:23">
      <c r="Q76" s="7"/>
      <c r="R76" s="7"/>
      <c r="S76" s="7"/>
      <c r="T76" s="7"/>
      <c r="U76" s="7"/>
      <c r="V76" s="7"/>
      <c r="W76" s="7"/>
    </row>
    <row r="77" spans="17:23">
      <c r="Q77" s="7"/>
      <c r="R77" s="7"/>
      <c r="S77" s="7"/>
      <c r="T77" s="7"/>
      <c r="U77" s="7"/>
      <c r="V77" s="7"/>
      <c r="W77" s="7"/>
    </row>
    <row r="78" spans="17:23">
      <c r="Q78" s="7"/>
      <c r="R78" s="7"/>
      <c r="S78" s="7"/>
      <c r="T78" s="7"/>
      <c r="U78" s="7"/>
      <c r="V78" s="7"/>
      <c r="W78" s="7"/>
    </row>
    <row r="79" spans="17:23">
      <c r="Q79" s="7"/>
      <c r="R79" s="7"/>
      <c r="S79" s="7"/>
      <c r="T79" s="7"/>
      <c r="U79" s="7"/>
      <c r="V79" s="7"/>
      <c r="W79" s="7"/>
    </row>
    <row r="80" spans="17:23">
      <c r="Q80" s="7"/>
      <c r="R80" s="7"/>
      <c r="S80" s="7"/>
      <c r="T80" s="7"/>
      <c r="U80" s="7"/>
      <c r="V80" s="7"/>
      <c r="W80" s="7"/>
    </row>
    <row r="81" spans="17:23">
      <c r="Q81" s="7"/>
      <c r="R81" s="7"/>
      <c r="S81" s="7"/>
      <c r="T81" s="7"/>
      <c r="U81" s="7"/>
      <c r="V81" s="7"/>
      <c r="W81" s="7"/>
    </row>
    <row r="82" spans="17:23">
      <c r="Q82" s="7"/>
      <c r="R82" s="7"/>
      <c r="S82" s="7"/>
      <c r="T82" s="7"/>
      <c r="U82" s="7"/>
      <c r="V82" s="7"/>
      <c r="W82" s="7"/>
    </row>
    <row r="83" spans="17:23">
      <c r="Q83" s="7"/>
      <c r="R83" s="7"/>
      <c r="S83" s="7"/>
      <c r="T83" s="7"/>
      <c r="U83" s="7"/>
      <c r="V83" s="7"/>
      <c r="W83" s="7"/>
    </row>
    <row r="84" spans="17:23">
      <c r="Q84" s="7"/>
      <c r="R84" s="7"/>
      <c r="S84" s="7"/>
      <c r="T84" s="7"/>
      <c r="U84" s="7"/>
      <c r="V84" s="7"/>
      <c r="W84" s="7"/>
    </row>
    <row r="85" spans="17:23">
      <c r="Q85" s="7"/>
      <c r="R85" s="7"/>
      <c r="S85" s="7"/>
      <c r="T85" s="7"/>
      <c r="U85" s="7"/>
      <c r="V85" s="7"/>
      <c r="W85" s="7"/>
    </row>
    <row r="86" spans="17:23">
      <c r="Q86" s="7"/>
      <c r="R86" s="7"/>
      <c r="S86" s="7"/>
      <c r="T86" s="7"/>
      <c r="U86" s="7"/>
      <c r="V86" s="7"/>
      <c r="W86" s="7"/>
    </row>
    <row r="87" spans="17:23">
      <c r="Q87" s="7"/>
      <c r="R87" s="7"/>
      <c r="S87" s="7"/>
      <c r="T87" s="7"/>
      <c r="U87" s="7"/>
      <c r="V87" s="7"/>
      <c r="W87" s="7"/>
    </row>
    <row r="88" spans="17:23">
      <c r="Q88" s="7"/>
      <c r="R88" s="7"/>
      <c r="S88" s="7"/>
      <c r="T88" s="7"/>
      <c r="U88" s="7"/>
      <c r="V88" s="7"/>
      <c r="W88" s="7"/>
    </row>
    <row r="89" spans="17:23">
      <c r="Q89" s="7"/>
      <c r="R89" s="7"/>
      <c r="S89" s="7"/>
      <c r="T89" s="7"/>
      <c r="U89" s="7"/>
      <c r="V89" s="7"/>
      <c r="W89" s="7"/>
    </row>
    <row r="90" spans="17:23">
      <c r="Q90" s="7"/>
      <c r="R90" s="7"/>
      <c r="S90" s="7"/>
      <c r="T90" s="7"/>
      <c r="U90" s="7"/>
      <c r="V90" s="7"/>
      <c r="W90" s="7"/>
    </row>
    <row r="91" spans="17:23">
      <c r="Q91" s="7"/>
      <c r="R91" s="7"/>
      <c r="S91" s="7"/>
      <c r="T91" s="7"/>
      <c r="U91" s="7"/>
      <c r="V91" s="7"/>
      <c r="W91" s="7"/>
    </row>
    <row r="92" spans="17:23">
      <c r="Q92" s="7"/>
      <c r="R92" s="7"/>
      <c r="S92" s="7"/>
      <c r="T92" s="7"/>
      <c r="U92" s="7"/>
      <c r="V92" s="7"/>
      <c r="W92" s="7"/>
    </row>
    <row r="93" spans="17:23">
      <c r="Q93" s="7"/>
      <c r="R93" s="7"/>
      <c r="S93" s="7"/>
      <c r="T93" s="7"/>
      <c r="U93" s="7"/>
      <c r="V93" s="7"/>
      <c r="W93" s="7"/>
    </row>
    <row r="94" spans="17:23">
      <c r="Q94" s="7"/>
      <c r="R94" s="7"/>
      <c r="S94" s="7"/>
      <c r="T94" s="7"/>
      <c r="U94" s="7"/>
      <c r="V94" s="7"/>
      <c r="W94" s="7"/>
    </row>
    <row r="95" spans="17:23">
      <c r="Q95" s="7"/>
      <c r="R95" s="7"/>
      <c r="S95" s="7"/>
      <c r="T95" s="7"/>
      <c r="U95" s="7"/>
      <c r="V95" s="7"/>
      <c r="W95" s="7"/>
    </row>
    <row r="96" spans="17:23">
      <c r="Q96" s="7"/>
      <c r="R96" s="7"/>
      <c r="S96" s="7"/>
      <c r="T96" s="7"/>
      <c r="U96" s="7"/>
      <c r="V96" s="7"/>
      <c r="W96" s="7"/>
    </row>
    <row r="97" spans="17:23">
      <c r="Q97" s="7"/>
      <c r="R97" s="7"/>
      <c r="S97" s="7"/>
      <c r="T97" s="7"/>
      <c r="U97" s="7"/>
      <c r="V97" s="7"/>
      <c r="W97" s="7"/>
    </row>
    <row r="98" spans="17:23">
      <c r="Q98" s="7"/>
      <c r="R98" s="7"/>
      <c r="S98" s="7"/>
      <c r="T98" s="7"/>
      <c r="U98" s="7"/>
      <c r="V98" s="7"/>
      <c r="W98" s="7"/>
    </row>
    <row r="99" spans="17:23">
      <c r="Q99" s="7"/>
      <c r="R99" s="7"/>
      <c r="S99" s="7"/>
      <c r="T99" s="7"/>
      <c r="U99" s="7"/>
      <c r="V99" s="7"/>
      <c r="W99" s="7"/>
    </row>
    <row r="100" spans="17:23">
      <c r="Q100" s="7"/>
      <c r="R100" s="7"/>
      <c r="S100" s="7"/>
      <c r="T100" s="7"/>
      <c r="U100" s="7"/>
      <c r="V100" s="7"/>
      <c r="W100" s="7"/>
    </row>
    <row r="101" spans="17:23">
      <c r="Q101" s="7"/>
      <c r="R101" s="7"/>
      <c r="S101" s="7"/>
      <c r="T101" s="7"/>
      <c r="U101" s="7"/>
      <c r="V101" s="7"/>
      <c r="W101" s="7"/>
    </row>
    <row r="102" spans="17:23">
      <c r="Q102" s="7"/>
      <c r="R102" s="7"/>
      <c r="S102" s="7"/>
      <c r="T102" s="7"/>
      <c r="U102" s="7"/>
      <c r="V102" s="7"/>
      <c r="W102" s="7"/>
    </row>
    <row r="103" spans="17:23">
      <c r="Q103" s="7"/>
      <c r="R103" s="7"/>
      <c r="S103" s="7"/>
      <c r="T103" s="7"/>
      <c r="U103" s="7"/>
      <c r="V103" s="7"/>
      <c r="W103" s="7"/>
    </row>
    <row r="104" spans="17:23">
      <c r="Q104" s="7"/>
      <c r="R104" s="7"/>
      <c r="S104" s="7"/>
      <c r="T104" s="7"/>
      <c r="U104" s="7"/>
      <c r="V104" s="7"/>
      <c r="W104" s="7"/>
    </row>
    <row r="105" spans="17:23">
      <c r="Q105" s="7"/>
      <c r="R105" s="7"/>
      <c r="S105" s="7"/>
      <c r="T105" s="7"/>
      <c r="U105" s="7"/>
      <c r="V105" s="7"/>
      <c r="W105" s="7"/>
    </row>
    <row r="106" spans="17:23">
      <c r="Q106" s="7"/>
      <c r="R106" s="7"/>
      <c r="S106" s="7"/>
      <c r="T106" s="7"/>
      <c r="U106" s="7"/>
      <c r="V106" s="7"/>
      <c r="W106" s="7"/>
    </row>
    <row r="107" spans="17:23">
      <c r="Q107" s="7"/>
      <c r="R107" s="7"/>
      <c r="S107" s="7"/>
      <c r="T107" s="7"/>
      <c r="U107" s="7"/>
      <c r="V107" s="7"/>
      <c r="W107" s="7"/>
    </row>
    <row r="108" spans="17:23">
      <c r="Q108" s="7"/>
      <c r="R108" s="7"/>
      <c r="S108" s="7"/>
      <c r="T108" s="7"/>
      <c r="U108" s="7"/>
      <c r="V108" s="7"/>
      <c r="W108" s="7"/>
    </row>
    <row r="109" spans="17:23">
      <c r="Q109" s="7"/>
      <c r="R109" s="7"/>
      <c r="S109" s="7"/>
      <c r="T109" s="7"/>
      <c r="U109" s="7"/>
      <c r="V109" s="7"/>
      <c r="W109" s="7"/>
    </row>
    <row r="110" spans="17:23">
      <c r="Q110" s="7"/>
      <c r="R110" s="7"/>
      <c r="S110" s="7"/>
      <c r="T110" s="7"/>
      <c r="U110" s="7"/>
      <c r="V110" s="7"/>
      <c r="W110" s="7"/>
    </row>
    <row r="111" spans="17:23">
      <c r="Q111" s="7"/>
      <c r="R111" s="7"/>
      <c r="S111" s="7"/>
      <c r="T111" s="7"/>
      <c r="U111" s="7"/>
      <c r="V111" s="7"/>
      <c r="W111" s="7"/>
    </row>
    <row r="112" spans="17:23">
      <c r="Q112" s="7"/>
      <c r="R112" s="7"/>
      <c r="S112" s="7"/>
      <c r="T112" s="7"/>
      <c r="U112" s="7"/>
      <c r="V112" s="7"/>
      <c r="W112" s="7"/>
    </row>
    <row r="113" spans="17:23">
      <c r="Q113" s="7"/>
      <c r="R113" s="7"/>
      <c r="S113" s="7"/>
      <c r="T113" s="7"/>
      <c r="U113" s="7"/>
      <c r="V113" s="7"/>
      <c r="W113" s="7"/>
    </row>
    <row r="114" spans="17:23">
      <c r="Q114" s="7"/>
      <c r="R114" s="7"/>
      <c r="S114" s="7"/>
      <c r="T114" s="7"/>
      <c r="U114" s="7"/>
      <c r="V114" s="7"/>
      <c r="W114" s="7"/>
    </row>
    <row r="115" spans="17:23">
      <c r="Q115" s="7"/>
      <c r="R115" s="7"/>
      <c r="S115" s="7"/>
      <c r="T115" s="7"/>
      <c r="U115" s="7"/>
      <c r="V115" s="7"/>
      <c r="W115" s="7"/>
    </row>
    <row r="116" spans="17:23">
      <c r="Q116" s="7"/>
      <c r="R116" s="7"/>
      <c r="S116" s="7"/>
      <c r="T116" s="7"/>
      <c r="U116" s="7"/>
      <c r="V116" s="7"/>
      <c r="W116" s="7"/>
    </row>
    <row r="117" spans="17:23">
      <c r="Q117" s="7"/>
      <c r="R117" s="7"/>
      <c r="S117" s="7"/>
      <c r="T117" s="7"/>
      <c r="U117" s="7"/>
      <c r="V117" s="7"/>
      <c r="W117" s="7"/>
    </row>
    <row r="118" spans="17:23">
      <c r="Q118" s="7"/>
      <c r="R118" s="7"/>
      <c r="S118" s="7"/>
      <c r="T118" s="7"/>
      <c r="U118" s="7"/>
      <c r="V118" s="7"/>
      <c r="W118" s="7"/>
    </row>
    <row r="119" spans="17:23">
      <c r="Q119" s="7"/>
      <c r="R119" s="7"/>
      <c r="S119" s="7"/>
      <c r="T119" s="7"/>
      <c r="U119" s="7"/>
      <c r="V119" s="7"/>
      <c r="W119" s="7"/>
    </row>
    <row r="120" spans="17:23">
      <c r="Q120" s="7"/>
      <c r="R120" s="7"/>
      <c r="S120" s="7"/>
      <c r="T120" s="7"/>
      <c r="U120" s="7"/>
      <c r="V120" s="7"/>
      <c r="W120" s="7"/>
    </row>
    <row r="121" spans="17:23">
      <c r="Q121" s="7"/>
      <c r="R121" s="7"/>
      <c r="S121" s="7"/>
      <c r="T121" s="7"/>
      <c r="U121" s="7"/>
      <c r="V121" s="7"/>
      <c r="W121" s="7"/>
    </row>
    <row r="122" spans="17:23">
      <c r="Q122" s="7"/>
      <c r="R122" s="7"/>
      <c r="S122" s="7"/>
      <c r="T122" s="7"/>
      <c r="U122" s="7"/>
      <c r="V122" s="7"/>
      <c r="W122" s="7"/>
    </row>
    <row r="123" spans="17:23">
      <c r="Q123" s="7"/>
      <c r="R123" s="7"/>
      <c r="S123" s="7"/>
      <c r="T123" s="7"/>
      <c r="U123" s="7"/>
      <c r="V123" s="7"/>
      <c r="W123" s="7"/>
    </row>
    <row r="124" spans="17:23">
      <c r="Q124" s="7"/>
      <c r="R124" s="7"/>
      <c r="S124" s="7"/>
      <c r="T124" s="7"/>
      <c r="U124" s="7"/>
      <c r="V124" s="7"/>
      <c r="W124" s="7"/>
    </row>
    <row r="125" spans="17:23">
      <c r="Q125" s="7"/>
      <c r="R125" s="7"/>
      <c r="S125" s="7"/>
      <c r="T125" s="7"/>
      <c r="U125" s="7"/>
      <c r="V125" s="7"/>
      <c r="W125" s="7"/>
    </row>
    <row r="126" spans="17:23">
      <c r="Q126" s="7"/>
      <c r="R126" s="7"/>
      <c r="S126" s="7"/>
      <c r="T126" s="7"/>
      <c r="U126" s="7"/>
      <c r="V126" s="7"/>
      <c r="W126" s="7"/>
    </row>
    <row r="127" spans="17:23">
      <c r="Q127" s="7"/>
      <c r="R127" s="7"/>
      <c r="S127" s="7"/>
      <c r="T127" s="7"/>
      <c r="U127" s="7"/>
      <c r="V127" s="7"/>
      <c r="W127" s="7"/>
    </row>
    <row r="128" spans="17:23">
      <c r="Q128" s="7"/>
      <c r="R128" s="7"/>
      <c r="S128" s="7"/>
      <c r="T128" s="7"/>
      <c r="U128" s="7"/>
      <c r="V128" s="7"/>
      <c r="W128" s="7"/>
    </row>
    <row r="129" spans="17:23">
      <c r="Q129" s="7"/>
      <c r="R129" s="7"/>
      <c r="S129" s="7"/>
      <c r="T129" s="7"/>
      <c r="U129" s="7"/>
      <c r="V129" s="7"/>
      <c r="W129" s="7"/>
    </row>
    <row r="130" spans="17:23">
      <c r="Q130" s="7"/>
      <c r="R130" s="7"/>
      <c r="S130" s="7"/>
      <c r="T130" s="7"/>
      <c r="U130" s="7"/>
      <c r="V130" s="7"/>
      <c r="W130" s="7"/>
    </row>
    <row r="131" spans="17:23">
      <c r="Q131" s="7"/>
      <c r="R131" s="7"/>
      <c r="S131" s="7"/>
      <c r="T131" s="7"/>
      <c r="U131" s="7"/>
      <c r="V131" s="7"/>
      <c r="W131" s="7"/>
    </row>
    <row r="132" spans="17:23">
      <c r="Q132" s="7"/>
      <c r="R132" s="7"/>
      <c r="S132" s="7"/>
      <c r="T132" s="7"/>
      <c r="U132" s="7"/>
      <c r="V132" s="7"/>
      <c r="W132" s="7"/>
    </row>
    <row r="133" spans="17:23">
      <c r="Q133" s="7"/>
      <c r="R133" s="7"/>
      <c r="S133" s="7"/>
      <c r="T133" s="7"/>
      <c r="U133" s="7"/>
      <c r="V133" s="7"/>
      <c r="W133" s="7"/>
    </row>
    <row r="134" spans="17:23">
      <c r="Q134" s="7"/>
      <c r="R134" s="7"/>
      <c r="S134" s="7"/>
      <c r="T134" s="7"/>
      <c r="U134" s="7"/>
      <c r="V134" s="7"/>
      <c r="W134" s="7"/>
    </row>
    <row r="135" spans="17:23">
      <c r="Q135" s="7"/>
      <c r="R135" s="7"/>
      <c r="S135" s="7"/>
      <c r="T135" s="7"/>
      <c r="U135" s="7"/>
      <c r="V135" s="7"/>
      <c r="W135" s="7"/>
    </row>
    <row r="136" spans="17:23">
      <c r="Q136" s="7"/>
      <c r="R136" s="7"/>
      <c r="S136" s="7"/>
      <c r="T136" s="7"/>
      <c r="U136" s="7"/>
      <c r="V136" s="7"/>
      <c r="W136" s="7"/>
    </row>
    <row r="137" spans="17:23">
      <c r="Q137" s="7"/>
      <c r="R137" s="7"/>
      <c r="S137" s="7"/>
      <c r="T137" s="7"/>
      <c r="U137" s="7"/>
      <c r="V137" s="7"/>
      <c r="W137" s="7"/>
    </row>
    <row r="138" spans="17:23">
      <c r="Q138" s="7"/>
      <c r="R138" s="7"/>
      <c r="S138" s="7"/>
      <c r="T138" s="7"/>
      <c r="U138" s="7"/>
      <c r="V138" s="7"/>
      <c r="W138" s="7"/>
    </row>
    <row r="139" spans="17:23">
      <c r="Q139" s="7"/>
      <c r="R139" s="7"/>
      <c r="S139" s="7"/>
      <c r="T139" s="7"/>
      <c r="U139" s="7"/>
      <c r="V139" s="7"/>
      <c r="W139" s="7"/>
    </row>
    <row r="140" spans="17:23">
      <c r="Q140" s="7"/>
      <c r="R140" s="7"/>
      <c r="S140" s="7"/>
      <c r="T140" s="7"/>
      <c r="U140" s="7"/>
      <c r="V140" s="7"/>
      <c r="W140" s="7"/>
    </row>
    <row r="141" spans="17:23">
      <c r="Q141" s="7"/>
      <c r="R141" s="7"/>
      <c r="S141" s="7"/>
      <c r="T141" s="7"/>
      <c r="U141" s="7"/>
      <c r="V141" s="7"/>
      <c r="W141" s="7"/>
    </row>
    <row r="142" spans="17:23">
      <c r="Q142" s="7"/>
      <c r="R142" s="7"/>
      <c r="S142" s="7"/>
      <c r="T142" s="7"/>
      <c r="U142" s="7"/>
      <c r="V142" s="7"/>
      <c r="W142" s="7"/>
    </row>
    <row r="143" spans="17:23">
      <c r="Q143" s="7"/>
      <c r="R143" s="7"/>
      <c r="S143" s="7"/>
      <c r="T143" s="7"/>
      <c r="U143" s="7"/>
      <c r="V143" s="7"/>
      <c r="W143" s="7"/>
    </row>
    <row r="144" spans="17:23">
      <c r="Q144" s="7"/>
      <c r="R144" s="7"/>
      <c r="S144" s="7"/>
      <c r="T144" s="7"/>
      <c r="U144" s="7"/>
      <c r="V144" s="7"/>
      <c r="W144" s="7"/>
    </row>
    <row r="145" spans="17:23">
      <c r="Q145" s="7"/>
      <c r="R145" s="7"/>
      <c r="S145" s="7"/>
      <c r="T145" s="7"/>
      <c r="U145" s="7"/>
      <c r="V145" s="7"/>
      <c r="W145" s="7"/>
    </row>
    <row r="146" spans="17:23">
      <c r="Q146" s="7"/>
      <c r="R146" s="7"/>
      <c r="S146" s="7"/>
      <c r="T146" s="7"/>
      <c r="U146" s="7"/>
      <c r="V146" s="7"/>
      <c r="W146" s="7"/>
    </row>
    <row r="147" spans="17:23">
      <c r="Q147" s="7"/>
      <c r="R147" s="7"/>
      <c r="S147" s="7"/>
      <c r="T147" s="7"/>
      <c r="U147" s="7"/>
      <c r="V147" s="7"/>
      <c r="W147" s="7"/>
    </row>
    <row r="148" spans="17:23">
      <c r="Q148" s="7"/>
      <c r="R148" s="7"/>
      <c r="S148" s="7"/>
      <c r="T148" s="7"/>
      <c r="U148" s="7"/>
      <c r="V148" s="7"/>
      <c r="W148" s="7"/>
    </row>
    <row r="149" spans="17:23">
      <c r="Q149" s="7"/>
      <c r="R149" s="7"/>
      <c r="S149" s="7"/>
      <c r="T149" s="7"/>
      <c r="U149" s="7"/>
      <c r="V149" s="7"/>
      <c r="W149" s="7"/>
    </row>
    <row r="150" spans="17:23">
      <c r="Q150" s="7"/>
      <c r="R150" s="7"/>
      <c r="S150" s="7"/>
      <c r="T150" s="7"/>
      <c r="U150" s="7"/>
      <c r="V150" s="7"/>
      <c r="W150" s="7"/>
    </row>
    <row r="151" spans="17:23">
      <c r="Q151" s="7"/>
      <c r="R151" s="7"/>
      <c r="S151" s="7"/>
      <c r="T151" s="7"/>
      <c r="U151" s="7"/>
      <c r="V151" s="7"/>
      <c r="W151" s="7"/>
    </row>
    <row r="152" spans="17:23">
      <c r="Q152" s="7"/>
      <c r="R152" s="7"/>
      <c r="S152" s="7"/>
      <c r="T152" s="7"/>
      <c r="U152" s="7"/>
      <c r="V152" s="7"/>
      <c r="W152" s="7"/>
    </row>
    <row r="153" spans="17:23">
      <c r="Q153" s="7"/>
      <c r="R153" s="7"/>
      <c r="S153" s="7"/>
      <c r="T153" s="7"/>
      <c r="U153" s="7"/>
      <c r="V153" s="7"/>
      <c r="W153" s="7"/>
    </row>
    <row r="154" spans="17:23">
      <c r="Q154" s="7"/>
      <c r="R154" s="7"/>
      <c r="S154" s="7"/>
      <c r="T154" s="7"/>
      <c r="U154" s="7"/>
      <c r="V154" s="7"/>
      <c r="W154" s="7"/>
    </row>
    <row r="155" spans="17:23">
      <c r="Q155" s="7"/>
      <c r="R155" s="7"/>
      <c r="S155" s="7"/>
      <c r="T155" s="7"/>
      <c r="U155" s="7"/>
      <c r="V155" s="7"/>
      <c r="W155" s="7"/>
    </row>
    <row r="156" spans="17:23">
      <c r="Q156" s="7"/>
      <c r="R156" s="7"/>
      <c r="S156" s="7"/>
      <c r="T156" s="7"/>
      <c r="U156" s="7"/>
      <c r="V156" s="7"/>
      <c r="W156" s="7"/>
    </row>
    <row r="157" spans="17:23">
      <c r="Q157" s="7"/>
      <c r="R157" s="7"/>
      <c r="S157" s="7"/>
      <c r="T157" s="7"/>
      <c r="U157" s="7"/>
      <c r="V157" s="7"/>
      <c r="W157" s="7"/>
    </row>
    <row r="158" spans="17:23">
      <c r="Q158" s="7"/>
      <c r="R158" s="7"/>
      <c r="S158" s="7"/>
      <c r="T158" s="7"/>
      <c r="U158" s="7"/>
      <c r="V158" s="7"/>
      <c r="W158" s="7"/>
    </row>
    <row r="159" spans="17:23">
      <c r="Q159" s="7"/>
      <c r="R159" s="7"/>
      <c r="S159" s="7"/>
      <c r="T159" s="7"/>
      <c r="U159" s="7"/>
      <c r="V159" s="7"/>
      <c r="W159" s="7"/>
    </row>
    <row r="160" spans="17:23">
      <c r="Q160" s="7"/>
      <c r="R160" s="7"/>
      <c r="S160" s="7"/>
      <c r="T160" s="7"/>
      <c r="U160" s="7"/>
      <c r="V160" s="7"/>
      <c r="W160" s="7"/>
    </row>
    <row r="161" spans="17:23">
      <c r="Q161" s="7"/>
      <c r="R161" s="7"/>
      <c r="S161" s="7"/>
      <c r="T161" s="7"/>
      <c r="U161" s="7"/>
      <c r="V161" s="7"/>
      <c r="W161" s="7"/>
    </row>
    <row r="162" spans="17:23">
      <c r="Q162" s="7"/>
      <c r="R162" s="7"/>
      <c r="S162" s="7"/>
      <c r="T162" s="7"/>
      <c r="U162" s="7"/>
      <c r="V162" s="7"/>
      <c r="W162" s="7"/>
    </row>
    <row r="163" spans="17:23">
      <c r="Q163" s="7"/>
      <c r="R163" s="7"/>
      <c r="S163" s="7"/>
      <c r="T163" s="7"/>
      <c r="U163" s="7"/>
      <c r="V163" s="7"/>
      <c r="W163" s="7"/>
    </row>
    <row r="164" spans="17:23">
      <c r="Q164" s="7"/>
      <c r="R164" s="7"/>
      <c r="S164" s="7"/>
      <c r="T164" s="7"/>
      <c r="U164" s="7"/>
      <c r="V164" s="7"/>
      <c r="W164" s="7"/>
    </row>
    <row r="165" spans="17:23">
      <c r="Q165" s="7"/>
      <c r="R165" s="7"/>
      <c r="S165" s="7"/>
      <c r="T165" s="7"/>
      <c r="U165" s="7"/>
      <c r="V165" s="7"/>
      <c r="W165" s="7"/>
    </row>
    <row r="166" spans="17:23">
      <c r="Q166" s="7"/>
      <c r="R166" s="7"/>
      <c r="S166" s="7"/>
      <c r="T166" s="7"/>
      <c r="U166" s="7"/>
      <c r="V166" s="7"/>
      <c r="W166" s="7"/>
    </row>
    <row r="167" spans="17:23">
      <c r="Q167" s="7"/>
      <c r="R167" s="7"/>
      <c r="S167" s="7"/>
      <c r="T167" s="7"/>
      <c r="U167" s="7"/>
      <c r="V167" s="7"/>
      <c r="W167" s="7"/>
    </row>
    <row r="168" spans="17:23">
      <c r="Q168" s="7"/>
      <c r="R168" s="7"/>
      <c r="S168" s="7"/>
      <c r="T168" s="7"/>
      <c r="U168" s="7"/>
      <c r="V168" s="7"/>
      <c r="W168" s="7"/>
    </row>
    <row r="169" spans="17:23">
      <c r="Q169" s="7"/>
      <c r="R169" s="7"/>
      <c r="S169" s="7"/>
      <c r="T169" s="7"/>
      <c r="U169" s="7"/>
      <c r="V169" s="7"/>
      <c r="W169" s="7"/>
    </row>
    <row r="170" spans="17:23">
      <c r="Q170" s="7"/>
      <c r="R170" s="7"/>
      <c r="S170" s="7"/>
      <c r="T170" s="7"/>
      <c r="U170" s="7"/>
      <c r="V170" s="7"/>
      <c r="W170" s="7"/>
    </row>
    <row r="171" spans="17:23">
      <c r="Q171" s="7"/>
      <c r="R171" s="7"/>
      <c r="S171" s="7"/>
      <c r="T171" s="7"/>
      <c r="U171" s="7"/>
      <c r="V171" s="7"/>
      <c r="W171" s="7"/>
    </row>
    <row r="172" spans="17:23">
      <c r="Q172" s="7"/>
      <c r="R172" s="7"/>
      <c r="S172" s="7"/>
      <c r="T172" s="7"/>
      <c r="U172" s="7"/>
      <c r="V172" s="7"/>
      <c r="W172" s="7"/>
    </row>
    <row r="173" spans="17:23">
      <c r="Q173" s="7"/>
      <c r="R173" s="7"/>
      <c r="S173" s="7"/>
      <c r="T173" s="7"/>
      <c r="U173" s="7"/>
      <c r="V173" s="7"/>
      <c r="W173" s="7"/>
    </row>
    <row r="174" spans="17:23">
      <c r="Q174" s="7"/>
      <c r="R174" s="7"/>
      <c r="S174" s="7"/>
      <c r="T174" s="7"/>
      <c r="U174" s="7"/>
      <c r="V174" s="7"/>
      <c r="W174" s="7"/>
    </row>
    <row r="175" spans="17:23">
      <c r="Q175" s="7"/>
      <c r="R175" s="7"/>
      <c r="S175" s="7"/>
      <c r="T175" s="7"/>
      <c r="U175" s="7"/>
      <c r="V175" s="7"/>
      <c r="W175" s="7"/>
    </row>
    <row r="176" spans="17:23">
      <c r="Q176" s="7"/>
      <c r="R176" s="7"/>
      <c r="S176" s="7"/>
      <c r="T176" s="7"/>
      <c r="U176" s="7"/>
      <c r="V176" s="7"/>
      <c r="W176" s="7"/>
    </row>
    <row r="177" spans="17:23">
      <c r="Q177" s="7"/>
      <c r="R177" s="7"/>
      <c r="S177" s="7"/>
      <c r="T177" s="7"/>
      <c r="U177" s="7"/>
      <c r="V177" s="7"/>
      <c r="W177" s="7"/>
    </row>
    <row r="178" spans="17:23">
      <c r="Q178" s="7"/>
      <c r="R178" s="7"/>
      <c r="S178" s="7"/>
      <c r="T178" s="7"/>
      <c r="U178" s="7"/>
      <c r="V178" s="7"/>
      <c r="W178" s="7"/>
    </row>
    <row r="179" spans="17:23">
      <c r="Q179" s="7"/>
      <c r="R179" s="7"/>
      <c r="S179" s="7"/>
      <c r="T179" s="7"/>
      <c r="U179" s="7"/>
      <c r="V179" s="7"/>
      <c r="W179" s="7"/>
    </row>
    <row r="180" spans="17:23">
      <c r="Q180" s="7"/>
      <c r="R180" s="7"/>
      <c r="S180" s="7"/>
      <c r="T180" s="7"/>
      <c r="U180" s="7"/>
      <c r="V180" s="7"/>
      <c r="W180" s="7"/>
    </row>
    <row r="181" spans="17:23">
      <c r="Q181" s="7"/>
      <c r="R181" s="7"/>
      <c r="S181" s="7"/>
      <c r="T181" s="7"/>
      <c r="U181" s="7"/>
      <c r="V181" s="7"/>
      <c r="W181" s="7"/>
    </row>
    <row r="182" spans="17:23">
      <c r="Q182" s="7"/>
      <c r="R182" s="7"/>
      <c r="S182" s="7"/>
      <c r="T182" s="7"/>
      <c r="U182" s="7"/>
      <c r="V182" s="7"/>
      <c r="W182" s="7"/>
    </row>
    <row r="183" spans="17:23">
      <c r="Q183" s="7"/>
      <c r="R183" s="7"/>
      <c r="S183" s="7"/>
      <c r="T183" s="7"/>
      <c r="U183" s="7"/>
      <c r="V183" s="7"/>
      <c r="W183" s="7"/>
    </row>
    <row r="184" spans="17:23">
      <c r="Q184" s="7"/>
      <c r="R184" s="7"/>
      <c r="S184" s="7"/>
      <c r="T184" s="7"/>
      <c r="U184" s="7"/>
      <c r="V184" s="7"/>
      <c r="W184" s="7"/>
    </row>
    <row r="185" spans="17:23">
      <c r="Q185" s="7"/>
      <c r="R185" s="7"/>
      <c r="S185" s="7"/>
      <c r="T185" s="7"/>
      <c r="U185" s="7"/>
      <c r="V185" s="7"/>
      <c r="W185" s="7"/>
    </row>
    <row r="186" spans="17:23">
      <c r="Q186" s="7"/>
      <c r="R186" s="7"/>
      <c r="S186" s="7"/>
      <c r="T186" s="7"/>
      <c r="U186" s="7"/>
      <c r="V186" s="7"/>
      <c r="W186" s="7"/>
    </row>
    <row r="187" spans="17:23">
      <c r="Q187" s="7"/>
      <c r="R187" s="7"/>
      <c r="S187" s="7"/>
      <c r="T187" s="7"/>
      <c r="U187" s="7"/>
      <c r="V187" s="7"/>
      <c r="W187" s="7"/>
    </row>
    <row r="188" spans="17:23">
      <c r="Q188" s="7"/>
      <c r="R188" s="7"/>
      <c r="S188" s="7"/>
      <c r="T188" s="7"/>
      <c r="U188" s="7"/>
      <c r="V188" s="7"/>
      <c r="W188" s="7"/>
    </row>
    <row r="189" spans="17:23">
      <c r="Q189" s="7"/>
      <c r="R189" s="7"/>
      <c r="S189" s="7"/>
      <c r="T189" s="7"/>
      <c r="U189" s="7"/>
      <c r="V189" s="7"/>
      <c r="W189" s="7"/>
    </row>
    <row r="190" spans="17:23">
      <c r="Q190" s="7"/>
      <c r="R190" s="7"/>
      <c r="S190" s="7"/>
      <c r="T190" s="7"/>
      <c r="U190" s="7"/>
      <c r="V190" s="7"/>
      <c r="W190" s="7"/>
    </row>
    <row r="191" spans="17:23">
      <c r="Q191" s="7"/>
      <c r="R191" s="7"/>
      <c r="S191" s="7"/>
      <c r="T191" s="7"/>
      <c r="U191" s="7"/>
      <c r="V191" s="7"/>
      <c r="W191" s="7"/>
    </row>
    <row r="192" spans="17:23">
      <c r="Q192" s="7"/>
      <c r="R192" s="7"/>
      <c r="S192" s="7"/>
      <c r="T192" s="7"/>
      <c r="U192" s="7"/>
      <c r="V192" s="7"/>
      <c r="W192" s="7"/>
    </row>
    <row r="193" spans="17:23">
      <c r="Q193" s="7"/>
      <c r="R193" s="7"/>
      <c r="S193" s="7"/>
      <c r="T193" s="7"/>
      <c r="U193" s="7"/>
      <c r="V193" s="7"/>
      <c r="W193" s="7"/>
    </row>
    <row r="194" spans="17:23">
      <c r="Q194" s="7"/>
      <c r="R194" s="7"/>
      <c r="S194" s="7"/>
      <c r="T194" s="7"/>
      <c r="U194" s="7"/>
      <c r="V194" s="7"/>
      <c r="W194" s="7"/>
    </row>
    <row r="195" spans="17:23">
      <c r="Q195" s="7"/>
      <c r="R195" s="7"/>
      <c r="S195" s="7"/>
      <c r="T195" s="7"/>
      <c r="U195" s="7"/>
      <c r="V195" s="7"/>
      <c r="W195" s="7"/>
    </row>
    <row r="196" spans="17:23">
      <c r="Q196" s="7"/>
      <c r="R196" s="7"/>
      <c r="S196" s="7"/>
      <c r="T196" s="7"/>
      <c r="U196" s="7"/>
      <c r="V196" s="7"/>
      <c r="W196" s="7"/>
    </row>
    <row r="197" spans="17:23">
      <c r="Q197" s="7"/>
      <c r="R197" s="7"/>
      <c r="S197" s="7"/>
      <c r="T197" s="7"/>
      <c r="U197" s="7"/>
      <c r="V197" s="7"/>
      <c r="W197" s="7"/>
    </row>
    <row r="198" spans="17:23">
      <c r="Q198" s="7"/>
      <c r="R198" s="7"/>
      <c r="S198" s="7"/>
      <c r="T198" s="7"/>
      <c r="U198" s="7"/>
      <c r="V198" s="7"/>
      <c r="W198" s="7"/>
    </row>
    <row r="199" spans="17:23">
      <c r="Q199" s="7"/>
      <c r="R199" s="7"/>
      <c r="S199" s="7"/>
      <c r="T199" s="7"/>
      <c r="U199" s="7"/>
      <c r="V199" s="7"/>
      <c r="W199" s="7"/>
    </row>
    <row r="200" spans="17:23">
      <c r="Q200" s="7"/>
      <c r="R200" s="7"/>
      <c r="S200" s="7"/>
      <c r="T200" s="7"/>
      <c r="U200" s="7"/>
      <c r="V200" s="7"/>
      <c r="W200" s="7"/>
    </row>
    <row r="201" spans="17:23">
      <c r="Q201" s="7"/>
      <c r="R201" s="7"/>
      <c r="S201" s="7"/>
      <c r="T201" s="7"/>
      <c r="U201" s="7"/>
      <c r="V201" s="7"/>
      <c r="W201" s="7"/>
    </row>
    <row r="202" spans="17:23">
      <c r="Q202" s="7"/>
      <c r="R202" s="7"/>
      <c r="S202" s="7"/>
      <c r="T202" s="7"/>
      <c r="U202" s="7"/>
      <c r="V202" s="7"/>
      <c r="W202" s="7"/>
    </row>
    <row r="203" spans="17:23">
      <c r="Q203" s="7"/>
      <c r="R203" s="7"/>
      <c r="S203" s="7"/>
      <c r="T203" s="7"/>
      <c r="U203" s="7"/>
      <c r="V203" s="7"/>
      <c r="W203" s="7"/>
    </row>
    <row r="204" spans="17:23">
      <c r="Q204" s="7"/>
      <c r="R204" s="7"/>
      <c r="S204" s="7"/>
      <c r="T204" s="7"/>
      <c r="U204" s="7"/>
      <c r="V204" s="7"/>
      <c r="W204" s="7"/>
    </row>
    <row r="205" spans="17:23">
      <c r="Q205" s="7"/>
      <c r="R205" s="7"/>
      <c r="S205" s="7"/>
      <c r="T205" s="7"/>
      <c r="U205" s="7"/>
      <c r="V205" s="7"/>
      <c r="W205" s="7"/>
    </row>
    <row r="206" spans="17:23">
      <c r="Q206" s="7"/>
      <c r="R206" s="7"/>
      <c r="S206" s="7"/>
      <c r="T206" s="7"/>
      <c r="U206" s="7"/>
      <c r="V206" s="7"/>
      <c r="W206" s="7"/>
    </row>
    <row r="207" spans="17:23">
      <c r="Q207" s="7"/>
      <c r="R207" s="7"/>
      <c r="S207" s="7"/>
      <c r="T207" s="7"/>
      <c r="U207" s="7"/>
      <c r="V207" s="7"/>
      <c r="W207" s="7"/>
    </row>
    <row r="208" spans="17:23">
      <c r="Q208" s="7"/>
      <c r="R208" s="7"/>
      <c r="S208" s="7"/>
      <c r="T208" s="7"/>
      <c r="U208" s="7"/>
      <c r="V208" s="7"/>
      <c r="W208" s="7"/>
    </row>
    <row r="209" spans="17:23">
      <c r="Q209" s="7"/>
      <c r="R209" s="7"/>
      <c r="S209" s="7"/>
      <c r="T209" s="7"/>
      <c r="U209" s="7"/>
      <c r="V209" s="7"/>
      <c r="W209" s="7"/>
    </row>
    <row r="210" spans="17:23">
      <c r="Q210" s="7"/>
      <c r="R210" s="7"/>
      <c r="S210" s="7"/>
      <c r="T210" s="7"/>
      <c r="U210" s="7"/>
      <c r="V210" s="7"/>
      <c r="W210" s="7"/>
    </row>
    <row r="211" spans="17:23">
      <c r="Q211" s="7"/>
      <c r="R211" s="7"/>
      <c r="S211" s="7"/>
      <c r="T211" s="7"/>
      <c r="U211" s="7"/>
      <c r="V211" s="7"/>
      <c r="W211" s="7"/>
    </row>
    <row r="212" spans="17:23">
      <c r="Q212" s="7"/>
      <c r="R212" s="7"/>
      <c r="S212" s="7"/>
      <c r="T212" s="7"/>
      <c r="U212" s="7"/>
      <c r="V212" s="7"/>
      <c r="W212" s="7"/>
    </row>
    <row r="213" spans="17:23">
      <c r="Q213" s="7"/>
      <c r="R213" s="7"/>
      <c r="S213" s="7"/>
      <c r="T213" s="7"/>
      <c r="U213" s="7"/>
      <c r="V213" s="7"/>
      <c r="W213" s="7"/>
    </row>
    <row r="214" spans="17:23">
      <c r="Q214" s="7"/>
      <c r="R214" s="7"/>
      <c r="S214" s="7"/>
      <c r="T214" s="7"/>
      <c r="U214" s="7"/>
      <c r="V214" s="7"/>
      <c r="W214" s="7"/>
    </row>
    <row r="215" spans="17:23">
      <c r="Q215" s="7"/>
      <c r="R215" s="7"/>
      <c r="S215" s="7"/>
      <c r="T215" s="7"/>
      <c r="U215" s="7"/>
      <c r="V215" s="7"/>
      <c r="W215" s="7"/>
    </row>
    <row r="216" spans="17:23">
      <c r="Q216" s="7"/>
      <c r="R216" s="7"/>
      <c r="S216" s="7"/>
      <c r="T216" s="7"/>
      <c r="U216" s="7"/>
      <c r="V216" s="7"/>
      <c r="W216" s="7"/>
    </row>
    <row r="217" spans="17:23">
      <c r="Q217" s="7"/>
      <c r="R217" s="7"/>
      <c r="S217" s="7"/>
      <c r="T217" s="7"/>
      <c r="U217" s="7"/>
      <c r="V217" s="7"/>
      <c r="W217" s="7"/>
    </row>
    <row r="218" spans="17:23">
      <c r="Q218" s="7"/>
      <c r="R218" s="7"/>
      <c r="S218" s="7"/>
      <c r="T218" s="7"/>
      <c r="U218" s="7"/>
      <c r="V218" s="7"/>
      <c r="W218" s="7"/>
    </row>
    <row r="219" spans="17:23">
      <c r="Q219" s="7"/>
      <c r="R219" s="7"/>
      <c r="S219" s="7"/>
      <c r="T219" s="7"/>
      <c r="U219" s="7"/>
      <c r="V219" s="7"/>
      <c r="W219" s="7"/>
    </row>
    <row r="220" spans="17:23">
      <c r="Q220" s="7"/>
      <c r="R220" s="7"/>
      <c r="S220" s="7"/>
      <c r="T220" s="7"/>
      <c r="U220" s="7"/>
      <c r="V220" s="7"/>
      <c r="W220" s="7"/>
    </row>
    <row r="221" spans="17:23">
      <c r="Q221" s="7"/>
      <c r="R221" s="7"/>
      <c r="S221" s="7"/>
      <c r="T221" s="7"/>
      <c r="U221" s="7"/>
      <c r="V221" s="7"/>
      <c r="W221" s="7"/>
    </row>
    <row r="222" spans="17:23">
      <c r="Q222" s="7"/>
      <c r="R222" s="7"/>
      <c r="S222" s="7"/>
      <c r="T222" s="7"/>
      <c r="U222" s="7"/>
      <c r="V222" s="7"/>
      <c r="W222" s="7"/>
    </row>
    <row r="223" spans="17:23">
      <c r="Q223" s="7"/>
      <c r="R223" s="7"/>
      <c r="S223" s="7"/>
      <c r="T223" s="7"/>
      <c r="U223" s="7"/>
      <c r="V223" s="7"/>
      <c r="W223" s="7"/>
    </row>
    <row r="224" spans="17:23">
      <c r="Q224" s="7"/>
      <c r="R224" s="7"/>
      <c r="S224" s="7"/>
      <c r="T224" s="7"/>
      <c r="U224" s="7"/>
      <c r="V224" s="7"/>
      <c r="W224" s="7"/>
    </row>
    <row r="225" spans="17:23">
      <c r="Q225" s="7"/>
      <c r="R225" s="7"/>
      <c r="S225" s="7"/>
      <c r="T225" s="7"/>
      <c r="U225" s="7"/>
      <c r="V225" s="7"/>
      <c r="W225" s="7"/>
    </row>
    <row r="226" spans="17:23">
      <c r="Q226" s="7"/>
      <c r="R226" s="7"/>
      <c r="S226" s="7"/>
      <c r="T226" s="7"/>
      <c r="U226" s="7"/>
      <c r="V226" s="7"/>
      <c r="W226" s="7"/>
    </row>
    <row r="227" spans="17:23">
      <c r="Q227" s="7"/>
      <c r="R227" s="7"/>
      <c r="S227" s="7"/>
      <c r="T227" s="7"/>
      <c r="U227" s="7"/>
      <c r="V227" s="7"/>
      <c r="W227" s="7"/>
    </row>
    <row r="228" spans="17:23">
      <c r="Q228" s="7"/>
      <c r="R228" s="7"/>
      <c r="S228" s="7"/>
      <c r="T228" s="7"/>
      <c r="U228" s="7"/>
      <c r="V228" s="7"/>
      <c r="W228" s="7"/>
    </row>
    <row r="229" spans="17:23">
      <c r="Q229" s="7"/>
      <c r="R229" s="7"/>
      <c r="S229" s="7"/>
      <c r="T229" s="7"/>
      <c r="U229" s="7"/>
      <c r="V229" s="7"/>
      <c r="W229" s="7"/>
    </row>
    <row r="230" spans="17:23">
      <c r="Q230" s="7"/>
      <c r="R230" s="7"/>
      <c r="S230" s="7"/>
      <c r="T230" s="7"/>
      <c r="U230" s="7"/>
      <c r="V230" s="7"/>
      <c r="W230" s="7"/>
    </row>
    <row r="231" spans="17:23">
      <c r="Q231" s="7"/>
      <c r="R231" s="7"/>
      <c r="S231" s="7"/>
      <c r="T231" s="7"/>
      <c r="U231" s="7"/>
      <c r="V231" s="7"/>
      <c r="W231" s="7"/>
    </row>
    <row r="232" spans="17:23">
      <c r="Q232" s="7"/>
      <c r="R232" s="7"/>
      <c r="S232" s="7"/>
      <c r="T232" s="7"/>
      <c r="U232" s="7"/>
      <c r="V232" s="7"/>
      <c r="W232" s="7"/>
    </row>
    <row r="233" spans="17:23">
      <c r="Q233" s="7"/>
      <c r="R233" s="7"/>
      <c r="S233" s="7"/>
      <c r="T233" s="7"/>
      <c r="U233" s="7"/>
      <c r="V233" s="7"/>
      <c r="W233" s="7"/>
    </row>
    <row r="234" spans="17:23">
      <c r="Q234" s="7"/>
      <c r="R234" s="7"/>
      <c r="S234" s="7"/>
      <c r="T234" s="7"/>
      <c r="U234" s="7"/>
      <c r="V234" s="7"/>
      <c r="W234" s="7"/>
    </row>
    <row r="235" spans="17:23">
      <c r="Q235" s="7"/>
      <c r="R235" s="7"/>
      <c r="S235" s="7"/>
      <c r="T235" s="7"/>
      <c r="U235" s="7"/>
      <c r="V235" s="7"/>
      <c r="W235" s="7"/>
    </row>
    <row r="236" spans="17:23">
      <c r="Q236" s="7"/>
      <c r="R236" s="7"/>
      <c r="S236" s="7"/>
      <c r="T236" s="7"/>
      <c r="U236" s="7"/>
      <c r="V236" s="7"/>
      <c r="W236" s="7"/>
    </row>
    <row r="237" spans="17:23">
      <c r="Q237" s="7"/>
      <c r="R237" s="7"/>
      <c r="S237" s="7"/>
      <c r="T237" s="7"/>
      <c r="U237" s="7"/>
      <c r="V237" s="7"/>
      <c r="W237" s="7"/>
    </row>
    <row r="238" spans="17:23">
      <c r="Q238" s="7"/>
      <c r="R238" s="7"/>
      <c r="S238" s="7"/>
      <c r="T238" s="7"/>
      <c r="U238" s="7"/>
      <c r="V238" s="7"/>
      <c r="W238" s="7"/>
    </row>
    <row r="239" spans="17:23">
      <c r="Q239" s="7"/>
      <c r="R239" s="7"/>
      <c r="S239" s="7"/>
      <c r="T239" s="7"/>
      <c r="U239" s="7"/>
      <c r="V239" s="7"/>
      <c r="W239" s="7"/>
    </row>
    <row r="240" spans="17:23">
      <c r="Q240" s="7"/>
      <c r="R240" s="7"/>
      <c r="S240" s="7"/>
      <c r="T240" s="7"/>
      <c r="U240" s="7"/>
      <c r="V240" s="7"/>
      <c r="W240" s="7"/>
    </row>
    <row r="241" spans="17:23">
      <c r="Q241" s="7"/>
      <c r="R241" s="7"/>
      <c r="S241" s="7"/>
      <c r="T241" s="7"/>
      <c r="U241" s="7"/>
      <c r="V241" s="7"/>
      <c r="W241" s="7"/>
    </row>
    <row r="242" spans="17:23">
      <c r="Q242" s="7"/>
      <c r="R242" s="7"/>
      <c r="S242" s="7"/>
      <c r="T242" s="7"/>
      <c r="U242" s="7"/>
      <c r="V242" s="7"/>
      <c r="W242" s="7"/>
    </row>
    <row r="243" spans="17:23">
      <c r="Q243" s="7"/>
      <c r="R243" s="7"/>
      <c r="S243" s="7"/>
      <c r="T243" s="7"/>
      <c r="U243" s="7"/>
      <c r="V243" s="7"/>
      <c r="W243" s="7"/>
    </row>
    <row r="244" spans="17:23">
      <c r="Q244" s="7"/>
      <c r="R244" s="7"/>
      <c r="S244" s="7"/>
      <c r="T244" s="7"/>
      <c r="U244" s="7"/>
      <c r="V244" s="7"/>
      <c r="W244" s="7"/>
    </row>
    <row r="245" spans="17:23">
      <c r="Q245" s="7"/>
      <c r="R245" s="7"/>
      <c r="S245" s="7"/>
      <c r="T245" s="7"/>
      <c r="U245" s="7"/>
      <c r="V245" s="7"/>
      <c r="W245" s="7"/>
    </row>
    <row r="246" spans="17:23">
      <c r="Q246" s="7"/>
      <c r="R246" s="7"/>
      <c r="S246" s="7"/>
      <c r="T246" s="7"/>
      <c r="U246" s="7"/>
      <c r="V246" s="7"/>
      <c r="W246" s="7"/>
    </row>
    <row r="247" spans="17:23">
      <c r="Q247" s="7"/>
      <c r="R247" s="7"/>
      <c r="S247" s="7"/>
      <c r="T247" s="7"/>
      <c r="U247" s="7"/>
      <c r="V247" s="7"/>
      <c r="W247" s="7"/>
    </row>
    <row r="248" spans="17:23">
      <c r="Q248" s="7"/>
      <c r="R248" s="7"/>
      <c r="S248" s="7"/>
      <c r="T248" s="7"/>
      <c r="U248" s="7"/>
      <c r="V248" s="7"/>
      <c r="W248" s="7"/>
    </row>
    <row r="249" spans="17:23">
      <c r="Q249" s="7"/>
      <c r="R249" s="7"/>
      <c r="S249" s="7"/>
      <c r="T249" s="7"/>
      <c r="U249" s="7"/>
      <c r="V249" s="7"/>
      <c r="W249" s="7"/>
    </row>
    <row r="250" spans="17:23">
      <c r="Q250" s="7"/>
      <c r="R250" s="7"/>
      <c r="S250" s="7"/>
      <c r="T250" s="7"/>
      <c r="U250" s="7"/>
      <c r="V250" s="7"/>
      <c r="W250" s="7"/>
    </row>
    <row r="251" spans="17:23">
      <c r="Q251" s="7"/>
      <c r="R251" s="7"/>
      <c r="S251" s="7"/>
      <c r="T251" s="7"/>
      <c r="U251" s="7"/>
      <c r="V251" s="7"/>
      <c r="W251" s="7"/>
    </row>
    <row r="252" spans="17:23">
      <c r="Q252" s="7"/>
      <c r="R252" s="7"/>
      <c r="S252" s="7"/>
      <c r="T252" s="7"/>
      <c r="U252" s="7"/>
      <c r="V252" s="7"/>
      <c r="W252" s="7"/>
    </row>
    <row r="253" spans="17:23">
      <c r="Q253" s="7"/>
      <c r="R253" s="7"/>
      <c r="S253" s="7"/>
      <c r="T253" s="7"/>
      <c r="U253" s="7"/>
      <c r="V253" s="7"/>
      <c r="W253" s="7"/>
    </row>
    <row r="254" spans="17:23">
      <c r="Q254" s="7"/>
      <c r="R254" s="7"/>
      <c r="S254" s="7"/>
      <c r="T254" s="7"/>
      <c r="U254" s="7"/>
      <c r="V254" s="7"/>
      <c r="W254" s="7"/>
    </row>
    <row r="255" spans="17:23">
      <c r="Q255" s="7"/>
      <c r="R255" s="7"/>
      <c r="S255" s="7"/>
      <c r="T255" s="7"/>
      <c r="U255" s="7"/>
      <c r="V255" s="7"/>
      <c r="W255" s="7"/>
    </row>
    <row r="256" spans="17:23">
      <c r="Q256" s="7"/>
      <c r="R256" s="7"/>
      <c r="S256" s="7"/>
      <c r="T256" s="7"/>
      <c r="U256" s="7"/>
      <c r="V256" s="7"/>
      <c r="W256" s="7"/>
    </row>
    <row r="257" spans="17:23">
      <c r="Q257" s="7"/>
      <c r="R257" s="7"/>
      <c r="S257" s="7"/>
      <c r="T257" s="7"/>
      <c r="U257" s="7"/>
      <c r="V257" s="7"/>
      <c r="W257" s="7"/>
    </row>
    <row r="258" spans="17:23">
      <c r="Q258" s="7"/>
      <c r="R258" s="7"/>
      <c r="S258" s="7"/>
      <c r="T258" s="7"/>
      <c r="U258" s="7"/>
      <c r="V258" s="7"/>
      <c r="W258" s="7"/>
    </row>
    <row r="259" spans="17:23">
      <c r="Q259" s="7"/>
      <c r="R259" s="7"/>
      <c r="S259" s="7"/>
      <c r="T259" s="7"/>
      <c r="U259" s="7"/>
      <c r="V259" s="7"/>
      <c r="W259" s="7"/>
    </row>
    <row r="260" spans="17:23">
      <c r="Q260" s="7"/>
      <c r="R260" s="7"/>
      <c r="S260" s="7"/>
      <c r="T260" s="7"/>
      <c r="U260" s="7"/>
      <c r="V260" s="7"/>
      <c r="W260" s="7"/>
    </row>
    <row r="261" spans="17:23">
      <c r="Q261" s="7"/>
      <c r="R261" s="7"/>
      <c r="S261" s="7"/>
      <c r="T261" s="7"/>
      <c r="U261" s="7"/>
      <c r="V261" s="7"/>
      <c r="W261" s="7"/>
    </row>
    <row r="262" spans="17:23">
      <c r="Q262" s="7"/>
      <c r="R262" s="7"/>
      <c r="S262" s="7"/>
      <c r="T262" s="7"/>
      <c r="U262" s="7"/>
      <c r="V262" s="7"/>
      <c r="W262" s="7"/>
    </row>
    <row r="263" spans="17:23">
      <c r="Q263" s="7"/>
      <c r="R263" s="7"/>
      <c r="S263" s="7"/>
      <c r="T263" s="7"/>
      <c r="U263" s="7"/>
      <c r="V263" s="7"/>
      <c r="W263" s="7"/>
    </row>
    <row r="264" spans="17:23">
      <c r="Q264" s="7"/>
      <c r="R264" s="7"/>
      <c r="S264" s="7"/>
      <c r="T264" s="7"/>
      <c r="U264" s="7"/>
      <c r="V264" s="7"/>
      <c r="W264" s="7"/>
    </row>
    <row r="265" spans="17:23">
      <c r="Q265" s="7"/>
      <c r="R265" s="7"/>
      <c r="S265" s="7"/>
      <c r="T265" s="7"/>
      <c r="U265" s="7"/>
      <c r="V265" s="7"/>
      <c r="W265" s="7"/>
    </row>
    <row r="266" spans="17:23">
      <c r="Q266" s="7"/>
      <c r="R266" s="7"/>
      <c r="S266" s="7"/>
      <c r="T266" s="7"/>
      <c r="U266" s="7"/>
      <c r="V266" s="7"/>
      <c r="W266" s="7"/>
    </row>
    <row r="267" spans="17:23">
      <c r="Q267" s="7"/>
      <c r="R267" s="7"/>
      <c r="S267" s="7"/>
      <c r="T267" s="7"/>
      <c r="U267" s="7"/>
      <c r="V267" s="7"/>
      <c r="W267" s="7"/>
    </row>
    <row r="268" spans="17:23">
      <c r="Q268" s="7"/>
      <c r="R268" s="7"/>
      <c r="S268" s="7"/>
      <c r="T268" s="7"/>
      <c r="U268" s="7"/>
      <c r="V268" s="7"/>
      <c r="W268" s="7"/>
    </row>
    <row r="269" spans="17:23">
      <c r="Q269" s="7"/>
      <c r="R269" s="7"/>
      <c r="S269" s="7"/>
      <c r="T269" s="7"/>
      <c r="U269" s="7"/>
      <c r="V269" s="7"/>
      <c r="W269" s="7"/>
    </row>
    <row r="270" spans="17:23">
      <c r="Q270" s="7"/>
      <c r="R270" s="7"/>
      <c r="S270" s="7"/>
      <c r="T270" s="7"/>
      <c r="U270" s="7"/>
      <c r="V270" s="7"/>
      <c r="W270" s="7"/>
    </row>
    <row r="271" spans="17:23">
      <c r="Q271" s="7"/>
      <c r="R271" s="7"/>
      <c r="S271" s="7"/>
      <c r="T271" s="7"/>
      <c r="U271" s="7"/>
      <c r="V271" s="7"/>
      <c r="W271" s="7"/>
    </row>
    <row r="272" spans="17:23">
      <c r="Q272" s="7"/>
      <c r="R272" s="7"/>
      <c r="S272" s="7"/>
      <c r="T272" s="7"/>
      <c r="U272" s="7"/>
      <c r="V272" s="7"/>
      <c r="W272" s="7"/>
    </row>
    <row r="273" spans="17:23">
      <c r="Q273" s="7"/>
      <c r="R273" s="7"/>
      <c r="S273" s="7"/>
      <c r="T273" s="7"/>
      <c r="U273" s="7"/>
      <c r="V273" s="7"/>
      <c r="W273" s="7"/>
    </row>
    <row r="274" spans="17:23">
      <c r="Q274" s="7"/>
      <c r="R274" s="7"/>
      <c r="S274" s="7"/>
      <c r="T274" s="7"/>
      <c r="U274" s="7"/>
      <c r="V274" s="7"/>
      <c r="W274" s="7"/>
    </row>
    <row r="275" spans="17:23">
      <c r="Q275" s="7"/>
      <c r="R275" s="7"/>
      <c r="S275" s="7"/>
      <c r="T275" s="7"/>
      <c r="U275" s="7"/>
      <c r="V275" s="7"/>
      <c r="W275" s="7"/>
    </row>
    <row r="276" spans="17:23">
      <c r="Q276" s="7"/>
      <c r="R276" s="7"/>
      <c r="S276" s="7"/>
      <c r="T276" s="7"/>
      <c r="U276" s="7"/>
      <c r="V276" s="7"/>
      <c r="W276" s="7"/>
    </row>
    <row r="277" spans="17:23">
      <c r="Q277" s="7"/>
      <c r="R277" s="7"/>
      <c r="S277" s="7"/>
      <c r="T277" s="7"/>
      <c r="U277" s="7"/>
      <c r="V277" s="7"/>
      <c r="W277" s="7"/>
    </row>
    <row r="278" spans="17:23">
      <c r="Q278" s="7"/>
      <c r="R278" s="7"/>
      <c r="S278" s="7"/>
      <c r="T278" s="7"/>
      <c r="U278" s="7"/>
      <c r="V278" s="7"/>
      <c r="W278" s="7"/>
    </row>
    <row r="279" spans="17:23">
      <c r="Q279" s="7"/>
      <c r="R279" s="7"/>
      <c r="S279" s="7"/>
      <c r="T279" s="7"/>
      <c r="U279" s="7"/>
      <c r="V279" s="7"/>
      <c r="W279" s="7"/>
    </row>
    <row r="280" spans="17:23">
      <c r="Q280" s="7"/>
      <c r="R280" s="7"/>
      <c r="S280" s="7"/>
      <c r="T280" s="7"/>
      <c r="U280" s="7"/>
      <c r="V280" s="7"/>
      <c r="W280" s="7"/>
    </row>
    <row r="281" spans="17:23">
      <c r="Q281" s="7"/>
      <c r="R281" s="7"/>
      <c r="S281" s="7"/>
      <c r="T281" s="7"/>
      <c r="U281" s="7"/>
      <c r="V281" s="7"/>
      <c r="W281" s="7"/>
    </row>
    <row r="282" spans="17:23">
      <c r="Q282" s="7"/>
      <c r="R282" s="7"/>
      <c r="S282" s="7"/>
      <c r="T282" s="7"/>
      <c r="U282" s="7"/>
      <c r="V282" s="7"/>
      <c r="W282" s="7"/>
    </row>
    <row r="283" spans="17:23">
      <c r="Q283" s="7"/>
      <c r="R283" s="7"/>
      <c r="S283" s="7"/>
      <c r="T283" s="7"/>
      <c r="U283" s="7"/>
      <c r="V283" s="7"/>
      <c r="W283" s="7"/>
    </row>
    <row r="284" spans="17:23">
      <c r="Q284" s="7"/>
      <c r="R284" s="7"/>
      <c r="S284" s="7"/>
      <c r="T284" s="7"/>
      <c r="U284" s="7"/>
      <c r="V284" s="7"/>
      <c r="W284" s="7"/>
    </row>
    <row r="285" spans="17:23">
      <c r="Q285" s="7"/>
      <c r="R285" s="7"/>
      <c r="S285" s="7"/>
      <c r="T285" s="7"/>
      <c r="U285" s="7"/>
      <c r="V285" s="7"/>
      <c r="W285" s="7"/>
    </row>
    <row r="286" spans="17:23">
      <c r="Q286" s="7"/>
      <c r="R286" s="7"/>
      <c r="S286" s="7"/>
      <c r="T286" s="7"/>
      <c r="U286" s="7"/>
      <c r="V286" s="7"/>
      <c r="W286" s="7"/>
    </row>
    <row r="287" spans="17:23">
      <c r="Q287" s="7"/>
      <c r="R287" s="7"/>
      <c r="S287" s="7"/>
      <c r="T287" s="7"/>
      <c r="U287" s="7"/>
      <c r="V287" s="7"/>
      <c r="W287" s="7"/>
    </row>
    <row r="288" spans="17:23">
      <c r="Q288" s="7"/>
      <c r="R288" s="7"/>
      <c r="S288" s="7"/>
      <c r="T288" s="7"/>
      <c r="U288" s="7"/>
      <c r="V288" s="7"/>
      <c r="W288" s="7"/>
    </row>
    <row r="289" spans="17:23">
      <c r="Q289" s="7"/>
      <c r="R289" s="7"/>
      <c r="S289" s="7"/>
      <c r="T289" s="7"/>
      <c r="U289" s="7"/>
      <c r="V289" s="7"/>
      <c r="W289" s="7"/>
    </row>
    <row r="290" spans="17:23">
      <c r="Q290" s="7"/>
      <c r="R290" s="7"/>
      <c r="S290" s="7"/>
      <c r="T290" s="7"/>
      <c r="U290" s="7"/>
      <c r="V290" s="7"/>
      <c r="W290" s="7"/>
    </row>
    <row r="291" spans="17:23">
      <c r="Q291" s="7"/>
      <c r="R291" s="7"/>
      <c r="S291" s="7"/>
      <c r="T291" s="7"/>
      <c r="U291" s="7"/>
      <c r="V291" s="7"/>
      <c r="W291" s="7"/>
    </row>
    <row r="292" spans="17:23">
      <c r="Q292" s="7"/>
      <c r="R292" s="7"/>
      <c r="S292" s="7"/>
      <c r="T292" s="7"/>
      <c r="U292" s="7"/>
      <c r="V292" s="7"/>
      <c r="W292" s="7"/>
    </row>
    <row r="293" spans="17:23">
      <c r="Q293" s="7"/>
      <c r="R293" s="7"/>
      <c r="S293" s="7"/>
      <c r="T293" s="7"/>
      <c r="U293" s="7"/>
      <c r="V293" s="7"/>
      <c r="W293" s="7"/>
    </row>
    <row r="294" spans="17:23">
      <c r="Q294" s="7"/>
      <c r="R294" s="7"/>
      <c r="S294" s="7"/>
      <c r="T294" s="7"/>
      <c r="U294" s="7"/>
      <c r="V294" s="7"/>
      <c r="W294" s="7"/>
    </row>
    <row r="295" spans="17:23">
      <c r="Q295" s="7"/>
      <c r="R295" s="7"/>
      <c r="S295" s="7"/>
      <c r="T295" s="7"/>
      <c r="U295" s="7"/>
      <c r="V295" s="7"/>
      <c r="W295" s="7"/>
    </row>
    <row r="296" spans="17:23">
      <c r="Q296" s="7"/>
      <c r="R296" s="7"/>
      <c r="S296" s="7"/>
      <c r="T296" s="7"/>
      <c r="U296" s="7"/>
      <c r="V296" s="7"/>
      <c r="W296" s="7"/>
    </row>
    <row r="297" spans="17:23">
      <c r="Q297" s="7"/>
      <c r="R297" s="7"/>
      <c r="S297" s="7"/>
      <c r="T297" s="7"/>
      <c r="U297" s="7"/>
      <c r="V297" s="7"/>
      <c r="W297" s="7"/>
    </row>
    <row r="298" spans="17:23">
      <c r="Q298" s="7"/>
      <c r="R298" s="7"/>
      <c r="S298" s="7"/>
      <c r="T298" s="7"/>
      <c r="U298" s="7"/>
      <c r="V298" s="7"/>
      <c r="W298" s="7"/>
    </row>
    <row r="299" spans="17:23">
      <c r="Q299" s="7"/>
      <c r="R299" s="7"/>
      <c r="S299" s="7"/>
      <c r="T299" s="7"/>
      <c r="U299" s="7"/>
      <c r="V299" s="7"/>
      <c r="W299" s="7"/>
    </row>
    <row r="300" spans="17:23">
      <c r="Q300" s="7"/>
      <c r="R300" s="7"/>
      <c r="S300" s="7"/>
      <c r="T300" s="7"/>
      <c r="U300" s="7"/>
      <c r="V300" s="7"/>
      <c r="W300" s="7"/>
    </row>
    <row r="301" spans="17:23">
      <c r="Q301" s="7"/>
      <c r="R301" s="7"/>
      <c r="S301" s="7"/>
      <c r="T301" s="7"/>
      <c r="U301" s="7"/>
      <c r="V301" s="7"/>
      <c r="W301" s="7"/>
    </row>
    <row r="302" spans="17:23">
      <c r="Q302" s="7"/>
      <c r="R302" s="7"/>
      <c r="S302" s="7"/>
      <c r="T302" s="7"/>
      <c r="U302" s="7"/>
      <c r="V302" s="7"/>
      <c r="W302" s="7"/>
    </row>
    <row r="303" spans="17:23">
      <c r="Q303" s="7"/>
      <c r="R303" s="7"/>
      <c r="S303" s="7"/>
      <c r="T303" s="7"/>
      <c r="U303" s="7"/>
      <c r="V303" s="7"/>
      <c r="W303" s="7"/>
    </row>
    <row r="304" spans="17:23">
      <c r="Q304" s="7"/>
      <c r="R304" s="7"/>
      <c r="S304" s="7"/>
      <c r="T304" s="7"/>
      <c r="U304" s="7"/>
      <c r="V304" s="7"/>
      <c r="W304" s="7"/>
    </row>
    <row r="305" spans="17:23">
      <c r="Q305" s="7"/>
      <c r="R305" s="7"/>
      <c r="S305" s="7"/>
      <c r="T305" s="7"/>
      <c r="U305" s="7"/>
      <c r="V305" s="7"/>
      <c r="W305" s="7"/>
    </row>
    <row r="306" spans="17:23">
      <c r="Q306" s="7"/>
      <c r="R306" s="7"/>
      <c r="S306" s="7"/>
      <c r="T306" s="7"/>
      <c r="U306" s="7"/>
      <c r="V306" s="7"/>
      <c r="W306" s="7"/>
    </row>
    <row r="307" spans="17:23">
      <c r="Q307" s="7"/>
      <c r="R307" s="7"/>
      <c r="S307" s="7"/>
      <c r="T307" s="7"/>
      <c r="U307" s="7"/>
      <c r="V307" s="7"/>
      <c r="W307" s="7"/>
    </row>
    <row r="308" spans="17:23">
      <c r="Q308" s="7"/>
      <c r="R308" s="7"/>
      <c r="S308" s="7"/>
      <c r="T308" s="7"/>
      <c r="U308" s="7"/>
      <c r="V308" s="7"/>
      <c r="W308" s="7"/>
    </row>
    <row r="309" spans="17:23">
      <c r="Q309" s="7"/>
      <c r="R309" s="7"/>
      <c r="S309" s="7"/>
      <c r="T309" s="7"/>
      <c r="U309" s="7"/>
      <c r="V309" s="7"/>
      <c r="W309" s="7"/>
    </row>
    <row r="310" spans="17:23">
      <c r="Q310" s="7"/>
      <c r="R310" s="7"/>
      <c r="S310" s="7"/>
      <c r="T310" s="7"/>
      <c r="U310" s="7"/>
      <c r="V310" s="7"/>
      <c r="W310" s="7"/>
    </row>
    <row r="311" spans="17:23">
      <c r="Q311" s="7"/>
      <c r="R311" s="7"/>
      <c r="S311" s="7"/>
      <c r="T311" s="7"/>
      <c r="U311" s="7"/>
      <c r="V311" s="7"/>
      <c r="W311" s="7"/>
    </row>
    <row r="312" spans="17:23">
      <c r="Q312" s="7"/>
      <c r="R312" s="7"/>
      <c r="S312" s="7"/>
      <c r="T312" s="7"/>
      <c r="U312" s="7"/>
      <c r="V312" s="7"/>
      <c r="W312" s="7"/>
    </row>
    <row r="313" spans="17:23">
      <c r="Q313" s="7"/>
      <c r="R313" s="7"/>
      <c r="S313" s="7"/>
      <c r="T313" s="7"/>
      <c r="U313" s="7"/>
      <c r="V313" s="7"/>
      <c r="W313" s="7"/>
    </row>
    <row r="314" spans="17:23">
      <c r="Q314" s="7"/>
      <c r="R314" s="7"/>
      <c r="S314" s="7"/>
      <c r="T314" s="7"/>
      <c r="U314" s="7"/>
      <c r="V314" s="7"/>
      <c r="W314" s="7"/>
    </row>
    <row r="315" spans="17:23">
      <c r="Q315" s="7"/>
      <c r="R315" s="7"/>
      <c r="S315" s="7"/>
      <c r="T315" s="7"/>
      <c r="U315" s="7"/>
      <c r="V315" s="7"/>
      <c r="W315" s="7"/>
    </row>
    <row r="316" spans="17:23">
      <c r="Q316" s="7"/>
      <c r="R316" s="7"/>
      <c r="S316" s="7"/>
      <c r="T316" s="7"/>
      <c r="U316" s="7"/>
      <c r="V316" s="7"/>
      <c r="W316" s="7"/>
    </row>
    <row r="317" spans="17:23">
      <c r="Q317" s="7"/>
      <c r="R317" s="7"/>
      <c r="S317" s="7"/>
      <c r="T317" s="7"/>
      <c r="U317" s="7"/>
      <c r="V317" s="7"/>
      <c r="W317" s="7"/>
    </row>
    <row r="318" spans="17:23">
      <c r="Q318" s="7"/>
      <c r="R318" s="7"/>
      <c r="S318" s="7"/>
      <c r="T318" s="7"/>
      <c r="U318" s="7"/>
      <c r="V318" s="7"/>
      <c r="W318" s="7"/>
    </row>
    <row r="319" spans="17:23">
      <c r="Q319" s="7"/>
      <c r="R319" s="7"/>
      <c r="S319" s="7"/>
      <c r="T319" s="7"/>
      <c r="U319" s="7"/>
      <c r="V319" s="7"/>
      <c r="W319" s="7"/>
    </row>
    <row r="320" spans="17:23">
      <c r="Q320" s="7"/>
      <c r="R320" s="7"/>
      <c r="S320" s="7"/>
      <c r="T320" s="7"/>
      <c r="U320" s="7"/>
      <c r="V320" s="7"/>
      <c r="W320" s="7"/>
    </row>
    <row r="321" spans="17:23">
      <c r="Q321" s="7"/>
      <c r="R321" s="7"/>
      <c r="S321" s="7"/>
      <c r="T321" s="7"/>
      <c r="U321" s="7"/>
      <c r="V321" s="7"/>
      <c r="W321" s="7"/>
    </row>
    <row r="322" spans="17:23">
      <c r="Q322" s="7"/>
      <c r="R322" s="7"/>
      <c r="S322" s="7"/>
      <c r="T322" s="7"/>
      <c r="U322" s="7"/>
      <c r="V322" s="7"/>
      <c r="W322" s="7"/>
    </row>
    <row r="323" spans="17:23">
      <c r="Q323" s="7"/>
      <c r="R323" s="7"/>
      <c r="S323" s="7"/>
      <c r="T323" s="7"/>
      <c r="U323" s="7"/>
      <c r="V323" s="7"/>
      <c r="W323" s="7"/>
    </row>
    <row r="324" spans="17:23">
      <c r="Q324" s="7"/>
      <c r="R324" s="7"/>
      <c r="S324" s="7"/>
      <c r="T324" s="7"/>
      <c r="U324" s="7"/>
      <c r="V324" s="7"/>
      <c r="W324" s="7"/>
    </row>
    <row r="325" spans="17:23">
      <c r="Q325" s="7"/>
      <c r="R325" s="7"/>
      <c r="S325" s="7"/>
      <c r="T325" s="7"/>
      <c r="U325" s="7"/>
      <c r="V325" s="7"/>
      <c r="W325" s="7"/>
    </row>
    <row r="326" spans="17:23">
      <c r="Q326" s="7"/>
      <c r="R326" s="7"/>
      <c r="S326" s="7"/>
      <c r="T326" s="7"/>
      <c r="U326" s="7"/>
      <c r="V326" s="7"/>
      <c r="W326" s="7"/>
    </row>
    <row r="327" spans="17:23">
      <c r="Q327" s="7"/>
      <c r="R327" s="7"/>
      <c r="S327" s="7"/>
      <c r="T327" s="7"/>
      <c r="U327" s="7"/>
      <c r="V327" s="7"/>
      <c r="W327" s="7"/>
    </row>
    <row r="328" spans="17:23">
      <c r="Q328" s="7"/>
      <c r="R328" s="7"/>
      <c r="S328" s="7"/>
      <c r="T328" s="7"/>
      <c r="U328" s="7"/>
      <c r="V328" s="7"/>
      <c r="W328" s="7"/>
    </row>
    <row r="329" spans="17:23">
      <c r="Q329" s="7"/>
      <c r="R329" s="7"/>
      <c r="S329" s="7"/>
      <c r="T329" s="7"/>
      <c r="U329" s="7"/>
      <c r="V329" s="7"/>
      <c r="W329" s="7"/>
    </row>
    <row r="330" spans="17:23">
      <c r="Q330" s="7"/>
      <c r="R330" s="7"/>
      <c r="S330" s="7"/>
      <c r="T330" s="7"/>
      <c r="U330" s="7"/>
      <c r="V330" s="7"/>
      <c r="W330" s="7"/>
    </row>
    <row r="331" spans="17:23">
      <c r="Q331" s="7"/>
      <c r="R331" s="7"/>
      <c r="S331" s="7"/>
      <c r="T331" s="7"/>
      <c r="U331" s="7"/>
      <c r="V331" s="7"/>
      <c r="W331" s="7"/>
    </row>
    <row r="332" spans="17:23">
      <c r="Q332" s="7"/>
      <c r="R332" s="7"/>
      <c r="S332" s="7"/>
      <c r="T332" s="7"/>
      <c r="U332" s="7"/>
      <c r="V332" s="7"/>
      <c r="W332" s="7"/>
    </row>
    <row r="333" spans="17:23">
      <c r="Q333" s="7"/>
      <c r="R333" s="7"/>
      <c r="S333" s="7"/>
      <c r="T333" s="7"/>
      <c r="U333" s="7"/>
      <c r="V333" s="7"/>
      <c r="W333" s="7"/>
    </row>
    <row r="334" spans="17:23">
      <c r="Q334" s="7"/>
      <c r="R334" s="7"/>
      <c r="S334" s="7"/>
      <c r="T334" s="7"/>
      <c r="U334" s="7"/>
      <c r="V334" s="7"/>
      <c r="W334" s="7"/>
    </row>
    <row r="335" spans="17:23">
      <c r="Q335" s="7"/>
      <c r="R335" s="7"/>
      <c r="S335" s="7"/>
      <c r="T335" s="7"/>
      <c r="U335" s="7"/>
      <c r="V335" s="7"/>
      <c r="W335" s="7"/>
    </row>
    <row r="336" spans="17:23">
      <c r="Q336" s="7"/>
      <c r="R336" s="7"/>
      <c r="S336" s="7"/>
      <c r="T336" s="7"/>
      <c r="U336" s="7"/>
      <c r="V336" s="7"/>
      <c r="W336" s="7"/>
    </row>
    <row r="337" spans="17:23">
      <c r="Q337" s="7"/>
      <c r="R337" s="7"/>
      <c r="S337" s="7"/>
      <c r="T337" s="7"/>
      <c r="U337" s="7"/>
      <c r="V337" s="7"/>
      <c r="W337" s="7"/>
    </row>
    <row r="338" spans="17:23">
      <c r="Q338" s="7"/>
      <c r="R338" s="7"/>
      <c r="S338" s="7"/>
      <c r="T338" s="7"/>
      <c r="U338" s="7"/>
      <c r="V338" s="7"/>
      <c r="W338" s="7"/>
    </row>
    <row r="339" spans="17:23">
      <c r="Q339" s="7"/>
      <c r="R339" s="7"/>
      <c r="S339" s="7"/>
      <c r="T339" s="7"/>
      <c r="U339" s="7"/>
      <c r="V339" s="7"/>
      <c r="W339" s="7"/>
    </row>
    <row r="340" spans="17:23">
      <c r="Q340" s="7"/>
      <c r="R340" s="7"/>
      <c r="S340" s="7"/>
      <c r="T340" s="7"/>
      <c r="U340" s="7"/>
      <c r="V340" s="7"/>
      <c r="W340" s="7"/>
    </row>
    <row r="341" spans="17:23">
      <c r="Q341" s="7"/>
      <c r="R341" s="7"/>
      <c r="S341" s="7"/>
      <c r="T341" s="7"/>
      <c r="U341" s="7"/>
      <c r="V341" s="7"/>
      <c r="W341" s="7"/>
    </row>
    <row r="342" spans="17:23">
      <c r="Q342" s="7"/>
      <c r="R342" s="7"/>
      <c r="S342" s="7"/>
      <c r="T342" s="7"/>
      <c r="U342" s="7"/>
      <c r="V342" s="7"/>
      <c r="W342" s="7"/>
    </row>
    <row r="343" spans="17:23">
      <c r="Q343" s="7"/>
      <c r="R343" s="7"/>
      <c r="S343" s="7"/>
      <c r="T343" s="7"/>
      <c r="U343" s="7"/>
      <c r="V343" s="7"/>
      <c r="W343" s="7"/>
    </row>
    <row r="344" spans="17:23">
      <c r="Q344" s="7"/>
      <c r="R344" s="7"/>
      <c r="S344" s="7"/>
      <c r="T344" s="7"/>
      <c r="U344" s="7"/>
      <c r="V344" s="7"/>
      <c r="W344" s="7"/>
    </row>
    <row r="345" spans="17:23">
      <c r="Q345" s="7"/>
      <c r="R345" s="7"/>
      <c r="S345" s="7"/>
      <c r="T345" s="7"/>
      <c r="U345" s="7"/>
      <c r="V345" s="7"/>
      <c r="W345" s="7"/>
    </row>
    <row r="346" spans="17:23">
      <c r="Q346" s="7"/>
      <c r="R346" s="7"/>
      <c r="S346" s="7"/>
      <c r="T346" s="7"/>
      <c r="U346" s="7"/>
      <c r="V346" s="7"/>
      <c r="W346" s="7"/>
    </row>
    <row r="347" spans="17:23">
      <c r="Q347" s="7"/>
      <c r="R347" s="7"/>
      <c r="S347" s="7"/>
      <c r="T347" s="7"/>
      <c r="U347" s="7"/>
      <c r="V347" s="7"/>
      <c r="W347" s="7"/>
    </row>
    <row r="348" spans="17:23">
      <c r="Q348" s="7"/>
      <c r="R348" s="7"/>
      <c r="S348" s="7"/>
      <c r="T348" s="7"/>
      <c r="U348" s="7"/>
      <c r="V348" s="7"/>
      <c r="W348" s="7"/>
    </row>
    <row r="349" spans="17:23">
      <c r="Q349" s="7"/>
      <c r="R349" s="7"/>
      <c r="S349" s="7"/>
      <c r="T349" s="7"/>
      <c r="U349" s="7"/>
      <c r="V349" s="7"/>
      <c r="W349" s="7"/>
    </row>
    <row r="350" spans="17:23">
      <c r="Q350" s="7"/>
      <c r="R350" s="7"/>
      <c r="S350" s="7"/>
      <c r="T350" s="7"/>
      <c r="U350" s="7"/>
      <c r="V350" s="7"/>
      <c r="W350" s="7"/>
    </row>
    <row r="351" spans="17:23">
      <c r="Q351" s="7"/>
      <c r="R351" s="7"/>
      <c r="S351" s="7"/>
      <c r="T351" s="7"/>
      <c r="U351" s="7"/>
      <c r="V351" s="7"/>
      <c r="W351" s="7"/>
    </row>
    <row r="352" spans="17:23">
      <c r="Q352" s="7"/>
      <c r="R352" s="7"/>
      <c r="S352" s="7"/>
      <c r="T352" s="7"/>
      <c r="U352" s="7"/>
      <c r="V352" s="7"/>
      <c r="W352" s="7"/>
    </row>
    <row r="353" spans="17:23">
      <c r="Q353" s="7"/>
      <c r="R353" s="7"/>
      <c r="S353" s="7"/>
      <c r="T353" s="7"/>
      <c r="U353" s="7"/>
      <c r="V353" s="7"/>
      <c r="W353" s="7"/>
    </row>
    <row r="354" spans="17:23">
      <c r="Q354" s="7"/>
      <c r="R354" s="7"/>
      <c r="S354" s="7"/>
      <c r="T354" s="7"/>
      <c r="U354" s="7"/>
      <c r="V354" s="7"/>
      <c r="W354" s="7"/>
    </row>
    <row r="355" spans="17:23">
      <c r="Q355" s="7"/>
      <c r="R355" s="7"/>
      <c r="S355" s="7"/>
      <c r="T355" s="7"/>
      <c r="U355" s="7"/>
      <c r="V355" s="7"/>
      <c r="W355" s="7"/>
    </row>
    <row r="356" spans="17:23">
      <c r="Q356" s="7"/>
      <c r="R356" s="7"/>
      <c r="S356" s="7"/>
      <c r="T356" s="7"/>
      <c r="U356" s="7"/>
      <c r="V356" s="7"/>
      <c r="W356" s="7"/>
    </row>
    <row r="357" spans="17:23">
      <c r="Q357" s="7"/>
      <c r="R357" s="7"/>
      <c r="S357" s="7"/>
      <c r="T357" s="7"/>
      <c r="U357" s="7"/>
      <c r="V357" s="7"/>
      <c r="W357" s="7"/>
    </row>
    <row r="358" spans="17:23">
      <c r="Q358" s="7"/>
      <c r="R358" s="7"/>
      <c r="S358" s="7"/>
      <c r="T358" s="7"/>
      <c r="U358" s="7"/>
      <c r="V358" s="7"/>
      <c r="W358" s="7"/>
    </row>
    <row r="359" spans="17:23">
      <c r="Q359" s="7"/>
      <c r="R359" s="7"/>
      <c r="S359" s="7"/>
      <c r="T359" s="7"/>
      <c r="U359" s="7"/>
      <c r="V359" s="7"/>
      <c r="W359" s="7"/>
    </row>
    <row r="360" spans="17:23">
      <c r="Q360" s="7"/>
      <c r="R360" s="7"/>
      <c r="S360" s="7"/>
      <c r="T360" s="7"/>
      <c r="U360" s="7"/>
      <c r="V360" s="7"/>
      <c r="W360" s="7"/>
    </row>
    <row r="361" spans="17:23">
      <c r="Q361" s="7"/>
      <c r="R361" s="7"/>
      <c r="S361" s="7"/>
      <c r="T361" s="7"/>
      <c r="U361" s="7"/>
      <c r="V361" s="7"/>
      <c r="W361" s="7"/>
    </row>
    <row r="362" spans="17:23">
      <c r="Q362" s="7"/>
      <c r="R362" s="7"/>
      <c r="S362" s="7"/>
      <c r="T362" s="7"/>
      <c r="U362" s="7"/>
      <c r="V362" s="7"/>
      <c r="W362" s="7"/>
    </row>
    <row r="363" spans="17:23">
      <c r="Q363" s="7"/>
      <c r="R363" s="7"/>
      <c r="S363" s="7"/>
      <c r="T363" s="7"/>
      <c r="U363" s="7"/>
      <c r="V363" s="7"/>
      <c r="W363" s="7"/>
    </row>
    <row r="364" spans="17:23">
      <c r="Q364" s="7"/>
      <c r="R364" s="7"/>
      <c r="S364" s="7"/>
      <c r="T364" s="7"/>
      <c r="U364" s="7"/>
      <c r="V364" s="7"/>
      <c r="W364" s="7"/>
    </row>
    <row r="365" spans="17:23">
      <c r="Q365" s="7"/>
      <c r="R365" s="7"/>
      <c r="S365" s="7"/>
      <c r="T365" s="7"/>
      <c r="U365" s="7"/>
      <c r="V365" s="7"/>
      <c r="W365" s="7"/>
    </row>
    <row r="366" spans="17:23">
      <c r="Q366" s="7"/>
      <c r="R366" s="7"/>
      <c r="S366" s="7"/>
      <c r="T366" s="7"/>
      <c r="U366" s="7"/>
      <c r="V366" s="7"/>
      <c r="W366" s="7"/>
    </row>
    <row r="367" spans="17:23">
      <c r="Q367" s="7"/>
      <c r="R367" s="7"/>
      <c r="S367" s="7"/>
      <c r="T367" s="7"/>
      <c r="U367" s="7"/>
      <c r="V367" s="7"/>
      <c r="W367" s="7"/>
    </row>
    <row r="368" spans="17:23">
      <c r="Q368" s="7"/>
      <c r="R368" s="7"/>
      <c r="S368" s="7"/>
      <c r="T368" s="7"/>
      <c r="U368" s="7"/>
      <c r="V368" s="7"/>
      <c r="W368" s="7"/>
    </row>
    <row r="369" spans="17:23">
      <c r="Q369" s="7"/>
      <c r="R369" s="7"/>
      <c r="S369" s="7"/>
      <c r="T369" s="7"/>
      <c r="U369" s="7"/>
      <c r="V369" s="7"/>
      <c r="W369" s="7"/>
    </row>
    <row r="370" spans="17:23">
      <c r="Q370" s="7"/>
      <c r="R370" s="7"/>
      <c r="S370" s="7"/>
      <c r="T370" s="7"/>
      <c r="U370" s="7"/>
      <c r="V370" s="7"/>
      <c r="W370" s="7"/>
    </row>
    <row r="371" spans="17:23">
      <c r="Q371" s="7"/>
      <c r="R371" s="7"/>
      <c r="S371" s="7"/>
      <c r="T371" s="7"/>
      <c r="U371" s="7"/>
      <c r="V371" s="7"/>
      <c r="W371" s="7"/>
    </row>
    <row r="372" spans="17:23">
      <c r="Q372" s="7"/>
      <c r="R372" s="7"/>
      <c r="S372" s="7"/>
      <c r="T372" s="7"/>
      <c r="U372" s="7"/>
      <c r="V372" s="7"/>
      <c r="W372" s="7"/>
    </row>
    <row r="373" spans="17:23">
      <c r="Q373" s="7"/>
      <c r="R373" s="7"/>
      <c r="S373" s="7"/>
      <c r="T373" s="7"/>
      <c r="U373" s="7"/>
      <c r="V373" s="7"/>
      <c r="W373" s="7"/>
    </row>
    <row r="374" spans="17:23">
      <c r="Q374" s="7"/>
      <c r="R374" s="7"/>
      <c r="S374" s="7"/>
      <c r="T374" s="7"/>
      <c r="U374" s="7"/>
      <c r="V374" s="7"/>
      <c r="W374" s="7"/>
    </row>
    <row r="375" spans="17:23">
      <c r="Q375" s="7"/>
      <c r="R375" s="7"/>
      <c r="S375" s="7"/>
      <c r="T375" s="7"/>
      <c r="U375" s="7"/>
      <c r="V375" s="7"/>
      <c r="W375" s="7"/>
    </row>
    <row r="376" spans="17:23">
      <c r="Q376" s="7"/>
      <c r="R376" s="7"/>
      <c r="S376" s="7"/>
      <c r="T376" s="7"/>
      <c r="U376" s="7"/>
      <c r="V376" s="7"/>
      <c r="W376" s="7"/>
    </row>
    <row r="377" spans="17:23">
      <c r="Q377" s="7"/>
      <c r="R377" s="7"/>
      <c r="S377" s="7"/>
      <c r="T377" s="7"/>
      <c r="U377" s="7"/>
      <c r="V377" s="7"/>
      <c r="W377" s="7"/>
    </row>
    <row r="378" spans="17:23">
      <c r="Q378" s="7"/>
      <c r="R378" s="7"/>
      <c r="S378" s="7"/>
      <c r="T378" s="7"/>
      <c r="U378" s="7"/>
      <c r="V378" s="7"/>
      <c r="W378" s="7"/>
    </row>
    <row r="379" spans="17:23">
      <c r="Q379" s="7"/>
      <c r="R379" s="7"/>
      <c r="S379" s="7"/>
      <c r="T379" s="7"/>
      <c r="U379" s="7"/>
      <c r="V379" s="7"/>
      <c r="W379" s="7"/>
    </row>
    <row r="380" spans="17:23">
      <c r="Q380" s="7"/>
      <c r="R380" s="7"/>
      <c r="S380" s="7"/>
      <c r="T380" s="7"/>
      <c r="U380" s="7"/>
      <c r="V380" s="7"/>
      <c r="W380" s="7"/>
    </row>
    <row r="381" spans="17:23">
      <c r="Q381" s="7"/>
      <c r="R381" s="7"/>
      <c r="S381" s="7"/>
      <c r="T381" s="7"/>
      <c r="U381" s="7"/>
      <c r="V381" s="7"/>
      <c r="W381" s="7"/>
    </row>
    <row r="382" spans="17:23">
      <c r="Q382" s="7"/>
      <c r="R382" s="7"/>
      <c r="S382" s="7"/>
      <c r="T382" s="7"/>
      <c r="U382" s="7"/>
      <c r="V382" s="7"/>
      <c r="W382" s="7"/>
    </row>
    <row r="383" spans="17:23">
      <c r="Q383" s="7"/>
      <c r="R383" s="7"/>
      <c r="S383" s="7"/>
      <c r="T383" s="7"/>
      <c r="U383" s="7"/>
      <c r="V383" s="7"/>
      <c r="W383" s="7"/>
    </row>
    <row r="384" spans="17:23">
      <c r="Q384" s="7"/>
      <c r="R384" s="7"/>
      <c r="S384" s="7"/>
      <c r="T384" s="7"/>
      <c r="U384" s="7"/>
      <c r="V384" s="7"/>
      <c r="W384" s="7"/>
    </row>
    <row r="385" spans="17:23">
      <c r="Q385" s="7"/>
      <c r="R385" s="7"/>
      <c r="S385" s="7"/>
      <c r="T385" s="7"/>
      <c r="U385" s="7"/>
      <c r="V385" s="7"/>
      <c r="W385" s="7"/>
    </row>
    <row r="386" spans="17:23">
      <c r="Q386" s="7"/>
      <c r="R386" s="7"/>
      <c r="S386" s="7"/>
      <c r="T386" s="7"/>
      <c r="U386" s="7"/>
      <c r="V386" s="7"/>
      <c r="W386" s="7"/>
    </row>
    <row r="387" spans="17:23">
      <c r="Q387" s="7"/>
      <c r="R387" s="7"/>
      <c r="S387" s="7"/>
      <c r="T387" s="7"/>
      <c r="U387" s="7"/>
      <c r="V387" s="7"/>
      <c r="W387" s="7"/>
    </row>
    <row r="388" spans="17:23">
      <c r="Q388" s="7"/>
      <c r="R388" s="7"/>
      <c r="S388" s="7"/>
      <c r="T388" s="7"/>
      <c r="U388" s="7"/>
      <c r="V388" s="7"/>
      <c r="W388" s="7"/>
    </row>
    <row r="389" spans="17:23">
      <c r="Q389" s="7"/>
      <c r="R389" s="7"/>
      <c r="S389" s="7"/>
      <c r="T389" s="7"/>
      <c r="U389" s="7"/>
      <c r="V389" s="7"/>
      <c r="W389" s="7"/>
    </row>
    <row r="390" spans="17:23">
      <c r="Q390" s="7"/>
      <c r="R390" s="7"/>
      <c r="S390" s="7"/>
      <c r="T390" s="7"/>
      <c r="U390" s="7"/>
      <c r="V390" s="7"/>
      <c r="W390" s="7"/>
    </row>
    <row r="391" spans="17:23">
      <c r="Q391" s="7"/>
      <c r="R391" s="7"/>
      <c r="S391" s="7"/>
      <c r="T391" s="7"/>
      <c r="U391" s="7"/>
      <c r="V391" s="7"/>
      <c r="W391" s="7"/>
    </row>
    <row r="392" spans="17:23">
      <c r="Q392" s="7"/>
      <c r="R392" s="7"/>
      <c r="S392" s="7"/>
      <c r="T392" s="7"/>
      <c r="U392" s="7"/>
      <c r="V392" s="7"/>
      <c r="W392" s="7"/>
    </row>
    <row r="393" spans="17:23">
      <c r="Q393" s="7"/>
      <c r="R393" s="7"/>
      <c r="S393" s="7"/>
      <c r="T393" s="7"/>
      <c r="U393" s="7"/>
      <c r="V393" s="7"/>
      <c r="W393" s="7"/>
    </row>
    <row r="394" spans="17:23">
      <c r="Q394" s="7"/>
      <c r="R394" s="7"/>
      <c r="S394" s="7"/>
      <c r="T394" s="7"/>
      <c r="U394" s="7"/>
      <c r="V394" s="7"/>
      <c r="W394" s="7"/>
    </row>
    <row r="395" spans="17:23">
      <c r="Q395" s="7"/>
      <c r="R395" s="7"/>
      <c r="S395" s="7"/>
      <c r="T395" s="7"/>
      <c r="U395" s="7"/>
      <c r="V395" s="7"/>
      <c r="W395" s="7"/>
    </row>
    <row r="396" spans="17:23">
      <c r="Q396" s="7"/>
      <c r="R396" s="7"/>
      <c r="S396" s="7"/>
      <c r="T396" s="7"/>
      <c r="U396" s="7"/>
      <c r="V396" s="7"/>
      <c r="W396" s="7"/>
    </row>
    <row r="397" spans="17:23">
      <c r="Q397" s="7"/>
      <c r="R397" s="7"/>
      <c r="S397" s="7"/>
      <c r="T397" s="7"/>
      <c r="U397" s="7"/>
      <c r="V397" s="7"/>
      <c r="W397" s="7"/>
    </row>
    <row r="398" spans="17:23">
      <c r="Q398" s="7"/>
      <c r="R398" s="7"/>
      <c r="S398" s="7"/>
      <c r="T398" s="7"/>
      <c r="U398" s="7"/>
      <c r="V398" s="7"/>
      <c r="W398" s="7"/>
    </row>
    <row r="399" spans="17:23">
      <c r="Q399" s="7"/>
      <c r="R399" s="7"/>
      <c r="S399" s="7"/>
      <c r="T399" s="7"/>
      <c r="U399" s="7"/>
      <c r="V399" s="7"/>
      <c r="W399" s="7"/>
    </row>
    <row r="400" spans="17:23">
      <c r="Q400" s="7"/>
      <c r="R400" s="7"/>
      <c r="S400" s="7"/>
      <c r="T400" s="7"/>
      <c r="U400" s="7"/>
      <c r="V400" s="7"/>
      <c r="W400" s="7"/>
    </row>
    <row r="401" spans="17:23">
      <c r="Q401" s="7"/>
      <c r="R401" s="7"/>
      <c r="S401" s="7"/>
      <c r="T401" s="7"/>
      <c r="U401" s="7"/>
      <c r="V401" s="7"/>
      <c r="W401" s="7"/>
    </row>
    <row r="402" spans="17:23">
      <c r="Q402" s="7"/>
      <c r="R402" s="7"/>
      <c r="S402" s="7"/>
      <c r="T402" s="7"/>
      <c r="U402" s="7"/>
      <c r="V402" s="7"/>
      <c r="W402" s="7"/>
    </row>
    <row r="403" spans="17:23">
      <c r="Q403" s="7"/>
      <c r="R403" s="7"/>
      <c r="S403" s="7"/>
      <c r="T403" s="7"/>
      <c r="U403" s="7"/>
      <c r="V403" s="7"/>
      <c r="W403" s="7"/>
    </row>
    <row r="404" spans="17:23">
      <c r="Q404" s="7"/>
      <c r="R404" s="7"/>
      <c r="S404" s="7"/>
      <c r="T404" s="7"/>
      <c r="U404" s="7"/>
      <c r="V404" s="7"/>
      <c r="W404" s="7"/>
    </row>
    <row r="405" spans="17:23">
      <c r="Q405" s="7"/>
      <c r="R405" s="7"/>
      <c r="S405" s="7"/>
      <c r="T405" s="7"/>
      <c r="U405" s="7"/>
      <c r="V405" s="7"/>
      <c r="W405" s="7"/>
    </row>
    <row r="406" spans="17:23">
      <c r="Q406" s="7"/>
      <c r="R406" s="7"/>
      <c r="S406" s="7"/>
      <c r="T406" s="7"/>
      <c r="U406" s="7"/>
      <c r="V406" s="7"/>
      <c r="W406" s="7"/>
    </row>
    <row r="407" spans="17:23">
      <c r="Q407" s="7"/>
      <c r="R407" s="7"/>
      <c r="S407" s="7"/>
      <c r="T407" s="7"/>
      <c r="U407" s="7"/>
      <c r="V407" s="7"/>
      <c r="W407" s="7"/>
    </row>
    <row r="408" spans="17:23">
      <c r="Q408" s="7"/>
      <c r="R408" s="7"/>
      <c r="S408" s="7"/>
      <c r="T408" s="7"/>
      <c r="U408" s="7"/>
      <c r="V408" s="7"/>
      <c r="W408" s="7"/>
    </row>
    <row r="409" spans="17:23">
      <c r="Q409" s="7"/>
      <c r="R409" s="7"/>
      <c r="S409" s="7"/>
      <c r="T409" s="7"/>
      <c r="U409" s="7"/>
      <c r="V409" s="7"/>
      <c r="W409" s="7"/>
    </row>
    <row r="410" spans="17:23">
      <c r="Q410" s="7"/>
      <c r="R410" s="7"/>
      <c r="S410" s="7"/>
      <c r="T410" s="7"/>
      <c r="U410" s="7"/>
      <c r="V410" s="7"/>
      <c r="W410" s="7"/>
    </row>
    <row r="411" spans="17:23">
      <c r="Q411" s="7"/>
      <c r="R411" s="7"/>
      <c r="S411" s="7"/>
      <c r="T411" s="7"/>
      <c r="U411" s="7"/>
      <c r="V411" s="7"/>
      <c r="W411" s="7"/>
    </row>
    <row r="412" spans="17:23">
      <c r="Q412" s="7"/>
      <c r="R412" s="7"/>
      <c r="S412" s="7"/>
      <c r="T412" s="7"/>
      <c r="U412" s="7"/>
      <c r="V412" s="7"/>
      <c r="W412" s="7"/>
    </row>
    <row r="413" spans="17:23">
      <c r="Q413" s="7"/>
      <c r="R413" s="7"/>
      <c r="S413" s="7"/>
      <c r="T413" s="7"/>
      <c r="U413" s="7"/>
      <c r="V413" s="7"/>
      <c r="W413" s="7"/>
    </row>
    <row r="414" spans="17:23">
      <c r="Q414" s="7"/>
      <c r="R414" s="7"/>
      <c r="S414" s="7"/>
      <c r="T414" s="7"/>
      <c r="U414" s="7"/>
      <c r="V414" s="7"/>
      <c r="W414" s="7"/>
    </row>
    <row r="415" spans="17:23">
      <c r="Q415" s="7"/>
      <c r="R415" s="7"/>
      <c r="S415" s="7"/>
      <c r="T415" s="7"/>
      <c r="U415" s="7"/>
      <c r="V415" s="7"/>
      <c r="W415" s="7"/>
    </row>
    <row r="416" spans="17:23">
      <c r="Q416" s="7"/>
      <c r="R416" s="7"/>
      <c r="S416" s="7"/>
      <c r="T416" s="7"/>
      <c r="U416" s="7"/>
      <c r="V416" s="7"/>
      <c r="W416" s="7"/>
    </row>
    <row r="417" spans="17:23">
      <c r="Q417" s="7"/>
      <c r="R417" s="7"/>
      <c r="S417" s="7"/>
      <c r="T417" s="7"/>
      <c r="U417" s="7"/>
      <c r="V417" s="7"/>
      <c r="W417" s="7"/>
    </row>
    <row r="418" spans="17:23">
      <c r="Q418" s="7"/>
      <c r="R418" s="7"/>
      <c r="S418" s="7"/>
      <c r="T418" s="7"/>
      <c r="U418" s="7"/>
      <c r="V418" s="7"/>
      <c r="W418" s="7"/>
    </row>
    <row r="419" spans="17:23">
      <c r="Q419" s="7"/>
      <c r="R419" s="7"/>
      <c r="S419" s="7"/>
      <c r="T419" s="7"/>
      <c r="U419" s="7"/>
      <c r="V419" s="7"/>
      <c r="W419" s="7"/>
    </row>
    <row r="420" spans="17:23">
      <c r="Q420" s="7"/>
      <c r="R420" s="7"/>
      <c r="S420" s="7"/>
      <c r="T420" s="7"/>
      <c r="U420" s="7"/>
      <c r="V420" s="7"/>
      <c r="W420" s="7"/>
    </row>
    <row r="421" spans="17:23">
      <c r="Q421" s="7"/>
      <c r="R421" s="7"/>
      <c r="S421" s="7"/>
      <c r="T421" s="7"/>
      <c r="U421" s="7"/>
      <c r="V421" s="7"/>
      <c r="W421" s="7"/>
    </row>
    <row r="422" spans="17:23">
      <c r="Q422" s="7"/>
      <c r="R422" s="7"/>
      <c r="S422" s="7"/>
      <c r="T422" s="7"/>
      <c r="U422" s="7"/>
      <c r="V422" s="7"/>
      <c r="W422" s="7"/>
    </row>
    <row r="423" spans="17:23">
      <c r="Q423" s="7"/>
      <c r="R423" s="7"/>
      <c r="S423" s="7"/>
      <c r="T423" s="7"/>
      <c r="U423" s="7"/>
      <c r="V423" s="7"/>
      <c r="W423" s="7"/>
    </row>
    <row r="424" spans="17:23">
      <c r="Q424" s="7"/>
      <c r="R424" s="7"/>
      <c r="S424" s="7"/>
      <c r="T424" s="7"/>
      <c r="U424" s="7"/>
      <c r="V424" s="7"/>
      <c r="W424" s="7"/>
    </row>
    <row r="425" spans="17:23">
      <c r="Q425" s="7"/>
      <c r="R425" s="7"/>
      <c r="S425" s="7"/>
      <c r="T425" s="7"/>
      <c r="U425" s="7"/>
      <c r="V425" s="7"/>
      <c r="W425" s="7"/>
    </row>
    <row r="426" spans="17:23">
      <c r="Q426" s="7"/>
      <c r="R426" s="7"/>
      <c r="S426" s="7"/>
      <c r="T426" s="7"/>
      <c r="U426" s="7"/>
      <c r="V426" s="7"/>
      <c r="W426" s="7"/>
    </row>
    <row r="427" spans="17:23">
      <c r="Q427" s="7"/>
      <c r="R427" s="7"/>
      <c r="S427" s="7"/>
      <c r="T427" s="7"/>
      <c r="U427" s="7"/>
      <c r="V427" s="7"/>
      <c r="W427" s="7"/>
    </row>
    <row r="428" spans="17:23">
      <c r="Q428" s="7"/>
      <c r="R428" s="7"/>
      <c r="S428" s="7"/>
      <c r="T428" s="7"/>
      <c r="U428" s="7"/>
      <c r="V428" s="7"/>
      <c r="W428" s="7"/>
    </row>
    <row r="429" spans="17:23">
      <c r="Q429" s="7"/>
      <c r="R429" s="7"/>
      <c r="S429" s="7"/>
      <c r="T429" s="7"/>
      <c r="U429" s="7"/>
      <c r="V429" s="7"/>
      <c r="W429" s="7"/>
    </row>
    <row r="430" spans="17:23">
      <c r="Q430" s="7"/>
      <c r="R430" s="7"/>
      <c r="S430" s="7"/>
      <c r="T430" s="7"/>
      <c r="U430" s="7"/>
      <c r="V430" s="7"/>
      <c r="W430" s="7"/>
    </row>
    <row r="431" spans="17:23">
      <c r="Q431" s="7"/>
      <c r="R431" s="7"/>
      <c r="S431" s="7"/>
      <c r="T431" s="7"/>
      <c r="U431" s="7"/>
      <c r="V431" s="7"/>
      <c r="W431" s="7"/>
    </row>
    <row r="432" spans="17:23">
      <c r="Q432" s="7"/>
      <c r="R432" s="7"/>
      <c r="S432" s="7"/>
      <c r="T432" s="7"/>
      <c r="U432" s="7"/>
      <c r="V432" s="7"/>
      <c r="W432" s="7"/>
    </row>
    <row r="433" spans="17:23">
      <c r="Q433" s="7"/>
      <c r="R433" s="7"/>
      <c r="S433" s="7"/>
      <c r="T433" s="7"/>
      <c r="U433" s="7"/>
      <c r="V433" s="7"/>
      <c r="W433" s="7"/>
    </row>
    <row r="434" spans="17:23">
      <c r="Q434" s="7"/>
      <c r="R434" s="7"/>
      <c r="S434" s="7"/>
      <c r="T434" s="7"/>
      <c r="U434" s="7"/>
      <c r="V434" s="7"/>
      <c r="W434" s="7"/>
    </row>
    <row r="435" spans="17:23">
      <c r="Q435" s="7"/>
      <c r="R435" s="7"/>
      <c r="S435" s="7"/>
      <c r="T435" s="7"/>
      <c r="U435" s="7"/>
      <c r="V435" s="7"/>
      <c r="W435" s="7"/>
    </row>
    <row r="436" spans="17:23">
      <c r="Q436" s="7"/>
      <c r="R436" s="7"/>
      <c r="S436" s="7"/>
      <c r="T436" s="7"/>
      <c r="U436" s="7"/>
      <c r="V436" s="7"/>
      <c r="W436" s="7"/>
    </row>
    <row r="437" spans="17:23">
      <c r="Q437" s="7"/>
      <c r="R437" s="7"/>
      <c r="S437" s="7"/>
      <c r="T437" s="7"/>
      <c r="U437" s="7"/>
      <c r="V437" s="7"/>
      <c r="W437" s="7"/>
    </row>
    <row r="438" spans="17:23">
      <c r="Q438" s="7"/>
      <c r="R438" s="7"/>
      <c r="S438" s="7"/>
      <c r="T438" s="7"/>
      <c r="U438" s="7"/>
      <c r="V438" s="7"/>
      <c r="W438" s="7"/>
    </row>
    <row r="439" spans="17:23">
      <c r="Q439" s="7"/>
      <c r="R439" s="7"/>
      <c r="S439" s="7"/>
      <c r="T439" s="7"/>
      <c r="U439" s="7"/>
      <c r="V439" s="7"/>
      <c r="W439" s="7"/>
    </row>
    <row r="440" spans="17:23">
      <c r="Q440" s="7"/>
      <c r="R440" s="7"/>
      <c r="S440" s="7"/>
      <c r="T440" s="7"/>
      <c r="U440" s="7"/>
      <c r="V440" s="7"/>
      <c r="W440" s="7"/>
    </row>
    <row r="441" spans="17:23">
      <c r="Q441" s="7"/>
      <c r="R441" s="7"/>
      <c r="S441" s="7"/>
      <c r="T441" s="7"/>
      <c r="U441" s="7"/>
      <c r="V441" s="7"/>
      <c r="W441" s="7"/>
    </row>
    <row r="442" spans="17:23">
      <c r="Q442" s="7"/>
      <c r="R442" s="7"/>
      <c r="S442" s="7"/>
      <c r="T442" s="7"/>
      <c r="U442" s="7"/>
      <c r="V442" s="7"/>
      <c r="W442" s="7"/>
    </row>
    <row r="443" spans="17:23">
      <c r="Q443" s="7"/>
      <c r="R443" s="7"/>
      <c r="S443" s="7"/>
      <c r="T443" s="7"/>
      <c r="U443" s="7"/>
      <c r="V443" s="7"/>
      <c r="W443" s="7"/>
    </row>
    <row r="444" spans="17:23">
      <c r="Q444" s="7"/>
      <c r="R444" s="7"/>
      <c r="S444" s="7"/>
      <c r="T444" s="7"/>
      <c r="U444" s="7"/>
      <c r="V444" s="7"/>
      <c r="W444" s="7"/>
    </row>
    <row r="445" spans="17:23">
      <c r="Q445" s="7"/>
      <c r="R445" s="7"/>
      <c r="S445" s="7"/>
      <c r="T445" s="7"/>
      <c r="U445" s="7"/>
      <c r="V445" s="7"/>
      <c r="W445" s="7"/>
    </row>
    <row r="446" spans="17:23">
      <c r="Q446" s="7"/>
      <c r="R446" s="7"/>
      <c r="S446" s="7"/>
      <c r="T446" s="7"/>
      <c r="U446" s="7"/>
      <c r="V446" s="7"/>
      <c r="W446" s="7"/>
    </row>
    <row r="447" spans="17:23">
      <c r="Q447" s="7"/>
      <c r="R447" s="7"/>
      <c r="S447" s="7"/>
      <c r="T447" s="7"/>
      <c r="U447" s="7"/>
      <c r="V447" s="7"/>
      <c r="W447" s="7"/>
    </row>
    <row r="448" spans="17:23">
      <c r="Q448" s="7"/>
      <c r="R448" s="7"/>
      <c r="S448" s="7"/>
      <c r="T448" s="7"/>
      <c r="U448" s="7"/>
      <c r="V448" s="7"/>
      <c r="W448" s="7"/>
    </row>
    <row r="449" spans="17:23">
      <c r="Q449" s="7"/>
      <c r="R449" s="7"/>
      <c r="S449" s="7"/>
      <c r="T449" s="7"/>
      <c r="U449" s="7"/>
      <c r="V449" s="7"/>
      <c r="W449" s="7"/>
    </row>
    <row r="450" spans="17:23">
      <c r="Q450" s="7"/>
      <c r="R450" s="7"/>
      <c r="S450" s="7"/>
      <c r="T450" s="7"/>
      <c r="U450" s="7"/>
      <c r="V450" s="7"/>
      <c r="W450" s="7"/>
    </row>
    <row r="451" spans="17:23">
      <c r="Q451" s="7"/>
      <c r="R451" s="7"/>
      <c r="S451" s="7"/>
      <c r="T451" s="7"/>
      <c r="U451" s="7"/>
      <c r="V451" s="7"/>
      <c r="W451" s="7"/>
    </row>
    <row r="452" spans="17:23">
      <c r="Q452" s="7"/>
      <c r="R452" s="7"/>
      <c r="S452" s="7"/>
      <c r="T452" s="7"/>
      <c r="U452" s="7"/>
      <c r="V452" s="7"/>
      <c r="W452" s="7"/>
    </row>
    <row r="453" spans="17:23">
      <c r="Q453" s="7"/>
      <c r="R453" s="7"/>
      <c r="S453" s="7"/>
      <c r="T453" s="7"/>
      <c r="U453" s="7"/>
      <c r="V453" s="7"/>
      <c r="W453" s="7"/>
    </row>
    <row r="454" spans="17:23">
      <c r="Q454" s="7"/>
      <c r="R454" s="7"/>
      <c r="S454" s="7"/>
      <c r="T454" s="7"/>
      <c r="U454" s="7"/>
      <c r="V454" s="7"/>
      <c r="W454" s="7"/>
    </row>
    <row r="455" spans="17:23">
      <c r="Q455" s="7"/>
      <c r="R455" s="7"/>
      <c r="S455" s="7"/>
      <c r="T455" s="7"/>
      <c r="U455" s="7"/>
      <c r="V455" s="7"/>
      <c r="W455" s="7"/>
    </row>
    <row r="456" spans="17:23">
      <c r="Q456" s="7"/>
      <c r="R456" s="7"/>
      <c r="S456" s="7"/>
      <c r="T456" s="7"/>
      <c r="U456" s="7"/>
      <c r="V456" s="7"/>
      <c r="W456" s="7"/>
    </row>
    <row r="457" spans="17:23">
      <c r="Q457" s="7"/>
      <c r="R457" s="7"/>
      <c r="S457" s="7"/>
      <c r="T457" s="7"/>
      <c r="U457" s="7"/>
      <c r="V457" s="7"/>
      <c r="W457" s="7"/>
    </row>
    <row r="458" spans="17:23">
      <c r="Q458" s="7"/>
      <c r="R458" s="7"/>
      <c r="S458" s="7"/>
      <c r="T458" s="7"/>
      <c r="U458" s="7"/>
      <c r="V458" s="7"/>
      <c r="W458" s="7"/>
    </row>
    <row r="459" spans="17:23">
      <c r="Q459" s="7"/>
      <c r="R459" s="7"/>
      <c r="S459" s="7"/>
      <c r="T459" s="7"/>
      <c r="U459" s="7"/>
      <c r="V459" s="7"/>
      <c r="W459" s="7"/>
    </row>
    <row r="460" spans="17:23">
      <c r="Q460" s="7"/>
      <c r="R460" s="7"/>
      <c r="S460" s="7"/>
      <c r="T460" s="7"/>
      <c r="U460" s="7"/>
      <c r="V460" s="7"/>
      <c r="W460" s="7"/>
    </row>
    <row r="461" spans="17:23">
      <c r="Q461" s="7"/>
      <c r="R461" s="7"/>
      <c r="S461" s="7"/>
      <c r="T461" s="7"/>
      <c r="U461" s="7"/>
      <c r="V461" s="7"/>
      <c r="W461" s="7"/>
    </row>
    <row r="462" spans="17:23">
      <c r="Q462" s="7"/>
      <c r="R462" s="7"/>
      <c r="S462" s="7"/>
      <c r="T462" s="7"/>
      <c r="U462" s="7"/>
      <c r="V462" s="7"/>
      <c r="W462" s="7"/>
    </row>
    <row r="463" spans="17:23">
      <c r="Q463" s="7"/>
      <c r="R463" s="7"/>
      <c r="S463" s="7"/>
      <c r="T463" s="7"/>
      <c r="U463" s="7"/>
      <c r="V463" s="7"/>
      <c r="W463" s="7"/>
    </row>
    <row r="464" spans="17:23">
      <c r="Q464" s="7"/>
      <c r="R464" s="7"/>
      <c r="S464" s="7"/>
      <c r="T464" s="7"/>
      <c r="U464" s="7"/>
      <c r="V464" s="7"/>
      <c r="W464" s="7"/>
    </row>
    <row r="465" spans="17:23">
      <c r="Q465" s="7"/>
      <c r="R465" s="7"/>
      <c r="S465" s="7"/>
      <c r="T465" s="7"/>
      <c r="U465" s="7"/>
      <c r="V465" s="7"/>
      <c r="W465" s="7"/>
    </row>
    <row r="466" spans="17:23">
      <c r="Q466" s="7"/>
      <c r="R466" s="7"/>
      <c r="S466" s="7"/>
      <c r="T466" s="7"/>
      <c r="U466" s="7"/>
      <c r="V466" s="7"/>
      <c r="W466" s="7"/>
    </row>
    <row r="467" spans="17:23">
      <c r="Q467" s="7"/>
      <c r="R467" s="7"/>
      <c r="S467" s="7"/>
      <c r="T467" s="7"/>
      <c r="U467" s="7"/>
      <c r="V467" s="7"/>
      <c r="W467" s="7"/>
    </row>
    <row r="468" spans="17:23">
      <c r="Q468" s="7"/>
      <c r="R468" s="7"/>
      <c r="S468" s="7"/>
      <c r="T468" s="7"/>
      <c r="U468" s="7"/>
      <c r="V468" s="7"/>
      <c r="W468" s="7"/>
    </row>
    <row r="469" spans="17:23">
      <c r="Q469" s="7"/>
      <c r="R469" s="7"/>
      <c r="S469" s="7"/>
      <c r="T469" s="7"/>
      <c r="U469" s="7"/>
      <c r="V469" s="7"/>
      <c r="W469" s="7"/>
    </row>
    <row r="470" spans="17:23">
      <c r="Q470" s="7"/>
      <c r="R470" s="7"/>
      <c r="S470" s="7"/>
      <c r="T470" s="7"/>
      <c r="U470" s="7"/>
      <c r="V470" s="7"/>
      <c r="W470" s="7"/>
    </row>
    <row r="471" spans="17:23">
      <c r="Q471" s="7"/>
      <c r="R471" s="7"/>
      <c r="S471" s="7"/>
      <c r="T471" s="7"/>
      <c r="U471" s="7"/>
      <c r="V471" s="7"/>
      <c r="W471" s="7"/>
    </row>
    <row r="472" spans="17:23">
      <c r="Q472" s="7"/>
      <c r="R472" s="7"/>
      <c r="S472" s="7"/>
      <c r="T472" s="7"/>
      <c r="U472" s="7"/>
      <c r="V472" s="7"/>
      <c r="W472" s="7"/>
    </row>
    <row r="473" spans="17:23">
      <c r="Q473" s="7"/>
      <c r="R473" s="7"/>
      <c r="S473" s="7"/>
      <c r="T473" s="7"/>
      <c r="U473" s="7"/>
      <c r="V473" s="7"/>
      <c r="W473" s="7"/>
    </row>
    <row r="474" spans="17:23">
      <c r="Q474" s="7"/>
      <c r="R474" s="7"/>
      <c r="S474" s="7"/>
      <c r="T474" s="7"/>
      <c r="U474" s="7"/>
      <c r="V474" s="7"/>
      <c r="W474" s="7"/>
    </row>
    <row r="475" spans="17:23">
      <c r="Q475" s="7"/>
      <c r="R475" s="7"/>
      <c r="S475" s="7"/>
      <c r="T475" s="7"/>
      <c r="U475" s="7"/>
      <c r="V475" s="7"/>
      <c r="W475" s="7"/>
    </row>
    <row r="476" spans="17:23">
      <c r="Q476" s="7"/>
      <c r="R476" s="7"/>
      <c r="S476" s="7"/>
      <c r="T476" s="7"/>
      <c r="U476" s="7"/>
      <c r="V476" s="7"/>
      <c r="W476" s="7"/>
    </row>
    <row r="477" spans="17:23">
      <c r="Q477" s="7"/>
      <c r="R477" s="7"/>
      <c r="S477" s="7"/>
      <c r="T477" s="7"/>
      <c r="U477" s="7"/>
      <c r="V477" s="7"/>
      <c r="W477" s="7"/>
    </row>
    <row r="478" spans="17:23">
      <c r="Q478" s="7"/>
      <c r="R478" s="7"/>
      <c r="S478" s="7"/>
      <c r="T478" s="7"/>
      <c r="U478" s="7"/>
      <c r="V478" s="7"/>
      <c r="W478" s="7"/>
    </row>
    <row r="479" spans="17:23">
      <c r="Q479" s="7"/>
      <c r="R479" s="7"/>
      <c r="S479" s="7"/>
      <c r="T479" s="7"/>
      <c r="U479" s="7"/>
      <c r="V479" s="7"/>
      <c r="W479" s="7"/>
    </row>
    <row r="480" spans="17:23">
      <c r="Q480" s="7"/>
      <c r="R480" s="7"/>
      <c r="S480" s="7"/>
      <c r="T480" s="7"/>
      <c r="U480" s="7"/>
      <c r="V480" s="7"/>
      <c r="W480" s="7"/>
    </row>
    <row r="481" spans="17:23">
      <c r="Q481" s="7"/>
      <c r="R481" s="7"/>
      <c r="S481" s="7"/>
      <c r="T481" s="7"/>
      <c r="U481" s="7"/>
      <c r="V481" s="7"/>
      <c r="W481" s="7"/>
    </row>
    <row r="482" spans="17:23">
      <c r="Q482" s="7"/>
      <c r="R482" s="7"/>
      <c r="S482" s="7"/>
      <c r="T482" s="7"/>
      <c r="U482" s="7"/>
      <c r="V482" s="7"/>
      <c r="W482" s="7"/>
    </row>
    <row r="483" spans="17:23">
      <c r="Q483" s="7"/>
      <c r="R483" s="7"/>
      <c r="S483" s="7"/>
      <c r="T483" s="7"/>
      <c r="U483" s="7"/>
      <c r="V483" s="7"/>
      <c r="W483" s="7"/>
    </row>
    <row r="484" spans="17:23">
      <c r="Q484" s="7"/>
      <c r="R484" s="7"/>
      <c r="S484" s="7"/>
      <c r="T484" s="7"/>
      <c r="U484" s="7"/>
      <c r="V484" s="7"/>
      <c r="W484" s="7"/>
    </row>
    <row r="485" spans="17:23">
      <c r="Q485" s="7"/>
      <c r="R485" s="7"/>
      <c r="S485" s="7"/>
      <c r="T485" s="7"/>
      <c r="U485" s="7"/>
      <c r="V485" s="7"/>
      <c r="W485" s="7"/>
    </row>
    <row r="486" spans="17:23">
      <c r="Q486" s="7"/>
      <c r="R486" s="7"/>
      <c r="S486" s="7"/>
      <c r="T486" s="7"/>
      <c r="U486" s="7"/>
      <c r="V486" s="7"/>
      <c r="W486" s="7"/>
    </row>
    <row r="487" spans="17:23">
      <c r="Q487" s="7"/>
      <c r="R487" s="7"/>
      <c r="S487" s="7"/>
      <c r="T487" s="7"/>
      <c r="U487" s="7"/>
      <c r="V487" s="7"/>
      <c r="W487" s="7"/>
    </row>
    <row r="488" spans="17:23">
      <c r="Q488" s="7"/>
      <c r="R488" s="7"/>
      <c r="S488" s="7"/>
      <c r="T488" s="7"/>
      <c r="U488" s="7"/>
      <c r="V488" s="7"/>
      <c r="W488" s="7"/>
    </row>
    <row r="489" spans="17:23">
      <c r="Q489" s="7"/>
      <c r="R489" s="7"/>
      <c r="S489" s="7"/>
      <c r="T489" s="7"/>
      <c r="U489" s="7"/>
      <c r="V489" s="7"/>
      <c r="W489" s="7"/>
    </row>
    <row r="490" spans="17:23">
      <c r="Q490" s="7"/>
      <c r="R490" s="7"/>
      <c r="S490" s="7"/>
      <c r="T490" s="7"/>
      <c r="U490" s="7"/>
      <c r="V490" s="7"/>
      <c r="W490" s="7"/>
    </row>
    <row r="491" spans="17:23">
      <c r="Q491" s="7"/>
      <c r="R491" s="7"/>
      <c r="S491" s="7"/>
      <c r="T491" s="7"/>
      <c r="U491" s="7"/>
      <c r="V491" s="7"/>
      <c r="W491" s="7"/>
    </row>
    <row r="492" spans="17:23">
      <c r="Q492" s="7"/>
      <c r="R492" s="7"/>
      <c r="S492" s="7"/>
      <c r="T492" s="7"/>
      <c r="U492" s="7"/>
      <c r="V492" s="7"/>
      <c r="W492" s="7"/>
    </row>
    <row r="493" spans="17:23">
      <c r="Q493" s="7"/>
      <c r="R493" s="7"/>
      <c r="S493" s="7"/>
      <c r="T493" s="7"/>
      <c r="U493" s="7"/>
      <c r="V493" s="7"/>
      <c r="W493" s="7"/>
    </row>
    <row r="494" spans="17:23">
      <c r="Q494" s="7"/>
      <c r="R494" s="7"/>
      <c r="S494" s="7"/>
      <c r="T494" s="7"/>
      <c r="U494" s="7"/>
      <c r="V494" s="7"/>
      <c r="W494" s="7"/>
    </row>
    <row r="495" spans="17:23">
      <c r="Q495" s="7"/>
      <c r="R495" s="7"/>
      <c r="S495" s="7"/>
      <c r="T495" s="7"/>
      <c r="U495" s="7"/>
      <c r="V495" s="7"/>
      <c r="W495" s="7"/>
    </row>
    <row r="496" spans="17:23">
      <c r="Q496" s="7"/>
      <c r="R496" s="7"/>
      <c r="S496" s="7"/>
      <c r="T496" s="7"/>
      <c r="U496" s="7"/>
      <c r="V496" s="7"/>
      <c r="W496" s="7"/>
    </row>
    <row r="497" spans="17:23">
      <c r="Q497" s="7"/>
      <c r="R497" s="7"/>
      <c r="S497" s="7"/>
      <c r="T497" s="7"/>
      <c r="U497" s="7"/>
      <c r="V497" s="7"/>
      <c r="W497" s="7"/>
    </row>
    <row r="498" spans="17:23">
      <c r="Q498" s="7"/>
      <c r="R498" s="7"/>
      <c r="S498" s="7"/>
      <c r="T498" s="7"/>
      <c r="U498" s="7"/>
      <c r="V498" s="7"/>
      <c r="W498" s="7"/>
    </row>
    <row r="499" spans="17:23">
      <c r="Q499" s="7"/>
      <c r="R499" s="7"/>
      <c r="S499" s="7"/>
      <c r="T499" s="7"/>
      <c r="U499" s="7"/>
      <c r="V499" s="7"/>
      <c r="W499" s="7"/>
    </row>
    <row r="500" spans="17:23">
      <c r="Q500" s="7"/>
      <c r="R500" s="7"/>
      <c r="S500" s="7"/>
      <c r="T500" s="7"/>
      <c r="U500" s="7"/>
      <c r="V500" s="7"/>
      <c r="W500" s="7"/>
    </row>
    <row r="501" spans="17:23">
      <c r="Q501" s="7"/>
      <c r="R501" s="7"/>
      <c r="S501" s="7"/>
      <c r="T501" s="7"/>
      <c r="U501" s="7"/>
      <c r="V501" s="7"/>
      <c r="W501" s="7"/>
    </row>
    <row r="502" spans="17:23">
      <c r="Q502" s="7"/>
      <c r="R502" s="7"/>
      <c r="S502" s="7"/>
      <c r="T502" s="7"/>
      <c r="U502" s="7"/>
      <c r="V502" s="7"/>
      <c r="W502" s="7"/>
    </row>
    <row r="503" spans="17:23">
      <c r="Q503" s="7"/>
      <c r="R503" s="7"/>
      <c r="S503" s="7"/>
      <c r="T503" s="7"/>
      <c r="U503" s="7"/>
      <c r="V503" s="7"/>
      <c r="W503" s="7"/>
    </row>
    <row r="504" spans="17:23">
      <c r="Q504" s="7"/>
      <c r="R504" s="7"/>
      <c r="S504" s="7"/>
      <c r="T504" s="7"/>
      <c r="U504" s="7"/>
      <c r="V504" s="7"/>
      <c r="W504" s="7"/>
    </row>
    <row r="505" spans="17:23">
      <c r="Q505" s="7"/>
      <c r="R505" s="7"/>
      <c r="S505" s="7"/>
      <c r="T505" s="7"/>
      <c r="U505" s="7"/>
      <c r="V505" s="7"/>
      <c r="W505" s="7"/>
    </row>
    <row r="506" spans="17:23">
      <c r="Q506" s="7"/>
      <c r="R506" s="7"/>
      <c r="S506" s="7"/>
      <c r="T506" s="7"/>
      <c r="U506" s="7"/>
      <c r="V506" s="7"/>
      <c r="W506" s="7"/>
    </row>
    <row r="507" spans="17:23">
      <c r="Q507" s="7"/>
      <c r="R507" s="7"/>
      <c r="S507" s="7"/>
      <c r="T507" s="7"/>
      <c r="U507" s="7"/>
      <c r="V507" s="7"/>
      <c r="W507" s="7"/>
    </row>
    <row r="508" spans="17:23">
      <c r="Q508" s="7"/>
      <c r="R508" s="7"/>
      <c r="S508" s="7"/>
      <c r="T508" s="7"/>
      <c r="U508" s="7"/>
      <c r="V508" s="7"/>
      <c r="W508" s="7"/>
    </row>
    <row r="509" spans="17:23">
      <c r="Q509" s="7"/>
      <c r="R509" s="7"/>
      <c r="S509" s="7"/>
      <c r="T509" s="7"/>
      <c r="U509" s="7"/>
      <c r="V509" s="7"/>
      <c r="W509" s="7"/>
    </row>
    <row r="510" spans="17:23">
      <c r="Q510" s="7"/>
      <c r="R510" s="7"/>
      <c r="S510" s="7"/>
      <c r="T510" s="7"/>
      <c r="U510" s="7"/>
      <c r="V510" s="7"/>
      <c r="W510" s="7"/>
    </row>
    <row r="511" spans="17:23">
      <c r="Q511" s="7"/>
      <c r="R511" s="7"/>
      <c r="S511" s="7"/>
      <c r="T511" s="7"/>
      <c r="U511" s="7"/>
      <c r="V511" s="7"/>
      <c r="W511" s="7"/>
    </row>
    <row r="512" spans="17:23">
      <c r="Q512" s="7"/>
      <c r="R512" s="7"/>
      <c r="S512" s="7"/>
      <c r="T512" s="7"/>
      <c r="U512" s="7"/>
      <c r="V512" s="7"/>
      <c r="W512" s="7"/>
    </row>
    <row r="513" spans="17:23">
      <c r="Q513" s="7"/>
      <c r="R513" s="7"/>
      <c r="S513" s="7"/>
      <c r="T513" s="7"/>
      <c r="U513" s="7"/>
      <c r="V513" s="7"/>
      <c r="W513" s="7"/>
    </row>
    <row r="514" spans="17:23">
      <c r="Q514" s="7"/>
      <c r="R514" s="7"/>
      <c r="S514" s="7"/>
      <c r="T514" s="7"/>
      <c r="U514" s="7"/>
      <c r="V514" s="7"/>
      <c r="W514" s="7"/>
    </row>
    <row r="515" spans="17:23">
      <c r="Q515" s="7"/>
      <c r="R515" s="7"/>
      <c r="S515" s="7"/>
      <c r="T515" s="7"/>
      <c r="U515" s="7"/>
      <c r="V515" s="7"/>
      <c r="W515" s="7"/>
    </row>
    <row r="516" spans="17:23">
      <c r="Q516" s="7"/>
      <c r="R516" s="7"/>
      <c r="S516" s="7"/>
      <c r="T516" s="7"/>
      <c r="U516" s="7"/>
      <c r="V516" s="7"/>
      <c r="W516" s="7"/>
    </row>
    <row r="517" spans="17:23">
      <c r="Q517" s="7"/>
      <c r="R517" s="7"/>
      <c r="S517" s="7"/>
      <c r="T517" s="7"/>
      <c r="U517" s="7"/>
      <c r="V517" s="7"/>
      <c r="W517" s="7"/>
    </row>
    <row r="518" spans="17:23">
      <c r="Q518" s="7"/>
      <c r="R518" s="7"/>
      <c r="S518" s="7"/>
      <c r="T518" s="7"/>
      <c r="U518" s="7"/>
      <c r="V518" s="7"/>
      <c r="W518" s="7"/>
    </row>
    <row r="519" spans="17:23">
      <c r="Q519" s="7"/>
      <c r="R519" s="7"/>
      <c r="S519" s="7"/>
      <c r="T519" s="7"/>
      <c r="U519" s="7"/>
      <c r="V519" s="7"/>
      <c r="W519" s="7"/>
    </row>
    <row r="520" spans="17:23">
      <c r="Q520" s="7"/>
      <c r="R520" s="7"/>
      <c r="S520" s="7"/>
      <c r="T520" s="7"/>
      <c r="U520" s="7"/>
      <c r="V520" s="7"/>
      <c r="W520" s="7"/>
    </row>
    <row r="521" spans="17:23">
      <c r="Q521" s="7"/>
      <c r="R521" s="7"/>
      <c r="S521" s="7"/>
      <c r="T521" s="7"/>
      <c r="U521" s="7"/>
      <c r="V521" s="7"/>
      <c r="W521" s="7"/>
    </row>
    <row r="522" spans="17:23">
      <c r="Q522" s="7"/>
      <c r="R522" s="7"/>
      <c r="S522" s="7"/>
      <c r="T522" s="7"/>
      <c r="U522" s="7"/>
      <c r="V522" s="7"/>
      <c r="W522" s="7"/>
    </row>
    <row r="523" spans="17:23">
      <c r="Q523" s="7"/>
      <c r="R523" s="7"/>
      <c r="S523" s="7"/>
      <c r="T523" s="7"/>
      <c r="U523" s="7"/>
      <c r="V523" s="7"/>
      <c r="W523" s="7"/>
    </row>
    <row r="524" spans="17:23">
      <c r="Q524" s="7"/>
      <c r="R524" s="7"/>
      <c r="S524" s="7"/>
      <c r="T524" s="7"/>
      <c r="U524" s="7"/>
      <c r="V524" s="7"/>
      <c r="W524" s="7"/>
    </row>
    <row r="525" spans="17:23">
      <c r="Q525" s="7"/>
      <c r="R525" s="7"/>
      <c r="S525" s="7"/>
      <c r="T525" s="7"/>
      <c r="U525" s="7"/>
      <c r="V525" s="7"/>
      <c r="W525" s="7"/>
    </row>
    <row r="526" spans="17:23">
      <c r="Q526" s="7"/>
      <c r="R526" s="7"/>
      <c r="S526" s="7"/>
      <c r="T526" s="7"/>
      <c r="U526" s="7"/>
      <c r="V526" s="7"/>
      <c r="W526" s="7"/>
    </row>
    <row r="527" spans="17:23">
      <c r="Q527" s="7"/>
      <c r="R527" s="7"/>
      <c r="S527" s="7"/>
      <c r="T527" s="7"/>
      <c r="U527" s="7"/>
      <c r="V527" s="7"/>
      <c r="W527" s="7"/>
    </row>
    <row r="528" spans="17:23">
      <c r="Q528" s="7"/>
      <c r="R528" s="7"/>
      <c r="S528" s="7"/>
      <c r="T528" s="7"/>
      <c r="U528" s="7"/>
      <c r="V528" s="7"/>
      <c r="W528" s="7"/>
    </row>
    <row r="529" spans="17:23">
      <c r="Q529" s="7"/>
      <c r="R529" s="7"/>
      <c r="S529" s="7"/>
      <c r="T529" s="7"/>
      <c r="U529" s="7"/>
      <c r="V529" s="7"/>
      <c r="W529" s="7"/>
    </row>
    <row r="530" spans="17:23">
      <c r="Q530" s="7"/>
      <c r="R530" s="7"/>
      <c r="S530" s="7"/>
      <c r="T530" s="7"/>
      <c r="U530" s="7"/>
      <c r="V530" s="7"/>
      <c r="W530" s="7"/>
    </row>
    <row r="531" spans="17:23">
      <c r="Q531" s="7"/>
      <c r="R531" s="7"/>
      <c r="S531" s="7"/>
      <c r="T531" s="7"/>
      <c r="U531" s="7"/>
      <c r="V531" s="7"/>
      <c r="W531" s="7"/>
    </row>
    <row r="532" spans="17:23">
      <c r="Q532" s="7"/>
      <c r="R532" s="7"/>
      <c r="S532" s="7"/>
      <c r="T532" s="7"/>
      <c r="U532" s="7"/>
      <c r="V532" s="7"/>
      <c r="W532" s="7"/>
    </row>
    <row r="533" spans="17:23">
      <c r="Q533" s="7"/>
      <c r="R533" s="7"/>
      <c r="S533" s="7"/>
      <c r="T533" s="7"/>
      <c r="U533" s="7"/>
      <c r="V533" s="7"/>
      <c r="W533" s="7"/>
    </row>
    <row r="534" spans="17:23">
      <c r="Q534" s="7"/>
      <c r="R534" s="7"/>
      <c r="S534" s="7"/>
      <c r="T534" s="7"/>
      <c r="U534" s="7"/>
      <c r="V534" s="7"/>
      <c r="W534" s="7"/>
    </row>
    <row r="535" spans="17:23">
      <c r="Q535" s="7"/>
      <c r="R535" s="7"/>
      <c r="S535" s="7"/>
      <c r="T535" s="7"/>
      <c r="U535" s="7"/>
      <c r="V535" s="7"/>
      <c r="W535" s="7"/>
    </row>
    <row r="536" spans="17:23">
      <c r="Q536" s="7"/>
      <c r="R536" s="7"/>
      <c r="S536" s="7"/>
      <c r="T536" s="7"/>
      <c r="U536" s="7"/>
      <c r="V536" s="7"/>
      <c r="W536" s="7"/>
    </row>
    <row r="537" spans="17:23">
      <c r="Q537" s="7"/>
      <c r="R537" s="7"/>
      <c r="S537" s="7"/>
      <c r="T537" s="7"/>
      <c r="U537" s="7"/>
      <c r="V537" s="7"/>
      <c r="W537" s="7"/>
    </row>
    <row r="538" spans="17:23">
      <c r="Q538" s="7"/>
      <c r="R538" s="7"/>
      <c r="S538" s="7"/>
      <c r="T538" s="7"/>
      <c r="U538" s="7"/>
      <c r="V538" s="7"/>
      <c r="W538" s="7"/>
    </row>
    <row r="539" spans="17:23">
      <c r="Q539" s="7"/>
      <c r="R539" s="7"/>
      <c r="S539" s="7"/>
      <c r="T539" s="7"/>
      <c r="U539" s="7"/>
      <c r="V539" s="7"/>
      <c r="W539" s="7"/>
    </row>
    <row r="540" spans="17:23">
      <c r="Q540" s="7"/>
      <c r="R540" s="7"/>
      <c r="S540" s="7"/>
      <c r="T540" s="7"/>
      <c r="U540" s="7"/>
      <c r="V540" s="7"/>
      <c r="W540" s="7"/>
    </row>
    <row r="541" spans="17:23">
      <c r="Q541" s="7"/>
      <c r="R541" s="7"/>
      <c r="S541" s="7"/>
      <c r="T541" s="7"/>
      <c r="U541" s="7"/>
      <c r="V541" s="7"/>
      <c r="W541" s="7"/>
    </row>
    <row r="542" spans="17:23">
      <c r="Q542" s="7"/>
      <c r="R542" s="7"/>
      <c r="S542" s="7"/>
      <c r="T542" s="7"/>
      <c r="U542" s="7"/>
      <c r="V542" s="7"/>
      <c r="W542" s="7"/>
    </row>
    <row r="543" spans="17:23">
      <c r="Q543" s="7"/>
      <c r="R543" s="7"/>
      <c r="S543" s="7"/>
      <c r="T543" s="7"/>
      <c r="U543" s="7"/>
      <c r="V543" s="7"/>
      <c r="W543" s="7"/>
    </row>
    <row r="544" spans="17:23">
      <c r="Q544" s="7"/>
      <c r="R544" s="7"/>
      <c r="S544" s="7"/>
      <c r="T544" s="7"/>
      <c r="U544" s="7"/>
      <c r="V544" s="7"/>
      <c r="W544" s="7"/>
    </row>
    <row r="545" spans="17:23">
      <c r="Q545" s="7"/>
      <c r="R545" s="7"/>
      <c r="S545" s="7"/>
      <c r="T545" s="7"/>
      <c r="U545" s="7"/>
      <c r="V545" s="7"/>
      <c r="W545" s="7"/>
    </row>
    <row r="546" spans="17:23">
      <c r="Q546" s="7"/>
      <c r="R546" s="7"/>
      <c r="S546" s="7"/>
      <c r="T546" s="7"/>
      <c r="U546" s="7"/>
      <c r="V546" s="7"/>
      <c r="W546" s="7"/>
    </row>
    <row r="547" spans="17:23">
      <c r="Q547" s="7"/>
      <c r="R547" s="7"/>
      <c r="S547" s="7"/>
      <c r="T547" s="7"/>
      <c r="U547" s="7"/>
      <c r="V547" s="7"/>
      <c r="W547" s="7"/>
    </row>
    <row r="548" spans="17:23">
      <c r="Q548" s="7"/>
      <c r="R548" s="7"/>
      <c r="S548" s="7"/>
      <c r="T548" s="7"/>
      <c r="U548" s="7"/>
      <c r="V548" s="7"/>
      <c r="W548" s="7"/>
    </row>
    <row r="549" spans="17:23">
      <c r="Q549" s="7"/>
      <c r="R549" s="7"/>
      <c r="S549" s="7"/>
      <c r="T549" s="7"/>
      <c r="U549" s="7"/>
      <c r="V549" s="7"/>
      <c r="W549" s="7"/>
    </row>
    <row r="550" spans="17:23">
      <c r="Q550" s="7"/>
      <c r="R550" s="7"/>
      <c r="S550" s="7"/>
      <c r="T550" s="7"/>
      <c r="U550" s="7"/>
      <c r="V550" s="7"/>
      <c r="W550" s="7"/>
    </row>
    <row r="551" spans="17:23">
      <c r="Q551" s="7"/>
      <c r="R551" s="7"/>
      <c r="S551" s="7"/>
      <c r="T551" s="7"/>
      <c r="U551" s="7"/>
      <c r="V551" s="7"/>
      <c r="W551" s="7"/>
    </row>
    <row r="552" spans="17:23">
      <c r="Q552" s="7"/>
      <c r="R552" s="7"/>
      <c r="S552" s="7"/>
      <c r="T552" s="7"/>
      <c r="U552" s="7"/>
      <c r="V552" s="7"/>
      <c r="W552" s="7"/>
    </row>
    <row r="553" spans="17:23">
      <c r="Q553" s="7"/>
      <c r="R553" s="7"/>
      <c r="S553" s="7"/>
      <c r="T553" s="7"/>
      <c r="U553" s="7"/>
      <c r="V553" s="7"/>
      <c r="W553" s="7"/>
    </row>
    <row r="554" spans="17:23">
      <c r="Q554" s="7"/>
      <c r="R554" s="7"/>
      <c r="S554" s="7"/>
      <c r="T554" s="7"/>
      <c r="U554" s="7"/>
      <c r="V554" s="7"/>
      <c r="W554" s="7"/>
    </row>
    <row r="555" spans="17:23">
      <c r="Q555" s="7"/>
      <c r="R555" s="7"/>
      <c r="S555" s="7"/>
      <c r="T555" s="7"/>
      <c r="U555" s="7"/>
      <c r="V555" s="7"/>
      <c r="W555" s="7"/>
    </row>
    <row r="556" spans="17:23">
      <c r="Q556" s="7"/>
      <c r="R556" s="7"/>
      <c r="S556" s="7"/>
      <c r="T556" s="7"/>
      <c r="U556" s="7"/>
      <c r="V556" s="7"/>
      <c r="W556" s="7"/>
    </row>
    <row r="557" spans="17:23">
      <c r="Q557" s="7"/>
      <c r="R557" s="7"/>
      <c r="S557" s="7"/>
      <c r="T557" s="7"/>
      <c r="U557" s="7"/>
      <c r="V557" s="7"/>
      <c r="W557" s="7"/>
    </row>
    <row r="558" spans="17:23">
      <c r="Q558" s="7"/>
      <c r="R558" s="7"/>
      <c r="S558" s="7"/>
      <c r="T558" s="7"/>
      <c r="U558" s="7"/>
      <c r="V558" s="7"/>
      <c r="W558" s="7"/>
    </row>
    <row r="559" spans="17:23">
      <c r="Q559" s="7"/>
      <c r="R559" s="7"/>
      <c r="S559" s="7"/>
      <c r="T559" s="7"/>
      <c r="U559" s="7"/>
      <c r="V559" s="7"/>
      <c r="W559" s="7"/>
    </row>
    <row r="560" spans="17:23">
      <c r="Q560" s="7"/>
      <c r="R560" s="7"/>
      <c r="S560" s="7"/>
      <c r="T560" s="7"/>
      <c r="U560" s="7"/>
      <c r="V560" s="7"/>
      <c r="W560" s="7"/>
    </row>
    <row r="561" spans="17:23">
      <c r="Q561" s="7"/>
      <c r="R561" s="7"/>
      <c r="S561" s="7"/>
      <c r="T561" s="7"/>
      <c r="U561" s="7"/>
      <c r="V561" s="7"/>
      <c r="W561" s="7"/>
    </row>
    <row r="562" spans="17:23">
      <c r="Q562" s="7"/>
      <c r="R562" s="7"/>
      <c r="S562" s="7"/>
      <c r="T562" s="7"/>
      <c r="U562" s="7"/>
      <c r="V562" s="7"/>
      <c r="W562" s="7"/>
    </row>
    <row r="563" spans="17:23">
      <c r="Q563" s="7"/>
      <c r="R563" s="7"/>
      <c r="S563" s="7"/>
      <c r="T563" s="7"/>
      <c r="U563" s="7"/>
      <c r="V563" s="7"/>
      <c r="W563" s="7"/>
    </row>
    <row r="564" spans="17:23">
      <c r="Q564" s="7"/>
      <c r="R564" s="7"/>
      <c r="S564" s="7"/>
      <c r="T564" s="7"/>
      <c r="U564" s="7"/>
      <c r="V564" s="7"/>
      <c r="W564" s="7"/>
    </row>
    <row r="565" spans="17:23">
      <c r="Q565" s="7"/>
      <c r="R565" s="7"/>
      <c r="S565" s="7"/>
      <c r="T565" s="7"/>
      <c r="U565" s="7"/>
      <c r="V565" s="7"/>
      <c r="W565" s="7"/>
    </row>
    <row r="566" spans="17:23">
      <c r="Q566" s="7"/>
      <c r="R566" s="7"/>
      <c r="S566" s="7"/>
      <c r="T566" s="7"/>
      <c r="U566" s="7"/>
      <c r="V566" s="7"/>
      <c r="W566" s="7"/>
    </row>
    <row r="567" spans="17:23">
      <c r="Q567" s="7"/>
      <c r="R567" s="7"/>
      <c r="S567" s="7"/>
      <c r="T567" s="7"/>
      <c r="U567" s="7"/>
      <c r="V567" s="7"/>
      <c r="W567" s="7"/>
    </row>
    <row r="568" spans="17:23">
      <c r="Q568" s="7"/>
      <c r="R568" s="7"/>
      <c r="S568" s="7"/>
      <c r="T568" s="7"/>
      <c r="U568" s="7"/>
      <c r="V568" s="7"/>
      <c r="W568" s="7"/>
    </row>
    <row r="569" spans="17:23">
      <c r="Q569" s="7"/>
      <c r="R569" s="7"/>
      <c r="S569" s="7"/>
      <c r="T569" s="7"/>
      <c r="U569" s="7"/>
      <c r="V569" s="7"/>
      <c r="W569" s="7"/>
    </row>
    <row r="570" spans="17:23">
      <c r="Q570" s="7"/>
      <c r="R570" s="7"/>
      <c r="S570" s="7"/>
      <c r="T570" s="7"/>
      <c r="U570" s="7"/>
      <c r="V570" s="7"/>
      <c r="W570" s="7"/>
    </row>
    <row r="571" spans="17:23">
      <c r="Q571" s="7"/>
      <c r="R571" s="7"/>
      <c r="S571" s="7"/>
      <c r="T571" s="7"/>
      <c r="U571" s="7"/>
      <c r="V571" s="7"/>
      <c r="W571" s="7"/>
    </row>
    <row r="572" spans="17:23">
      <c r="Q572" s="7"/>
      <c r="R572" s="7"/>
      <c r="S572" s="7"/>
      <c r="T572" s="7"/>
      <c r="U572" s="7"/>
      <c r="V572" s="7"/>
      <c r="W572" s="7"/>
    </row>
    <row r="573" spans="17:23">
      <c r="Q573" s="7"/>
      <c r="R573" s="7"/>
      <c r="S573" s="7"/>
      <c r="T573" s="7"/>
      <c r="U573" s="7"/>
      <c r="V573" s="7"/>
      <c r="W573" s="7"/>
    </row>
    <row r="574" spans="17:23">
      <c r="Q574" s="7"/>
      <c r="R574" s="7"/>
      <c r="S574" s="7"/>
      <c r="T574" s="7"/>
      <c r="U574" s="7"/>
      <c r="V574" s="7"/>
      <c r="W574" s="7"/>
    </row>
    <row r="575" spans="17:23">
      <c r="Q575" s="7"/>
      <c r="R575" s="7"/>
      <c r="S575" s="7"/>
      <c r="T575" s="7"/>
      <c r="U575" s="7"/>
      <c r="V575" s="7"/>
      <c r="W575" s="7"/>
    </row>
    <row r="576" spans="17:23">
      <c r="Q576" s="7"/>
      <c r="R576" s="7"/>
      <c r="S576" s="7"/>
      <c r="T576" s="7"/>
      <c r="U576" s="7"/>
      <c r="V576" s="7"/>
      <c r="W576" s="7"/>
    </row>
    <row r="577" spans="17:23">
      <c r="Q577" s="7"/>
      <c r="R577" s="7"/>
      <c r="S577" s="7"/>
      <c r="T577" s="7"/>
      <c r="U577" s="7"/>
      <c r="V577" s="7"/>
      <c r="W577" s="7"/>
    </row>
    <row r="578" spans="17:23">
      <c r="Q578" s="7"/>
      <c r="R578" s="7"/>
      <c r="S578" s="7"/>
      <c r="T578" s="7"/>
      <c r="U578" s="7"/>
      <c r="V578" s="7"/>
      <c r="W578" s="7"/>
    </row>
    <row r="579" spans="17:23">
      <c r="Q579" s="7"/>
      <c r="R579" s="7"/>
      <c r="S579" s="7"/>
      <c r="T579" s="7"/>
      <c r="U579" s="7"/>
      <c r="V579" s="7"/>
      <c r="W579" s="7"/>
    </row>
    <row r="580" spans="17:23">
      <c r="Q580" s="7"/>
      <c r="R580" s="7"/>
      <c r="S580" s="7"/>
      <c r="T580" s="7"/>
      <c r="U580" s="7"/>
      <c r="V580" s="7"/>
      <c r="W580" s="7"/>
    </row>
    <row r="581" spans="17:23">
      <c r="Q581" s="7"/>
      <c r="R581" s="7"/>
      <c r="S581" s="7"/>
      <c r="T581" s="7"/>
      <c r="U581" s="7"/>
      <c r="V581" s="7"/>
      <c r="W581" s="7"/>
    </row>
    <row r="582" spans="17:23">
      <c r="Q582" s="7"/>
      <c r="R582" s="7"/>
      <c r="S582" s="7"/>
      <c r="T582" s="7"/>
      <c r="U582" s="7"/>
      <c r="V582" s="7"/>
      <c r="W582" s="7"/>
    </row>
    <row r="583" spans="17:23">
      <c r="Q583" s="7"/>
      <c r="R583" s="7"/>
      <c r="S583" s="7"/>
      <c r="T583" s="7"/>
      <c r="U583" s="7"/>
      <c r="V583" s="7"/>
      <c r="W583" s="7"/>
    </row>
    <row r="584" spans="17:23">
      <c r="Q584" s="7"/>
      <c r="R584" s="7"/>
      <c r="S584" s="7"/>
      <c r="T584" s="7"/>
      <c r="U584" s="7"/>
      <c r="V584" s="7"/>
      <c r="W584" s="7"/>
    </row>
    <row r="585" spans="17:23">
      <c r="Q585" s="7"/>
      <c r="R585" s="7"/>
      <c r="S585" s="7"/>
      <c r="T585" s="7"/>
      <c r="U585" s="7"/>
      <c r="V585" s="7"/>
      <c r="W585" s="7"/>
    </row>
    <row r="586" spans="17:23">
      <c r="Q586" s="7"/>
      <c r="R586" s="7"/>
      <c r="S586" s="7"/>
      <c r="T586" s="7"/>
      <c r="U586" s="7"/>
      <c r="V586" s="7"/>
      <c r="W586" s="7"/>
    </row>
    <row r="587" spans="17:23">
      <c r="Q587" s="7"/>
      <c r="R587" s="7"/>
      <c r="S587" s="7"/>
      <c r="T587" s="7"/>
      <c r="U587" s="7"/>
      <c r="V587" s="7"/>
      <c r="W587" s="7"/>
    </row>
    <row r="588" spans="17:23">
      <c r="Q588" s="7"/>
      <c r="R588" s="7"/>
      <c r="S588" s="7"/>
      <c r="T588" s="7"/>
      <c r="U588" s="7"/>
      <c r="V588" s="7"/>
      <c r="W588" s="7"/>
    </row>
    <row r="589" spans="17:23">
      <c r="Q589" s="7"/>
      <c r="R589" s="7"/>
      <c r="S589" s="7"/>
      <c r="T589" s="7"/>
      <c r="U589" s="7"/>
      <c r="V589" s="7"/>
      <c r="W589" s="7"/>
    </row>
    <row r="590" spans="17:23">
      <c r="Q590" s="7"/>
      <c r="R590" s="7"/>
      <c r="S590" s="7"/>
      <c r="T590" s="7"/>
      <c r="U590" s="7"/>
      <c r="V590" s="7"/>
      <c r="W590" s="7"/>
    </row>
    <row r="591" spans="17:23">
      <c r="Q591" s="7"/>
      <c r="R591" s="7"/>
      <c r="S591" s="7"/>
      <c r="T591" s="7"/>
      <c r="U591" s="7"/>
      <c r="V591" s="7"/>
      <c r="W591" s="7"/>
    </row>
    <row r="592" spans="17:23">
      <c r="Q592" s="7"/>
      <c r="R592" s="7"/>
      <c r="S592" s="7"/>
      <c r="T592" s="7"/>
      <c r="U592" s="7"/>
      <c r="V592" s="7"/>
      <c r="W592" s="7"/>
    </row>
    <row r="593" spans="17:23">
      <c r="Q593" s="7"/>
      <c r="R593" s="7"/>
      <c r="S593" s="7"/>
      <c r="T593" s="7"/>
      <c r="U593" s="7"/>
      <c r="V593" s="7"/>
      <c r="W593" s="7"/>
    </row>
    <row r="594" spans="17:23">
      <c r="Q594" s="7"/>
      <c r="R594" s="7"/>
      <c r="S594" s="7"/>
      <c r="T594" s="7"/>
      <c r="U594" s="7"/>
      <c r="V594" s="7"/>
      <c r="W594" s="7"/>
    </row>
    <row r="595" spans="17:23">
      <c r="Q595" s="7"/>
      <c r="R595" s="7"/>
      <c r="S595" s="7"/>
      <c r="T595" s="7"/>
      <c r="U595" s="7"/>
      <c r="V595" s="7"/>
      <c r="W595" s="7"/>
    </row>
    <row r="596" spans="17:23">
      <c r="Q596" s="7"/>
      <c r="R596" s="7"/>
      <c r="S596" s="7"/>
      <c r="T596" s="7"/>
      <c r="U596" s="7"/>
      <c r="V596" s="7"/>
      <c r="W596" s="7"/>
    </row>
    <row r="597" spans="17:23">
      <c r="Q597" s="7"/>
      <c r="R597" s="7"/>
      <c r="S597" s="7"/>
      <c r="T597" s="7"/>
      <c r="U597" s="7"/>
      <c r="V597" s="7"/>
      <c r="W597" s="7"/>
    </row>
    <row r="598" spans="17:23">
      <c r="Q598" s="7"/>
      <c r="R598" s="7"/>
      <c r="S598" s="7"/>
      <c r="T598" s="7"/>
      <c r="U598" s="7"/>
      <c r="V598" s="7"/>
      <c r="W598" s="7"/>
    </row>
    <row r="599" spans="17:23">
      <c r="Q599" s="7"/>
      <c r="R599" s="7"/>
      <c r="S599" s="7"/>
      <c r="T599" s="7"/>
      <c r="U599" s="7"/>
      <c r="V599" s="7"/>
      <c r="W599" s="7"/>
    </row>
    <row r="600" spans="17:23">
      <c r="Q600" s="7"/>
      <c r="R600" s="7"/>
      <c r="S600" s="7"/>
      <c r="T600" s="7"/>
      <c r="U600" s="7"/>
      <c r="V600" s="7"/>
      <c r="W600" s="7"/>
    </row>
    <row r="601" spans="17:23">
      <c r="Q601" s="7"/>
      <c r="R601" s="7"/>
      <c r="S601" s="7"/>
      <c r="T601" s="7"/>
      <c r="U601" s="7"/>
      <c r="V601" s="7"/>
      <c r="W601" s="7"/>
    </row>
    <row r="602" spans="17:23">
      <c r="Q602" s="7"/>
      <c r="R602" s="7"/>
      <c r="S602" s="7"/>
      <c r="T602" s="7"/>
      <c r="U602" s="7"/>
      <c r="V602" s="7"/>
      <c r="W602" s="7"/>
    </row>
    <row r="603" spans="17:23">
      <c r="Q603" s="7"/>
      <c r="R603" s="7"/>
      <c r="S603" s="7"/>
      <c r="T603" s="7"/>
      <c r="U603" s="7"/>
      <c r="V603" s="7"/>
      <c r="W603" s="7"/>
    </row>
    <row r="604" spans="17:23">
      <c r="Q604" s="7"/>
      <c r="R604" s="7"/>
      <c r="S604" s="7"/>
      <c r="T604" s="7"/>
      <c r="U604" s="7"/>
      <c r="V604" s="7"/>
      <c r="W604" s="7"/>
    </row>
    <row r="605" spans="17:23">
      <c r="Q605" s="7"/>
      <c r="R605" s="7"/>
      <c r="S605" s="7"/>
      <c r="T605" s="7"/>
      <c r="U605" s="7"/>
      <c r="V605" s="7"/>
      <c r="W605" s="7"/>
    </row>
    <row r="606" spans="17:23">
      <c r="Q606" s="7"/>
      <c r="R606" s="7"/>
      <c r="S606" s="7"/>
      <c r="T606" s="7"/>
      <c r="U606" s="7"/>
      <c r="V606" s="7"/>
      <c r="W606" s="7"/>
    </row>
    <row r="607" spans="17:23">
      <c r="Q607" s="7"/>
      <c r="R607" s="7"/>
      <c r="S607" s="7"/>
      <c r="T607" s="7"/>
      <c r="U607" s="7"/>
      <c r="V607" s="7"/>
      <c r="W607" s="7"/>
    </row>
    <row r="608" spans="17:23">
      <c r="Q608" s="7"/>
      <c r="R608" s="7"/>
      <c r="S608" s="7"/>
      <c r="T608" s="7"/>
      <c r="U608" s="7"/>
      <c r="V608" s="7"/>
      <c r="W608" s="7"/>
    </row>
    <row r="609" spans="17:23">
      <c r="Q609" s="7"/>
      <c r="R609" s="7"/>
      <c r="S609" s="7"/>
      <c r="T609" s="7"/>
      <c r="U609" s="7"/>
      <c r="V609" s="7"/>
      <c r="W609" s="7"/>
    </row>
    <row r="610" spans="17:23">
      <c r="Q610" s="7"/>
      <c r="R610" s="7"/>
      <c r="S610" s="7"/>
      <c r="T610" s="7"/>
      <c r="U610" s="7"/>
      <c r="V610" s="7"/>
      <c r="W610" s="7"/>
    </row>
    <row r="611" spans="17:23">
      <c r="Q611" s="7"/>
      <c r="R611" s="7"/>
      <c r="S611" s="7"/>
      <c r="T611" s="7"/>
      <c r="U611" s="7"/>
      <c r="V611" s="7"/>
      <c r="W611" s="7"/>
    </row>
    <row r="612" spans="17:23">
      <c r="Q612" s="7"/>
      <c r="R612" s="7"/>
      <c r="S612" s="7"/>
      <c r="T612" s="7"/>
      <c r="U612" s="7"/>
      <c r="V612" s="7"/>
      <c r="W612" s="7"/>
    </row>
    <row r="613" spans="17:23">
      <c r="Q613" s="7"/>
      <c r="R613" s="7"/>
      <c r="S613" s="7"/>
      <c r="T613" s="7"/>
      <c r="U613" s="7"/>
      <c r="V613" s="7"/>
      <c r="W613" s="7"/>
    </row>
    <row r="614" spans="17:23">
      <c r="Q614" s="7"/>
      <c r="R614" s="7"/>
      <c r="S614" s="7"/>
      <c r="T614" s="7"/>
      <c r="U614" s="7"/>
      <c r="V614" s="7"/>
      <c r="W614" s="7"/>
    </row>
    <row r="615" spans="17:23">
      <c r="Q615" s="7"/>
      <c r="R615" s="7"/>
      <c r="S615" s="7"/>
      <c r="T615" s="7"/>
      <c r="U615" s="7"/>
      <c r="V615" s="7"/>
      <c r="W615" s="7"/>
    </row>
    <row r="616" spans="17:23">
      <c r="Q616" s="7"/>
      <c r="R616" s="7"/>
      <c r="S616" s="7"/>
      <c r="T616" s="7"/>
      <c r="U616" s="7"/>
      <c r="V616" s="7"/>
      <c r="W616" s="7"/>
    </row>
    <row r="617" spans="17:23">
      <c r="Q617" s="7"/>
      <c r="R617" s="7"/>
      <c r="S617" s="7"/>
      <c r="T617" s="7"/>
      <c r="U617" s="7"/>
      <c r="V617" s="7"/>
      <c r="W617" s="7"/>
    </row>
    <row r="618" spans="17:23">
      <c r="Q618" s="7"/>
      <c r="R618" s="7"/>
      <c r="S618" s="7"/>
      <c r="T618" s="7"/>
      <c r="U618" s="7"/>
      <c r="V618" s="7"/>
      <c r="W618" s="7"/>
    </row>
    <row r="619" spans="17:23">
      <c r="Q619" s="7"/>
      <c r="R619" s="7"/>
      <c r="S619" s="7"/>
      <c r="T619" s="7"/>
      <c r="U619" s="7"/>
      <c r="V619" s="7"/>
      <c r="W619" s="7"/>
    </row>
    <row r="620" spans="17:23">
      <c r="Q620" s="7"/>
      <c r="R620" s="7"/>
      <c r="S620" s="7"/>
      <c r="T620" s="7"/>
      <c r="U620" s="7"/>
      <c r="V620" s="7"/>
      <c r="W620" s="7"/>
    </row>
    <row r="621" spans="17:23">
      <c r="Q621" s="7"/>
      <c r="R621" s="7"/>
      <c r="S621" s="7"/>
      <c r="T621" s="7"/>
      <c r="U621" s="7"/>
      <c r="V621" s="7"/>
      <c r="W621" s="7"/>
    </row>
    <row r="622" spans="17:23">
      <c r="Q622" s="7"/>
      <c r="R622" s="7"/>
      <c r="S622" s="7"/>
      <c r="T622" s="7"/>
      <c r="U622" s="7"/>
      <c r="V622" s="7"/>
      <c r="W622" s="7"/>
    </row>
    <row r="623" spans="17:23">
      <c r="Q623" s="7"/>
      <c r="R623" s="7"/>
      <c r="S623" s="7"/>
      <c r="T623" s="7"/>
      <c r="U623" s="7"/>
      <c r="V623" s="7"/>
      <c r="W623" s="7"/>
    </row>
    <row r="624" spans="17:23">
      <c r="Q624" s="7"/>
      <c r="R624" s="7"/>
      <c r="S624" s="7"/>
      <c r="T624" s="7"/>
      <c r="U624" s="7"/>
      <c r="V624" s="7"/>
      <c r="W624" s="7"/>
    </row>
    <row r="625" spans="17:23">
      <c r="Q625" s="7"/>
      <c r="R625" s="7"/>
      <c r="S625" s="7"/>
      <c r="T625" s="7"/>
      <c r="U625" s="7"/>
      <c r="V625" s="7"/>
      <c r="W625" s="7"/>
    </row>
    <row r="626" spans="17:23">
      <c r="Q626" s="7"/>
      <c r="R626" s="7"/>
      <c r="S626" s="7"/>
      <c r="T626" s="7"/>
      <c r="U626" s="7"/>
      <c r="V626" s="7"/>
      <c r="W626" s="7"/>
    </row>
    <row r="627" spans="17:23">
      <c r="Q627" s="7"/>
      <c r="R627" s="7"/>
      <c r="S627" s="7"/>
      <c r="T627" s="7"/>
      <c r="U627" s="7"/>
      <c r="V627" s="7"/>
      <c r="W627" s="7"/>
    </row>
    <row r="628" spans="17:23">
      <c r="Q628" s="7"/>
      <c r="R628" s="7"/>
      <c r="S628" s="7"/>
      <c r="T628" s="7"/>
      <c r="U628" s="7"/>
      <c r="V628" s="7"/>
      <c r="W628" s="7"/>
    </row>
    <row r="629" spans="17:23">
      <c r="Q629" s="7"/>
      <c r="R629" s="7"/>
      <c r="S629" s="7"/>
      <c r="T629" s="7"/>
      <c r="U629" s="7"/>
      <c r="V629" s="7"/>
      <c r="W629" s="7"/>
    </row>
    <row r="630" spans="17:23">
      <c r="Q630" s="7"/>
      <c r="R630" s="7"/>
      <c r="S630" s="7"/>
      <c r="T630" s="7"/>
      <c r="U630" s="7"/>
      <c r="V630" s="7"/>
      <c r="W630" s="7"/>
    </row>
    <row r="631" spans="17:23">
      <c r="Q631" s="7"/>
      <c r="R631" s="7"/>
      <c r="S631" s="7"/>
      <c r="T631" s="7"/>
      <c r="U631" s="7"/>
      <c r="V631" s="7"/>
      <c r="W631" s="7"/>
    </row>
    <row r="632" spans="17:23">
      <c r="Q632" s="7"/>
      <c r="R632" s="7"/>
      <c r="S632" s="7"/>
      <c r="T632" s="7"/>
      <c r="U632" s="7"/>
      <c r="V632" s="7"/>
      <c r="W632" s="7"/>
    </row>
    <row r="633" spans="17:23">
      <c r="Q633" s="7"/>
      <c r="R633" s="7"/>
      <c r="S633" s="7"/>
      <c r="T633" s="7"/>
      <c r="U633" s="7"/>
      <c r="V633" s="7"/>
      <c r="W633" s="7"/>
    </row>
    <row r="634" spans="17:23">
      <c r="Q634" s="7"/>
      <c r="R634" s="7"/>
      <c r="S634" s="7"/>
      <c r="T634" s="7"/>
      <c r="U634" s="7"/>
      <c r="V634" s="7"/>
      <c r="W634" s="7"/>
    </row>
    <row r="635" spans="17:23">
      <c r="Q635" s="7"/>
      <c r="R635" s="7"/>
      <c r="S635" s="7"/>
      <c r="T635" s="7"/>
      <c r="U635" s="7"/>
      <c r="V635" s="7"/>
      <c r="W635" s="7"/>
    </row>
    <row r="636" spans="17:23">
      <c r="Q636" s="7"/>
      <c r="R636" s="7"/>
      <c r="S636" s="7"/>
      <c r="T636" s="7"/>
      <c r="U636" s="7"/>
      <c r="V636" s="7"/>
      <c r="W636" s="7"/>
    </row>
    <row r="637" spans="17:23">
      <c r="Q637" s="7"/>
      <c r="R637" s="7"/>
      <c r="S637" s="7"/>
      <c r="T637" s="7"/>
      <c r="U637" s="7"/>
      <c r="V637" s="7"/>
      <c r="W637" s="7"/>
    </row>
    <row r="638" spans="17:23">
      <c r="Q638" s="7"/>
      <c r="R638" s="7"/>
      <c r="S638" s="7"/>
      <c r="T638" s="7"/>
      <c r="U638" s="7"/>
      <c r="V638" s="7"/>
      <c r="W638" s="7"/>
    </row>
    <row r="639" spans="17:23">
      <c r="Q639" s="7"/>
      <c r="R639" s="7"/>
      <c r="S639" s="7"/>
      <c r="T639" s="7"/>
      <c r="U639" s="7"/>
      <c r="V639" s="7"/>
      <c r="W639" s="7"/>
    </row>
    <row r="640" spans="17:23">
      <c r="Q640" s="7"/>
      <c r="R640" s="7"/>
      <c r="S640" s="7"/>
      <c r="T640" s="7"/>
      <c r="U640" s="7"/>
      <c r="V640" s="7"/>
      <c r="W640" s="7"/>
    </row>
    <row r="641" spans="17:23">
      <c r="Q641" s="7"/>
      <c r="R641" s="7"/>
      <c r="S641" s="7"/>
      <c r="T641" s="7"/>
      <c r="U641" s="7"/>
      <c r="V641" s="7"/>
      <c r="W641" s="7"/>
    </row>
    <row r="642" spans="17:23">
      <c r="Q642" s="7"/>
      <c r="R642" s="7"/>
      <c r="S642" s="7"/>
      <c r="T642" s="7"/>
      <c r="U642" s="7"/>
      <c r="V642" s="7"/>
      <c r="W642" s="7"/>
    </row>
    <row r="643" spans="17:23">
      <c r="Q643" s="7"/>
      <c r="R643" s="7"/>
      <c r="S643" s="7"/>
      <c r="T643" s="7"/>
      <c r="U643" s="7"/>
      <c r="V643" s="7"/>
      <c r="W643" s="7"/>
    </row>
    <row r="644" spans="17:23">
      <c r="Q644" s="7"/>
      <c r="R644" s="7"/>
      <c r="S644" s="7"/>
      <c r="T644" s="7"/>
      <c r="U644" s="7"/>
      <c r="V644" s="7"/>
      <c r="W644" s="7"/>
    </row>
    <row r="645" spans="17:23">
      <c r="Q645" s="7"/>
      <c r="R645" s="7"/>
      <c r="S645" s="7"/>
      <c r="T645" s="7"/>
      <c r="U645" s="7"/>
      <c r="V645" s="7"/>
      <c r="W645" s="7"/>
    </row>
    <row r="646" spans="17:23">
      <c r="Q646" s="7"/>
      <c r="R646" s="7"/>
      <c r="S646" s="7"/>
      <c r="T646" s="7"/>
      <c r="U646" s="7"/>
      <c r="V646" s="7"/>
      <c r="W646" s="7"/>
    </row>
    <row r="647" spans="17:23">
      <c r="Q647" s="7"/>
      <c r="R647" s="7"/>
      <c r="S647" s="7"/>
      <c r="T647" s="7"/>
      <c r="U647" s="7"/>
      <c r="V647" s="7"/>
      <c r="W647" s="7"/>
    </row>
    <row r="648" spans="17:23">
      <c r="Q648" s="7"/>
      <c r="R648" s="7"/>
      <c r="S648" s="7"/>
      <c r="T648" s="7"/>
      <c r="U648" s="7"/>
      <c r="V648" s="7"/>
      <c r="W648" s="7"/>
    </row>
    <row r="649" spans="17:23">
      <c r="Q649" s="7"/>
      <c r="R649" s="7"/>
      <c r="S649" s="7"/>
      <c r="T649" s="7"/>
      <c r="U649" s="7"/>
      <c r="V649" s="7"/>
      <c r="W649" s="7"/>
    </row>
    <row r="650" spans="17:23">
      <c r="Q650" s="7"/>
      <c r="R650" s="7"/>
      <c r="S650" s="7"/>
      <c r="T650" s="7"/>
      <c r="U650" s="7"/>
      <c r="V650" s="7"/>
      <c r="W650" s="7"/>
    </row>
    <row r="651" spans="17:23">
      <c r="Q651" s="7"/>
      <c r="R651" s="7"/>
      <c r="S651" s="7"/>
      <c r="T651" s="7"/>
      <c r="U651" s="7"/>
      <c r="V651" s="7"/>
      <c r="W651" s="7"/>
    </row>
    <row r="652" spans="17:23">
      <c r="Q652" s="7"/>
      <c r="R652" s="7"/>
      <c r="S652" s="7"/>
      <c r="T652" s="7"/>
      <c r="U652" s="7"/>
      <c r="V652" s="7"/>
      <c r="W652" s="7"/>
    </row>
    <row r="653" spans="17:23">
      <c r="Q653" s="7"/>
      <c r="R653" s="7"/>
      <c r="S653" s="7"/>
      <c r="T653" s="7"/>
      <c r="U653" s="7"/>
      <c r="V653" s="7"/>
      <c r="W653" s="7"/>
    </row>
    <row r="654" spans="17:23">
      <c r="Q654" s="7"/>
      <c r="R654" s="7"/>
      <c r="S654" s="7"/>
      <c r="T654" s="7"/>
      <c r="U654" s="7"/>
      <c r="V654" s="7"/>
      <c r="W654" s="7"/>
    </row>
    <row r="655" spans="17:23">
      <c r="Q655" s="7"/>
      <c r="R655" s="7"/>
      <c r="S655" s="7"/>
      <c r="T655" s="7"/>
      <c r="U655" s="7"/>
      <c r="V655" s="7"/>
      <c r="W655" s="7"/>
    </row>
    <row r="656" spans="17:23">
      <c r="Q656" s="7"/>
      <c r="R656" s="7"/>
      <c r="S656" s="7"/>
      <c r="T656" s="7"/>
      <c r="U656" s="7"/>
      <c r="V656" s="7"/>
      <c r="W656" s="7"/>
    </row>
    <row r="657" spans="17:23">
      <c r="Q657" s="7"/>
      <c r="R657" s="7"/>
      <c r="S657" s="7"/>
      <c r="T657" s="7"/>
      <c r="U657" s="7"/>
      <c r="V657" s="7"/>
      <c r="W657" s="7"/>
    </row>
    <row r="658" spans="17:23">
      <c r="Q658" s="7"/>
      <c r="R658" s="7"/>
      <c r="S658" s="7"/>
      <c r="T658" s="7"/>
      <c r="U658" s="7"/>
      <c r="V658" s="7"/>
      <c r="W658" s="7"/>
    </row>
    <row r="659" spans="17:23">
      <c r="Q659" s="7"/>
      <c r="R659" s="7"/>
      <c r="S659" s="7"/>
      <c r="T659" s="7"/>
      <c r="U659" s="7"/>
      <c r="V659" s="7"/>
      <c r="W659" s="7"/>
    </row>
    <row r="660" spans="17:23">
      <c r="Q660" s="7"/>
      <c r="R660" s="7"/>
      <c r="S660" s="7"/>
      <c r="T660" s="7"/>
      <c r="U660" s="7"/>
      <c r="V660" s="7"/>
      <c r="W660" s="7"/>
    </row>
    <row r="661" spans="17:23">
      <c r="Q661" s="7"/>
      <c r="R661" s="7"/>
      <c r="S661" s="7"/>
      <c r="T661" s="7"/>
      <c r="U661" s="7"/>
      <c r="V661" s="7"/>
      <c r="W661" s="7"/>
    </row>
    <row r="662" spans="17:23">
      <c r="Q662" s="7"/>
      <c r="R662" s="7"/>
      <c r="S662" s="7"/>
      <c r="T662" s="7"/>
      <c r="U662" s="7"/>
      <c r="V662" s="7"/>
      <c r="W662" s="7"/>
    </row>
    <row r="663" spans="17:23">
      <c r="Q663" s="7"/>
      <c r="R663" s="7"/>
      <c r="S663" s="7"/>
      <c r="T663" s="7"/>
      <c r="U663" s="7"/>
      <c r="V663" s="7"/>
      <c r="W663" s="7"/>
    </row>
    <row r="664" spans="17:23">
      <c r="Q664" s="7"/>
      <c r="R664" s="7"/>
      <c r="S664" s="7"/>
      <c r="T664" s="7"/>
      <c r="U664" s="7"/>
      <c r="V664" s="7"/>
      <c r="W664" s="7"/>
    </row>
    <row r="665" spans="17:23">
      <c r="Q665" s="7"/>
      <c r="R665" s="7"/>
      <c r="S665" s="7"/>
      <c r="T665" s="7"/>
      <c r="U665" s="7"/>
      <c r="V665" s="7"/>
      <c r="W665" s="7"/>
    </row>
    <row r="666" spans="17:23">
      <c r="Q666" s="7"/>
      <c r="R666" s="7"/>
      <c r="S666" s="7"/>
      <c r="T666" s="7"/>
      <c r="U666" s="7"/>
      <c r="V666" s="7"/>
      <c r="W666" s="7"/>
    </row>
    <row r="667" spans="17:23">
      <c r="Q667" s="7"/>
      <c r="R667" s="7"/>
      <c r="S667" s="7"/>
      <c r="T667" s="7"/>
      <c r="U667" s="7"/>
      <c r="V667" s="7"/>
      <c r="W667" s="7"/>
    </row>
    <row r="668" spans="17:23">
      <c r="Q668" s="7"/>
      <c r="R668" s="7"/>
      <c r="S668" s="7"/>
      <c r="T668" s="7"/>
      <c r="U668" s="7"/>
      <c r="V668" s="7"/>
      <c r="W668" s="7"/>
    </row>
    <row r="669" spans="17:23">
      <c r="Q669" s="7"/>
      <c r="R669" s="7"/>
      <c r="S669" s="7"/>
      <c r="T669" s="7"/>
      <c r="U669" s="7"/>
      <c r="V669" s="7"/>
      <c r="W669" s="7"/>
    </row>
    <row r="670" spans="17:23">
      <c r="Q670" s="7"/>
      <c r="R670" s="7"/>
      <c r="S670" s="7"/>
      <c r="T670" s="7"/>
      <c r="U670" s="7"/>
      <c r="V670" s="7"/>
      <c r="W670" s="7"/>
    </row>
    <row r="671" spans="17:23">
      <c r="Q671" s="7"/>
      <c r="R671" s="7"/>
      <c r="S671" s="7"/>
      <c r="T671" s="7"/>
      <c r="U671" s="7"/>
      <c r="V671" s="7"/>
      <c r="W671" s="7"/>
    </row>
    <row r="672" spans="17:23">
      <c r="Q672" s="7"/>
      <c r="R672" s="7"/>
      <c r="S672" s="7"/>
      <c r="T672" s="7"/>
      <c r="U672" s="7"/>
      <c r="V672" s="7"/>
      <c r="W672" s="7"/>
    </row>
    <row r="673" spans="17:23">
      <c r="Q673" s="7"/>
      <c r="R673" s="7"/>
      <c r="S673" s="7"/>
      <c r="T673" s="7"/>
      <c r="U673" s="7"/>
      <c r="V673" s="7"/>
      <c r="W673" s="7"/>
    </row>
    <row r="674" spans="17:23">
      <c r="Q674" s="7"/>
      <c r="R674" s="7"/>
      <c r="S674" s="7"/>
      <c r="T674" s="7"/>
      <c r="U674" s="7"/>
      <c r="V674" s="7"/>
      <c r="W674" s="7"/>
    </row>
    <row r="675" spans="17:23">
      <c r="Q675" s="7"/>
      <c r="R675" s="7"/>
      <c r="S675" s="7"/>
      <c r="T675" s="7"/>
      <c r="U675" s="7"/>
      <c r="V675" s="7"/>
      <c r="W675" s="7"/>
    </row>
    <row r="676" spans="17:23">
      <c r="Q676" s="7"/>
      <c r="R676" s="7"/>
      <c r="S676" s="7"/>
      <c r="T676" s="7"/>
      <c r="U676" s="7"/>
      <c r="V676" s="7"/>
      <c r="W676" s="7"/>
    </row>
    <row r="677" spans="17:23">
      <c r="Q677" s="7"/>
      <c r="R677" s="7"/>
      <c r="S677" s="7"/>
      <c r="T677" s="7"/>
      <c r="U677" s="7"/>
      <c r="V677" s="7"/>
      <c r="W677" s="7"/>
    </row>
    <row r="678" spans="17:23">
      <c r="Q678" s="7"/>
      <c r="R678" s="7"/>
      <c r="S678" s="7"/>
      <c r="T678" s="7"/>
      <c r="U678" s="7"/>
      <c r="V678" s="7"/>
      <c r="W678" s="7"/>
    </row>
    <row r="679" spans="17:23">
      <c r="Q679" s="7"/>
      <c r="R679" s="7"/>
      <c r="S679" s="7"/>
      <c r="T679" s="7"/>
      <c r="U679" s="7"/>
      <c r="V679" s="7"/>
      <c r="W679" s="7"/>
    </row>
    <row r="680" spans="17:23">
      <c r="Q680" s="7"/>
      <c r="R680" s="7"/>
      <c r="S680" s="7"/>
      <c r="T680" s="7"/>
      <c r="U680" s="7"/>
      <c r="V680" s="7"/>
      <c r="W680" s="7"/>
    </row>
    <row r="681" spans="17:23">
      <c r="Q681" s="7"/>
      <c r="R681" s="7"/>
      <c r="S681" s="7"/>
      <c r="T681" s="7"/>
      <c r="U681" s="7"/>
      <c r="V681" s="7"/>
      <c r="W681" s="7"/>
    </row>
    <row r="682" spans="17:23">
      <c r="Q682" s="7"/>
      <c r="R682" s="7"/>
      <c r="S682" s="7"/>
      <c r="T682" s="7"/>
      <c r="U682" s="7"/>
      <c r="V682" s="7"/>
      <c r="W682" s="7"/>
    </row>
    <row r="683" spans="17:23">
      <c r="Q683" s="7"/>
      <c r="R683" s="7"/>
      <c r="S683" s="7"/>
      <c r="T683" s="7"/>
      <c r="U683" s="7"/>
      <c r="V683" s="7"/>
      <c r="W683" s="7"/>
    </row>
    <row r="684" spans="17:23">
      <c r="Q684" s="7"/>
      <c r="R684" s="7"/>
      <c r="S684" s="7"/>
      <c r="T684" s="7"/>
      <c r="U684" s="7"/>
      <c r="V684" s="7"/>
      <c r="W684" s="7"/>
    </row>
    <row r="685" spans="17:23">
      <c r="Q685" s="7"/>
      <c r="R685" s="7"/>
      <c r="S685" s="7"/>
      <c r="T685" s="7"/>
      <c r="U685" s="7"/>
      <c r="V685" s="7"/>
      <c r="W685" s="7"/>
    </row>
    <row r="686" spans="17:23">
      <c r="Q686" s="7"/>
      <c r="R686" s="7"/>
      <c r="S686" s="7"/>
      <c r="T686" s="7"/>
      <c r="U686" s="7"/>
      <c r="V686" s="7"/>
      <c r="W686" s="7"/>
    </row>
    <row r="687" spans="17:23">
      <c r="Q687" s="7"/>
      <c r="R687" s="7"/>
      <c r="S687" s="7"/>
      <c r="T687" s="7"/>
      <c r="U687" s="7"/>
      <c r="V687" s="7"/>
      <c r="W687" s="7"/>
    </row>
    <row r="688" spans="17:23">
      <c r="Q688" s="7"/>
      <c r="R688" s="7"/>
      <c r="S688" s="7"/>
      <c r="T688" s="7"/>
      <c r="U688" s="7"/>
      <c r="V688" s="7"/>
      <c r="W688" s="7"/>
    </row>
    <row r="689" spans="17:23">
      <c r="Q689" s="7"/>
      <c r="R689" s="7"/>
      <c r="S689" s="7"/>
      <c r="T689" s="7"/>
      <c r="U689" s="7"/>
      <c r="V689" s="7"/>
      <c r="W689" s="7"/>
    </row>
    <row r="690" spans="17:23">
      <c r="Q690" s="7"/>
      <c r="R690" s="7"/>
      <c r="S690" s="7"/>
      <c r="T690" s="7"/>
      <c r="U690" s="7"/>
      <c r="V690" s="7"/>
      <c r="W690" s="7"/>
    </row>
    <row r="691" spans="17:23">
      <c r="Q691" s="7"/>
      <c r="R691" s="7"/>
      <c r="S691" s="7"/>
      <c r="T691" s="7"/>
      <c r="U691" s="7"/>
      <c r="V691" s="7"/>
      <c r="W691" s="7"/>
    </row>
    <row r="692" spans="17:23">
      <c r="Q692" s="7"/>
      <c r="R692" s="7"/>
      <c r="S692" s="7"/>
      <c r="T692" s="7"/>
      <c r="U692" s="7"/>
      <c r="V692" s="7"/>
      <c r="W692" s="7"/>
    </row>
    <row r="693" spans="17:23">
      <c r="Q693" s="7"/>
      <c r="R693" s="7"/>
      <c r="S693" s="7"/>
      <c r="T693" s="7"/>
      <c r="U693" s="7"/>
      <c r="V693" s="7"/>
      <c r="W693" s="7"/>
    </row>
    <row r="694" spans="17:23">
      <c r="Q694" s="7"/>
      <c r="R694" s="7"/>
      <c r="S694" s="7"/>
      <c r="T694" s="7"/>
      <c r="U694" s="7"/>
      <c r="V694" s="7"/>
      <c r="W694" s="7"/>
    </row>
    <row r="695" spans="17:23">
      <c r="Q695" s="7"/>
      <c r="R695" s="7"/>
      <c r="S695" s="7"/>
      <c r="T695" s="7"/>
      <c r="U695" s="7"/>
      <c r="V695" s="7"/>
      <c r="W695" s="7"/>
    </row>
    <row r="696" spans="17:23">
      <c r="Q696" s="7"/>
      <c r="R696" s="7"/>
      <c r="S696" s="7"/>
      <c r="T696" s="7"/>
      <c r="U696" s="7"/>
      <c r="V696" s="7"/>
      <c r="W696" s="7"/>
    </row>
    <row r="697" spans="17:23">
      <c r="Q697" s="7"/>
      <c r="R697" s="7"/>
      <c r="S697" s="7"/>
      <c r="T697" s="7"/>
      <c r="U697" s="7"/>
      <c r="V697" s="7"/>
      <c r="W697" s="7"/>
    </row>
    <row r="698" spans="17:23">
      <c r="Q698" s="7"/>
      <c r="R698" s="7"/>
      <c r="S698" s="7"/>
      <c r="T698" s="7"/>
      <c r="U698" s="7"/>
      <c r="V698" s="7"/>
      <c r="W698" s="7"/>
    </row>
    <row r="699" spans="17:23">
      <c r="Q699" s="7"/>
      <c r="R699" s="7"/>
      <c r="S699" s="7"/>
      <c r="T699" s="7"/>
      <c r="U699" s="7"/>
      <c r="V699" s="7"/>
      <c r="W699" s="7"/>
    </row>
    <row r="700" spans="17:23">
      <c r="Q700" s="7"/>
      <c r="R700" s="7"/>
      <c r="S700" s="7"/>
      <c r="T700" s="7"/>
      <c r="U700" s="7"/>
      <c r="V700" s="7"/>
      <c r="W700" s="7"/>
    </row>
    <row r="701" spans="17:23">
      <c r="Q701" s="7"/>
      <c r="R701" s="7"/>
      <c r="S701" s="7"/>
      <c r="T701" s="7"/>
      <c r="U701" s="7"/>
      <c r="V701" s="7"/>
      <c r="W701" s="7"/>
    </row>
    <row r="702" spans="17:23">
      <c r="Q702" s="7"/>
      <c r="R702" s="7"/>
      <c r="S702" s="7"/>
      <c r="T702" s="7"/>
      <c r="U702" s="7"/>
      <c r="V702" s="7"/>
      <c r="W702" s="7"/>
    </row>
    <row r="703" spans="17:23">
      <c r="Q703" s="7"/>
      <c r="R703" s="7"/>
      <c r="S703" s="7"/>
      <c r="T703" s="7"/>
      <c r="U703" s="7"/>
      <c r="V703" s="7"/>
      <c r="W703" s="7"/>
    </row>
    <row r="704" spans="17:23">
      <c r="Q704" s="7"/>
      <c r="R704" s="7"/>
      <c r="S704" s="7"/>
      <c r="T704" s="7"/>
      <c r="U704" s="7"/>
      <c r="V704" s="7"/>
      <c r="W704" s="7"/>
    </row>
    <row r="705" spans="17:23">
      <c r="Q705" s="7"/>
      <c r="R705" s="7"/>
      <c r="S705" s="7"/>
      <c r="T705" s="7"/>
      <c r="U705" s="7"/>
      <c r="V705" s="7"/>
      <c r="W705" s="7"/>
    </row>
    <row r="706" spans="17:23">
      <c r="Q706" s="7"/>
      <c r="R706" s="7"/>
      <c r="S706" s="7"/>
      <c r="T706" s="7"/>
      <c r="U706" s="7"/>
      <c r="V706" s="7"/>
      <c r="W706" s="7"/>
    </row>
    <row r="707" spans="17:23">
      <c r="Q707" s="7"/>
      <c r="R707" s="7"/>
      <c r="S707" s="7"/>
      <c r="T707" s="7"/>
      <c r="U707" s="7"/>
      <c r="V707" s="7"/>
      <c r="W707" s="7"/>
    </row>
    <row r="708" spans="17:23">
      <c r="Q708" s="7"/>
      <c r="R708" s="7"/>
      <c r="S708" s="7"/>
      <c r="T708" s="7"/>
      <c r="U708" s="7"/>
      <c r="V708" s="7"/>
      <c r="W708" s="7"/>
    </row>
    <row r="709" spans="17:23">
      <c r="Q709" s="7"/>
      <c r="R709" s="7"/>
      <c r="S709" s="7"/>
      <c r="T709" s="7"/>
      <c r="U709" s="7"/>
      <c r="V709" s="7"/>
      <c r="W709" s="7"/>
    </row>
    <row r="710" spans="17:23">
      <c r="Q710" s="7"/>
      <c r="R710" s="7"/>
      <c r="S710" s="7"/>
      <c r="T710" s="7"/>
      <c r="U710" s="7"/>
      <c r="V710" s="7"/>
      <c r="W710" s="7"/>
    </row>
    <row r="711" spans="17:23">
      <c r="Q711" s="7"/>
      <c r="R711" s="7"/>
      <c r="S711" s="7"/>
      <c r="T711" s="7"/>
      <c r="U711" s="7"/>
      <c r="V711" s="7"/>
      <c r="W711" s="7"/>
    </row>
    <row r="712" spans="17:23">
      <c r="Q712" s="7"/>
      <c r="R712" s="7"/>
      <c r="S712" s="7"/>
      <c r="T712" s="7"/>
      <c r="U712" s="7"/>
      <c r="V712" s="7"/>
      <c r="W712" s="7"/>
    </row>
    <row r="713" spans="17:23">
      <c r="Q713" s="7"/>
      <c r="R713" s="7"/>
      <c r="S713" s="7"/>
      <c r="T713" s="7"/>
      <c r="U713" s="7"/>
      <c r="V713" s="7"/>
      <c r="W713" s="7"/>
    </row>
    <row r="714" spans="17:23">
      <c r="Q714" s="7"/>
      <c r="R714" s="7"/>
      <c r="S714" s="7"/>
      <c r="T714" s="7"/>
      <c r="U714" s="7"/>
      <c r="V714" s="7"/>
      <c r="W714" s="7"/>
    </row>
    <row r="715" spans="17:23">
      <c r="Q715" s="7"/>
      <c r="R715" s="7"/>
      <c r="S715" s="7"/>
      <c r="T715" s="7"/>
      <c r="U715" s="7"/>
      <c r="V715" s="7"/>
      <c r="W715" s="7"/>
    </row>
    <row r="716" spans="17:23">
      <c r="Q716" s="7"/>
      <c r="R716" s="7"/>
      <c r="S716" s="7"/>
      <c r="T716" s="7"/>
      <c r="U716" s="7"/>
      <c r="V716" s="7"/>
      <c r="W716" s="7"/>
    </row>
    <row r="717" spans="17:23">
      <c r="Q717" s="7"/>
      <c r="R717" s="7"/>
      <c r="S717" s="7"/>
      <c r="T717" s="7"/>
      <c r="U717" s="7"/>
      <c r="V717" s="7"/>
      <c r="W717" s="7"/>
    </row>
    <row r="718" spans="17:23">
      <c r="Q718" s="7"/>
      <c r="R718" s="7"/>
      <c r="S718" s="7"/>
      <c r="T718" s="7"/>
      <c r="U718" s="7"/>
      <c r="V718" s="7"/>
      <c r="W718" s="7"/>
    </row>
    <row r="719" spans="17:23">
      <c r="Q719" s="7"/>
      <c r="R719" s="7"/>
      <c r="S719" s="7"/>
      <c r="T719" s="7"/>
      <c r="U719" s="7"/>
      <c r="V719" s="7"/>
      <c r="W719" s="7"/>
    </row>
    <row r="720" spans="17:23">
      <c r="Q720" s="7"/>
      <c r="R720" s="7"/>
      <c r="S720" s="7"/>
      <c r="T720" s="7"/>
      <c r="U720" s="7"/>
      <c r="V720" s="7"/>
      <c r="W720" s="7"/>
    </row>
    <row r="721" spans="17:23">
      <c r="Q721" s="7"/>
      <c r="R721" s="7"/>
      <c r="S721" s="7"/>
      <c r="T721" s="7"/>
      <c r="U721" s="7"/>
      <c r="V721" s="7"/>
      <c r="W721" s="7"/>
    </row>
    <row r="722" spans="17:23">
      <c r="Q722" s="7"/>
      <c r="R722" s="7"/>
      <c r="S722" s="7"/>
      <c r="T722" s="7"/>
      <c r="U722" s="7"/>
      <c r="V722" s="7"/>
      <c r="W722" s="7"/>
    </row>
    <row r="723" spans="17:23">
      <c r="Q723" s="7"/>
      <c r="R723" s="7"/>
      <c r="S723" s="7"/>
      <c r="T723" s="7"/>
      <c r="U723" s="7"/>
      <c r="V723" s="7"/>
      <c r="W723" s="7"/>
    </row>
    <row r="724" spans="17:23">
      <c r="Q724" s="7"/>
      <c r="R724" s="7"/>
      <c r="S724" s="7"/>
      <c r="T724" s="7"/>
      <c r="U724" s="7"/>
      <c r="V724" s="7"/>
      <c r="W724" s="7"/>
    </row>
    <row r="725" spans="17:23">
      <c r="Q725" s="7"/>
      <c r="R725" s="7"/>
      <c r="S725" s="7"/>
      <c r="T725" s="7"/>
      <c r="U725" s="7"/>
      <c r="V725" s="7"/>
      <c r="W725" s="7"/>
    </row>
    <row r="726" spans="17:23">
      <c r="Q726" s="7"/>
      <c r="R726" s="7"/>
      <c r="S726" s="7"/>
      <c r="T726" s="7"/>
      <c r="U726" s="7"/>
      <c r="V726" s="7"/>
      <c r="W726" s="7"/>
    </row>
    <row r="727" spans="17:23">
      <c r="Q727" s="7"/>
      <c r="R727" s="7"/>
      <c r="S727" s="7"/>
      <c r="T727" s="7"/>
      <c r="U727" s="7"/>
      <c r="V727" s="7"/>
      <c r="W727" s="7"/>
    </row>
    <row r="728" spans="17:23">
      <c r="Q728" s="7"/>
      <c r="R728" s="7"/>
      <c r="S728" s="7"/>
      <c r="T728" s="7"/>
      <c r="U728" s="7"/>
      <c r="V728" s="7"/>
      <c r="W728" s="7"/>
    </row>
    <row r="729" spans="17:23">
      <c r="Q729" s="7"/>
      <c r="R729" s="7"/>
      <c r="S729" s="7"/>
      <c r="T729" s="7"/>
      <c r="U729" s="7"/>
      <c r="V729" s="7"/>
      <c r="W729" s="7"/>
    </row>
    <row r="730" spans="17:23">
      <c r="Q730" s="7"/>
      <c r="R730" s="7"/>
      <c r="S730" s="7"/>
      <c r="T730" s="7"/>
      <c r="U730" s="7"/>
      <c r="V730" s="7"/>
      <c r="W730" s="7"/>
    </row>
    <row r="731" spans="17:23">
      <c r="Q731" s="7"/>
      <c r="R731" s="7"/>
      <c r="S731" s="7"/>
      <c r="T731" s="7"/>
      <c r="U731" s="7"/>
      <c r="V731" s="7"/>
      <c r="W731" s="7"/>
    </row>
    <row r="732" spans="17:23">
      <c r="Q732" s="7"/>
      <c r="R732" s="7"/>
      <c r="S732" s="7"/>
      <c r="T732" s="7"/>
      <c r="U732" s="7"/>
      <c r="V732" s="7"/>
      <c r="W732" s="7"/>
    </row>
    <row r="733" spans="17:23">
      <c r="Q733" s="7"/>
      <c r="R733" s="7"/>
      <c r="S733" s="7"/>
      <c r="T733" s="7"/>
      <c r="U733" s="7"/>
      <c r="V733" s="7"/>
      <c r="W733" s="7"/>
    </row>
    <row r="734" spans="17:23">
      <c r="Q734" s="7"/>
      <c r="R734" s="7"/>
      <c r="S734" s="7"/>
      <c r="T734" s="7"/>
      <c r="U734" s="7"/>
      <c r="V734" s="7"/>
      <c r="W734" s="7"/>
    </row>
    <row r="735" spans="17:23">
      <c r="Q735" s="7"/>
      <c r="R735" s="7"/>
      <c r="S735" s="7"/>
      <c r="T735" s="7"/>
      <c r="U735" s="7"/>
      <c r="V735" s="7"/>
      <c r="W735" s="7"/>
    </row>
    <row r="736" spans="17:23">
      <c r="Q736" s="7"/>
      <c r="R736" s="7"/>
      <c r="S736" s="7"/>
      <c r="T736" s="7"/>
      <c r="U736" s="7"/>
      <c r="V736" s="7"/>
      <c r="W736" s="7"/>
    </row>
    <row r="737" spans="17:23">
      <c r="Q737" s="7"/>
      <c r="R737" s="7"/>
      <c r="S737" s="7"/>
      <c r="T737" s="7"/>
      <c r="U737" s="7"/>
      <c r="V737" s="7"/>
      <c r="W737" s="7"/>
    </row>
    <row r="738" spans="17:23">
      <c r="Q738" s="7"/>
      <c r="R738" s="7"/>
      <c r="S738" s="7"/>
      <c r="T738" s="7"/>
      <c r="U738" s="7"/>
      <c r="V738" s="7"/>
      <c r="W738" s="7"/>
    </row>
    <row r="739" spans="17:23">
      <c r="Q739" s="7"/>
      <c r="R739" s="7"/>
      <c r="S739" s="7"/>
      <c r="T739" s="7"/>
      <c r="U739" s="7"/>
      <c r="V739" s="7"/>
      <c r="W739" s="7"/>
    </row>
    <row r="740" spans="17:23">
      <c r="Q740" s="7"/>
      <c r="R740" s="7"/>
      <c r="S740" s="7"/>
      <c r="T740" s="7"/>
      <c r="U740" s="7"/>
      <c r="V740" s="7"/>
      <c r="W740" s="7"/>
    </row>
    <row r="741" spans="17:23">
      <c r="Q741" s="7"/>
      <c r="R741" s="7"/>
      <c r="S741" s="7"/>
      <c r="T741" s="7"/>
      <c r="U741" s="7"/>
      <c r="V741" s="7"/>
      <c r="W741" s="7"/>
    </row>
    <row r="742" spans="17:23">
      <c r="Q742" s="7"/>
      <c r="R742" s="7"/>
      <c r="S742" s="7"/>
      <c r="T742" s="7"/>
      <c r="U742" s="7"/>
      <c r="V742" s="7"/>
      <c r="W742" s="7"/>
    </row>
    <row r="743" spans="17:23">
      <c r="Q743" s="7"/>
      <c r="R743" s="7"/>
      <c r="S743" s="7"/>
      <c r="T743" s="7"/>
      <c r="U743" s="7"/>
      <c r="V743" s="7"/>
      <c r="W743" s="7"/>
    </row>
    <row r="744" spans="17:23">
      <c r="Q744" s="7"/>
      <c r="R744" s="7"/>
      <c r="S744" s="7"/>
      <c r="T744" s="7"/>
      <c r="U744" s="7"/>
      <c r="V744" s="7"/>
      <c r="W744" s="7"/>
    </row>
    <row r="745" spans="17:23">
      <c r="Q745" s="7"/>
      <c r="R745" s="7"/>
      <c r="S745" s="7"/>
      <c r="T745" s="7"/>
      <c r="U745" s="7"/>
      <c r="V745" s="7"/>
      <c r="W745" s="7"/>
    </row>
    <row r="746" spans="17:23">
      <c r="Q746" s="7"/>
      <c r="R746" s="7"/>
      <c r="S746" s="7"/>
      <c r="T746" s="7"/>
      <c r="U746" s="7"/>
      <c r="V746" s="7"/>
      <c r="W746" s="7"/>
    </row>
    <row r="747" spans="17:23">
      <c r="Q747" s="7"/>
      <c r="R747" s="7"/>
      <c r="S747" s="7"/>
      <c r="T747" s="7"/>
      <c r="U747" s="7"/>
      <c r="V747" s="7"/>
      <c r="W747" s="7"/>
    </row>
    <row r="748" spans="17:23">
      <c r="Q748" s="7"/>
      <c r="R748" s="7"/>
      <c r="S748" s="7"/>
      <c r="T748" s="7"/>
      <c r="U748" s="7"/>
      <c r="V748" s="7"/>
      <c r="W748" s="7"/>
    </row>
    <row r="749" spans="17:23">
      <c r="Q749" s="7"/>
      <c r="R749" s="7"/>
      <c r="S749" s="7"/>
      <c r="T749" s="7"/>
      <c r="U749" s="7"/>
      <c r="V749" s="7"/>
      <c r="W749" s="7"/>
    </row>
    <row r="750" spans="17:23">
      <c r="Q750" s="7"/>
      <c r="R750" s="7"/>
      <c r="S750" s="7"/>
      <c r="T750" s="7"/>
      <c r="U750" s="7"/>
      <c r="V750" s="7"/>
      <c r="W750" s="7"/>
    </row>
    <row r="751" spans="17:23">
      <c r="Q751" s="7"/>
      <c r="R751" s="7"/>
      <c r="S751" s="7"/>
      <c r="T751" s="7"/>
      <c r="U751" s="7"/>
      <c r="V751" s="7"/>
      <c r="W751" s="7"/>
    </row>
    <row r="752" spans="17:23">
      <c r="Q752" s="7"/>
      <c r="R752" s="7"/>
      <c r="S752" s="7"/>
      <c r="T752" s="7"/>
      <c r="U752" s="7"/>
      <c r="V752" s="7"/>
      <c r="W752" s="7"/>
    </row>
    <row r="753" spans="17:23">
      <c r="Q753" s="7"/>
      <c r="R753" s="7"/>
      <c r="S753" s="7"/>
      <c r="T753" s="7"/>
      <c r="U753" s="7"/>
      <c r="V753" s="7"/>
      <c r="W753" s="7"/>
    </row>
    <row r="754" spans="17:23">
      <c r="Q754" s="7"/>
      <c r="R754" s="7"/>
      <c r="S754" s="7"/>
      <c r="T754" s="7"/>
      <c r="U754" s="7"/>
      <c r="V754" s="7"/>
      <c r="W754" s="7"/>
    </row>
    <row r="755" spans="17:23">
      <c r="Q755" s="7"/>
      <c r="R755" s="7"/>
      <c r="S755" s="7"/>
      <c r="T755" s="7"/>
      <c r="U755" s="7"/>
      <c r="V755" s="7"/>
      <c r="W755" s="7"/>
    </row>
    <row r="756" spans="17:23">
      <c r="Q756" s="7"/>
      <c r="R756" s="7"/>
      <c r="S756" s="7"/>
      <c r="T756" s="7"/>
      <c r="U756" s="7"/>
      <c r="V756" s="7"/>
      <c r="W756" s="7"/>
    </row>
    <row r="757" spans="17:23">
      <c r="Q757" s="7"/>
      <c r="R757" s="7"/>
      <c r="S757" s="7"/>
      <c r="T757" s="7"/>
      <c r="U757" s="7"/>
      <c r="V757" s="7"/>
      <c r="W757" s="7"/>
    </row>
    <row r="758" spans="17:23">
      <c r="Q758" s="7"/>
      <c r="R758" s="7"/>
      <c r="S758" s="7"/>
      <c r="T758" s="7"/>
      <c r="U758" s="7"/>
      <c r="V758" s="7"/>
      <c r="W758" s="7"/>
    </row>
    <row r="759" spans="17:23">
      <c r="Q759" s="7"/>
      <c r="R759" s="7"/>
      <c r="S759" s="7"/>
      <c r="T759" s="7"/>
      <c r="U759" s="7"/>
      <c r="V759" s="7"/>
      <c r="W759" s="7"/>
    </row>
    <row r="760" spans="17:23">
      <c r="Q760" s="7"/>
      <c r="R760" s="7"/>
      <c r="S760" s="7"/>
      <c r="T760" s="7"/>
      <c r="U760" s="7"/>
      <c r="V760" s="7"/>
      <c r="W760" s="7"/>
    </row>
    <row r="761" spans="17:23">
      <c r="Q761" s="7"/>
      <c r="R761" s="7"/>
      <c r="S761" s="7"/>
      <c r="T761" s="7"/>
      <c r="U761" s="7"/>
      <c r="V761" s="7"/>
      <c r="W761" s="7"/>
    </row>
    <row r="762" spans="17:23">
      <c r="Q762" s="7"/>
      <c r="R762" s="7"/>
      <c r="S762" s="7"/>
      <c r="T762" s="7"/>
      <c r="U762" s="7"/>
      <c r="V762" s="7"/>
      <c r="W762" s="7"/>
    </row>
    <row r="763" spans="17:23">
      <c r="Q763" s="7"/>
      <c r="R763" s="7"/>
      <c r="S763" s="7"/>
      <c r="T763" s="7"/>
      <c r="U763" s="7"/>
      <c r="V763" s="7"/>
      <c r="W763" s="7"/>
    </row>
    <row r="764" spans="17:23">
      <c r="Q764" s="7"/>
      <c r="R764" s="7"/>
      <c r="S764" s="7"/>
      <c r="T764" s="7"/>
      <c r="U764" s="7"/>
      <c r="V764" s="7"/>
      <c r="W764" s="7"/>
    </row>
    <row r="765" spans="17:23">
      <c r="Q765" s="7"/>
      <c r="R765" s="7"/>
      <c r="S765" s="7"/>
      <c r="T765" s="7"/>
      <c r="U765" s="7"/>
      <c r="V765" s="7"/>
      <c r="W765" s="7"/>
    </row>
    <row r="766" spans="17:23">
      <c r="Q766" s="7"/>
      <c r="R766" s="7"/>
      <c r="S766" s="7"/>
      <c r="T766" s="7"/>
      <c r="U766" s="7"/>
      <c r="V766" s="7"/>
      <c r="W766" s="7"/>
    </row>
    <row r="767" spans="17:23">
      <c r="Q767" s="7"/>
      <c r="R767" s="7"/>
      <c r="S767" s="7"/>
      <c r="T767" s="7"/>
      <c r="U767" s="7"/>
      <c r="V767" s="7"/>
      <c r="W767" s="7"/>
    </row>
    <row r="768" spans="17:23">
      <c r="Q768" s="7"/>
      <c r="R768" s="7"/>
      <c r="S768" s="7"/>
      <c r="T768" s="7"/>
      <c r="U768" s="7"/>
      <c r="V768" s="7"/>
      <c r="W768" s="7"/>
    </row>
    <row r="769" spans="17:23">
      <c r="Q769" s="7"/>
      <c r="R769" s="7"/>
      <c r="S769" s="7"/>
      <c r="T769" s="7"/>
      <c r="U769" s="7"/>
      <c r="V769" s="7"/>
      <c r="W769" s="7"/>
    </row>
    <row r="770" spans="17:23">
      <c r="Q770" s="7"/>
      <c r="R770" s="7"/>
      <c r="S770" s="7"/>
      <c r="T770" s="7"/>
      <c r="U770" s="7"/>
      <c r="V770" s="7"/>
      <c r="W770" s="7"/>
    </row>
    <row r="771" spans="17:23">
      <c r="Q771" s="7"/>
      <c r="R771" s="7"/>
      <c r="S771" s="7"/>
      <c r="T771" s="7"/>
      <c r="U771" s="7"/>
      <c r="V771" s="7"/>
      <c r="W771" s="7"/>
    </row>
    <row r="772" spans="17:23">
      <c r="Q772" s="7"/>
      <c r="R772" s="7"/>
      <c r="S772" s="7"/>
      <c r="T772" s="7"/>
      <c r="U772" s="7"/>
      <c r="V772" s="7"/>
      <c r="W772" s="7"/>
    </row>
    <row r="773" spans="17:23">
      <c r="Q773" s="7"/>
      <c r="R773" s="7"/>
      <c r="S773" s="7"/>
      <c r="T773" s="7"/>
      <c r="U773" s="7"/>
      <c r="V773" s="7"/>
      <c r="W773" s="7"/>
    </row>
    <row r="774" spans="17:23">
      <c r="Q774" s="7"/>
      <c r="R774" s="7"/>
      <c r="S774" s="7"/>
      <c r="T774" s="7"/>
      <c r="U774" s="7"/>
      <c r="V774" s="7"/>
      <c r="W774" s="7"/>
    </row>
    <row r="775" spans="17:23">
      <c r="Q775" s="7"/>
      <c r="R775" s="7"/>
      <c r="S775" s="7"/>
      <c r="T775" s="7"/>
      <c r="U775" s="7"/>
      <c r="V775" s="7"/>
      <c r="W775" s="7"/>
    </row>
    <row r="776" spans="17:23">
      <c r="Q776" s="7"/>
      <c r="R776" s="7"/>
      <c r="S776" s="7"/>
      <c r="T776" s="7"/>
      <c r="U776" s="7"/>
      <c r="V776" s="7"/>
      <c r="W776" s="7"/>
    </row>
    <row r="777" spans="17:23">
      <c r="Q777" s="7"/>
      <c r="R777" s="7"/>
      <c r="S777" s="7"/>
      <c r="T777" s="7"/>
      <c r="U777" s="7"/>
      <c r="V777" s="7"/>
      <c r="W777" s="7"/>
    </row>
    <row r="778" spans="17:23">
      <c r="Q778" s="7"/>
      <c r="R778" s="7"/>
      <c r="S778" s="7"/>
      <c r="T778" s="7"/>
      <c r="U778" s="7"/>
      <c r="V778" s="7"/>
      <c r="W778" s="7"/>
    </row>
    <row r="779" spans="17:23">
      <c r="Q779" s="7"/>
      <c r="R779" s="7"/>
      <c r="S779" s="7"/>
      <c r="T779" s="7"/>
      <c r="U779" s="7"/>
      <c r="V779" s="7"/>
      <c r="W779" s="7"/>
    </row>
    <row r="780" spans="17:23">
      <c r="Q780" s="7"/>
      <c r="R780" s="7"/>
      <c r="S780" s="7"/>
      <c r="T780" s="7"/>
      <c r="U780" s="7"/>
      <c r="V780" s="7"/>
      <c r="W780" s="7"/>
    </row>
    <row r="781" spans="17:23">
      <c r="Q781" s="7"/>
      <c r="R781" s="7"/>
      <c r="S781" s="7"/>
      <c r="T781" s="7"/>
      <c r="U781" s="7"/>
      <c r="V781" s="7"/>
      <c r="W781" s="7"/>
    </row>
    <row r="782" spans="17:23">
      <c r="Q782" s="7"/>
      <c r="R782" s="7"/>
      <c r="S782" s="7"/>
      <c r="T782" s="7"/>
      <c r="U782" s="7"/>
      <c r="V782" s="7"/>
      <c r="W782" s="7"/>
    </row>
    <row r="783" spans="17:23">
      <c r="Q783" s="7"/>
      <c r="R783" s="7"/>
      <c r="S783" s="7"/>
      <c r="T783" s="7"/>
      <c r="U783" s="7"/>
      <c r="V783" s="7"/>
      <c r="W783" s="7"/>
    </row>
    <row r="784" spans="17:23">
      <c r="Q784" s="7"/>
      <c r="R784" s="7"/>
      <c r="S784" s="7"/>
      <c r="T784" s="7"/>
      <c r="U784" s="7"/>
      <c r="V784" s="7"/>
      <c r="W784" s="7"/>
    </row>
    <row r="785" spans="17:23">
      <c r="Q785" s="7"/>
      <c r="R785" s="7"/>
      <c r="S785" s="7"/>
      <c r="T785" s="7"/>
      <c r="U785" s="7"/>
      <c r="V785" s="7"/>
      <c r="W785" s="7"/>
    </row>
    <row r="786" spans="17:23">
      <c r="Q786" s="7"/>
      <c r="R786" s="7"/>
      <c r="S786" s="7"/>
      <c r="T786" s="7"/>
      <c r="U786" s="7"/>
      <c r="V786" s="7"/>
      <c r="W786" s="7"/>
    </row>
    <row r="787" spans="17:23">
      <c r="Q787" s="7"/>
      <c r="R787" s="7"/>
      <c r="S787" s="7"/>
      <c r="T787" s="7"/>
      <c r="U787" s="7"/>
      <c r="V787" s="7"/>
      <c r="W787" s="7"/>
    </row>
    <row r="788" spans="17:23">
      <c r="Q788" s="7"/>
      <c r="R788" s="7"/>
      <c r="S788" s="7"/>
      <c r="T788" s="7"/>
      <c r="U788" s="7"/>
      <c r="V788" s="7"/>
      <c r="W788" s="7"/>
    </row>
    <row r="789" spans="17:23">
      <c r="Q789" s="7"/>
      <c r="R789" s="7"/>
      <c r="S789" s="7"/>
      <c r="T789" s="7"/>
      <c r="U789" s="7"/>
      <c r="V789" s="7"/>
      <c r="W789" s="7"/>
    </row>
    <row r="790" spans="17:23">
      <c r="Q790" s="7"/>
      <c r="R790" s="7"/>
      <c r="S790" s="7"/>
      <c r="T790" s="7"/>
      <c r="U790" s="7"/>
      <c r="V790" s="7"/>
      <c r="W790" s="7"/>
    </row>
    <row r="791" spans="17:23">
      <c r="Q791" s="7"/>
      <c r="R791" s="7"/>
      <c r="S791" s="7"/>
      <c r="T791" s="7"/>
      <c r="U791" s="7"/>
      <c r="V791" s="7"/>
      <c r="W791" s="7"/>
    </row>
    <row r="792" spans="17:23">
      <c r="Q792" s="7"/>
      <c r="R792" s="7"/>
      <c r="S792" s="7"/>
      <c r="T792" s="7"/>
      <c r="U792" s="7"/>
      <c r="V792" s="7"/>
      <c r="W792" s="7"/>
    </row>
    <row r="793" spans="17:23">
      <c r="Q793" s="7"/>
      <c r="R793" s="7"/>
      <c r="S793" s="7"/>
      <c r="T793" s="7"/>
      <c r="U793" s="7"/>
      <c r="V793" s="7"/>
      <c r="W793" s="7"/>
    </row>
    <row r="794" spans="17:23">
      <c r="Q794" s="7"/>
      <c r="R794" s="7"/>
      <c r="S794" s="7"/>
      <c r="T794" s="7"/>
      <c r="U794" s="7"/>
      <c r="V794" s="7"/>
      <c r="W794" s="7"/>
    </row>
    <row r="795" spans="17:23">
      <c r="Q795" s="7"/>
      <c r="R795" s="7"/>
      <c r="S795" s="7"/>
      <c r="T795" s="7"/>
      <c r="U795" s="7"/>
      <c r="V795" s="7"/>
      <c r="W795" s="7"/>
    </row>
    <row r="796" spans="17:23">
      <c r="Q796" s="7"/>
      <c r="R796" s="7"/>
      <c r="S796" s="7"/>
      <c r="T796" s="7"/>
      <c r="U796" s="7"/>
      <c r="V796" s="7"/>
      <c r="W796" s="7"/>
    </row>
    <row r="797" spans="17:23">
      <c r="Q797" s="7"/>
      <c r="R797" s="7"/>
      <c r="S797" s="7"/>
      <c r="T797" s="7"/>
      <c r="U797" s="7"/>
      <c r="V797" s="7"/>
      <c r="W797" s="7"/>
    </row>
    <row r="798" spans="17:23">
      <c r="Q798" s="7"/>
      <c r="R798" s="7"/>
      <c r="S798" s="7"/>
      <c r="T798" s="7"/>
      <c r="U798" s="7"/>
      <c r="V798" s="7"/>
      <c r="W798" s="7"/>
    </row>
    <row r="799" spans="17:23">
      <c r="Q799" s="7"/>
      <c r="R799" s="7"/>
      <c r="S799" s="7"/>
      <c r="T799" s="7"/>
      <c r="U799" s="7"/>
      <c r="V799" s="7"/>
      <c r="W799" s="7"/>
    </row>
    <row r="800" spans="17:23">
      <c r="Q800" s="7"/>
      <c r="R800" s="7"/>
      <c r="S800" s="7"/>
      <c r="T800" s="7"/>
      <c r="U800" s="7"/>
      <c r="V800" s="7"/>
      <c r="W800" s="7"/>
    </row>
    <row r="801" spans="17:23">
      <c r="Q801" s="7"/>
      <c r="R801" s="7"/>
      <c r="S801" s="7"/>
      <c r="T801" s="7"/>
      <c r="U801" s="7"/>
      <c r="V801" s="7"/>
      <c r="W801" s="7"/>
    </row>
    <row r="802" spans="17:23">
      <c r="Q802" s="7"/>
      <c r="R802" s="7"/>
      <c r="S802" s="7"/>
      <c r="T802" s="7"/>
      <c r="U802" s="7"/>
      <c r="V802" s="7"/>
      <c r="W802" s="7"/>
    </row>
    <row r="803" spans="17:23">
      <c r="Q803" s="7"/>
      <c r="R803" s="7"/>
      <c r="S803" s="7"/>
      <c r="T803" s="7"/>
      <c r="U803" s="7"/>
      <c r="V803" s="7"/>
      <c r="W803" s="7"/>
    </row>
    <row r="804" spans="17:23">
      <c r="Q804" s="7"/>
      <c r="R804" s="7"/>
      <c r="S804" s="7"/>
      <c r="T804" s="7"/>
      <c r="U804" s="7"/>
      <c r="V804" s="7"/>
      <c r="W804" s="7"/>
    </row>
    <row r="805" spans="17:23">
      <c r="Q805" s="7"/>
      <c r="R805" s="7"/>
      <c r="S805" s="7"/>
      <c r="T805" s="7"/>
      <c r="U805" s="7"/>
      <c r="V805" s="7"/>
      <c r="W805" s="7"/>
    </row>
    <row r="806" spans="17:23">
      <c r="Q806" s="7"/>
      <c r="R806" s="7"/>
      <c r="S806" s="7"/>
      <c r="T806" s="7"/>
      <c r="U806" s="7"/>
      <c r="V806" s="7"/>
      <c r="W806" s="7"/>
    </row>
    <row r="807" spans="17:23">
      <c r="Q807" s="7"/>
      <c r="R807" s="7"/>
      <c r="S807" s="7"/>
      <c r="T807" s="7"/>
      <c r="U807" s="7"/>
      <c r="V807" s="7"/>
      <c r="W807" s="7"/>
    </row>
    <row r="808" spans="17:23">
      <c r="Q808" s="7"/>
      <c r="R808" s="7"/>
      <c r="S808" s="7"/>
      <c r="T808" s="7"/>
      <c r="U808" s="7"/>
      <c r="V808" s="7"/>
      <c r="W808" s="7"/>
    </row>
    <row r="809" spans="17:23">
      <c r="Q809" s="7"/>
      <c r="R809" s="7"/>
      <c r="S809" s="7"/>
      <c r="T809" s="7"/>
      <c r="U809" s="7"/>
      <c r="V809" s="7"/>
      <c r="W809" s="7"/>
    </row>
    <row r="810" spans="17:23">
      <c r="Q810" s="7"/>
      <c r="R810" s="7"/>
      <c r="S810" s="7"/>
      <c r="T810" s="7"/>
      <c r="U810" s="7"/>
      <c r="V810" s="7"/>
      <c r="W810" s="7"/>
    </row>
    <row r="811" spans="17:23">
      <c r="Q811" s="7"/>
      <c r="R811" s="7"/>
      <c r="S811" s="7"/>
      <c r="T811" s="7"/>
      <c r="U811" s="7"/>
      <c r="V811" s="7"/>
      <c r="W811" s="7"/>
    </row>
    <row r="812" spans="17:23">
      <c r="Q812" s="7"/>
      <c r="R812" s="7"/>
      <c r="S812" s="7"/>
      <c r="T812" s="7"/>
      <c r="U812" s="7"/>
      <c r="V812" s="7"/>
      <c r="W812" s="7"/>
    </row>
    <row r="813" spans="17:23">
      <c r="Q813" s="7"/>
      <c r="R813" s="7"/>
      <c r="S813" s="7"/>
      <c r="T813" s="7"/>
      <c r="U813" s="7"/>
      <c r="V813" s="7"/>
      <c r="W813" s="7"/>
    </row>
    <row r="814" spans="17:23">
      <c r="Q814" s="7"/>
      <c r="R814" s="7"/>
      <c r="S814" s="7"/>
      <c r="T814" s="7"/>
      <c r="U814" s="7"/>
      <c r="V814" s="7"/>
      <c r="W814" s="7"/>
    </row>
    <row r="815" spans="17:23">
      <c r="Q815" s="7"/>
      <c r="R815" s="7"/>
      <c r="S815" s="7"/>
      <c r="T815" s="7"/>
      <c r="U815" s="7"/>
      <c r="V815" s="7"/>
      <c r="W815" s="7"/>
    </row>
    <row r="816" spans="17:23">
      <c r="Q816" s="7"/>
      <c r="R816" s="7"/>
      <c r="S816" s="7"/>
      <c r="T816" s="7"/>
      <c r="U816" s="7"/>
      <c r="V816" s="7"/>
      <c r="W816" s="7"/>
    </row>
    <row r="817" spans="17:23">
      <c r="Q817" s="7"/>
      <c r="R817" s="7"/>
      <c r="S817" s="7"/>
      <c r="T817" s="7"/>
      <c r="U817" s="7"/>
      <c r="V817" s="7"/>
      <c r="W817" s="7"/>
    </row>
    <row r="818" spans="17:23">
      <c r="Q818" s="7"/>
      <c r="R818" s="7"/>
      <c r="S818" s="7"/>
      <c r="T818" s="7"/>
      <c r="U818" s="7"/>
      <c r="V818" s="7"/>
      <c r="W818" s="7"/>
    </row>
    <row r="819" spans="17:23">
      <c r="Q819" s="7"/>
      <c r="R819" s="7"/>
      <c r="S819" s="7"/>
      <c r="T819" s="7"/>
      <c r="U819" s="7"/>
      <c r="V819" s="7"/>
      <c r="W819" s="7"/>
    </row>
  </sheetData>
  <mergeCells count="4">
    <mergeCell ref="A1:P1"/>
    <mergeCell ref="Q1:W1"/>
    <mergeCell ref="E3:P3"/>
    <mergeCell ref="E19:P19"/>
  </mergeCells>
  <pageMargins left="0.7" right="0.7" top="0.75" bottom="0.75" header="0.3" footer="0.3"/>
  <pageSetup paperSize="9" orientation="portrait" r:id="rId1"/>
  <colBreaks count="1" manualBreakCount="1">
    <brk id="4"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8</vt:i4>
      </vt:variant>
    </vt:vector>
  </HeadingPairs>
  <TitlesOfParts>
    <vt:vector size="18" baseType="lpstr">
      <vt:lpstr>BM OKR Đ.TBCH 2026</vt:lpstr>
      <vt:lpstr>PL1.1_CAM</vt:lpstr>
      <vt:lpstr>PL1.2_ĐTNB</vt:lpstr>
      <vt:lpstr>PL1.3_CHGT-TĐH</vt:lpstr>
      <vt:lpstr>PL1.4_HT</vt:lpstr>
      <vt:lpstr>PL1.5_HDBD</vt:lpstr>
      <vt:lpstr>NTĐG</vt:lpstr>
      <vt:lpstr>TCĐG</vt:lpstr>
      <vt:lpstr>Biểu 2.1 Mục tiêu Nhà máy</vt:lpstr>
      <vt:lpstr>OKR X.ĐK 2026</vt:lpstr>
      <vt:lpstr>'Biểu 2.1 Mục tiêu Nhà máy'!Print_Area</vt:lpstr>
      <vt:lpstr>'BM OKR Đ.TBCH 2026'!Print_Area</vt:lpstr>
      <vt:lpstr>NTĐG!Print_Area</vt:lpstr>
      <vt:lpstr>PL1.4_HT!Print_Area</vt:lpstr>
      <vt:lpstr>TCĐG!Print_Area</vt:lpstr>
      <vt:lpstr>'Biểu 2.1 Mục tiêu Nhà máy'!Print_Titles</vt:lpstr>
      <vt:lpstr>'BM OKR Đ.TBCH 2026'!Print_Titles</vt:lpstr>
      <vt:lpstr>'PL1.3_CHGT-TĐH'!Print_Titles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 Tuyet Nhung</dc:creator>
  <cp:lastModifiedBy>Bao Mai Thai</cp:lastModifiedBy>
  <cp:lastPrinted>2026-05-25T14:19:38Z</cp:lastPrinted>
  <dcterms:created xsi:type="dcterms:W3CDTF">2018-06-13T03:01:36Z</dcterms:created>
  <dcterms:modified xsi:type="dcterms:W3CDTF">2026-05-26T06:33:02Z</dcterms:modified>
</cp:coreProperties>
</file>
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8e3c2db3bb5ba478/Ca Mau Fertilizer/27. KHMT/2026/01.TPM/02. ET/2026/"/>
    </mc:Choice>
  </mc:AlternateContent>
  <xr:revisionPtr revIDLastSave="1822" documentId="13_ncr:1_{E13747B5-F0E1-4AFF-911F-65CB4C45EF99}" xr6:coauthVersionLast="47" xr6:coauthVersionMax="47" xr10:uidLastSave="{E9D111A2-57A0-4673-9571-B1DF8EF6C9C4}"/>
  <bookViews>
    <workbookView xWindow="-120" yWindow="-120" windowWidth="29040" windowHeight="15840" tabRatio="587" activeTab="2" xr2:uid="{C2048D29-73FC-4A30-9909-0B3E3611F5E6}"/>
  </bookViews>
  <sheets>
    <sheet name="Danh mục vị trí chức danh" sheetId="3" r:id="rId1"/>
    <sheet name="Ma trận năng lực" sheetId="12" r:id="rId2"/>
    <sheet name="KNL_ĐK_10" sheetId="22" r:id="rId3"/>
    <sheet name="KNL_ĐK_12" sheetId="15" r:id="rId4"/>
    <sheet name="KNL_ĐK_13" sheetId="13" r:id="rId5"/>
    <sheet name="KNL_ĐK_14" sheetId="11" r:id="rId6"/>
    <sheet name="KNL_ĐK_15" sheetId="14" r:id="rId7"/>
    <sheet name="Phiếu đánh giá KTV TCĐK" sheetId="21" r:id="rId8"/>
    <sheet name="Phiếu đánh giá KTV TBĐL" sheetId="19" r:id="rId9"/>
    <sheet name="Phiếu đánh giá KTV TBHTĐK" sheetId="17" r:id="rId10"/>
    <sheet name="Phiếu đánh giá KTV TBCH" sheetId="20" r:id="rId11"/>
  </sheets>
  <definedNames>
    <definedName name="_xlnm._FilterDatabase" localSheetId="1" hidden="1">'Ma trận năng lực'!$A$3:$AE$69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0" i="22" l="1"/>
  <c r="C49" i="22"/>
  <c r="C50" i="22"/>
  <c r="V20" i="13" l="1"/>
  <c r="U20" i="13"/>
  <c r="S20" i="13"/>
  <c r="T20" i="13"/>
  <c r="R20" i="13"/>
  <c r="C42" i="11"/>
  <c r="C31" i="13"/>
  <c r="C6" i="12"/>
  <c r="P21" i="13"/>
  <c r="Q20" i="13"/>
  <c r="Q21" i="13" s="1"/>
  <c r="P20" i="11"/>
  <c r="R19" i="11"/>
  <c r="S19" i="11" s="1"/>
  <c r="Q19" i="11"/>
  <c r="Q20" i="11" s="1"/>
  <c r="C47" i="22"/>
  <c r="C48" i="22"/>
  <c r="C26" i="12"/>
  <c r="E26" i="12" s="1"/>
  <c r="C46" i="22"/>
  <c r="C24" i="12"/>
  <c r="C45" i="22"/>
  <c r="C41" i="12"/>
  <c r="C57" i="12"/>
  <c r="C43" i="22"/>
  <c r="C44" i="22"/>
  <c r="C40" i="12"/>
  <c r="R21" i="13" l="1"/>
  <c r="T21" i="13"/>
  <c r="S21" i="13"/>
  <c r="S20" i="11"/>
  <c r="T19" i="11"/>
  <c r="R20" i="11"/>
  <c r="C40" i="22"/>
  <c r="C41" i="22"/>
  <c r="C42" i="22"/>
  <c r="D6" i="22" a="1"/>
  <c r="B7" i="22" s="1"/>
  <c r="C39" i="12"/>
  <c r="C7" i="15"/>
  <c r="C8" i="15"/>
  <c r="C9" i="15"/>
  <c r="C10" i="15"/>
  <c r="C11" i="15"/>
  <c r="C12" i="15"/>
  <c r="C13" i="15"/>
  <c r="C14" i="15"/>
  <c r="C15" i="15"/>
  <c r="C16" i="15"/>
  <c r="C17" i="15"/>
  <c r="C18" i="15"/>
  <c r="C19" i="15"/>
  <c r="C20" i="15"/>
  <c r="C21" i="15"/>
  <c r="C22" i="15"/>
  <c r="C23" i="15"/>
  <c r="C24" i="15"/>
  <c r="C25" i="15"/>
  <c r="C26" i="15"/>
  <c r="C27" i="15"/>
  <c r="C28" i="15"/>
  <c r="C29" i="15"/>
  <c r="C30" i="15"/>
  <c r="C31" i="15"/>
  <c r="C32" i="15"/>
  <c r="C33" i="15"/>
  <c r="C34" i="15"/>
  <c r="C35" i="15"/>
  <c r="C36" i="15"/>
  <c r="C37" i="15"/>
  <c r="C38" i="15"/>
  <c r="C39" i="15"/>
  <c r="C6" i="15"/>
  <c r="C7" i="22"/>
  <c r="C8" i="22"/>
  <c r="C9" i="22"/>
  <c r="C10" i="22"/>
  <c r="C11" i="22"/>
  <c r="C12" i="22"/>
  <c r="C13" i="22"/>
  <c r="C14" i="22"/>
  <c r="C15" i="22"/>
  <c r="C16" i="22"/>
  <c r="C17" i="22"/>
  <c r="C18" i="22"/>
  <c r="C19" i="22"/>
  <c r="C20" i="22"/>
  <c r="C21" i="22"/>
  <c r="C22" i="22"/>
  <c r="C23" i="22"/>
  <c r="C24" i="22"/>
  <c r="C25" i="22"/>
  <c r="C26" i="22"/>
  <c r="C27" i="22"/>
  <c r="C28" i="22"/>
  <c r="C29" i="22"/>
  <c r="C30" i="22"/>
  <c r="C31" i="22"/>
  <c r="C32" i="22"/>
  <c r="C33" i="22"/>
  <c r="C34" i="22"/>
  <c r="C35" i="22"/>
  <c r="C36" i="22"/>
  <c r="C37" i="22"/>
  <c r="C38" i="22"/>
  <c r="C39" i="22"/>
  <c r="C6" i="22"/>
  <c r="M4" i="22"/>
  <c r="L4" i="22"/>
  <c r="K4" i="22"/>
  <c r="J4" i="22"/>
  <c r="I4" i="22"/>
  <c r="H4" i="22"/>
  <c r="G4" i="22"/>
  <c r="F4" i="22"/>
  <c r="E8" i="22" l="1"/>
  <c r="E20" i="22"/>
  <c r="E32" i="22"/>
  <c r="E44" i="22"/>
  <c r="E9" i="22"/>
  <c r="E21" i="22"/>
  <c r="E33" i="22"/>
  <c r="E45" i="22"/>
  <c r="E28" i="22"/>
  <c r="E40" i="22"/>
  <c r="E10" i="22"/>
  <c r="E22" i="22"/>
  <c r="E34" i="22"/>
  <c r="E46" i="22"/>
  <c r="E12" i="22"/>
  <c r="E36" i="22"/>
  <c r="E48" i="22"/>
  <c r="E11" i="22"/>
  <c r="E23" i="22"/>
  <c r="E35" i="22"/>
  <c r="E47" i="22"/>
  <c r="E24" i="22"/>
  <c r="E13" i="22"/>
  <c r="E25" i="22"/>
  <c r="E37" i="22"/>
  <c r="E49" i="22"/>
  <c r="E14" i="22"/>
  <c r="E26" i="22"/>
  <c r="E38" i="22"/>
  <c r="E15" i="22"/>
  <c r="E27" i="22"/>
  <c r="E39" i="22"/>
  <c r="E16" i="22"/>
  <c r="E17" i="22"/>
  <c r="E29" i="22"/>
  <c r="E41" i="22"/>
  <c r="E18" i="22"/>
  <c r="E30" i="22"/>
  <c r="E42" i="22"/>
  <c r="E19" i="22"/>
  <c r="E31" i="22"/>
  <c r="E43" i="22"/>
  <c r="V21" i="13"/>
  <c r="U21" i="13"/>
  <c r="T20" i="11"/>
  <c r="U19" i="11"/>
  <c r="B46" i="22"/>
  <c r="B49" i="22"/>
  <c r="B47" i="22"/>
  <c r="E7" i="22"/>
  <c r="B48" i="22"/>
  <c r="B41" i="22"/>
  <c r="B22" i="22"/>
  <c r="B34" i="22"/>
  <c r="B23" i="22"/>
  <c r="B24" i="22"/>
  <c r="B36" i="22"/>
  <c r="B43" i="22"/>
  <c r="B20" i="22"/>
  <c r="B21" i="22"/>
  <c r="B35" i="22"/>
  <c r="B44" i="22"/>
  <c r="B25" i="22"/>
  <c r="B37" i="22"/>
  <c r="B26" i="22"/>
  <c r="B38" i="22"/>
  <c r="B27" i="22"/>
  <c r="B39" i="22"/>
  <c r="B30" i="22"/>
  <c r="B31" i="22"/>
  <c r="B28" i="22"/>
  <c r="B40" i="22"/>
  <c r="B17" i="22"/>
  <c r="B29" i="22"/>
  <c r="B18" i="22"/>
  <c r="B42" i="22"/>
  <c r="B19" i="22"/>
  <c r="B32" i="22"/>
  <c r="B33" i="22"/>
  <c r="B45" i="22"/>
  <c r="D6" i="22"/>
  <c r="B8" i="22"/>
  <c r="B16" i="22"/>
  <c r="B15" i="22"/>
  <c r="B12" i="22"/>
  <c r="B11" i="22"/>
  <c r="B9" i="22"/>
  <c r="B13" i="22"/>
  <c r="B10" i="22"/>
  <c r="B14" i="22"/>
  <c r="C12" i="12"/>
  <c r="C16" i="12"/>
  <c r="U20" i="11" l="1"/>
  <c r="V19" i="11"/>
  <c r="V20" i="11" s="1"/>
  <c r="E6" i="22"/>
  <c r="B6" i="22"/>
  <c r="C62" i="12"/>
  <c r="C61" i="12"/>
  <c r="C18" i="12" l="1"/>
  <c r="D13" i="21" l="1" a="1"/>
  <c r="D13" i="21" s="1"/>
  <c r="B13" i="21" a="1"/>
  <c r="F52" i="21"/>
  <c r="A52" i="21"/>
  <c r="F51" i="21"/>
  <c r="A51" i="21"/>
  <c r="F50" i="21"/>
  <c r="A50" i="21"/>
  <c r="F49" i="21"/>
  <c r="A49" i="21"/>
  <c r="A48" i="21"/>
  <c r="A47" i="21"/>
  <c r="A46" i="21"/>
  <c r="A45" i="21"/>
  <c r="A44" i="21"/>
  <c r="A43" i="21"/>
  <c r="A42" i="21"/>
  <c r="A41" i="21"/>
  <c r="A40" i="21"/>
  <c r="A39" i="21"/>
  <c r="A38" i="21"/>
  <c r="A37" i="21"/>
  <c r="A36" i="21"/>
  <c r="A35" i="21"/>
  <c r="A34" i="21"/>
  <c r="A33" i="21"/>
  <c r="A32" i="21"/>
  <c r="A31" i="21"/>
  <c r="A30" i="21"/>
  <c r="A29" i="21"/>
  <c r="A28" i="21"/>
  <c r="A27" i="21"/>
  <c r="A26" i="21"/>
  <c r="A25" i="21"/>
  <c r="A24" i="21"/>
  <c r="A23" i="21"/>
  <c r="A22" i="21"/>
  <c r="A21" i="21"/>
  <c r="A20" i="21"/>
  <c r="A19" i="21"/>
  <c r="A18" i="21"/>
  <c r="A17" i="21"/>
  <c r="A16" i="21"/>
  <c r="A15" i="21"/>
  <c r="A14" i="21"/>
  <c r="A13" i="21"/>
  <c r="D13" i="20" a="1"/>
  <c r="D13" i="20" s="1"/>
  <c r="B13" i="20" a="1"/>
  <c r="C38" i="20" s="1"/>
  <c r="F52" i="20"/>
  <c r="A52" i="20"/>
  <c r="F51" i="20"/>
  <c r="A51" i="20"/>
  <c r="F50" i="20"/>
  <c r="A50" i="20"/>
  <c r="F49"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F41" i="20"/>
  <c r="A13" i="20"/>
  <c r="D13" i="19" a="1"/>
  <c r="D13" i="19" s="1"/>
  <c r="B13" i="19" a="1"/>
  <c r="F52" i="19"/>
  <c r="A52" i="19"/>
  <c r="F51" i="19"/>
  <c r="A51" i="19"/>
  <c r="F50" i="19"/>
  <c r="A50" i="19"/>
  <c r="F49" i="19"/>
  <c r="A49" i="19"/>
  <c r="A48" i="19"/>
  <c r="A47" i="19"/>
  <c r="A46" i="19"/>
  <c r="A45" i="19"/>
  <c r="A44" i="19"/>
  <c r="A43" i="19"/>
  <c r="A42" i="19"/>
  <c r="A41" i="19"/>
  <c r="A40" i="19"/>
  <c r="A39" i="19"/>
  <c r="A38" i="19"/>
  <c r="A37" i="19"/>
  <c r="A36" i="19"/>
  <c r="A35" i="19"/>
  <c r="A34" i="19"/>
  <c r="A33" i="19"/>
  <c r="A32" i="19"/>
  <c r="A31" i="19"/>
  <c r="A30" i="19"/>
  <c r="A29" i="19"/>
  <c r="A28" i="19"/>
  <c r="A27" i="19"/>
  <c r="A26" i="19"/>
  <c r="A25" i="19"/>
  <c r="A24" i="19"/>
  <c r="A23" i="19"/>
  <c r="A22" i="19"/>
  <c r="A21" i="19"/>
  <c r="A20" i="19"/>
  <c r="A19" i="19"/>
  <c r="A18" i="19"/>
  <c r="A17" i="19"/>
  <c r="A16" i="19"/>
  <c r="A15" i="19"/>
  <c r="A14" i="19"/>
  <c r="F41" i="19"/>
  <c r="A13" i="19"/>
  <c r="C7" i="13"/>
  <c r="C8" i="13"/>
  <c r="C9" i="13"/>
  <c r="C10" i="13"/>
  <c r="C11" i="13"/>
  <c r="C12" i="13"/>
  <c r="C13" i="13"/>
  <c r="C14" i="13"/>
  <c r="C15" i="13"/>
  <c r="C16" i="13"/>
  <c r="C17" i="13"/>
  <c r="C18" i="13"/>
  <c r="C19" i="13"/>
  <c r="C20" i="13"/>
  <c r="C21" i="13"/>
  <c r="C22" i="13"/>
  <c r="C23" i="13"/>
  <c r="C24" i="13"/>
  <c r="C25" i="13"/>
  <c r="C26" i="13"/>
  <c r="C27" i="13"/>
  <c r="C28" i="13"/>
  <c r="C29" i="13"/>
  <c r="C30" i="13"/>
  <c r="C6" i="13"/>
  <c r="C7" i="14"/>
  <c r="C8" i="14"/>
  <c r="C9" i="14"/>
  <c r="C10" i="14"/>
  <c r="C11" i="14"/>
  <c r="C12" i="14"/>
  <c r="C13" i="14"/>
  <c r="C14" i="14"/>
  <c r="C15" i="14"/>
  <c r="C16" i="14"/>
  <c r="C17" i="14"/>
  <c r="C18" i="14"/>
  <c r="C19" i="14"/>
  <c r="C20" i="14"/>
  <c r="C21" i="14"/>
  <c r="C22" i="14"/>
  <c r="C23" i="14"/>
  <c r="C24" i="14"/>
  <c r="C25" i="14"/>
  <c r="C26" i="14"/>
  <c r="C27" i="14"/>
  <c r="C28" i="14"/>
  <c r="C29" i="14"/>
  <c r="C30" i="14"/>
  <c r="C6" i="14"/>
  <c r="C65" i="12"/>
  <c r="C7" i="11"/>
  <c r="C8" i="11"/>
  <c r="C9" i="11"/>
  <c r="C10" i="11"/>
  <c r="C11" i="11"/>
  <c r="C12" i="11"/>
  <c r="C13" i="11"/>
  <c r="C14" i="11"/>
  <c r="C15" i="11"/>
  <c r="C16" i="11"/>
  <c r="C17" i="11"/>
  <c r="C18" i="11"/>
  <c r="C19" i="11"/>
  <c r="C20" i="11"/>
  <c r="C21" i="11"/>
  <c r="C22" i="11"/>
  <c r="C23" i="11"/>
  <c r="C24" i="11"/>
  <c r="C25" i="11"/>
  <c r="C26" i="11"/>
  <c r="C27" i="11"/>
  <c r="C28" i="11"/>
  <c r="C29" i="11"/>
  <c r="C30" i="11"/>
  <c r="C31" i="11"/>
  <c r="C32" i="11"/>
  <c r="C33" i="11"/>
  <c r="C34" i="11"/>
  <c r="C35" i="11"/>
  <c r="C36" i="11"/>
  <c r="C37" i="11"/>
  <c r="C38" i="11"/>
  <c r="C39" i="11"/>
  <c r="C40" i="11"/>
  <c r="C41" i="11"/>
  <c r="C6" i="11"/>
  <c r="B13" i="17" a="1"/>
  <c r="A42" i="17"/>
  <c r="A43" i="17"/>
  <c r="A44" i="17"/>
  <c r="A45" i="17"/>
  <c r="A46" i="17"/>
  <c r="A47" i="17"/>
  <c r="A48" i="17"/>
  <c r="A49" i="17"/>
  <c r="A50" i="17"/>
  <c r="A51" i="17"/>
  <c r="A52" i="17"/>
  <c r="D13" i="17" a="1"/>
  <c r="D13" i="17" s="1"/>
  <c r="A14" i="17"/>
  <c r="A15" i="17"/>
  <c r="A16" i="17"/>
  <c r="A17" i="17"/>
  <c r="A18" i="17"/>
  <c r="A19" i="17"/>
  <c r="A20" i="17"/>
  <c r="A21" i="17"/>
  <c r="A22" i="17"/>
  <c r="A23" i="17"/>
  <c r="A24" i="17"/>
  <c r="A25" i="17"/>
  <c r="A26" i="17"/>
  <c r="A27" i="17"/>
  <c r="A28" i="17"/>
  <c r="A29" i="17"/>
  <c r="A30" i="17"/>
  <c r="A31" i="17"/>
  <c r="A32" i="17"/>
  <c r="A33" i="17"/>
  <c r="A34" i="17"/>
  <c r="A35" i="17"/>
  <c r="A36" i="17"/>
  <c r="A37" i="17"/>
  <c r="A38" i="17"/>
  <c r="A39" i="17"/>
  <c r="A40" i="17"/>
  <c r="A41" i="17"/>
  <c r="A13" i="17"/>
  <c r="B13" i="19" l="1"/>
  <c r="C13" i="19" s="1"/>
  <c r="C18" i="19"/>
  <c r="C30" i="19"/>
  <c r="C19" i="19"/>
  <c r="C31" i="19"/>
  <c r="C36" i="19"/>
  <c r="C37" i="19"/>
  <c r="C14" i="19"/>
  <c r="C15" i="19"/>
  <c r="C17" i="19"/>
  <c r="C20" i="19"/>
  <c r="C32" i="19"/>
  <c r="C21" i="19"/>
  <c r="C33" i="19"/>
  <c r="C22" i="19"/>
  <c r="C34" i="19"/>
  <c r="C27" i="19"/>
  <c r="C24" i="19"/>
  <c r="C25" i="19"/>
  <c r="C26" i="19"/>
  <c r="C28" i="19"/>
  <c r="C23" i="19"/>
  <c r="C35" i="19"/>
  <c r="C16" i="19"/>
  <c r="C29" i="19"/>
  <c r="B13" i="20"/>
  <c r="C13" i="20" s="1"/>
  <c r="C20" i="20"/>
  <c r="C32" i="20"/>
  <c r="C33" i="20"/>
  <c r="C21" i="20"/>
  <c r="C22" i="20"/>
  <c r="C34" i="20"/>
  <c r="C35" i="20"/>
  <c r="C36" i="20"/>
  <c r="C31" i="20"/>
  <c r="C23" i="20"/>
  <c r="C27" i="20"/>
  <c r="C29" i="20"/>
  <c r="C24" i="20"/>
  <c r="C25" i="20"/>
  <c r="C37" i="20"/>
  <c r="C26" i="20"/>
  <c r="C14" i="20"/>
  <c r="C28" i="20"/>
  <c r="C15" i="20"/>
  <c r="C16" i="20"/>
  <c r="C17" i="20"/>
  <c r="C18" i="20"/>
  <c r="C30" i="20"/>
  <c r="C19" i="20"/>
  <c r="B13" i="21"/>
  <c r="C13" i="21" s="1"/>
  <c r="C17" i="21"/>
  <c r="C29" i="21"/>
  <c r="C41" i="21"/>
  <c r="C18" i="21"/>
  <c r="C30" i="21"/>
  <c r="C42" i="21"/>
  <c r="C33" i="21"/>
  <c r="C35" i="21"/>
  <c r="C45" i="21"/>
  <c r="C36" i="21"/>
  <c r="C38" i="21"/>
  <c r="C28" i="21"/>
  <c r="C19" i="21"/>
  <c r="C31" i="21"/>
  <c r="C43" i="21"/>
  <c r="C20" i="21"/>
  <c r="C32" i="21"/>
  <c r="C44" i="21"/>
  <c r="C46" i="21"/>
  <c r="C15" i="21"/>
  <c r="C16" i="21"/>
  <c r="C21" i="21"/>
  <c r="C23" i="21"/>
  <c r="C24" i="21"/>
  <c r="C14" i="21"/>
  <c r="C27" i="21"/>
  <c r="C37" i="21"/>
  <c r="C22" i="21"/>
  <c r="C34" i="21"/>
  <c r="C25" i="21"/>
  <c r="C26" i="21"/>
  <c r="C40" i="21"/>
  <c r="C39" i="21"/>
  <c r="B13" i="17"/>
  <c r="C13" i="17" s="1"/>
  <c r="C19" i="17"/>
  <c r="C31" i="17"/>
  <c r="C43" i="17"/>
  <c r="C20" i="17"/>
  <c r="C32" i="17"/>
  <c r="C44" i="17"/>
  <c r="C14" i="17"/>
  <c r="C38" i="17"/>
  <c r="C27" i="17"/>
  <c r="C16" i="17"/>
  <c r="C18" i="17"/>
  <c r="C21" i="17"/>
  <c r="C33" i="17"/>
  <c r="C45" i="17"/>
  <c r="C22" i="17"/>
  <c r="C34" i="17"/>
  <c r="C46" i="17"/>
  <c r="C23" i="17"/>
  <c r="C35" i="17"/>
  <c r="C47" i="17"/>
  <c r="C25" i="17"/>
  <c r="C37" i="17"/>
  <c r="C28" i="17"/>
  <c r="C26" i="17"/>
  <c r="C15" i="17"/>
  <c r="C39" i="17"/>
  <c r="C40" i="17"/>
  <c r="C24" i="17"/>
  <c r="C36" i="17"/>
  <c r="C48" i="17"/>
  <c r="C30" i="17"/>
  <c r="C17" i="17"/>
  <c r="C29" i="17"/>
  <c r="C41" i="17"/>
  <c r="C42" i="17"/>
  <c r="F38" i="21"/>
  <c r="F39" i="21"/>
  <c r="F40" i="21"/>
  <c r="F35" i="21"/>
  <c r="F41" i="21"/>
  <c r="F34" i="21"/>
  <c r="F36" i="21"/>
  <c r="F42" i="21"/>
  <c r="F37" i="21"/>
  <c r="F13" i="21"/>
  <c r="F17" i="21"/>
  <c r="F21" i="21"/>
  <c r="F25" i="21"/>
  <c r="F29" i="21"/>
  <c r="F33" i="21"/>
  <c r="F15" i="21"/>
  <c r="F19" i="21"/>
  <c r="F23" i="21"/>
  <c r="F27" i="21"/>
  <c r="F31" i="21"/>
  <c r="F16" i="21"/>
  <c r="F20" i="21"/>
  <c r="F24" i="21"/>
  <c r="F28" i="21"/>
  <c r="F32" i="21"/>
  <c r="F14" i="21"/>
  <c r="F18" i="21"/>
  <c r="F22" i="21"/>
  <c r="F26" i="21"/>
  <c r="F30" i="21"/>
  <c r="F40" i="20"/>
  <c r="F14" i="20"/>
  <c r="F18" i="20"/>
  <c r="F22" i="20"/>
  <c r="F26" i="20"/>
  <c r="F30" i="20"/>
  <c r="F34" i="20"/>
  <c r="F38" i="20"/>
  <c r="F42" i="20"/>
  <c r="F15" i="20"/>
  <c r="F19" i="20"/>
  <c r="F23" i="20"/>
  <c r="F27" i="20"/>
  <c r="F31" i="20"/>
  <c r="F35" i="20"/>
  <c r="F39" i="20"/>
  <c r="F24" i="20"/>
  <c r="F32" i="20"/>
  <c r="F13" i="20"/>
  <c r="F16" i="20"/>
  <c r="F20" i="20"/>
  <c r="F28" i="20"/>
  <c r="F36" i="20"/>
  <c r="F17" i="20"/>
  <c r="F21" i="20"/>
  <c r="F25" i="20"/>
  <c r="F29" i="20"/>
  <c r="F33" i="20"/>
  <c r="F37" i="20"/>
  <c r="F14" i="19"/>
  <c r="F18" i="19"/>
  <c r="F22" i="19"/>
  <c r="F26" i="19"/>
  <c r="F30" i="19"/>
  <c r="F34" i="19"/>
  <c r="F38" i="19"/>
  <c r="F42" i="19"/>
  <c r="F15" i="19"/>
  <c r="F19" i="19"/>
  <c r="F23" i="19"/>
  <c r="F27" i="19"/>
  <c r="F31" i="19"/>
  <c r="F35" i="19"/>
  <c r="F39" i="19"/>
  <c r="F16" i="19"/>
  <c r="F20" i="19"/>
  <c r="F24" i="19"/>
  <c r="F28" i="19"/>
  <c r="F32" i="19"/>
  <c r="F36" i="19"/>
  <c r="F40" i="19"/>
  <c r="F13" i="19"/>
  <c r="F17" i="19"/>
  <c r="F21" i="19"/>
  <c r="F25" i="19"/>
  <c r="F29" i="19"/>
  <c r="F33" i="19"/>
  <c r="F37" i="19"/>
  <c r="F15" i="17"/>
  <c r="F26" i="17"/>
  <c r="F38" i="17"/>
  <c r="F39" i="17"/>
  <c r="F41" i="17"/>
  <c r="F36" i="17"/>
  <c r="F37" i="17"/>
  <c r="F17" i="17"/>
  <c r="F29" i="17"/>
  <c r="F19" i="17"/>
  <c r="F20" i="17"/>
  <c r="F42" i="17"/>
  <c r="F21" i="17"/>
  <c r="F31" i="17"/>
  <c r="F49" i="17"/>
  <c r="F25" i="17"/>
  <c r="F16" i="17"/>
  <c r="F27" i="17"/>
  <c r="F18" i="17"/>
  <c r="F40" i="17"/>
  <c r="F30" i="17"/>
  <c r="F22" i="17"/>
  <c r="F32" i="17"/>
  <c r="F50" i="17"/>
  <c r="F51" i="17"/>
  <c r="F28" i="17"/>
  <c r="F23" i="17"/>
  <c r="F33" i="17"/>
  <c r="F34" i="17"/>
  <c r="F52" i="17"/>
  <c r="F14" i="17"/>
  <c r="F24" i="17"/>
  <c r="F35" i="17"/>
  <c r="F13" i="17"/>
  <c r="D6" i="15" l="1" a="1"/>
  <c r="M4" i="15"/>
  <c r="L4" i="15"/>
  <c r="K4" i="15"/>
  <c r="J4" i="15"/>
  <c r="I4" i="15"/>
  <c r="H4" i="15"/>
  <c r="G4" i="15"/>
  <c r="F4" i="15"/>
  <c r="D6" i="14" a="1"/>
  <c r="M4" i="14"/>
  <c r="L4" i="14"/>
  <c r="K4" i="14"/>
  <c r="J4" i="14"/>
  <c r="I4" i="14"/>
  <c r="H4" i="14"/>
  <c r="G4" i="14"/>
  <c r="F4" i="14"/>
  <c r="D6" i="13" a="1"/>
  <c r="D6" i="11" a="1"/>
  <c r="M4" i="13"/>
  <c r="L4" i="13"/>
  <c r="K4" i="13"/>
  <c r="J4" i="13"/>
  <c r="I4" i="13"/>
  <c r="H4" i="13"/>
  <c r="G4" i="13"/>
  <c r="F4" i="13"/>
  <c r="C49" i="12"/>
  <c r="C50" i="12"/>
  <c r="C47" i="12"/>
  <c r="C51" i="12"/>
  <c r="C52" i="12"/>
  <c r="C64" i="12"/>
  <c r="C53" i="12"/>
  <c r="C54" i="12"/>
  <c r="C55" i="12"/>
  <c r="C56" i="12"/>
  <c r="C48" i="12"/>
  <c r="C15" i="12"/>
  <c r="E14" i="15" l="1"/>
  <c r="E26" i="15"/>
  <c r="E38" i="15"/>
  <c r="E15" i="15"/>
  <c r="E27" i="15"/>
  <c r="E39" i="15"/>
  <c r="E22" i="15"/>
  <c r="E16" i="15"/>
  <c r="E28" i="15"/>
  <c r="E18" i="15"/>
  <c r="E21" i="15"/>
  <c r="E10" i="15"/>
  <c r="E17" i="15"/>
  <c r="E29" i="15"/>
  <c r="E30" i="15"/>
  <c r="E25" i="15"/>
  <c r="E19" i="15"/>
  <c r="E31" i="15"/>
  <c r="E8" i="15"/>
  <c r="E20" i="15"/>
  <c r="E32" i="15"/>
  <c r="E9" i="15"/>
  <c r="E33" i="15"/>
  <c r="E34" i="15"/>
  <c r="E11" i="15"/>
  <c r="E23" i="15"/>
  <c r="E35" i="15"/>
  <c r="E12" i="15"/>
  <c r="E24" i="15"/>
  <c r="E36" i="15"/>
  <c r="E13" i="15"/>
  <c r="E37" i="15"/>
  <c r="E42" i="11"/>
  <c r="B42" i="11"/>
  <c r="B20" i="13"/>
  <c r="E11" i="13"/>
  <c r="E23" i="13"/>
  <c r="E12" i="13"/>
  <c r="E24" i="13"/>
  <c r="E19" i="13"/>
  <c r="E10" i="13"/>
  <c r="E13" i="13"/>
  <c r="E25" i="13"/>
  <c r="E15" i="13"/>
  <c r="E27" i="13"/>
  <c r="E30" i="13"/>
  <c r="E7" i="13"/>
  <c r="E14" i="13"/>
  <c r="E26" i="13"/>
  <c r="B31" i="13"/>
  <c r="E16" i="13"/>
  <c r="E28" i="13"/>
  <c r="E31" i="13"/>
  <c r="E17" i="13"/>
  <c r="E29" i="13"/>
  <c r="E18" i="13"/>
  <c r="E8" i="13"/>
  <c r="E20" i="13"/>
  <c r="E9" i="13"/>
  <c r="E21" i="13"/>
  <c r="E22" i="13"/>
  <c r="P22" i="13"/>
  <c r="V22" i="13"/>
  <c r="U22" i="13"/>
  <c r="T22" i="13"/>
  <c r="S22" i="13"/>
  <c r="Q22" i="13"/>
  <c r="R22" i="13"/>
  <c r="B39" i="15"/>
  <c r="B37" i="15"/>
  <c r="B38" i="15"/>
  <c r="D6" i="14"/>
  <c r="D6" i="11"/>
  <c r="E6" i="11" s="1"/>
  <c r="B40" i="11"/>
  <c r="B41" i="11"/>
  <c r="E41" i="11"/>
  <c r="E40" i="11"/>
  <c r="B36" i="15"/>
  <c r="B35" i="15"/>
  <c r="B34" i="15"/>
  <c r="B33" i="15"/>
  <c r="B32" i="15"/>
  <c r="B31" i="15"/>
  <c r="D6" i="15"/>
  <c r="B27" i="15"/>
  <c r="E7" i="15"/>
  <c r="B8" i="15"/>
  <c r="B12" i="15"/>
  <c r="B16" i="15"/>
  <c r="B20" i="15"/>
  <c r="B24" i="15"/>
  <c r="B28" i="15"/>
  <c r="B15" i="15"/>
  <c r="B9" i="15"/>
  <c r="B13" i="15"/>
  <c r="B17" i="15"/>
  <c r="B21" i="15"/>
  <c r="B25" i="15"/>
  <c r="B29" i="15"/>
  <c r="B11" i="15"/>
  <c r="B10" i="15"/>
  <c r="B14" i="15"/>
  <c r="B18" i="15"/>
  <c r="B22" i="15"/>
  <c r="B26" i="15"/>
  <c r="B30" i="15"/>
  <c r="B19" i="15"/>
  <c r="B7" i="15"/>
  <c r="B23" i="15"/>
  <c r="E39" i="11"/>
  <c r="B31" i="11"/>
  <c r="E38" i="11"/>
  <c r="E37" i="11"/>
  <c r="E21" i="11"/>
  <c r="B8" i="11"/>
  <c r="B29" i="11"/>
  <c r="E20" i="11"/>
  <c r="B7" i="11"/>
  <c r="B28" i="11"/>
  <c r="E30" i="14"/>
  <c r="E35" i="11"/>
  <c r="E19" i="11"/>
  <c r="B12" i="11"/>
  <c r="B27" i="11"/>
  <c r="B30" i="14"/>
  <c r="E34" i="11"/>
  <c r="E18" i="11"/>
  <c r="B11" i="11"/>
  <c r="B26" i="11"/>
  <c r="E33" i="11"/>
  <c r="E17" i="11"/>
  <c r="B10" i="11"/>
  <c r="B25" i="11"/>
  <c r="E32" i="11"/>
  <c r="E16" i="11"/>
  <c r="B9" i="11"/>
  <c r="B24" i="11"/>
  <c r="E31" i="11"/>
  <c r="E15" i="11"/>
  <c r="B39" i="11"/>
  <c r="B23" i="11"/>
  <c r="E30" i="11"/>
  <c r="E14" i="11"/>
  <c r="B38" i="11"/>
  <c r="B22" i="11"/>
  <c r="E7" i="11"/>
  <c r="B15" i="11"/>
  <c r="B30" i="11"/>
  <c r="B14" i="11"/>
  <c r="E29" i="11"/>
  <c r="E13" i="11"/>
  <c r="B37" i="11"/>
  <c r="B21" i="11"/>
  <c r="E28" i="11"/>
  <c r="E12" i="11"/>
  <c r="B36" i="11"/>
  <c r="B20" i="11"/>
  <c r="E27" i="11"/>
  <c r="E11" i="11"/>
  <c r="B35" i="11"/>
  <c r="B19" i="11"/>
  <c r="E26" i="11"/>
  <c r="E10" i="11"/>
  <c r="B34" i="11"/>
  <c r="B18" i="11"/>
  <c r="E25" i="11"/>
  <c r="E9" i="11"/>
  <c r="B33" i="11"/>
  <c r="B17" i="11"/>
  <c r="E8" i="11"/>
  <c r="B32" i="11"/>
  <c r="E23" i="11"/>
  <c r="B30" i="13"/>
  <c r="E24" i="11"/>
  <c r="E22" i="11"/>
  <c r="B13" i="11"/>
  <c r="B16" i="11"/>
  <c r="E36" i="11"/>
  <c r="B27" i="14"/>
  <c r="E16" i="14"/>
  <c r="B22" i="14"/>
  <c r="E11" i="14"/>
  <c r="B17" i="14"/>
  <c r="E27" i="14"/>
  <c r="B12" i="14"/>
  <c r="E22" i="14"/>
  <c r="B28" i="14"/>
  <c r="B7" i="14"/>
  <c r="E17" i="14"/>
  <c r="B23" i="14"/>
  <c r="E12" i="14"/>
  <c r="B18" i="14"/>
  <c r="E28" i="14"/>
  <c r="E7" i="14"/>
  <c r="B13" i="14"/>
  <c r="E23" i="14"/>
  <c r="B29" i="14"/>
  <c r="B8" i="14"/>
  <c r="E18" i="14"/>
  <c r="B24" i="14"/>
  <c r="E13" i="14"/>
  <c r="B19" i="14"/>
  <c r="E29" i="14"/>
  <c r="E8" i="14"/>
  <c r="B14" i="14"/>
  <c r="E24" i="14"/>
  <c r="B9" i="14"/>
  <c r="E19" i="14"/>
  <c r="B25" i="14"/>
  <c r="E14" i="14"/>
  <c r="B20" i="14"/>
  <c r="E9" i="14"/>
  <c r="B15" i="14"/>
  <c r="E25" i="14"/>
  <c r="B10" i="14"/>
  <c r="E20" i="14"/>
  <c r="B26" i="14"/>
  <c r="E15" i="14"/>
  <c r="B21" i="14"/>
  <c r="E10" i="14"/>
  <c r="B16" i="14"/>
  <c r="E26" i="14"/>
  <c r="B11" i="14"/>
  <c r="E21" i="14"/>
  <c r="B28" i="13"/>
  <c r="B12" i="13"/>
  <c r="B27" i="13"/>
  <c r="B11" i="13"/>
  <c r="B26" i="13"/>
  <c r="B10" i="13"/>
  <c r="B25" i="13"/>
  <c r="B9" i="13"/>
  <c r="B19" i="13"/>
  <c r="B18" i="13"/>
  <c r="B17" i="13"/>
  <c r="B16" i="13"/>
  <c r="B8" i="13"/>
  <c r="B15" i="13"/>
  <c r="B7" i="13"/>
  <c r="B14" i="13"/>
  <c r="B29" i="13"/>
  <c r="B13" i="13"/>
  <c r="B24" i="13"/>
  <c r="B23" i="13"/>
  <c r="B22" i="13"/>
  <c r="B21" i="13"/>
  <c r="D6" i="13"/>
  <c r="N3" i="12"/>
  <c r="M3" i="12"/>
  <c r="L3" i="12"/>
  <c r="K3" i="12"/>
  <c r="J3" i="12"/>
  <c r="B6" i="11" l="1"/>
  <c r="E6" i="15"/>
  <c r="B6" i="15"/>
  <c r="B6" i="14"/>
  <c r="E6" i="14"/>
  <c r="E6" i="13"/>
  <c r="B6" i="13"/>
  <c r="M4" i="11"/>
  <c r="L4" i="11"/>
  <c r="K4" i="11"/>
  <c r="J4" i="11"/>
  <c r="I4" i="11"/>
  <c r="H4" i="11"/>
  <c r="G4" i="11"/>
  <c r="F4" i="11"/>
  <c r="Q21" i="11" l="1"/>
  <c r="P21" i="11"/>
  <c r="V21" i="11"/>
  <c r="S21" i="11"/>
  <c r="R21" i="11"/>
  <c r="U21" i="11"/>
  <c r="T21" i="1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<sst xmlns="http://schemas.openxmlformats.org/spreadsheetml/2006/main" count="922" uniqueCount="376">
  <si>
    <t>Stt</t>
  </si>
  <si>
    <t>Chức danh</t>
  </si>
  <si>
    <t>CN CTY CP PHÂN BÓN DẦU KHÍ CÀ MAU</t>
  </si>
  <si>
    <t>DANH MỤC VỊ TRÍ CHỨC DANH</t>
  </si>
  <si>
    <t>Phân nhóm</t>
  </si>
  <si>
    <t>Thuộc danh mục được duyệt</t>
  </si>
  <si>
    <t>Điều kiện kèm theo</t>
  </si>
  <si>
    <t>Ghi chú</t>
  </si>
  <si>
    <t>Xưởng Điều khiển</t>
  </si>
  <si>
    <t>Mã khung năng lực</t>
  </si>
  <si>
    <t>XƯỞNG ĐIỀU KHIỂN</t>
  </si>
  <si>
    <t>Quản đốc xưởng ĐK</t>
  </si>
  <si>
    <t>Tổng hợp - X.ĐK, NMĐ</t>
  </si>
  <si>
    <t>Tổ trưởng tổ trực ca điều khiển</t>
  </si>
  <si>
    <t>Kỹ thuật viên trực ca điều khiển</t>
  </si>
  <si>
    <t>Đội trưởng Đội thiết bị đo lường</t>
  </si>
  <si>
    <t>Kỹ sư thiết bị đo lường</t>
  </si>
  <si>
    <t>Kỹ thuật viên BDSC thiết bị đo lường</t>
  </si>
  <si>
    <t>Phó quản đốc xưởng ĐK</t>
  </si>
  <si>
    <t>Đội trưởng Đội thiết bị hệ thống điều khiển</t>
  </si>
  <si>
    <t>Kỹ sư thiết bị hệ thống điều khiển</t>
  </si>
  <si>
    <t>Kỹ sư BDSC thiết bị hệ thống điều khiển</t>
  </si>
  <si>
    <t>Kỹ thuật viên BDSC thiết bị hệ thống điều khiển</t>
  </si>
  <si>
    <t>Đội trưởng Đội thiết bị chấp hành</t>
  </si>
  <si>
    <t>Kỹ sư thiết bị chấp hành</t>
  </si>
  <si>
    <t>Kỹ thuật viên BDSC thiết bị chấp hành</t>
  </si>
  <si>
    <t>KNL_ĐK_01</t>
  </si>
  <si>
    <t>KNL_ĐK_02</t>
  </si>
  <si>
    <t>KNL_ĐK_03</t>
  </si>
  <si>
    <t>KNL_ĐK_04</t>
  </si>
  <si>
    <t>KNL_ĐK_05</t>
  </si>
  <si>
    <t>KNL_ĐK_06</t>
  </si>
  <si>
    <t>KNL_ĐK_07</t>
  </si>
  <si>
    <t>KNL_ĐK_08</t>
  </si>
  <si>
    <t>KNL_ĐK_09</t>
  </si>
  <si>
    <t>KNL_ĐK_10</t>
  </si>
  <si>
    <t>KNL_ĐK_11</t>
  </si>
  <si>
    <t>KNL_ĐK_12</t>
  </si>
  <si>
    <t>KNL_ĐK_13</t>
  </si>
  <si>
    <t>KNL_ĐK_14</t>
  </si>
  <si>
    <t>KNL_ĐK_15</t>
  </si>
  <si>
    <t>Tổ trưởng tổ thiết bị Nhiệt độ - độ rung</t>
  </si>
  <si>
    <t>Tổ trưởng tổ thiết bị áp, mức, lưu lượng</t>
  </si>
  <si>
    <t>Tổ trưởng tổ thiết bị HT điều khiển</t>
  </si>
  <si>
    <t>Tổ trưởng tổ thiết bị HT phòng cháy</t>
  </si>
  <si>
    <t>Tổ trưởng tổ thiết bị van ĐK, Junction box</t>
  </si>
  <si>
    <t>Tổ trưởng tổ TB phân tích</t>
  </si>
  <si>
    <t>Tổ trưởng tổ TB đóng bao, xuất hàng</t>
  </si>
  <si>
    <t>Kiêm nhiệm</t>
  </si>
  <si>
    <t>KNL_ĐK_16</t>
  </si>
  <si>
    <t xml:space="preserve"> </t>
  </si>
  <si>
    <t>Phân loại</t>
  </si>
  <si>
    <t>Năng lực chuyên môn</t>
  </si>
  <si>
    <t>Năng lực chuyên môn chi tiết</t>
  </si>
  <si>
    <t>Mã năng lực chuyên môn</t>
  </si>
  <si>
    <t>Mô tả 5 mức điểm năng lực</t>
  </si>
  <si>
    <t>Hình thức/ cơ sở đánh giá năng lực</t>
  </si>
  <si>
    <t>Số lượng năng lực chuyên môn</t>
  </si>
  <si>
    <t>Cơ bản</t>
  </si>
  <si>
    <t>HSE cương vị</t>
  </si>
  <si>
    <t>6 tháng</t>
  </si>
  <si>
    <t>- Hỏi - đáp
- Kiểm tra lý thuyết (trắc nghiệm/viết ngắn)</t>
  </si>
  <si>
    <t>12 tháng</t>
  </si>
  <si>
    <t xml:space="preserve">- Hỏi - đáp
- Kiểm tra lý thuyết (trắc nghiệm/viết ngắn)
- Thực hành đánh giá mức độ hoàn thành công việc </t>
  </si>
  <si>
    <t>Trung cấp</t>
  </si>
  <si>
    <t>Nâng cao</t>
  </si>
  <si>
    <t>Nghiệp vụ hành chính</t>
  </si>
  <si>
    <r>
      <t xml:space="preserve">Đào tạo nhắc lại </t>
    </r>
    <r>
      <rPr>
        <i/>
        <sz val="12"/>
        <color theme="1"/>
        <rFont val="Times New Roman"/>
        <family val="1"/>
      </rPr>
      <t>(tháng)</t>
    </r>
  </si>
  <si>
    <t>Hiểu cơ bản về công nghệ sản xuất trong Nhà máy</t>
  </si>
  <si>
    <t>Hệ thống FA &amp; AFFS</t>
  </si>
  <si>
    <t>Tổng quan Hệ thống điều khiển nhà máy Đạm Cà Mau</t>
  </si>
  <si>
    <t>Nắm được chức năng của tất cả hệ thống điều khiển tại nhà máy Đạm Cà Mau</t>
  </si>
  <si>
    <t>Đọc và hiểu ký hiệu Ex trên thiết bị</t>
  </si>
  <si>
    <t>Hệ thống mạng công nghiệp</t>
  </si>
  <si>
    <t>Kiến thức về điều khiển</t>
  </si>
  <si>
    <t>P&amp;ID</t>
  </si>
  <si>
    <t>Hệ thống máy tính</t>
  </si>
  <si>
    <t>Vùng nguy hiểm (Hazardous Areas)</t>
  </si>
  <si>
    <t>Hệ thống APC</t>
  </si>
  <si>
    <t>Hệ thống AMS</t>
  </si>
  <si>
    <t>Hệ thống OPC</t>
  </si>
  <si>
    <t>Hệ thống OTS</t>
  </si>
  <si>
    <t>Kiến trúc phần cứng hệ thống ESD</t>
  </si>
  <si>
    <t>Kiến trúc phần mềm hệ thống ESD</t>
  </si>
  <si>
    <t xml:space="preserve">An toàn khi làm việc với các thiết bị đo lường tự động hóa </t>
  </si>
  <si>
    <t xml:space="preserve">Kiến thức và kỹ năng liên quan đến phần cứng hệ thống PLC </t>
  </si>
  <si>
    <t xml:space="preserve">Kiến trúc và kỹ năng liên quan đến phần mềm hệ thống PLC </t>
  </si>
  <si>
    <t>Yêu cầu kiến thức  (/Kỹ năng)
(nội dung mà người đó cần phải học để đạt được năng lực (sau này là cơ sở lập KH đào tạo nội bộ hoặc bên ngoài)</t>
  </si>
  <si>
    <t>Định nghĩa
(Bắt đầu bằng kiến thức hoặc Kỹ năng hoặc cả  2)</t>
  </si>
  <si>
    <t>Kiến thức và kỹ năng liên quan đến hệ thống AMS</t>
  </si>
  <si>
    <t>Kiến thức và kỹ năng liên quan đến hệ thống OPC</t>
  </si>
  <si>
    <t>Kiến thức và kỹ năng liên quan đến hệ thống OTS</t>
  </si>
  <si>
    <t>Kiến thức và kỹ năng về hệ thống máy tính</t>
  </si>
  <si>
    <t>Hệ thống nối đất (grounding system)</t>
  </si>
  <si>
    <t xml:space="preserve">Kiến thức về hệ thống nối đất </t>
  </si>
  <si>
    <t>Kiến trúc phần cứng hệ thống F&amp;G</t>
  </si>
  <si>
    <t>Kiến trúc phần mềm hệ thống F&amp;G</t>
  </si>
  <si>
    <t>Kiến thức về hệ thống APC</t>
  </si>
  <si>
    <t>Kiến thức và kỹ năng liên quan đến hệ thống FA &amp; AFFS</t>
  </si>
  <si>
    <t>Hệ thống Fire Alarm- FA &amp; Automatic Fire Fighting System- AFFS</t>
  </si>
  <si>
    <t>Kiến thức và kỹ năng liên quan đến phần cứng hệ thống DCS</t>
  </si>
  <si>
    <t>Kiến thức và kỹ năng liên quan đến phần mềm hệ thống DCS</t>
  </si>
  <si>
    <t>Kiến thức về thiết bị đo lường và van điều khiển tại nhà máy Đạm Cà Mau</t>
  </si>
  <si>
    <t>x</t>
  </si>
  <si>
    <t>Kiến thức về vùng nguy hiểm</t>
  </si>
  <si>
    <t>Công nghệ sản xuất</t>
  </si>
  <si>
    <t>Kiến thức cơ bản về quy trình công nghệ sản xuất tại Nhà máy Đạm Cà Mau từ khí đầu vào đến tạo hạt, đóng bao.</t>
  </si>
  <si>
    <t>KHUNG NĂNG LỰC CHUYÊN MÔN</t>
  </si>
  <si>
    <t>Mã năng lực</t>
  </si>
  <si>
    <t>Chi tiết năng lực chuyên môn</t>
  </si>
  <si>
    <t>Bậc 1</t>
  </si>
  <si>
    <t>Bậc 2</t>
  </si>
  <si>
    <t>Bậc 3</t>
  </si>
  <si>
    <t>Bậc 4</t>
  </si>
  <si>
    <t>Bậc 5</t>
  </si>
  <si>
    <t>Bậc 6</t>
  </si>
  <si>
    <t>Bậc 7</t>
  </si>
  <si>
    <t>Bậc 8</t>
  </si>
  <si>
    <t>Phần cứng hệ thống PLC</t>
  </si>
  <si>
    <t>Phần mềm hệ thống PLC</t>
  </si>
  <si>
    <t>Phần cứng hệ thống DCS</t>
  </si>
  <si>
    <t>Phần mềm hệ thống DCS</t>
  </si>
  <si>
    <t>Phần cứng hệ thống ESD</t>
  </si>
  <si>
    <t>Phần mềm hệ thống ESD</t>
  </si>
  <si>
    <t>Phần cứng hệ thống F&amp;G</t>
  </si>
  <si>
    <t>Phần mềm hệ thống F&amp;G</t>
  </si>
  <si>
    <t>Quản lý sử dụng vật tư tiêu hao, thiết bị, CCDC</t>
  </si>
  <si>
    <t>Kỹ thuật viên BDSC thiết bị hệ thống điều khiển (KNL_ĐK_14)</t>
  </si>
  <si>
    <t>Điện - Điện tử cơ bản</t>
  </si>
  <si>
    <t xml:space="preserve">Kiến thức về điều khiển </t>
  </si>
  <si>
    <t>Kỹ năng sử dụng SAP</t>
  </si>
  <si>
    <t>Kế hoạch Giữa đầu năm 2026</t>
  </si>
  <si>
    <t>Kế hoạch Giữa cuối năm 2026</t>
  </si>
  <si>
    <t>Quy trình làm việc</t>
  </si>
  <si>
    <t>Kiến thức về quy trình làm việc</t>
  </si>
  <si>
    <t>Tổng quan Thiết bị đo lường và van điều khiển nhà máy Đạm Cà Mau</t>
  </si>
  <si>
    <t>- Khái niệm: Open loop, Closse loop, các thành phần vòng điều khiển, SP, PV, MV.
- Đặc tính cơ bản ảnh hưởng đến đáp ứng của process: Process Gain, Time Constant và Dead Time
- Bộ điều khiển PID, ảnh hưởng của các thành phần và các chỉ tiêu chất lượng: Overshoot, Settling time, error.</t>
  </si>
  <si>
    <t>Kiến thức tổng quan về biện pháp phòng nổ (Ex protection)</t>
  </si>
  <si>
    <t>- Nắm tổng quan các phân Xưởng trong NM ĐCM: chức năng và vai trò.
- Lưu đồ công nghệ về phân cụm: chức năng và vai trò.</t>
  </si>
  <si>
    <t>- Nắm tổng quan Hệ thống điều khiển tại NM ĐCM: chức năng và vai trò của các hệ thống
- Sự kết nối giữa các hệ thống, phương thức kết nối.</t>
  </si>
  <si>
    <t>- Biết được các thiết bị đo: Mức, áp, lưu lượng, nhiệt độ, đầu dò độ rung đang áp dụng tại NM ĐCM.
- Biết được các loại van điều khiển đang được sử dụng tại NM ĐCM</t>
  </si>
  <si>
    <t>- Khái niệm vùng nguy hiểm theo ATEX/IECEx, phân vùng nguy hiểm trong NM ĐCM.
- Hiểu nguyên lý cháy nổ (tam giác cháy)</t>
  </si>
  <si>
    <t>Kiến thức về ký hiệu phòng nổ trên thiết bị</t>
  </si>
  <si>
    <t>- Các phương pháp phòng nổ tại nhà máy Đạm Cà Mau
- Sử dụng công cụ/tài liệu để đọc được Ex marking trên thiết bị</t>
  </si>
  <si>
    <t>Phần cứng hệ thống MPS/MMS</t>
  </si>
  <si>
    <t>Phần mềm hệ thống MPS/MMS</t>
  </si>
  <si>
    <t>Kiến trúc phần cứng hệ thống MPS/MMS</t>
  </si>
  <si>
    <t>Kiến trúc phần mềm hệ thống MPS/MMS</t>
  </si>
  <si>
    <r>
      <rPr>
        <b/>
        <sz val="12"/>
        <rFont val="Times New Roman"/>
        <family val="1"/>
      </rPr>
      <t>Kiến thức nền tảng:</t>
    </r>
    <r>
      <rPr>
        <sz val="12"/>
        <rFont val="Times New Roman"/>
        <family val="1"/>
      </rPr>
      <t xml:space="preserve">
- Nắm được kiến trúc phần cứng: liệt kê các phần tử, nêu được chức năng từng phần tử
- Đọc hiểu bản vẽ IO wiring, trình bày được đường đi của tín hiệu từ thiết bị hiện trường đến Card và ngược lại.
- Nắm được chức năng từng loại card.
</t>
    </r>
    <r>
      <rPr>
        <b/>
        <sz val="12"/>
        <rFont val="Times New Roman"/>
        <family val="1"/>
      </rPr>
      <t>Kỹ năng:</t>
    </r>
    <r>
      <rPr>
        <sz val="12"/>
        <rFont val="Times New Roman"/>
        <family val="1"/>
      </rPr>
      <t xml:space="preserve">
- Có thể lắp đặt, đấu nối tín hiệu, thay thế các phần tử trong hệ thống.</t>
    </r>
  </si>
  <si>
    <r>
      <rPr>
        <b/>
        <sz val="12"/>
        <rFont val="Times New Roman"/>
        <family val="1"/>
      </rPr>
      <t>Kiến thức:</t>
    </r>
    <r>
      <rPr>
        <sz val="12"/>
        <rFont val="Times New Roman"/>
        <family val="1"/>
      </rPr>
      <t xml:space="preserve">
- Nắm được các loại tín hiệu giám sát máy động.</t>
    </r>
    <r>
      <rPr>
        <b/>
        <sz val="12"/>
        <rFont val="Times New Roman"/>
        <family val="1"/>
      </rPr>
      <t xml:space="preserve">
</t>
    </r>
    <r>
      <rPr>
        <sz val="12"/>
        <rFont val="Times New Roman"/>
        <family val="1"/>
      </rPr>
      <t xml:space="preserve">- Nắm được kiến trúc phần mềm: nắm được các câu lệnh cấu hình trong Rack 3500.
- Đọc hiểu bản vẽ Interlock và trình bày được sự hiện diện bên trong chương trình.
- Nắm được phương thức kết nối/logic tác động với các hệ thống khác.
</t>
    </r>
    <r>
      <rPr>
        <b/>
        <sz val="12"/>
        <rFont val="Times New Roman"/>
        <family val="1"/>
      </rPr>
      <t>Kỹ năng</t>
    </r>
    <r>
      <rPr>
        <sz val="12"/>
        <rFont val="Times New Roman"/>
        <family val="1"/>
      </rPr>
      <t xml:space="preserve">
- Sử dụng cơ bản phần mềm Rack 3500, System1 (Có thể cấu hình mới, MOC, Backup / Restore Configuration)
- Sử dụng công cụ cầm tay để mô phỏng và đo đạc tín hiệu độ rung (CA150, Fluke744, oscilloscope)</t>
    </r>
  </si>
  <si>
    <r>
      <rPr>
        <b/>
        <sz val="12"/>
        <color theme="1"/>
        <rFont val="Times New Roman"/>
        <family val="1"/>
      </rPr>
      <t>Kiến thức:</t>
    </r>
    <r>
      <rPr>
        <sz val="12"/>
        <color theme="1"/>
        <rFont val="Times New Roman"/>
        <family val="1"/>
      </rPr>
      <t xml:space="preserve">
- Nắm được chức năng của hệ thống
</t>
    </r>
    <r>
      <rPr>
        <b/>
        <sz val="12"/>
        <color theme="1"/>
        <rFont val="Times New Roman"/>
        <family val="1"/>
      </rPr>
      <t xml:space="preserve">Kỹ năng:
</t>
    </r>
    <r>
      <rPr>
        <sz val="12"/>
        <color theme="1"/>
        <rFont val="Times New Roman"/>
        <family val="1"/>
      </rPr>
      <t xml:space="preserve">- Sử dụng công cụ để backup/restore PC
</t>
    </r>
  </si>
  <si>
    <r>
      <rPr>
        <b/>
        <sz val="12"/>
        <color theme="1"/>
        <rFont val="Times New Roman"/>
        <family val="1"/>
      </rPr>
      <t>Kiến thức:</t>
    </r>
    <r>
      <rPr>
        <sz val="12"/>
        <color theme="1"/>
        <rFont val="Times New Roman"/>
        <family val="1"/>
      </rPr>
      <t xml:space="preserve">
- Nắm được kiến trúc phần mềm: hiểu chức năng các khối cấu hình trong project nhà máy Đạm Cà Mau.
- Đọc hiểu bản vẽ IO wiring và trình bày được sự hiện diện bên trong chương trình
- Nắm được các chuẩn truyền thông
- Nắm được phương thức kết nối/logic tác động với các hệ thống khác
</t>
    </r>
    <r>
      <rPr>
        <b/>
        <sz val="12"/>
        <color theme="1"/>
        <rFont val="Times New Roman"/>
        <family val="1"/>
      </rPr>
      <t>Kỹ năng</t>
    </r>
    <r>
      <rPr>
        <sz val="12"/>
        <color theme="1"/>
        <rFont val="Times New Roman"/>
        <family val="1"/>
      </rPr>
      <t xml:space="preserve">
-  Sử dụng cơ bản phần mềm TriStation, Intouch WindowMarker</t>
    </r>
  </si>
  <si>
    <r>
      <rPr>
        <b/>
        <sz val="12"/>
        <rFont val="Times New Roman"/>
        <family val="1"/>
      </rPr>
      <t>- Kiến thức Điện cơ bản</t>
    </r>
    <r>
      <rPr>
        <sz val="12"/>
        <rFont val="Times New Roman"/>
        <family val="1"/>
      </rPr>
      <t xml:space="preserve">
+ Hiểu các đại lượng: Điện áp, dòng điện, điện trở.
+ Phân biệt AC/DC
+ Các khí cụ điện: Relay, khởi động từ, Rờ le nhiệt, Timer cơ bản.
</t>
    </r>
    <r>
      <rPr>
        <b/>
        <sz val="12"/>
        <rFont val="Times New Roman"/>
        <family val="1"/>
      </rPr>
      <t>- Kiến thức điện tử cơ bản</t>
    </r>
    <r>
      <rPr>
        <sz val="12"/>
        <rFont val="Times New Roman"/>
        <family val="1"/>
      </rPr>
      <t xml:space="preserve">: 
+ Nắm được chức năng, nguyên lý hoạt động của các linh kiện cơ bản như điện trở, tụ điện, cuộn cảm, transistor.
+ Đại số Boole, hiểu nguyên lý hoạt động của các cổng logic
</t>
    </r>
    <r>
      <rPr>
        <b/>
        <sz val="12"/>
        <rFont val="Times New Roman"/>
        <family val="1"/>
      </rPr>
      <t>- Kiến thức về tín hiệu:</t>
    </r>
    <r>
      <rPr>
        <sz val="12"/>
        <rFont val="Times New Roman"/>
        <family val="1"/>
      </rPr>
      <t xml:space="preserve">
+ Phân biệt 2 loại tín hiệu Analog và Digital và mục đích sử dụng 0-10V, 0-5V, 4-20mA
+ Phân biệt tín hiệu Sink, Source, tín hiệu tín hiệu NO/NC</t>
    </r>
  </si>
  <si>
    <t>- Nguyên lý làm việc của hệ thống.
- Các loại nối đất (Nối đất bảo vệ (PE), Nối đất chức năng (FE), Shield Ground), chức năng của từng loại
- Kiến trúc hệ thống nối đất (Cọc tiếp địa, dây tiếp địa, thanh cái tiếp địa,…)
- Kiến thức về điện trở đất</t>
  </si>
  <si>
    <t>Nghiệp vụ SAP</t>
  </si>
  <si>
    <t>Kiến thức Điện - Điện tử cơ bản</t>
  </si>
  <si>
    <t>Quản lý hồ sơ, tài liệu/bản vẽ kỹ thuật</t>
  </si>
  <si>
    <t>Nắm được chức năng của các hệ thống điều khiển tại nhà máy Đạm Cà Mau bao gồm Hệ thống điều khiển phân tán, ESD, hệ thống điều khiển Turbine và máy nén, hệ thống MPS/MMS, hệ thống đóng bao xuất hàng</t>
  </si>
  <si>
    <t>Kiến thức và kỹ năng cơ bản về truyền thông công nghiệp</t>
  </si>
  <si>
    <t>Thiết bị đo áp suất</t>
  </si>
  <si>
    <t>Thiết bị đo nhiệt độ</t>
  </si>
  <si>
    <t>Thiết bị đo giám sát máy động</t>
  </si>
  <si>
    <t>Kiến thức và kỹ năng về thiết bị đo áp suất</t>
  </si>
  <si>
    <t>Kiến thức và kỹ năng về thiết bị đo nhiệt độ</t>
  </si>
  <si>
    <t>Kiến thức và kỹ năng về thiết bị đo giám sát máy động</t>
  </si>
  <si>
    <t>Kiến thức và kỹ năng về thiết bị dò khí cháy nổ và khí độc</t>
  </si>
  <si>
    <t>Thiết bị dò khí cháy nổ và khí độc</t>
  </si>
  <si>
    <t>Thiết bị đóng bao</t>
  </si>
  <si>
    <t>Thiết bị vận chuyển, xuất hàng, lưu  kho, nhập liệu</t>
  </si>
  <si>
    <t>Kiến thức và kỹ năng về thiết bị vận chuyển, xuất hàng, lưu  kho, nhập liệu</t>
  </si>
  <si>
    <t>Thiết bị phân tích, quan trắc môi trường</t>
  </si>
  <si>
    <t>Kiến thức và kỹ năng về thiết bị phân tích, quan trắc môi trường</t>
  </si>
  <si>
    <t>Kiến thức và kỹ năng về thiết bị đóng bao</t>
  </si>
  <si>
    <r>
      <rPr>
        <b/>
        <sz val="12"/>
        <color rgb="FFFF0000"/>
        <rFont val="Times New Roman"/>
        <family val="1"/>
      </rPr>
      <t>Kiến thức:</t>
    </r>
    <r>
      <rPr>
        <sz val="12"/>
        <color rgb="FFFF0000"/>
        <rFont val="Times New Roman"/>
        <family val="1"/>
      </rPr>
      <t xml:space="preserve">
-  Phân loại và nguyên lý làm việc của các thiết bị dò khí cháy nổ và khí độc tại NM ĐCM: Electrochemical, Catalytic bead, IR.
- Ý nghĩa các đại lượng: %LEL vs %Vol, ppm, T90 response time.
- Nắm được các logic kích hoạt Đèn, còi, MIMIC.
</t>
    </r>
    <r>
      <rPr>
        <b/>
        <sz val="12"/>
        <color rgb="FFFF0000"/>
        <rFont val="Times New Roman"/>
        <family val="1"/>
      </rPr>
      <t xml:space="preserve">Kỹ năng: 
</t>
    </r>
    <r>
      <rPr>
        <sz val="12"/>
        <color rgb="FFFF0000"/>
        <rFont val="Times New Roman"/>
        <family val="1"/>
      </rPr>
      <t>- Lắp đặt/thay thế thiết bị
- Hiệu chuẩn thiết bị</t>
    </r>
  </si>
  <si>
    <r>
      <rPr>
        <b/>
        <sz val="12"/>
        <color rgb="FFFF0000"/>
        <rFont val="Times New Roman"/>
        <family val="1"/>
      </rPr>
      <t>Kiến thức:</t>
    </r>
    <r>
      <rPr>
        <sz val="12"/>
        <color rgb="FFFF0000"/>
        <rFont val="Times New Roman"/>
        <family val="1"/>
      </rPr>
      <t xml:space="preserve">
-  Nguyên lý làm việc của các hệ thống băng tải, gầu tải, shiploader, robot và tripper car.
- Nguyên lý làm việc/chức năng của các phần tử cảm biến và cơ cấu chấp hành: Sensor, encorder, các phần tử khí nén (Xylanh, tiết lưu, regulaor, van  phân phối), safety rope, Limit switch.
- Đọc hiểu sơ đồ mạch điện/điều khiển
</t>
    </r>
    <r>
      <rPr>
        <b/>
        <sz val="12"/>
        <color rgb="FFFF0000"/>
        <rFont val="Times New Roman"/>
        <family val="1"/>
      </rPr>
      <t xml:space="preserve">Kỹ năng: 
</t>
    </r>
    <r>
      <rPr>
        <sz val="12"/>
        <color rgb="FFFF0000"/>
        <rFont val="Times New Roman"/>
        <family val="1"/>
      </rPr>
      <t>- Lắp đặt/thay thế thiết bị/phụ kiện
- Cân chỉnh thiết bị</t>
    </r>
  </si>
  <si>
    <r>
      <rPr>
        <b/>
        <sz val="12"/>
        <color rgb="FFFF0000"/>
        <rFont val="Times New Roman"/>
        <family val="1"/>
      </rPr>
      <t>Kiến thức:</t>
    </r>
    <r>
      <rPr>
        <sz val="12"/>
        <color rgb="FFFF0000"/>
        <rFont val="Times New Roman"/>
        <family val="1"/>
      </rPr>
      <t xml:space="preserve">
-  Phân loại và nguyên lý làm việc hệ thống cân đóng bao, cân đối chứng, cân định lượng, máy in, hệ thống đếm bao.
- Nguyên lý làm việc của các phần tử cảm biến và cơ cấu chấp hành: Sensor, encorder, load cell, các phần tử khí nén (Xylanh, tiết lưu, regulaor, van  phân phối).
- Đọc hiểu sơ đồ mạch điện/điều khiển
</t>
    </r>
    <r>
      <rPr>
        <b/>
        <sz val="12"/>
        <color rgb="FFFF0000"/>
        <rFont val="Times New Roman"/>
        <family val="1"/>
      </rPr>
      <t xml:space="preserve">Kỹ năng: 
</t>
    </r>
    <r>
      <rPr>
        <sz val="12"/>
        <color rgb="FFFF0000"/>
        <rFont val="Times New Roman"/>
        <family val="1"/>
      </rPr>
      <t>- Lắp đặt/thay thế thiết bị/phụ kiện
- Cân chỉnh thiết bị</t>
    </r>
  </si>
  <si>
    <r>
      <rPr>
        <b/>
        <sz val="12"/>
        <color rgb="FFFF0000"/>
        <rFont val="Times New Roman"/>
        <family val="1"/>
      </rPr>
      <t>Kiến thức:</t>
    </r>
    <r>
      <rPr>
        <sz val="12"/>
        <color rgb="FFFF0000"/>
        <rFont val="Times New Roman"/>
        <family val="1"/>
      </rPr>
      <t xml:space="preserve">
-  Phân loại và nguyên lý làm việc của MOV tại NM ĐCM
-  Hiểu cấu tạo, chức năng, đọc hiểu sơ đồ mạch điện/điều khiển: Mạch đảo chiều quay motor, Contactor – relay – overload,  Heater, Local/Remote selector, gearbox.
- Nắm ý nghĩa các thuật ngữ: Torque switch vs Limit switch.
</t>
    </r>
    <r>
      <rPr>
        <b/>
        <sz val="12"/>
        <color rgb="FFFF0000"/>
        <rFont val="Times New Roman"/>
        <family val="1"/>
      </rPr>
      <t xml:space="preserve">Kỹ năng: 
</t>
    </r>
    <r>
      <rPr>
        <sz val="12"/>
        <color rgb="FFFF0000"/>
        <rFont val="Times New Roman"/>
        <family val="1"/>
      </rPr>
      <t>- Lắp đặt/thay thế thiết bị/phụ kiện
- Cân chỉnh thiết bị: Set limit/torque</t>
    </r>
  </si>
  <si>
    <r>
      <rPr>
        <b/>
        <sz val="12"/>
        <color rgb="FFFF0000"/>
        <rFont val="Times New Roman"/>
        <family val="1"/>
      </rPr>
      <t>Kiến thức:</t>
    </r>
    <r>
      <rPr>
        <sz val="12"/>
        <color rgb="FFFF0000"/>
        <rFont val="Times New Roman"/>
        <family val="1"/>
      </rPr>
      <t xml:space="preserve">
-  Phân loại và nguyên lý làm việc của các thiết bị phân tích tại NM ĐCM: Mass spectrometer, gas chromatograph.
- Chức năng hệ thống lấy mẫu (Sample Conditioning System – SCS).
- Các loại khí chuẩn thường dùng tại NM ĐCM và vai trò trong hệ thống phân tích.
</t>
    </r>
    <r>
      <rPr>
        <b/>
        <sz val="12"/>
        <color rgb="FFFF0000"/>
        <rFont val="Times New Roman"/>
        <family val="1"/>
      </rPr>
      <t xml:space="preserve">Kỹ năng: 
</t>
    </r>
    <r>
      <rPr>
        <sz val="12"/>
        <color rgb="FFFF0000"/>
        <rFont val="Times New Roman"/>
        <family val="1"/>
      </rPr>
      <t>- Lắp đặt/thay thế thiết bị/phụ kiện
- Hiệu chuẩn thiết bị</t>
    </r>
  </si>
  <si>
    <r>
      <rPr>
        <b/>
        <sz val="12"/>
        <color rgb="FFFF0000"/>
        <rFont val="Times New Roman"/>
        <family val="1"/>
      </rPr>
      <t>Kiến thức:</t>
    </r>
    <r>
      <rPr>
        <sz val="12"/>
        <color rgb="FFFF0000"/>
        <rFont val="Times New Roman"/>
        <family val="1"/>
      </rPr>
      <t xml:space="preserve">
-  Các phương pháp đo áp suất tại NM ĐCM và nguyên lý làm việc của từng phương pháp
- Các nguyên tắc cơ bản lắp đặt thiết bị theo tiêu chuẩn ngành/tiêu chuẩn tại NM ĐCM
- Nguyên lý làm việc/Chức năng của các phụ kiện: manifold, bình ngưng.
- Hiểu các thông số cơ bản khi cấu hình thiết bị: Damping, low cut, transfer function, display function.
</t>
    </r>
    <r>
      <rPr>
        <b/>
        <sz val="12"/>
        <color rgb="FFFF0000"/>
        <rFont val="Times New Roman"/>
        <family val="1"/>
      </rPr>
      <t xml:space="preserve">Kỹ năng: 
</t>
    </r>
    <r>
      <rPr>
        <sz val="12"/>
        <color rgb="FFFF0000"/>
        <rFont val="Times New Roman"/>
        <family val="1"/>
      </rPr>
      <t>- Đọc hiểu bản vẽ Hook up
- Lắp đặt thiết bị
- Hiệu chuẩn thiết bị</t>
    </r>
  </si>
  <si>
    <r>
      <rPr>
        <b/>
        <sz val="12"/>
        <color rgb="FFFF0000"/>
        <rFont val="Times New Roman"/>
        <family val="1"/>
      </rPr>
      <t>Kiến thức:</t>
    </r>
    <r>
      <rPr>
        <sz val="12"/>
        <color rgb="FFFF0000"/>
        <rFont val="Times New Roman"/>
        <family val="1"/>
      </rPr>
      <t xml:space="preserve">
-  Các phương pháp đo mức tại NM ĐCM và nguyên lý làm việc của từng phương pháp
- Các nguyên tắc cơ bản lắp đặt thiết bị theo tiêu chuẩn ngành/tiêu chuẩn tại NM ĐCM
- Nguyên lý làm việc/Chức năng của các phụ kiện: manifold, bình ngưng.
- Hiểu các thông số cơ bản khi cấu hình thiết bị: Damping, low cut, transfer function, display function.
</t>
    </r>
    <r>
      <rPr>
        <b/>
        <sz val="12"/>
        <color rgb="FFFF0000"/>
        <rFont val="Times New Roman"/>
        <family val="1"/>
      </rPr>
      <t xml:space="preserve">Kỹ năng: 
</t>
    </r>
    <r>
      <rPr>
        <sz val="12"/>
        <color rgb="FFFF0000"/>
        <rFont val="Times New Roman"/>
        <family val="1"/>
      </rPr>
      <t>- Đọc hiểu bản vẽ Hook up
- Lắp đặt thiết bị
- Hiệu chuẩn thiết bị</t>
    </r>
  </si>
  <si>
    <r>
      <rPr>
        <b/>
        <sz val="12"/>
        <color rgb="FFFF0000"/>
        <rFont val="Times New Roman"/>
        <family val="1"/>
      </rPr>
      <t>Kiến thức:</t>
    </r>
    <r>
      <rPr>
        <sz val="12"/>
        <color rgb="FFFF0000"/>
        <rFont val="Times New Roman"/>
        <family val="1"/>
      </rPr>
      <t xml:space="preserve">
-  Các phương pháp đo lưu lượng tại NM ĐCM và nguyên lý làm việc của từng phương pháp
- Các nguyên tắc cơ bản lắp đặt thiết bị theo tiêu chuẩn ngành/tiêu chuẩn tại NM ĐCM
- Nguyên lý làm việc/Chức năng của các phụ kiện: manifold, bình ngưng.
- Hiểu các thông số cơ bản khi cấu hình thiết bị: Damping, low cut, transfer function, display function.
- Phương pháp bù áp, bù nhiệt  cơ bản tại NM ĐCM
</t>
    </r>
    <r>
      <rPr>
        <b/>
        <sz val="12"/>
        <color rgb="FFFF0000"/>
        <rFont val="Times New Roman"/>
        <family val="1"/>
      </rPr>
      <t xml:space="preserve">Kỹ năng: 
</t>
    </r>
    <r>
      <rPr>
        <sz val="12"/>
        <color rgb="FFFF0000"/>
        <rFont val="Times New Roman"/>
        <family val="1"/>
      </rPr>
      <t>- Đọc hiểu bản vẽ Hook up
- Lắp đặt thiết bị
- Hiệu chuẩn thiết bị</t>
    </r>
  </si>
  <si>
    <r>
      <rPr>
        <b/>
        <sz val="12"/>
        <color rgb="FFFF0000"/>
        <rFont val="Times New Roman"/>
        <family val="1"/>
      </rPr>
      <t>Kiến thức:</t>
    </r>
    <r>
      <rPr>
        <sz val="12"/>
        <color rgb="FFFF0000"/>
        <rFont val="Times New Roman"/>
        <family val="1"/>
      </rPr>
      <t xml:space="preserve">
-  Các phương pháp đo nhiệt độ tại NM ĐCM và nguyên lý làm việc của từng phương pháp
- Các nguyên tắc cơ bản lắp đặt thiết bị theo tiêu chuẩn ngành/tiêu chuẩn tại NM ĐCM
- Nguyên lý làm việc/Chức năng của các phụ kiện: thermowell, Extension Cable.
- Hiểu các thông số cơ bản khi cấu hình thiết bị: Damping, low cut, transfer function, display function.
</t>
    </r>
    <r>
      <rPr>
        <b/>
        <sz val="12"/>
        <color rgb="FFFF0000"/>
        <rFont val="Times New Roman"/>
        <family val="1"/>
      </rPr>
      <t xml:space="preserve">Kỹ năng: 
</t>
    </r>
    <r>
      <rPr>
        <sz val="12"/>
        <color rgb="FFFF0000"/>
        <rFont val="Times New Roman"/>
        <family val="1"/>
      </rPr>
      <t>- Lắp đặt thiết bị
- Hiệu chuẩn thiết bị</t>
    </r>
  </si>
  <si>
    <t>Kỹ thuật viên BDSC thiết bị đo lường (KNL_ĐK_13)</t>
  </si>
  <si>
    <t xml:space="preserve">Kiến thức về an toàn khi làm việc với các thiết bị đo lường tự động hóa </t>
  </si>
  <si>
    <t>Kỹ thuật viên BDSC thiết bị chấp hành (KNL_ĐK_15)</t>
  </si>
  <si>
    <t>Kỹ thuật viên Kỹ thuật viên trực ca điều khiển (KNL_ĐK_12)</t>
  </si>
  <si>
    <t>Nền tảng chuyên ngành đo lường điều khiển</t>
  </si>
  <si>
    <r>
      <rPr>
        <b/>
        <sz val="12"/>
        <rFont val="Times New Roman"/>
        <family val="1"/>
      </rPr>
      <t>Kiến thức:</t>
    </r>
    <r>
      <rPr>
        <sz val="12"/>
        <rFont val="Times New Roman"/>
        <family val="1"/>
      </rPr>
      <t xml:space="preserve">
- Kiến thức nền tảng về truyền thông
+ Khái niệm: Master – Slave / Client – Server
+ Tham số truyền thông: Baud rate, Bandwidth
- Các chuẩn mạng công nghiệp:
+ Ethernet: PROFINET, Modbus TCP
+ Fieldbus: Profibus DP, Modbus RTU, Foundation Fieldbus, HART
+ Serial: RS232, RS485
- Địa chỉ mạng:
+ Địa chỉ IP: IPv4, Subnet mask, Gateway
+ Mac address
- Kiến thức phần cứng mạng công nghiệp
+ Thiết bị mạng: Switch, router, converter.
+ Cáp &amp; vật tư: Ethernet (CAT5e, CAT6), Cáp quang, Đầu RJ45, ODF, FOC.
- Hiểu cơ bản cơ chế trao đổi dữ liệu: OPC, DDE.
</t>
    </r>
    <r>
      <rPr>
        <b/>
        <sz val="12"/>
        <rFont val="Times New Roman"/>
        <family val="1"/>
      </rPr>
      <t>Kỹ năng:</t>
    </r>
    <r>
      <rPr>
        <sz val="12"/>
        <rFont val="Times New Roman"/>
        <family val="1"/>
      </rPr>
      <t xml:space="preserve">
- Thi công / đấu nối đầu RJ45, DP
</t>
    </r>
    <r>
      <rPr>
        <sz val="12"/>
        <color theme="1"/>
        <rFont val="Times New Roman"/>
        <family val="1"/>
      </rPr>
      <t>- Hàn cáp quang, kiểm tra suy hao &amp; điểm đứt cáp quang</t>
    </r>
    <r>
      <rPr>
        <sz val="12"/>
        <rFont val="Times New Roman"/>
        <family val="1"/>
      </rPr>
      <t xml:space="preserve">
- Lắp đặt/Cấu hình thiết bị mạng (Switch, access point)
- Cấu hình đọc dữ liệu từ các giao thức RS232/RS485 TCP/IP.</t>
    </r>
  </si>
  <si>
    <r>
      <rPr>
        <b/>
        <sz val="12"/>
        <color theme="1"/>
        <rFont val="Times New Roman"/>
        <family val="1"/>
      </rPr>
      <t>Kiến thức:</t>
    </r>
    <r>
      <rPr>
        <sz val="12"/>
        <color theme="1"/>
        <rFont val="Times New Roman"/>
        <family val="1"/>
      </rPr>
      <t xml:space="preserve">
- Nắm được chức năng các phần tử cơ bản: CPU, GPU, RAM, Hard disk, card Raid, card truyền thông, cổng giao tiếp cơ bản, UPS.
- Nắm  được các loại cấu hình RAID, ưu nhược điểm của từng loại
- Nắm cơ bản về an ninh mạng.
- Phân biệt IT và OT
</t>
    </r>
    <r>
      <rPr>
        <b/>
        <sz val="12"/>
        <color theme="1"/>
        <rFont val="Times New Roman"/>
        <family val="1"/>
      </rPr>
      <t>Kỹ năng:</t>
    </r>
    <r>
      <rPr>
        <sz val="12"/>
        <color theme="1"/>
        <rFont val="Times New Roman"/>
        <family val="1"/>
      </rPr>
      <t xml:space="preserve">
- Quản lý file, thư mục chương trình điều khiển
- Cài đặt hệ điều hành
- Nắm được các cách Backup và Restore máy tính
- Kiểm tra/chuẩn đoán thay thế các phần tử (Ram, Hard disk, card truyền thông,...)
- Xử lý lỗi mất kết nối</t>
    </r>
  </si>
  <si>
    <r>
      <rPr>
        <b/>
        <sz val="12"/>
        <rFont val="Times New Roman"/>
        <family val="1"/>
      </rPr>
      <t>Kiến thức:</t>
    </r>
    <r>
      <rPr>
        <sz val="12"/>
        <rFont val="Times New Roman"/>
        <family val="1"/>
      </rPr>
      <t xml:space="preserve">
Nắm và sử dụng đúng chức năng CCDC
</t>
    </r>
    <r>
      <rPr>
        <b/>
        <sz val="12"/>
        <rFont val="Times New Roman"/>
        <family val="1"/>
      </rPr>
      <t>Kỹ năng:</t>
    </r>
    <r>
      <rPr>
        <sz val="12"/>
        <rFont val="Times New Roman"/>
        <family val="1"/>
      </rPr>
      <t xml:space="preserve">
- Sử dụng công cụ dụng cụ thuộc phạm vi Đội TBHTĐK và Hart communicator
- Sử dụng thành thạo dụng cụ điện trong đấu nối và lắp đặt.
- Đấu nối cable gland.</t>
    </r>
  </si>
  <si>
    <r>
      <rPr>
        <b/>
        <sz val="12"/>
        <rFont val="Times New Roman"/>
        <family val="1"/>
      </rPr>
      <t>Kiến thức:</t>
    </r>
    <r>
      <rPr>
        <sz val="12"/>
        <rFont val="Times New Roman"/>
        <family val="1"/>
      </rPr>
      <t xml:space="preserve">
</t>
    </r>
    <r>
      <rPr>
        <b/>
        <sz val="12"/>
        <rFont val="Times New Roman"/>
        <family val="1"/>
      </rPr>
      <t>- Hệ thống báo cháy: FA</t>
    </r>
    <r>
      <rPr>
        <sz val="12"/>
        <rFont val="Times New Roman"/>
        <family val="1"/>
      </rPr>
      <t xml:space="preserve">
+ Nguyên lý Đầu báo khói - nhiệt được sử dụng trong NM ĐCM
+ Chức năng nút nhấn khẩn (Manual Call Point)
+ Điều khiển chuông, còi, đèn, relay
+ Bản vẽ đấu nối thiết bị, kết nối với hệ thống AFFS &amp; Fire and Gas
</t>
    </r>
    <r>
      <rPr>
        <b/>
        <sz val="12"/>
        <rFont val="Times New Roman"/>
        <family val="1"/>
      </rPr>
      <t xml:space="preserve">- Hệ thống chữa cháy tự động (AFFS): </t>
    </r>
    <r>
      <rPr>
        <sz val="12"/>
        <rFont val="Times New Roman"/>
        <family val="1"/>
      </rPr>
      <t xml:space="preserve">FM-200, CO2, Bọt Foam.
+ Chức năng hệ thống
+ Bản vẽ đấu nối thiết bị, kết nối với hệ thống FA
</t>
    </r>
    <r>
      <rPr>
        <b/>
        <sz val="12"/>
        <rFont val="Times New Roman"/>
        <family val="1"/>
      </rPr>
      <t>- Tiêu chuẩn</t>
    </r>
    <r>
      <rPr>
        <sz val="12"/>
        <rFont val="Times New Roman"/>
        <family val="1"/>
      </rPr>
      <t xml:space="preserve">
+ TCVN 3890 Trang bị, kiểm tra hệ thống báo cháy – chữa cháy
+ TCVN 5760/5738 Hệ thống báo cháy tự động – thiết kế &amp; lắp đặt
</t>
    </r>
    <r>
      <rPr>
        <b/>
        <sz val="12"/>
        <rFont val="Times New Roman"/>
        <family val="1"/>
      </rPr>
      <t>Kỹ năng:</t>
    </r>
    <r>
      <rPr>
        <sz val="12"/>
        <rFont val="Times New Roman"/>
        <family val="1"/>
      </rPr>
      <t xml:space="preserve">
- Đấu nối dây loop &amp; end-of-line (EOL)</t>
    </r>
    <r>
      <rPr>
        <b/>
        <sz val="12"/>
        <rFont val="Times New Roman"/>
        <family val="1"/>
      </rPr>
      <t xml:space="preserve">	
</t>
    </r>
    <r>
      <rPr>
        <sz val="12"/>
        <rFont val="Times New Roman"/>
        <family val="1"/>
      </rPr>
      <t>- Sử dụng cơ bản phần mềm Notifier Verifire Tool (Cấu hình khai báo mới, relay, còi, đèn, chuông, thiết lập Interlock, MOC)
- Sử dụng công cụ để backup/restore hệ thống</t>
    </r>
  </si>
  <si>
    <t>An toàn điều khiển chức năng</t>
  </si>
  <si>
    <t>Kiến thức về an toàn điều khiển chức năng</t>
  </si>
  <si>
    <t>1 - Không nhận biết nội dung hoặc thuật ngữ chuyên môn/thiếu kiến thức
2 - Có kiến thức nhưng chưa thể làm
3 - Có kiến thức và có thể thực hiện dưới sự giám sát
4 - Có thể thực hiện độc lập
5 - Có thể thực hiện độc lập và có thể dạy lại người khác</t>
  </si>
  <si>
    <t>Tham gia thiết kế và triển khai các dự án C&amp;I quy mô nhỏ</t>
  </si>
  <si>
    <t>Thiết kế và triển khai các dự án C&amp;I quy mô nhỏ</t>
  </si>
  <si>
    <t>Lựa chọn thiết bị van điều khiển</t>
  </si>
  <si>
    <t>- Tiêu chuẩn thiết kế hệ thống điều khiển
- Thiết kế tài liệu (Engineering Deliverables): Interlock, Instrument loop diagram, I/O wiring …</t>
  </si>
  <si>
    <t>Trí tuệ nhân tạo (AI)</t>
  </si>
  <si>
    <t>Điều khiển nâng cao</t>
  </si>
  <si>
    <t>Kiến thức và kỹ năng liên quan đến điều khiển nâng cao</t>
  </si>
  <si>
    <t>Lựa chọn thiết bị đo lường</t>
  </si>
  <si>
    <t>Kiến thức liên quan đến lựa chọn thiết bị đo lường</t>
  </si>
  <si>
    <t>Kiến thức liên quan đến lựa chọn thiết bị van điều khiển</t>
  </si>
  <si>
    <t>- Hiểu đặc tính của môi chất công nghệ: Nhiệt độ, áp suất, ăn mòn, cặn, khí cháy nổ,...
- Nguyên lý đo của thiết bị
- Điều kiện lắp đặt: Vị trí, rung động, nhiệt độ, từ trường,...
- Yêu cầu hệ thống điều khiển: Tương thích với hệ thống, dạng tín hiệu, nguồn cấp,...
- Tiêu chuẩn và chứng chỉ: Phòng nổ, SIL,...
- Độ tin cậy và bảo trì: vật tư dự phòng,..</t>
  </si>
  <si>
    <t>- Hiểu đặc tính của môi chất công nghệ: Nhiệt độ, áp suất, lưu lượng, ăn mòn, cặn, khí cháy nổ,...
- Đặc tính điều khiển của van (Valve characteristic)
- Loại actuator và phụ kiện
- Điều kiện lắp đặt: Vị trí, rung động, nhiệt độ, từ trường,...
- Yêu cầu hệ thống điều khiển: Tương thích với hệ thống, dạng tín hiệu, nguồn cấp,...
- Tiêu chuẩn và chứng chỉ: Phòng nổ, SIL,..
- Độ tin cậy và bảo trì: vật tư dự phòng,..</t>
  </si>
  <si>
    <t>CN TỔNG CTY PHÂN BÓN DẦU KHÍ CÀ MAU - NHÀ MÁY ĐẠM CÀ MAU</t>
  </si>
  <si>
    <t>Cà Mau, ngày     tháng     năm 2026</t>
  </si>
  <si>
    <t>PHIẾU ĐÁNH GIÁ NĂNG LỰC CHUYÊN MÔN</t>
  </si>
  <si>
    <t>I.</t>
  </si>
  <si>
    <t>Thông tin nhân sự được đánh giá</t>
  </si>
  <si>
    <t>Mã nhân viên:</t>
  </si>
  <si>
    <t>Họ tên:</t>
  </si>
  <si>
    <t>II.</t>
  </si>
  <si>
    <t>Nội dung đánh giá</t>
  </si>
  <si>
    <t>Mã NLCM</t>
  </si>
  <si>
    <t>Điểm chuẩn năng lực theo bậc</t>
  </si>
  <si>
    <t>Điểm năng lực thực tế</t>
  </si>
  <si>
    <t>III.</t>
  </si>
  <si>
    <t>Kết quả đánh giá</t>
  </si>
  <si>
    <t>Đạt (100% năng lực chuyên môn không có khoảng trống)</t>
  </si>
  <si>
    <r>
      <rPr>
        <b/>
        <i/>
        <u/>
        <sz val="13"/>
        <color theme="1"/>
        <rFont val="Times New Roman"/>
        <family val="1"/>
      </rPr>
      <t>Nhận xét/ đánh giá:</t>
    </r>
    <r>
      <rPr>
        <sz val="13"/>
        <color theme="1"/>
        <rFont val="Times New Roman"/>
        <family val="2"/>
      </rPr>
      <t xml:space="preserve"> </t>
    </r>
  </si>
  <si>
    <t>Nội dung đào tạo:</t>
  </si>
  <si>
    <t>Nhân sự được đánh giá</t>
  </si>
  <si>
    <t>Quản đốc Xưởng</t>
  </si>
  <si>
    <t>Bậc hiện tại:</t>
  </si>
  <si>
    <t>Khoảng trống (GAP)</t>
  </si>
  <si>
    <t>Đọc hiểu được các bản vẽ IO wiring,  Instrument juction box và cable schedule
Đọc hiểu các Interlock cơ bản</t>
  </si>
  <si>
    <t>IO wiring, Instrument juction box và cable schedule và Interlock</t>
  </si>
  <si>
    <t xml:space="preserve">Kiến thức về IO wiring, Instrument juction box và cable schedule, Interlock </t>
  </si>
  <si>
    <t>Thiết bị đo mức theo nguyên lý chênh áp</t>
  </si>
  <si>
    <t>Thiết bị đo lưu lượng theo nguyên lý chênh áp</t>
  </si>
  <si>
    <r>
      <rPr>
        <b/>
        <sz val="12"/>
        <color rgb="FFFF0000"/>
        <rFont val="Times New Roman"/>
        <family val="1"/>
      </rPr>
      <t>Kiến thức:</t>
    </r>
    <r>
      <rPr>
        <sz val="12"/>
        <color rgb="FFFF0000"/>
        <rFont val="Times New Roman"/>
        <family val="1"/>
      </rPr>
      <t xml:space="preserve">
-  Nguyên lý đo độ rung dọc trục/hướng tâm, rung vận tốc, gia tốc, keyphasor, tốc độ.
- Các nguyên tắc cơ bản lắp đặt thiết bị theo tiêu chuẩn ngành/tiêu chuẩn tại NM ĐCM
- Nắm được chức năng các phần tử: Đầu dò, Tranducer, extension cable.
- Nắm được khái niệm, ý nghĩa của các đại lượng: Điện áp GAP, Thrust direction, tranducer orientation, Scale factor,  Alert, Danger, Latching/NonLatching, X–Y probe  và Orbit
- Trình bày được đường truyền tín hiệu từ hiện trường đến hệ thống điều khiển
</t>
    </r>
    <r>
      <rPr>
        <b/>
        <sz val="12"/>
        <color rgb="FFFF0000"/>
        <rFont val="Times New Roman"/>
        <family val="1"/>
      </rPr>
      <t xml:space="preserve">Kỹ năng: 
</t>
    </r>
    <r>
      <rPr>
        <sz val="12"/>
        <color rgb="FFFF0000"/>
        <rFont val="Times New Roman"/>
        <family val="1"/>
      </rPr>
      <t>- Lắp đặt đấu nối thiết bị.
- Hiệu chuẩn thiết bị: Panme, kit calib chuyên dụng</t>
    </r>
  </si>
  <si>
    <t>Thiết bị đo mức không theo nguyên lý chênh áp</t>
  </si>
  <si>
    <t>Thiết bị đo lưu lượng  không theo nguyên lý chênh áp</t>
  </si>
  <si>
    <t>Van điều khiển với cơ cấu chấp hành motor (MOV)</t>
  </si>
  <si>
    <t>Van điều khiển với cơ cấu chấp hành khí nén  (Pneumatic actuator)</t>
  </si>
  <si>
    <t xml:space="preserve">Van điều khiển với cơ cấu chấp hành thủy lực </t>
  </si>
  <si>
    <t>Không đạt (ít nhất 1 năng lực chuyên môn vẫn còn khoảng trống) (Trừ nâng lực nâng cao)</t>
  </si>
  <si>
    <t>Vị trí chức danh:</t>
  </si>
  <si>
    <t>Kiến thức và kỹ năng về thiết bị đo mức theo nguyên lý chênh áp</t>
  </si>
  <si>
    <t>Kiến thức và kỹ năng về thiết bị đo lưu lượng theo nguyên lý chênh áp</t>
  </si>
  <si>
    <t>Kiến thức và kỹ năng về Thiết bị đo mức không theo nguyên lý chênh áp</t>
  </si>
  <si>
    <t>Kiến thức và kỹ năng về Thiết bị đo lưu lượng  không theo nguyên lý chênh áp</t>
  </si>
  <si>
    <t>Lựa chọn fitting, tubing</t>
  </si>
  <si>
    <t>Kiến thức và kỹ năng liên quan đến lựa chọn fitting và tubing</t>
  </si>
  <si>
    <t>Kiến thức và kỹ năng về van điều khiển với cơ cấu chấp hành motor (MOV)</t>
  </si>
  <si>
    <t xml:space="preserve">Kiến thức và kỹ năng về van điều khiển với cơ cấu chấp hành thủy lực </t>
  </si>
  <si>
    <t>Kiến thức và kỹ năng về van điều khiển với cơ cấu chấp hành khí nén  (Pneumatic actuator)</t>
  </si>
  <si>
    <r>
      <rPr>
        <b/>
        <sz val="12"/>
        <color rgb="FFFF0000"/>
        <rFont val="Times New Roman"/>
        <family val="1"/>
      </rPr>
      <t>Kiến thức:</t>
    </r>
    <r>
      <rPr>
        <sz val="12"/>
        <color rgb="FFFF0000"/>
        <rFont val="Times New Roman"/>
        <family val="1"/>
      </rPr>
      <t xml:space="preserve">
-  Phân loại và nguyên lý làm việc 
- Các nguyên tắc cơ bản lắp đặt thiết bị theo tiêu chuẩn ngành/tiêu chuẩn tại NM ĐCM
- Nguyên lý làm việc/chức năng/ký hiệu của các phụ kiện: Positioner, solenoid, quick exhaust, trip valve, air relay, lockup  valve, booster, regulator, limit switch.
- Đọc hiểu sơ đồ mạch điều khiển khí nén.
- Nắm được khái niệm, ý nghĩa của các đại lượng: bench set, stroke, Fail Position, Cv (Flow Coefficient), đặc tính van, dead Band, Leakage Class.
</t>
    </r>
    <r>
      <rPr>
        <b/>
        <sz val="12"/>
        <color rgb="FFFF0000"/>
        <rFont val="Times New Roman"/>
        <family val="1"/>
      </rPr>
      <t xml:space="preserve">Kỹ năng: 
</t>
    </r>
    <r>
      <rPr>
        <sz val="12"/>
        <color rgb="FFFF0000"/>
        <rFont val="Times New Roman"/>
        <family val="1"/>
      </rPr>
      <t>- Lắp đặt thiết bị
- Cân chỉnh thiết bị</t>
    </r>
  </si>
  <si>
    <r>
      <rPr>
        <b/>
        <sz val="12"/>
        <color rgb="FFFF0000"/>
        <rFont val="Times New Roman"/>
        <family val="1"/>
      </rPr>
      <t>Kiến thức:</t>
    </r>
    <r>
      <rPr>
        <sz val="12"/>
        <color rgb="FFFF0000"/>
        <rFont val="Times New Roman"/>
        <family val="1"/>
      </rPr>
      <t xml:space="preserve">
-  Phân loại và nguyên lý làm việc của van điều khiển với cơ cấu chấp hành thủy lực  tại NM ĐCM
- Đặc tính thủy lực
-  Hiểu cấu tạo, chức năng các phần tử, đọc hiểu sơ đồ mạch điều khiển các van Governor turbine KT04421, KT04431, KT04441 và KT06101.
</t>
    </r>
    <r>
      <rPr>
        <b/>
        <sz val="12"/>
        <color rgb="FFFF0000"/>
        <rFont val="Times New Roman"/>
        <family val="1"/>
      </rPr>
      <t xml:space="preserve">Kỹ năng: 
</t>
    </r>
    <r>
      <rPr>
        <sz val="12"/>
        <color rgb="FFFF0000"/>
        <rFont val="Times New Roman"/>
        <family val="1"/>
      </rPr>
      <t>- Lắp đặt/thay thế thiết bị/phụ kiện
- Cân chỉnh van Governor, PCV.</t>
    </r>
  </si>
  <si>
    <r>
      <rPr>
        <b/>
        <sz val="12"/>
        <color rgb="FFFF0000"/>
        <rFont val="Times New Roman"/>
        <family val="1"/>
      </rPr>
      <t>Kiến thức:</t>
    </r>
    <r>
      <rPr>
        <sz val="12"/>
        <color rgb="FFFF0000"/>
        <rFont val="Times New Roman"/>
        <family val="1"/>
      </rPr>
      <t xml:space="preserve">
-  Các phương pháp đo mức không theo nguyên lý chênh áp tại NM ĐCM và nguyên lý làm việc của từng phương pháp
- Các nguyên tắc cơ bản lắp đặt thiết bị theo tiêu chuẩn ngành/tiêu chuẩn tại NM ĐCM
</t>
    </r>
    <r>
      <rPr>
        <b/>
        <sz val="12"/>
        <color rgb="FFFF0000"/>
        <rFont val="Times New Roman"/>
        <family val="1"/>
      </rPr>
      <t xml:space="preserve">Kỹ năng: 
</t>
    </r>
    <r>
      <rPr>
        <sz val="12"/>
        <color rgb="FFFF0000"/>
        <rFont val="Times New Roman"/>
        <family val="1"/>
      </rPr>
      <t>- Lắp đặt thiết bị
- Hiệu chuẩn thiết bị</t>
    </r>
  </si>
  <si>
    <r>
      <rPr>
        <b/>
        <sz val="12"/>
        <color rgb="FFFF0000"/>
        <rFont val="Times New Roman"/>
        <family val="1"/>
      </rPr>
      <t>Kiến thức:</t>
    </r>
    <r>
      <rPr>
        <sz val="12"/>
        <color rgb="FFFF0000"/>
        <rFont val="Times New Roman"/>
        <family val="1"/>
      </rPr>
      <t xml:space="preserve">
-  Các phương pháp đo lưu lượng không theo nguyên lý chênh áp tại NM ĐCM và nguyên lý làm việc của từng phương pháp
- Các nguyên tắc cơ bản lắp đặt thiết bị theo tiêu chuẩn ngành/tiêu chuẩn tại NM ĐCM
</t>
    </r>
    <r>
      <rPr>
        <b/>
        <sz val="12"/>
        <color rgb="FFFF0000"/>
        <rFont val="Times New Roman"/>
        <family val="1"/>
      </rPr>
      <t xml:space="preserve">Kỹ năng: 
</t>
    </r>
    <r>
      <rPr>
        <sz val="12"/>
        <color rgb="FFFF0000"/>
        <rFont val="Times New Roman"/>
        <family val="1"/>
      </rPr>
      <t>- Lắp đặt thiết bị
- Hiệu chuẩn thiết bị</t>
    </r>
  </si>
  <si>
    <t>Công cụ, Dụng cụ cầm tay cho chuyên môn thiết bị Đo lường</t>
  </si>
  <si>
    <t>Công cụ, Dụng cụ cầm tay cho chuyên môn thiết bị van điều khiển</t>
  </si>
  <si>
    <t>Kỹ năng sử dụng Công cụ, Dụng cụ cầm tay cho chuyên môn thiết bị Đo lường</t>
  </si>
  <si>
    <t>Kỹ năng sử dụng Công cụ, Dụng cụ cầm tay cho chuyên môn thiết bị van điều khiển</t>
  </si>
  <si>
    <r>
      <rPr>
        <b/>
        <sz val="12"/>
        <color rgb="FFFF0000"/>
        <rFont val="Times New Roman"/>
        <family val="1"/>
      </rPr>
      <t>Kiến thức:</t>
    </r>
    <r>
      <rPr>
        <sz val="12"/>
        <color rgb="FFFF0000"/>
        <rFont val="Times New Roman"/>
        <family val="1"/>
      </rPr>
      <t xml:space="preserve">
Nắm và sử dụng đúng chức năng CCDC
</t>
    </r>
    <r>
      <rPr>
        <b/>
        <sz val="12"/>
        <color rgb="FFFF0000"/>
        <rFont val="Times New Roman"/>
        <family val="1"/>
      </rPr>
      <t>Kỹ năng:</t>
    </r>
    <r>
      <rPr>
        <sz val="12"/>
        <color rgb="FFFF0000"/>
        <rFont val="Times New Roman"/>
        <family val="1"/>
      </rPr>
      <t xml:space="preserve">
- Sử dụng công cụ dụng cụ thuộc phạm vi Đội TBCH
- Sử dụng thành thạo dụng cụ điện trong đấu nối và lắp đặt.
- Đấu nối cable gland.</t>
    </r>
  </si>
  <si>
    <t>Công cụ, Dụng cụ cầm tay cho chuyên môn thiết bị HTĐK</t>
  </si>
  <si>
    <t>Kiến thức và kỹ năng sử dụng công cụ dụng cụ cầm tay thuộc chuyên môn thiết bị HTĐK</t>
  </si>
  <si>
    <r>
      <rPr>
        <b/>
        <sz val="12"/>
        <color theme="1"/>
        <rFont val="Times New Roman"/>
        <family val="1"/>
      </rPr>
      <t>Kiến thức</t>
    </r>
    <r>
      <rPr>
        <sz val="12"/>
        <color theme="1"/>
        <rFont val="Times New Roman"/>
        <family val="1"/>
      </rPr>
      <t xml:space="preserve">
- Nắm được nguyên tắc hoạt động cơ bản của các công cụ AI hỗ trợ xử lý thông tin, phân tích dữ liệu và tạo nội dung.
- Hiểu các giới hạn và rủi ro khi sử dụng AI, bao gồm độ chính xác thông tin và bảo mật dữ liệu.
- Nhận biết các ứng dụng AI phổ biến trong công việc văn phòng và kỹ thuật như hỗ trợ viết báo cáo, phân tích dữ liệu, tra cứu tài liệu kỹ thuật.
</t>
    </r>
    <r>
      <rPr>
        <b/>
        <sz val="12"/>
        <color theme="1"/>
        <rFont val="Times New Roman"/>
        <family val="1"/>
      </rPr>
      <t>Kỹ năng:</t>
    </r>
    <r>
      <rPr>
        <sz val="12"/>
        <color theme="1"/>
        <rFont val="Times New Roman"/>
        <family val="1"/>
      </rPr>
      <t xml:space="preserve">
- Sử dụng các công cụ AI để hỗ trợ tìm kiếm, tổng hợp và phân tích thông tin phục vụ công việc.
- Ứng dụng AI trong soạn thảo tài liệu kỹ thuật, báo cáo và trình bày nội dung.
- Biết đặt câu hỏi (prompt) rõ ràng để khai thác hiệu quả thông tin từ công cụ AI.
- Kiểm tra, đánh giá và xác minh lại kết quả do AI cung cấp trước khi áp dụng vào thực tế.
- Kết hợp AI với các công cụ làm việc khác (Excel, tài liệu kỹ thuật, hệ thống quản lý dữ liệu) để nâng cao hiệu quả công việc.</t>
    </r>
  </si>
  <si>
    <t>Kỹ sư BDSC thiết bị hệ thống điều khiển (KNL_ĐK_10)</t>
  </si>
  <si>
    <t xml:space="preserve">Phần cứng hệ thống PLC </t>
  </si>
  <si>
    <t xml:space="preserve">Phần mềm hệ thống PLC </t>
  </si>
  <si>
    <t>ĐK_NLCM_001</t>
  </si>
  <si>
    <t>ĐK_NLCM_002</t>
  </si>
  <si>
    <t>ĐK_NLCM_003</t>
  </si>
  <si>
    <t>ĐK_NLCM_004</t>
  </si>
  <si>
    <t>ĐK_NLCM_005</t>
  </si>
  <si>
    <t>ĐK_NLCM_006</t>
  </si>
  <si>
    <t>ĐK_NLCM_007</t>
  </si>
  <si>
    <t>ĐK_NLCM_008</t>
  </si>
  <si>
    <t>ĐK_NLCM_009</t>
  </si>
  <si>
    <t>ĐK_NLCM_010</t>
  </si>
  <si>
    <t>ĐK_NLCM_011</t>
  </si>
  <si>
    <t>ĐK_NLCM_012</t>
  </si>
  <si>
    <t>ĐK_NLCM_013</t>
  </si>
  <si>
    <t>ĐK_NLCM_014</t>
  </si>
  <si>
    <t>ĐK_NLCM_015</t>
  </si>
  <si>
    <t>ĐK_NLCM_016</t>
  </si>
  <si>
    <t>ĐK_NLCM_017</t>
  </si>
  <si>
    <t>ĐK_NLCM_018</t>
  </si>
  <si>
    <t>ĐK_NLCM_019</t>
  </si>
  <si>
    <t>ĐK_NLCM_020</t>
  </si>
  <si>
    <t>ĐK_NLCM_021</t>
  </si>
  <si>
    <t>ĐK_NLCM_022</t>
  </si>
  <si>
    <t>ĐK_NLCM_023</t>
  </si>
  <si>
    <t>ĐK_NLCM_024</t>
  </si>
  <si>
    <t>ĐK_NLCM_025</t>
  </si>
  <si>
    <t>ĐK_NLCM_026</t>
  </si>
  <si>
    <t>ĐK_NLCM_027</t>
  </si>
  <si>
    <t>ĐK_NLCM_028</t>
  </si>
  <si>
    <t>ĐK_NLCM_029</t>
  </si>
  <si>
    <t>ĐK_NLCM_030</t>
  </si>
  <si>
    <t>ĐK_NLCM_031</t>
  </si>
  <si>
    <t>ĐK_NLCM_032</t>
  </si>
  <si>
    <t>ĐK_NLCM_033</t>
  </si>
  <si>
    <t>ĐK_NLCM_034</t>
  </si>
  <si>
    <t>ĐK_NLCM_035</t>
  </si>
  <si>
    <t>ĐK_NLCM_036</t>
  </si>
  <si>
    <t>ĐK_NLCM_037</t>
  </si>
  <si>
    <t>ĐK_NLCM_038</t>
  </si>
  <si>
    <t>ĐK_NLCM_039</t>
  </si>
  <si>
    <t>ĐK_NLCM_040</t>
  </si>
  <si>
    <t>ĐK_NLCM_041</t>
  </si>
  <si>
    <t>ĐK_NLCM_042</t>
  </si>
  <si>
    <t>ĐK_NLCM_043</t>
  </si>
  <si>
    <t>ĐK_NLCM_044</t>
  </si>
  <si>
    <t>ĐK_NLCM_045</t>
  </si>
  <si>
    <t>ĐK_NLCM_046</t>
  </si>
  <si>
    <t>ĐK_NLCM_047</t>
  </si>
  <si>
    <t>ĐK_NLCM_048</t>
  </si>
  <si>
    <t>ĐK_NLCM_049</t>
  </si>
  <si>
    <t>ĐK_NLCM_050</t>
  </si>
  <si>
    <t>ĐK_NLCM_051</t>
  </si>
  <si>
    <t>ĐK_NLCM_052</t>
  </si>
  <si>
    <t>ĐK_NLCM_053</t>
  </si>
  <si>
    <t>ĐK_NLCM_054</t>
  </si>
  <si>
    <t>ĐK_NLCM_055</t>
  </si>
  <si>
    <t>ĐK_NLCM_056</t>
  </si>
  <si>
    <t>ĐK_NLCM_057</t>
  </si>
  <si>
    <t>ĐK_NLCM_058</t>
  </si>
  <si>
    <t xml:space="preserve">Kiến trúc và kỹ năng nâng cao liên quan đến hệ thống PLC </t>
  </si>
  <si>
    <t>ĐK_NLCM_059</t>
  </si>
  <si>
    <t>Kiến thức và kỹ năng chuyên sâu liên quan đến hệ thống DCS</t>
  </si>
  <si>
    <t>ĐK_NLCM_060</t>
  </si>
  <si>
    <t>Kiến thức và kỹ năng chuyên sâu liên quan đến hệ thống ESD</t>
  </si>
  <si>
    <t>- Nắm được Functional safety life cylce
- Các hệ thống liên quan đến An toàn điều khiển chức năng
- Nắm được các khái niệm cơ bản về SIL, MTBF, PFDavg, …
- Định nghĩa rủi ro và phương pháp giảm thiểu
- Tiêu chuẩn &amp; quy định liên quan: IEC 61511</t>
  </si>
  <si>
    <t>- Turning các thông số bộ điều khiển PID
- Hiểu về Cascade control, feedforward, split range control, ratio control, coupling control
- Complex loop control tại nhà máy Đạm Cà Mau</t>
  </si>
  <si>
    <t>Quy trình làm việc nâng cao</t>
  </si>
  <si>
    <t>Kiến thức về qui trình làm việc nâng cao</t>
  </si>
  <si>
    <t>Hệ thống ESD nâng cao</t>
  </si>
  <si>
    <t>Hệ thống DCS nâng cao</t>
  </si>
  <si>
    <t>Hệ thống PLC nâng cao</t>
  </si>
  <si>
    <t>ĐK_NLCM_061</t>
  </si>
  <si>
    <r>
      <rPr>
        <b/>
        <sz val="12"/>
        <rFont val="Times New Roman"/>
        <family val="1"/>
      </rPr>
      <t>Kiến thức:</t>
    </r>
    <r>
      <rPr>
        <sz val="12"/>
        <rFont val="Times New Roman"/>
        <family val="1"/>
      </rPr>
      <t xml:space="preserve">
- Khái niệm về: Biến và kiểu dữ liệu, address và indirect address, Cycle time, software/hardware interupt.
- Nắm được kiến trúc phần mềm: Cách tổ chức chương trình Simens và Allen-Bradley.
- Đọc hiểu được chương trình (Ngôn ngữ ladder, FBD và CFC)
- Nắm được các chuẩn truyền thông trong nội tại hệ thống PLC
- Tích hợp hệ thống: Nắm được phương thức kết nối/logic tác động với các hệ thống khác
</t>
    </r>
    <r>
      <rPr>
        <b/>
        <sz val="12"/>
        <rFont val="Times New Roman"/>
        <family val="1"/>
      </rPr>
      <t>Kỹ năng:</t>
    </r>
    <r>
      <rPr>
        <sz val="12"/>
        <rFont val="Times New Roman"/>
        <family val="1"/>
      </rPr>
      <t xml:space="preserve">
- Backup, restore chương trình/HMI
- Force, Bypass, MOS và simulate tín hiệu</t>
    </r>
  </si>
  <si>
    <r>
      <rPr>
        <b/>
        <sz val="12"/>
        <color theme="1"/>
        <rFont val="Times New Roman"/>
        <family val="1"/>
      </rPr>
      <t>Kiến thức:</t>
    </r>
    <r>
      <rPr>
        <sz val="12"/>
        <color theme="1"/>
        <rFont val="Times New Roman"/>
        <family val="1"/>
      </rPr>
      <t xml:space="preserve">
- Nắm được kiến trúc phần mềm: hiểu các khối cơ bản có trong project nhà máy Đạm Cà Mau, cách thức tổ chức chương trình.
- Nắm được các chuẩn truyền thông.</t>
    </r>
    <r>
      <rPr>
        <b/>
        <sz val="12"/>
        <color theme="1"/>
        <rFont val="Times New Roman"/>
        <family val="1"/>
      </rPr>
      <t xml:space="preserve">
</t>
    </r>
    <r>
      <rPr>
        <sz val="12"/>
        <color theme="1"/>
        <rFont val="Times New Roman"/>
        <family val="1"/>
      </rPr>
      <t xml:space="preserve">- Đọc hiểu bản vẽ Interlock, instrument loop diagram.
- Tích hợp hệ thống: Nắm được phương thức kết nối/logic tác động với các hệ thống khác
</t>
    </r>
    <r>
      <rPr>
        <b/>
        <sz val="12"/>
        <color theme="1"/>
        <rFont val="Times New Roman"/>
        <family val="1"/>
      </rPr>
      <t>Kỹ năng:</t>
    </r>
    <r>
      <rPr>
        <sz val="12"/>
        <color theme="1"/>
        <rFont val="Times New Roman"/>
        <family val="1"/>
      </rPr>
      <t xml:space="preserve">
- Sử dụng cơ bản phần mềm System view (Project Creation/Attribution Utility  Project Common Definition, FCS Configuration, I/O Module Configuration  Software Switches Configuration  Message Configuration, Control Drawing Builder, HIS Configuration, Window Configuration, Graphic Builder, Diagnotic kiểm tra trạng thái: IO card, FCU, truyền thông)</t>
    </r>
  </si>
  <si>
    <r>
      <rPr>
        <b/>
        <sz val="12"/>
        <rFont val="Times New Roman"/>
        <family val="1"/>
      </rPr>
      <t>Kiến thức:</t>
    </r>
    <r>
      <rPr>
        <sz val="12"/>
        <rFont val="Times New Roman"/>
        <family val="1"/>
      </rPr>
      <t xml:space="preserve">
- Nắm được kiến trúc phần mềm, lập trình trên Tristation, hiểu chức năng các khối cấu hình trong project nhà máy Đạm Cà Mau.</t>
    </r>
    <r>
      <rPr>
        <b/>
        <sz val="12"/>
        <rFont val="Times New Roman"/>
        <family val="1"/>
      </rPr>
      <t xml:space="preserve">
</t>
    </r>
    <r>
      <rPr>
        <sz val="12"/>
        <rFont val="Times New Roman"/>
        <family val="1"/>
      </rPr>
      <t xml:space="preserve">- Đọc hiểu Cause &amp; Effect của nhà máy Đạm Cà Mau
- Đọc hiểu bản vẽ Interlock
- Nắm được các chuẩn truyền thông
- Tích hợp hệ thống: Nắm được phương thức kết nối/logic tác động với các hệ thống khác
</t>
    </r>
    <r>
      <rPr>
        <b/>
        <sz val="12"/>
        <rFont val="Times New Roman"/>
        <family val="1"/>
      </rPr>
      <t>Kỹ năng</t>
    </r>
    <r>
      <rPr>
        <sz val="12"/>
        <rFont val="Times New Roman"/>
        <family val="1"/>
      </rPr>
      <t xml:space="preserve">
- Sử dụng cơ bản phần mềm TriStation, Intouch WindowMarker, SOE.
- Force, bypass, MOS các tín hiệu</t>
    </r>
  </si>
  <si>
    <t>- Nội quy an toàn công ty
- Sử dụng PPE phù hợp
- Quy trình làm việc an toàn tại khu vực nguy hiểm
- Nhận diện mối nguy hiện hữu
- An toàn điện</t>
  </si>
  <si>
    <r>
      <rPr>
        <b/>
        <sz val="12"/>
        <color theme="1"/>
        <rFont val="Times New Roman"/>
        <family val="1"/>
      </rPr>
      <t>Kiến thức:</t>
    </r>
    <r>
      <rPr>
        <sz val="12"/>
        <color theme="1"/>
        <rFont val="Times New Roman"/>
        <family val="1"/>
      </rPr>
      <t xml:space="preserve">
- Nắm được kiến trúc phần cứng: liệt kê các phần tử có trong SYS &amp; Marshalling Cabinet, nêu được chức năng từng phần tử.
- Đọc hiểu bản vẽ wiring, trình bày được đường đi của tín hiệu từ thiết bị hiện trường đến Card và ngược lại.
- Nắm được chức năng từng loại card và các phần tử phụ trợ
</t>
    </r>
    <r>
      <rPr>
        <b/>
        <sz val="12"/>
        <color theme="1"/>
        <rFont val="Times New Roman"/>
        <family val="1"/>
      </rPr>
      <t>Kỹ năng:</t>
    </r>
    <r>
      <rPr>
        <sz val="12"/>
        <color theme="1"/>
        <rFont val="Times New Roman"/>
        <family val="1"/>
      </rPr>
      <t xml:space="preserve">
- Có thể lắp đặt, thay thế các phần tử trong hệ thống.</t>
    </r>
  </si>
  <si>
    <r>
      <rPr>
        <b/>
        <sz val="12"/>
        <color theme="1"/>
        <rFont val="Times New Roman"/>
        <family val="1"/>
      </rPr>
      <t>Kiến thức:</t>
    </r>
    <r>
      <rPr>
        <sz val="12"/>
        <color theme="1"/>
        <rFont val="Times New Roman"/>
        <family val="1"/>
      </rPr>
      <t xml:space="preserve">
- Nắm được kiến trúc phần cứng hệ thống DCS nhà máy Đạm Cà Mau, liệt kê các phần tử có trong SYS &amp; Marshalling Cabinet, HIS nêu được chức năng từng phần tử
- Mạng truyền thông hệ thống DCS
- Đọc hiểu bản vẽ IO wiring, trình bày được đường đi của tín hiệu từ thiết bị hiện trường đến Card và ngược lại.
- Nắm được chức năng từng loại card  và các phần tử phụ trợ
</t>
    </r>
    <r>
      <rPr>
        <b/>
        <sz val="12"/>
        <color theme="1"/>
        <rFont val="Times New Roman"/>
        <family val="1"/>
      </rPr>
      <t>Kỹ năng:</t>
    </r>
    <r>
      <rPr>
        <sz val="12"/>
        <color theme="1"/>
        <rFont val="Times New Roman"/>
        <family val="1"/>
      </rPr>
      <t xml:space="preserve">
- Có thể lắp đặt, thay thế các phần tử trong hệ thống.
- Có khả năng cấu hình phần cứng</t>
    </r>
  </si>
  <si>
    <r>
      <rPr>
        <b/>
        <sz val="12"/>
        <color theme="1"/>
        <rFont val="Times New Roman"/>
        <family val="1"/>
      </rPr>
      <t>Kiến thức:</t>
    </r>
    <r>
      <rPr>
        <sz val="12"/>
        <color theme="1"/>
        <rFont val="Times New Roman"/>
        <family val="1"/>
      </rPr>
      <t xml:space="preserve">
- Nắm được kiến trúc phần cứng: liệt kê các phần tử, nêu được chức năng từng phần tử
- Đọc hiểu bản vẽ IO wiring, trình bày được đường đi của tín hiệu từ thiết bị hiện trường đến Card và ngược lại.
-  Nắm được chức năng từng loại card  và các phần tử phụ trợ
</t>
    </r>
    <r>
      <rPr>
        <b/>
        <sz val="12"/>
        <color theme="1"/>
        <rFont val="Times New Roman"/>
        <family val="1"/>
      </rPr>
      <t>Kỹ năng:</t>
    </r>
    <r>
      <rPr>
        <sz val="12"/>
        <color theme="1"/>
        <rFont val="Times New Roman"/>
        <family val="1"/>
      </rPr>
      <t xml:space="preserve">
- Có thể lắp đặt, thay thế các phần tử trong hệ thống.</t>
    </r>
  </si>
  <si>
    <r>
      <rPr>
        <b/>
        <sz val="12"/>
        <color theme="1"/>
        <rFont val="Times New Roman"/>
        <family val="1"/>
      </rPr>
      <t>Kiến thức:</t>
    </r>
    <r>
      <rPr>
        <sz val="12"/>
        <color theme="1"/>
        <rFont val="Times New Roman"/>
        <family val="1"/>
      </rPr>
      <t xml:space="preserve">
- Nắm được kiến trúc phần cứng: liệt kê các phần tử, nêu được chức năng từng phần tử
- Đọc hiểu bản vẽ IO wiring, trình bày được đường đi của tín hiệu từ thiết bị hiện trường đến Card và ngược lại.
- Nắm được chức năng từng loại card và các phần tử phụ trợ
</t>
    </r>
    <r>
      <rPr>
        <b/>
        <sz val="12"/>
        <color theme="1"/>
        <rFont val="Times New Roman"/>
        <family val="1"/>
      </rPr>
      <t>Kỹ năng:</t>
    </r>
    <r>
      <rPr>
        <sz val="12"/>
        <color theme="1"/>
        <rFont val="Times New Roman"/>
        <family val="1"/>
      </rPr>
      <t xml:space="preserve">
- Có thể lắp đặt, thay thế các phần tử trong hệ thống.</t>
    </r>
  </si>
  <si>
    <t>Kỹ năng mềm chuyên ngành Đo lường - Điều khiển</t>
  </si>
  <si>
    <t>ĐK_NLCM_062</t>
  </si>
  <si>
    <t>Kiến thức và kỹ năng liên về trí tuệ nhân tạo (AI)</t>
  </si>
  <si>
    <t>ĐK_NLCM_063</t>
  </si>
  <si>
    <t>- IEC – nền tảng của ngành Đo lường Điều khiển: IEC 61511, IEC 60079
- API 554 Process Instrumentation and Control, API 612: turbine, compressor
Kỹ năng: 
- Có thể đọc hiểu, áp dụng các tiêu chuẩn vào thực tế công việc</t>
  </si>
  <si>
    <t>Kiến thức và kỹ năng liên quan đến hệ thống các tiêu chuẩn Quốc tế liên quan đến ngành đo lường điều khiển</t>
  </si>
  <si>
    <t>Nắm được nguyên lý hoạt động Turbine/máy nén và nồi hơi</t>
  </si>
  <si>
    <t>Nắm được nguyên lý hoạt động Turbine/máy nén và nồi hơi
…</t>
  </si>
  <si>
    <r>
      <rPr>
        <b/>
        <sz val="12"/>
        <color rgb="FFFF0000"/>
        <rFont val="Times New Roman"/>
        <family val="1"/>
      </rPr>
      <t xml:space="preserve">Kiến thức:
</t>
    </r>
    <r>
      <rPr>
        <sz val="12"/>
        <color rgb="FFFF0000"/>
        <rFont val="Times New Roman"/>
        <family val="1"/>
      </rPr>
      <t xml:space="preserve">- Đọc hiểu được chương trình (Ngôn ngữ STL, SCL)
- Nắm được các loop/logic điều khiển các hệ thống turbine/máy nén KT04421/K04421, KT04441/K04441, KT04431/K04431, KT06101/K06101 và BMS
- Liên kết được hướng dẫn vận hành (Điều kiện công nghệ) với logic điều khiển
</t>
    </r>
    <r>
      <rPr>
        <b/>
        <sz val="12"/>
        <color rgb="FFFF0000"/>
        <rFont val="Times New Roman"/>
        <family val="1"/>
      </rPr>
      <t>Kỹ năng:</t>
    </r>
    <r>
      <rPr>
        <sz val="12"/>
        <color rgb="FFFF0000"/>
        <rFont val="Times New Roman"/>
        <family val="1"/>
      </rPr>
      <t xml:space="preserve">
- Thành thạo môi trường engineering (Simatic, TriStation)
- Phân tích root cause (RCA) sự cố hệ thống điều khiển</t>
    </r>
  </si>
  <si>
    <r>
      <rPr>
        <b/>
        <sz val="12"/>
        <color rgb="FFFF0000"/>
        <rFont val="Times New Roman"/>
        <family val="1"/>
      </rPr>
      <t>Kiến thức:</t>
    </r>
    <r>
      <rPr>
        <sz val="12"/>
        <color rgb="FFFF0000"/>
        <rFont val="Times New Roman"/>
        <family val="1"/>
      </rPr>
      <t xml:space="preserve">
- Thiết kế control logic phức tạp (interlock, permissive, trip)
- Bảo mật cho hệ thống DCS
</t>
    </r>
    <r>
      <rPr>
        <b/>
        <sz val="12"/>
        <color rgb="FFFF0000"/>
        <rFont val="Times New Roman"/>
        <family val="1"/>
      </rPr>
      <t>Kỹ năng:</t>
    </r>
    <r>
      <rPr>
        <sz val="12"/>
        <color rgb="FFFF0000"/>
        <rFont val="Times New Roman"/>
        <family val="1"/>
      </rPr>
      <t xml:space="preserve">
- Thành thạo môi trường engineering (System view)
- Phân tích root cause (RCA) sự cố hệ thống điều khiển</t>
    </r>
  </si>
  <si>
    <r>
      <rPr>
        <b/>
        <sz val="12"/>
        <color rgb="FFFF0000"/>
        <rFont val="Times New Roman"/>
        <family val="1"/>
      </rPr>
      <t>Kiến thức:</t>
    </r>
    <r>
      <rPr>
        <sz val="12"/>
        <color rgb="FFFF0000"/>
        <rFont val="Times New Roman"/>
        <family val="1"/>
      </rPr>
      <t xml:space="preserve">
- Nắm được Cause &amp; Effect của nhà máy Đạm Cà Mau
- Nắm rõ các Safety Interlock tại nhà máy Đạm Cà Mau
- Bảo mật cho hệ thống ESD
</t>
    </r>
    <r>
      <rPr>
        <b/>
        <sz val="12"/>
        <color rgb="FFFF0000"/>
        <rFont val="Times New Roman"/>
        <family val="1"/>
      </rPr>
      <t>Kỹ năng:</t>
    </r>
    <r>
      <rPr>
        <sz val="12"/>
        <color rgb="FFFF0000"/>
        <rFont val="Times New Roman"/>
        <family val="1"/>
      </rPr>
      <t xml:space="preserve">
- Thành thạo môi trường engineering (TriStation, Intouch WindowMarker, SOE)
- Phân tích root cause (RCA) sự cố hệ thống điều khiển</t>
    </r>
  </si>
  <si>
    <t>ĐK_NLCM_064</t>
  </si>
  <si>
    <t>ĐK_NLCM_065</t>
  </si>
  <si>
    <t>Hệ thống MPS/MMS nâng cao</t>
  </si>
  <si>
    <r>
      <rPr>
        <b/>
        <sz val="12"/>
        <color rgb="FFFF0000"/>
        <rFont val="Times New Roman"/>
        <family val="1"/>
      </rPr>
      <t>Kiến thức:</t>
    </r>
    <r>
      <rPr>
        <sz val="12"/>
        <color rgb="FFFF0000"/>
        <rFont val="Times New Roman"/>
        <family val="1"/>
      </rPr>
      <t xml:space="preserve">
- Nắm rõ các  Interlock tại nhà máy Đạm Cà Mau
- Bảo mật cho hệ thống MPS/S1
</t>
    </r>
    <r>
      <rPr>
        <b/>
        <sz val="12"/>
        <color rgb="FFFF0000"/>
        <rFont val="Times New Roman"/>
        <family val="1"/>
      </rPr>
      <t>Kỹ năng:</t>
    </r>
    <r>
      <rPr>
        <sz val="12"/>
        <color rgb="FFFF0000"/>
        <rFont val="Times New Roman"/>
        <family val="1"/>
      </rPr>
      <t xml:space="preserve">
- Thành thạo môi trường engineering (Rack 3500, S1)
- Phân tích root cause (RCA) sự cố hệ thống điều khiển</t>
    </r>
  </si>
  <si>
    <t>- Quy trình quản lý thay đổi thiết bị công nghệ
- Quy trình Điều tra sự cố</t>
  </si>
  <si>
    <t>- Sử dụng được phần mềm Autocad
- Kỹ năng soạn thảo Email
- Kỹ năng soạn thảo báo cáo (Excel, Word, PowerPoint, Visio, Ms project)</t>
  </si>
  <si>
    <t>Kiến thức và kỹ năng về P&amp;ID</t>
  </si>
  <si>
    <t>Bậc</t>
  </si>
  <si>
    <t>GAP</t>
  </si>
  <si>
    <t>Đa phương pháp (Vấn đáp, kiểm tra lý thuyết, thực hành,…)</t>
  </si>
  <si>
    <t>- Dựa vào  P&amp;ID có thể nắm được thông số áp suất, nhiệt độ, môi chất trong đường ống.
- Đọc hiểu các ký hiệu trên P&amp;ID (Phân loại tín hiệu, ký hiệu thiết bị đo, phương pháp đo, khối chức năng, điều khiển,...).
- Dựa trên P&amp;ID có thể trình bày được chức năng của thiết bị đo, van điều khiển, control loop, Interlock, thiết bị kết nối với hệ thống nào.
Kỹ năng: 
Phát triển và triển khai bản vẽ liên quan đến đo lường điều khiển</t>
  </si>
  <si>
    <t>Năm giữ bậc</t>
  </si>
  <si>
    <t>Tháng giữ bậc</t>
  </si>
  <si>
    <t>Nhận diện mối nguy và đánh giá rủi ro</t>
  </si>
  <si>
    <t>ĐK_NLCM_066</t>
  </si>
  <si>
    <t>Vật lý cơ bản</t>
  </si>
  <si>
    <t>Kiến thức về vật lý và đại lượng đo lường cơ bản</t>
  </si>
  <si>
    <r>
      <rPr>
        <b/>
        <sz val="12"/>
        <color rgb="FFFF0000"/>
        <rFont val="Times New Roman"/>
        <family val="1"/>
      </rPr>
      <t>Kiến thức:</t>
    </r>
    <r>
      <rPr>
        <sz val="12"/>
        <color rgb="FFFF0000"/>
        <rFont val="Times New Roman"/>
        <family val="1"/>
      </rPr>
      <t xml:space="preserve">
- Nắm vững các loại fitting và tubing tại NM ĐCM.
- Tuân thủ các nguyên tắc, lựa chọn đúng kích thước tubing và fitting. (không sử dụng lẫn ferrule giữa các hãng khác nhau)
</t>
    </r>
    <r>
      <rPr>
        <b/>
        <sz val="12"/>
        <color rgb="FFFF0000"/>
        <rFont val="Times New Roman"/>
        <family val="1"/>
      </rPr>
      <t>Kỹ năng:</t>
    </r>
    <r>
      <rPr>
        <sz val="12"/>
        <color rgb="FFFF0000"/>
        <rFont val="Times New Roman"/>
        <family val="1"/>
      </rPr>
      <t xml:space="preserve">
- Lắp đặt và uống ống Impluse line</t>
    </r>
  </si>
  <si>
    <t>- Định nghĩa áp suất, lưu lượng, nhiệt độ, độ rung.
- Phân biệt áp suất tương đối, áp suất tuyệt đối
- Định nghĩa Cột áp thủy tỉnh
- Định nghĩa Zero value, calibration range, Span và Instrument range
- Định nghĩa Độ chính xác (Accuracy), độ lặp lại (Precision), độ phân giải (Resolution), tuyến tính (Linearity), độ trễ (Hysteresis)
- Các định luật: Ohm, Kirchhoff,  Faraday, Bernoulli, Seebeck, Pascal.
- Hiện tượng vật lý: Ngưng tụ (condensation), bay hơi.</t>
  </si>
  <si>
    <t>Phương pháp nhận diện mối nguy, đánh giá rủi ro và biện pháp giảm thiểu</t>
  </si>
  <si>
    <t>- Quy trình BDSC (BDĐK &amp; SCĐX)
- Quy trình cấp phép làm việc</t>
  </si>
  <si>
    <r>
      <rPr>
        <b/>
        <sz val="12"/>
        <color rgb="FFFF0000"/>
        <rFont val="Times New Roman"/>
        <family val="1"/>
      </rPr>
      <t>Kiến thức:</t>
    </r>
    <r>
      <rPr>
        <sz val="12"/>
        <color rgb="FFFF0000"/>
        <rFont val="Times New Roman"/>
        <family val="1"/>
      </rPr>
      <t xml:space="preserve">
Nắm và sử dụng đúng chức năng CCDC
</t>
    </r>
    <r>
      <rPr>
        <b/>
        <sz val="12"/>
        <color rgb="FFFF0000"/>
        <rFont val="Times New Roman"/>
        <family val="1"/>
      </rPr>
      <t>Kỹ năng:</t>
    </r>
    <r>
      <rPr>
        <sz val="12"/>
        <color rgb="FFFF0000"/>
        <rFont val="Times New Roman"/>
        <family val="1"/>
      </rPr>
      <t xml:space="preserve">
- Sử dụng công cụ dụng cụ thuộc phạm vi Đội TBĐL
- Đấu nối cable gland.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</si>
</sst>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
  </numFmts>
  <fonts count="23" x14ac:knownFonts="1">
    <font>
      <sz val="13"/>
      <color theme="1"/>
      <name val="Times New Roman"/>
      <family val="2"/>
    </font>
    <font>
      <sz val="8"/>
      <name val="Times New Roman"/>
      <family val="2"/>
    </font>
    <font>
      <sz val="13"/>
      <color theme="1"/>
      <name val="Times New Roman"/>
      <family val="1"/>
      <charset val="163"/>
    </font>
    <font>
      <b/>
      <sz val="13"/>
      <color theme="1"/>
      <name val="Times New Roman"/>
      <family val="1"/>
      <charset val="163"/>
    </font>
    <font>
      <b/>
      <sz val="13"/>
      <color rgb="FFFF0000"/>
      <name val="Times New Roman"/>
      <family val="1"/>
      <charset val="163"/>
    </font>
    <font>
      <sz val="13"/>
      <color theme="1"/>
      <name val="Times New Roman"/>
      <family val="2"/>
    </font>
    <font>
      <sz val="13"/>
      <color theme="1"/>
      <name val="Times New Roman"/>
      <family val="1"/>
    </font>
    <font>
      <sz val="12"/>
      <name val="Times New Roman"/>
      <family val="1"/>
    </font>
    <font>
      <b/>
      <sz val="12"/>
      <color theme="1"/>
      <name val="Times New Roman"/>
      <family val="1"/>
    </font>
    <font>
      <sz val="12"/>
      <color theme="1"/>
      <name val="Times New Roman"/>
      <family val="1"/>
    </font>
    <font>
      <i/>
      <sz val="12"/>
      <color theme="1"/>
      <name val="Times New Roman"/>
      <family val="1"/>
    </font>
    <font>
      <b/>
      <sz val="12"/>
      <color rgb="FFC00000"/>
      <name val="Times New Roman"/>
      <family val="1"/>
    </font>
    <font>
      <b/>
      <sz val="12"/>
      <color rgb="FF0000FF"/>
      <name val="Times New Roman"/>
      <family val="1"/>
    </font>
    <font>
      <b/>
      <sz val="12"/>
      <name val="Times New Roman"/>
      <family val="1"/>
    </font>
    <font>
      <sz val="12"/>
      <color rgb="FFFF0000"/>
      <name val="Times New Roman"/>
      <family val="1"/>
    </font>
    <font>
      <b/>
      <sz val="12"/>
      <color rgb="FFFF0000"/>
      <name val="Times New Roman"/>
      <family val="1"/>
    </font>
    <font>
      <b/>
      <sz val="13"/>
      <color theme="1"/>
      <name val="Times New Roman"/>
      <family val="1"/>
    </font>
    <font>
      <i/>
      <sz val="13"/>
      <color theme="1"/>
      <name val="Times New Roman"/>
      <family val="1"/>
    </font>
    <font>
      <sz val="11"/>
      <color theme="1" tint="4.9989318521683403E-2"/>
      <name val="Aptos Narrow"/>
      <family val="2"/>
      <scheme val="minor"/>
    </font>
    <font>
      <sz val="13"/>
      <color rgb="FFFFC000"/>
      <name val="Times New Roman"/>
      <family val="1"/>
      <charset val="163"/>
    </font>
    <font>
      <b/>
      <i/>
      <u/>
      <sz val="13"/>
      <color theme="1"/>
      <name val="Times New Roman"/>
      <family val="1"/>
    </font>
    <font>
      <b/>
      <sz val="16"/>
      <color rgb="FFFF0000"/>
      <name val="Times New Roman"/>
      <family val="1"/>
    </font>
    <font>
      <b/>
      <sz val="16"/>
      <color theme="1"/>
      <name val="Times New Roman"/>
      <family val="1"/>
    </font>
  </fonts>
  <fills count="14">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0"/>
        <bgColor indexed="64"/>
      </patternFill>
    </fill>
    <fill>
      <patternFill patternType="solid">
        <fgColor rgb="FF00B0F0"/>
        <bgColor indexed="64"/>
      </patternFill>
    </fill>
    <fill>
      <patternFill patternType="solid">
        <fgColor rgb="FF92D050"/>
        <bgColor indexed="64"/>
      </patternFill>
    </fill>
    <fill>
      <patternFill patternType="solid">
        <fgColor rgb="FFFFC000"/>
        <bgColor indexed="64"/>
      </patternFill>
    </fill>
    <fill>
      <patternFill patternType="solid">
        <fgColor theme="9" tint="0.79998168889431442"/>
        <bgColor indexed="64"/>
      </patternFill>
    </fill>
    <fill>
      <patternFill patternType="solid">
        <fgColor theme="6" tint="0.59999389629810485"/>
        <bgColor indexed="64"/>
      </patternFill>
    </fill>
    <fill>
      <patternFill patternType="solid">
        <fgColor rgb="FF00B050"/>
        <bgColor indexed="64"/>
      </patternFill>
    </fill>
    <fill>
      <patternFill patternType="solid">
        <fgColor rgb="FFFF0000"/>
        <bgColor indexed="64"/>
      </patternFill>
    </fill>
    <fill>
      <patternFill patternType="solid">
        <fgColor theme="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3">
    <xf numFmtId="0" fontId="0" fillId="0" borderId="0"/>
    <xf numFmtId="0" fontId="5" fillId="0" borderId="0"/>
    <xf numFmtId="164" fontId="18" fillId="0" borderId="0" applyBorder="0">
      <alignment horizontal="left" vertical="center"/>
    </xf>
  </cellStyleXfs>
  <cellXfs count="169">
    <xf numFmtId="0" fontId="0" fillId="0" borderId="0" xfId="0"/>
    <xf numFmtId="0" fontId="0" fillId="0" borderId="0" xfId="0" applyAlignment="1">
      <alignment vertical="center"/>
    </xf>
    <xf numFmtId="0" fontId="0" fillId="0" borderId="0" xfId="0" applyAlignment="1">
      <alignment horizontal="center" vertical="center"/>
    </xf>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horizontal="left" vertical="center"/>
    </xf>
    <xf numFmtId="0" fontId="4" fillId="0" borderId="0" xfId="0" applyFont="1" applyAlignment="1">
      <alignment horizontal="left" vertical="center"/>
    </xf>
    <xf numFmtId="0" fontId="3" fillId="0" borderId="1" xfId="0" applyFont="1" applyBorder="1" applyAlignment="1">
      <alignment horizontal="center" vertical="center" wrapText="1"/>
    </xf>
    <xf numFmtId="0" fontId="3" fillId="0" borderId="0" xfId="0" applyFont="1" applyAlignment="1">
      <alignment vertical="center" wrapText="1"/>
    </xf>
    <xf numFmtId="0" fontId="6" fillId="0" borderId="1" xfId="0" applyFont="1" applyBorder="1" applyAlignment="1">
      <alignment horizontal="center" vertical="center" wrapText="1"/>
    </xf>
    <xf numFmtId="0" fontId="6" fillId="0" borderId="1" xfId="0" applyFont="1" applyBorder="1" applyAlignment="1">
      <alignment vertical="center" wrapText="1"/>
    </xf>
    <xf numFmtId="0" fontId="6" fillId="0" borderId="1" xfId="0" applyFont="1" applyBorder="1" applyAlignment="1">
      <alignment horizontal="left" vertical="center" wrapText="1"/>
    </xf>
    <xf numFmtId="0" fontId="2" fillId="0" borderId="1" xfId="1" applyFont="1"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0" fontId="7" fillId="5" borderId="1" xfId="0" applyFont="1" applyFill="1" applyBorder="1" applyAlignment="1">
      <alignment vertical="center" wrapText="1"/>
    </xf>
    <xf numFmtId="0" fontId="7" fillId="5" borderId="1" xfId="0" quotePrefix="1" applyFont="1" applyFill="1" applyBorder="1" applyAlignment="1">
      <alignment vertical="center" wrapText="1"/>
    </xf>
    <xf numFmtId="0" fontId="9" fillId="0" borderId="0" xfId="0" applyFont="1" applyAlignment="1">
      <alignment horizontal="center" vertical="center" wrapText="1"/>
    </xf>
    <xf numFmtId="0" fontId="8" fillId="3" borderId="2"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8" fillId="0" borderId="6" xfId="0" applyFont="1" applyBorder="1" applyAlignment="1">
      <alignment vertical="center"/>
    </xf>
    <xf numFmtId="0" fontId="8" fillId="0" borderId="7" xfId="0" applyFont="1" applyBorder="1" applyAlignment="1">
      <alignment vertical="center"/>
    </xf>
    <xf numFmtId="0" fontId="8" fillId="0" borderId="1" xfId="0" applyFont="1" applyBorder="1" applyAlignment="1">
      <alignment horizontal="center" vertical="center" wrapText="1"/>
    </xf>
    <xf numFmtId="0" fontId="8" fillId="0" borderId="7" xfId="0" applyFont="1" applyBorder="1" applyAlignment="1">
      <alignment horizontal="center" vertical="center" wrapText="1"/>
    </xf>
    <xf numFmtId="0" fontId="8" fillId="0" borderId="1" xfId="0" applyFont="1" applyBorder="1" applyAlignment="1">
      <alignment horizontal="left" vertical="center" wrapText="1"/>
    </xf>
    <xf numFmtId="0" fontId="8" fillId="0" borderId="0" xfId="0" applyFont="1" applyAlignment="1">
      <alignment horizontal="center" vertical="center" wrapText="1"/>
    </xf>
    <xf numFmtId="0" fontId="9" fillId="5" borderId="1" xfId="0" applyFont="1" applyFill="1" applyBorder="1" applyAlignment="1">
      <alignment vertical="center" wrapText="1"/>
    </xf>
    <xf numFmtId="0" fontId="9" fillId="5" borderId="1" xfId="0" quotePrefix="1" applyFont="1" applyFill="1" applyBorder="1" applyAlignment="1">
      <alignment horizontal="left" vertical="center" wrapText="1"/>
    </xf>
    <xf numFmtId="0" fontId="9" fillId="0" borderId="1" xfId="0" applyFont="1" applyBorder="1" applyAlignment="1">
      <alignment horizontal="left" vertical="center" wrapText="1"/>
    </xf>
    <xf numFmtId="0" fontId="9" fillId="0" borderId="1" xfId="0" quotePrefix="1" applyFont="1" applyBorder="1" applyAlignment="1">
      <alignment horizontal="left" vertical="center" wrapText="1"/>
    </xf>
    <xf numFmtId="0" fontId="9" fillId="0" borderId="1" xfId="0" applyFont="1" applyBorder="1" applyAlignment="1">
      <alignment horizontal="center" vertical="center" wrapText="1"/>
    </xf>
    <xf numFmtId="0" fontId="9" fillId="0" borderId="1" xfId="0" quotePrefix="1" applyFont="1" applyBorder="1" applyAlignment="1">
      <alignment horizontal="center" vertical="center" wrapText="1"/>
    </xf>
    <xf numFmtId="0" fontId="9" fillId="0" borderId="2" xfId="0" applyFont="1" applyBorder="1" applyAlignment="1">
      <alignment horizontal="left" vertical="center" wrapText="1"/>
    </xf>
    <xf numFmtId="0" fontId="9" fillId="0" borderId="2" xfId="0" quotePrefix="1" applyFont="1" applyBorder="1" applyAlignment="1">
      <alignment horizontal="left" vertical="center" wrapText="1"/>
    </xf>
    <xf numFmtId="0" fontId="9" fillId="0" borderId="0" xfId="0" applyFont="1" applyAlignment="1">
      <alignment horizontal="left" vertical="center" wrapText="1"/>
    </xf>
    <xf numFmtId="0" fontId="9" fillId="5" borderId="1" xfId="0" applyFont="1" applyFill="1" applyBorder="1" applyAlignment="1">
      <alignment horizontal="left" vertical="center" wrapText="1"/>
    </xf>
    <xf numFmtId="0" fontId="9" fillId="0" borderId="2" xfId="0" quotePrefix="1" applyFont="1" applyBorder="1" applyAlignment="1">
      <alignment vertical="center" wrapText="1"/>
    </xf>
    <xf numFmtId="0" fontId="9" fillId="0" borderId="1" xfId="0" applyFont="1" applyBorder="1" applyAlignment="1">
      <alignment vertical="center" wrapText="1"/>
    </xf>
    <xf numFmtId="0" fontId="9" fillId="3" borderId="1" xfId="0" applyFont="1" applyFill="1" applyBorder="1" applyAlignment="1">
      <alignment horizontal="left" vertical="center" wrapText="1"/>
    </xf>
    <xf numFmtId="0" fontId="9" fillId="0" borderId="0" xfId="0" applyFont="1"/>
    <xf numFmtId="0" fontId="8" fillId="0" borderId="0" xfId="0" applyFont="1"/>
    <xf numFmtId="0" fontId="12" fillId="3"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9" fillId="0" borderId="0" xfId="0" applyFont="1" applyAlignment="1">
      <alignment wrapText="1"/>
    </xf>
    <xf numFmtId="0" fontId="8" fillId="0" borderId="0" xfId="0" applyFont="1" applyAlignment="1">
      <alignment vertical="center" wrapText="1"/>
    </xf>
    <xf numFmtId="0" fontId="9" fillId="0" borderId="0" xfId="0" applyFont="1" applyAlignment="1">
      <alignment horizontal="left"/>
    </xf>
    <xf numFmtId="0" fontId="6" fillId="9" borderId="1" xfId="0" applyFont="1" applyFill="1" applyBorder="1" applyAlignment="1">
      <alignment horizontal="center" vertical="center" wrapText="1"/>
    </xf>
    <xf numFmtId="0" fontId="6" fillId="9" borderId="1" xfId="0" applyFont="1" applyFill="1" applyBorder="1" applyAlignment="1">
      <alignment horizontal="left" vertical="center" wrapText="1"/>
    </xf>
    <xf numFmtId="0" fontId="2" fillId="9" borderId="1" xfId="1" applyFont="1" applyFill="1" applyBorder="1" applyAlignment="1">
      <alignment vertical="center" wrapText="1"/>
    </xf>
    <xf numFmtId="0" fontId="6" fillId="9" borderId="1" xfId="0" applyFont="1" applyFill="1" applyBorder="1" applyAlignment="1">
      <alignment vertical="center" wrapText="1"/>
    </xf>
    <xf numFmtId="0" fontId="6" fillId="10" borderId="1" xfId="0" applyFont="1" applyFill="1" applyBorder="1" applyAlignment="1">
      <alignment horizontal="center" vertical="center" wrapText="1"/>
    </xf>
    <xf numFmtId="0" fontId="6" fillId="10" borderId="1" xfId="0" applyFont="1" applyFill="1" applyBorder="1" applyAlignment="1">
      <alignment horizontal="left" vertical="center" wrapText="1"/>
    </xf>
    <xf numFmtId="0" fontId="2" fillId="10" borderId="1" xfId="1" applyFont="1" applyFill="1" applyBorder="1" applyAlignment="1">
      <alignment vertical="center" wrapText="1"/>
    </xf>
    <xf numFmtId="0" fontId="6" fillId="10" borderId="1" xfId="0" applyFont="1" applyFill="1" applyBorder="1" applyAlignment="1">
      <alignment vertical="center" wrapText="1"/>
    </xf>
    <xf numFmtId="0" fontId="7" fillId="5" borderId="1" xfId="0" quotePrefix="1" applyFont="1" applyFill="1" applyBorder="1" applyAlignment="1">
      <alignment horizontal="left" vertical="center" wrapText="1"/>
    </xf>
    <xf numFmtId="0" fontId="9" fillId="5" borderId="6" xfId="0" quotePrefix="1" applyFont="1" applyFill="1" applyBorder="1" applyAlignment="1">
      <alignment horizontal="left" vertical="center" wrapText="1"/>
    </xf>
    <xf numFmtId="0" fontId="9" fillId="0" borderId="8" xfId="0" quotePrefix="1" applyFont="1" applyBorder="1" applyAlignment="1">
      <alignment horizontal="left" vertical="center" wrapText="1"/>
    </xf>
    <xf numFmtId="0" fontId="7" fillId="0" borderId="2" xfId="0" applyFont="1" applyBorder="1" applyAlignment="1">
      <alignment vertical="center" wrapText="1"/>
    </xf>
    <xf numFmtId="0" fontId="7" fillId="0" borderId="1" xfId="0" applyFont="1" applyBorder="1" applyAlignment="1">
      <alignment vertical="center" wrapText="1"/>
    </xf>
    <xf numFmtId="0" fontId="7" fillId="0" borderId="1" xfId="0" applyFont="1" applyBorder="1" applyAlignment="1">
      <alignment horizontal="center" vertical="center" wrapText="1"/>
    </xf>
    <xf numFmtId="0" fontId="7" fillId="0" borderId="1" xfId="0" quotePrefix="1" applyFont="1" applyBorder="1" applyAlignment="1">
      <alignment vertical="center" wrapText="1"/>
    </xf>
    <xf numFmtId="0" fontId="7" fillId="0" borderId="1" xfId="0" quotePrefix="1" applyFont="1" applyBorder="1" applyAlignment="1">
      <alignment horizontal="left" vertical="center" wrapText="1"/>
    </xf>
    <xf numFmtId="0" fontId="7" fillId="0" borderId="1" xfId="0" applyFont="1" applyBorder="1" applyAlignment="1">
      <alignment horizontal="left" vertical="center" wrapText="1"/>
    </xf>
    <xf numFmtId="0" fontId="7" fillId="0" borderId="0" xfId="0" applyFont="1" applyAlignment="1">
      <alignment horizontal="center" vertical="center" wrapText="1"/>
    </xf>
    <xf numFmtId="0" fontId="7" fillId="0" borderId="2" xfId="0" applyFont="1" applyBorder="1" applyAlignment="1">
      <alignment horizontal="left" vertical="center" wrapText="1"/>
    </xf>
    <xf numFmtId="0" fontId="7" fillId="0" borderId="6" xfId="0" quotePrefix="1" applyFont="1" applyBorder="1" applyAlignment="1">
      <alignment horizontal="left" vertical="center" wrapText="1"/>
    </xf>
    <xf numFmtId="0" fontId="9" fillId="6" borderId="3" xfId="0" applyFont="1" applyFill="1" applyBorder="1" applyAlignment="1">
      <alignment horizontal="center" vertical="center" wrapText="1"/>
    </xf>
    <xf numFmtId="0" fontId="7" fillId="0" borderId="2" xfId="0" quotePrefix="1" applyFont="1" applyBorder="1" applyAlignment="1">
      <alignment horizontal="left" vertical="center" wrapText="1"/>
    </xf>
    <xf numFmtId="0" fontId="14" fillId="0" borderId="1" xfId="0" applyFont="1" applyBorder="1" applyAlignment="1">
      <alignment horizontal="left" vertical="center" wrapText="1"/>
    </xf>
    <xf numFmtId="0" fontId="14" fillId="0" borderId="1" xfId="0" applyFont="1" applyBorder="1" applyAlignment="1">
      <alignment vertical="center" wrapText="1"/>
    </xf>
    <xf numFmtId="0" fontId="14" fillId="0" borderId="1" xfId="0" quotePrefix="1" applyFont="1" applyBorder="1" applyAlignment="1">
      <alignment horizontal="left" vertical="center" wrapText="1"/>
    </xf>
    <xf numFmtId="0" fontId="14" fillId="0" borderId="2" xfId="0" applyFont="1" applyBorder="1" applyAlignment="1">
      <alignment horizontal="left" vertical="center" wrapText="1"/>
    </xf>
    <xf numFmtId="0" fontId="7" fillId="3" borderId="8" xfId="0" applyFont="1" applyFill="1" applyBorder="1" applyAlignment="1">
      <alignment horizontal="center" vertical="center" wrapText="1"/>
    </xf>
    <xf numFmtId="0" fontId="8" fillId="2" borderId="2" xfId="0" applyFont="1" applyFill="1" applyBorder="1" applyAlignment="1">
      <alignment vertical="center" wrapText="1"/>
    </xf>
    <xf numFmtId="0" fontId="8" fillId="2" borderId="3" xfId="0" applyFont="1" applyFill="1" applyBorder="1" applyAlignment="1">
      <alignment vertical="center" wrapText="1"/>
    </xf>
    <xf numFmtId="0" fontId="8" fillId="2" borderId="4" xfId="0" applyFont="1" applyFill="1" applyBorder="1" applyAlignment="1">
      <alignment vertical="center" wrapText="1"/>
    </xf>
    <xf numFmtId="0" fontId="9" fillId="5" borderId="1" xfId="0" quotePrefix="1" applyFont="1" applyFill="1" applyBorder="1" applyAlignment="1">
      <alignment vertical="center" wrapText="1"/>
    </xf>
    <xf numFmtId="0" fontId="9" fillId="5" borderId="6" xfId="0" quotePrefix="1" applyFont="1" applyFill="1" applyBorder="1" applyAlignment="1">
      <alignment vertical="center" wrapText="1"/>
    </xf>
    <xf numFmtId="0" fontId="9" fillId="5" borderId="2" xfId="0" quotePrefix="1" applyFont="1" applyFill="1" applyBorder="1" applyAlignment="1">
      <alignment vertical="center" wrapText="1"/>
    </xf>
    <xf numFmtId="0" fontId="9" fillId="5" borderId="9" xfId="0" quotePrefix="1" applyFont="1" applyFill="1" applyBorder="1" applyAlignment="1">
      <alignment vertical="center" wrapText="1"/>
    </xf>
    <xf numFmtId="0" fontId="8" fillId="3" borderId="1" xfId="0" applyFont="1" applyFill="1" applyBorder="1" applyAlignment="1">
      <alignment horizontal="left" vertical="center"/>
    </xf>
    <xf numFmtId="0" fontId="8" fillId="3" borderId="1" xfId="0" applyFont="1" applyFill="1" applyBorder="1" applyAlignment="1">
      <alignment horizontal="center" vertical="center"/>
    </xf>
    <xf numFmtId="0" fontId="0" fillId="0" borderId="0" xfId="0" applyAlignment="1">
      <alignment horizontal="center"/>
    </xf>
    <xf numFmtId="0" fontId="16" fillId="0" borderId="0" xfId="0" applyFont="1" applyAlignment="1">
      <alignment horizontal="left" vertical="center"/>
    </xf>
    <xf numFmtId="0" fontId="16" fillId="0" borderId="0" xfId="0" applyFont="1" applyAlignment="1">
      <alignment horizontal="center" vertical="center"/>
    </xf>
    <xf numFmtId="0" fontId="16" fillId="0" borderId="0" xfId="0" applyFont="1"/>
    <xf numFmtId="0" fontId="16" fillId="0" borderId="0" xfId="0" applyFont="1" applyAlignment="1">
      <alignment horizontal="center"/>
    </xf>
    <xf numFmtId="0" fontId="0" fillId="0" borderId="1" xfId="0" applyBorder="1" applyAlignment="1">
      <alignment horizontal="center" vertical="center"/>
    </xf>
    <xf numFmtId="0" fontId="0" fillId="0" borderId="1" xfId="0" applyBorder="1" applyAlignment="1">
      <alignment horizontal="left" vertical="center" wrapText="1"/>
    </xf>
    <xf numFmtId="0" fontId="0" fillId="5" borderId="1" xfId="0" applyFill="1" applyBorder="1" applyAlignment="1">
      <alignment horizontal="left" vertical="center" wrapText="1"/>
    </xf>
    <xf numFmtId="164" fontId="19" fillId="0" borderId="0" xfId="2" applyFont="1" applyBorder="1" applyAlignment="1">
      <alignment vertical="center" wrapText="1"/>
      <extLst>
        <ext xmlns:xfpb="http://schemas.microsoft.com/office/spreadsheetml/2022/featurepropertybag" uri="{C7286773-470A-42A8-94C5-96B5CB345126}">
          <xfpb:xfComplement i="0"/>
        </ext>
      </extLst>
    </xf>
    <xf numFmtId="164" fontId="19" fillId="0" borderId="0" xfId="2" applyFont="1" applyBorder="1" applyAlignment="1">
      <alignment vertical="center" wrapText="1"/>
    </xf>
    <xf numFmtId="0" fontId="15" fillId="3" borderId="1" xfId="0" applyFont="1" applyFill="1" applyBorder="1" applyAlignment="1">
      <alignment horizontal="center" vertical="center" wrapText="1"/>
    </xf>
    <xf numFmtId="0" fontId="16" fillId="2" borderId="0" xfId="0" applyFont="1" applyFill="1" applyAlignment="1">
      <alignment horizontal="center" vertical="center"/>
    </xf>
    <xf numFmtId="0" fontId="0" fillId="0" borderId="0" xfId="0" applyAlignment="1">
      <alignment horizontal="left" vertical="center" wrapText="1"/>
    </xf>
    <xf numFmtId="0" fontId="16" fillId="0" borderId="0" xfId="0" applyFont="1" applyAlignment="1">
      <alignment horizontal="left"/>
    </xf>
    <xf numFmtId="0" fontId="14" fillId="5" borderId="1" xfId="0" quotePrefix="1" applyFont="1" applyFill="1" applyBorder="1" applyAlignment="1">
      <alignment horizontal="left" vertical="center" wrapText="1"/>
    </xf>
    <xf numFmtId="0" fontId="8" fillId="3" borderId="8" xfId="0" applyFont="1" applyFill="1" applyBorder="1" applyAlignment="1">
      <alignment horizontal="center" vertical="center"/>
    </xf>
    <xf numFmtId="0" fontId="0" fillId="0" borderId="5" xfId="0" applyBorder="1" applyAlignment="1">
      <alignment horizontal="center" vertical="center" wrapText="1"/>
    </xf>
    <xf numFmtId="0" fontId="8" fillId="3" borderId="9" xfId="0" applyFont="1" applyFill="1" applyBorder="1" applyAlignment="1">
      <alignment horizontal="center" vertical="center" wrapText="1"/>
    </xf>
    <xf numFmtId="0" fontId="8" fillId="6" borderId="2" xfId="0" applyFont="1" applyFill="1" applyBorder="1" applyAlignment="1">
      <alignment vertical="center" wrapText="1"/>
    </xf>
    <xf numFmtId="0" fontId="8" fillId="6" borderId="3" xfId="0" applyFont="1" applyFill="1" applyBorder="1" applyAlignment="1">
      <alignment vertical="center" wrapText="1"/>
    </xf>
    <xf numFmtId="0" fontId="8" fillId="7" borderId="2" xfId="0" applyFont="1" applyFill="1" applyBorder="1" applyAlignment="1">
      <alignment vertical="center" wrapText="1"/>
    </xf>
    <xf numFmtId="0" fontId="8" fillId="7" borderId="3" xfId="0" applyFont="1" applyFill="1" applyBorder="1" applyAlignment="1">
      <alignment vertical="center" wrapText="1"/>
    </xf>
    <xf numFmtId="0" fontId="8" fillId="7" borderId="4" xfId="0" applyFont="1" applyFill="1" applyBorder="1" applyAlignment="1">
      <alignment vertical="center" wrapText="1"/>
    </xf>
    <xf numFmtId="0" fontId="16" fillId="0" borderId="0" xfId="0" applyFont="1" applyAlignment="1">
      <alignment vertical="center"/>
    </xf>
    <xf numFmtId="0" fontId="17" fillId="0" borderId="0" xfId="0" applyFont="1" applyAlignment="1">
      <alignment vertical="center"/>
    </xf>
    <xf numFmtId="0" fontId="8" fillId="8" borderId="2" xfId="0" applyFont="1" applyFill="1" applyBorder="1" applyAlignment="1">
      <alignment vertical="center" wrapText="1"/>
    </xf>
    <xf numFmtId="0" fontId="8" fillId="8" borderId="3" xfId="0" applyFont="1" applyFill="1" applyBorder="1" applyAlignment="1">
      <alignment vertical="center" wrapText="1"/>
    </xf>
    <xf numFmtId="0" fontId="8" fillId="8" borderId="4" xfId="0" applyFont="1" applyFill="1" applyBorder="1" applyAlignment="1">
      <alignment vertical="center" wrapText="1"/>
    </xf>
    <xf numFmtId="0" fontId="14" fillId="5" borderId="1" xfId="0" applyFont="1" applyFill="1" applyBorder="1" applyAlignment="1">
      <alignment vertical="center" wrapText="1"/>
    </xf>
    <xf numFmtId="0" fontId="14" fillId="5" borderId="2" xfId="0" applyFont="1" applyFill="1" applyBorder="1" applyAlignment="1">
      <alignment vertical="center" wrapText="1"/>
    </xf>
    <xf numFmtId="0" fontId="14" fillId="0" borderId="2" xfId="0" quotePrefix="1" applyFont="1" applyBorder="1" applyAlignment="1">
      <alignment horizontal="left" vertical="center" wrapText="1"/>
    </xf>
    <xf numFmtId="0" fontId="9" fillId="0" borderId="3" xfId="0" quotePrefix="1" applyFont="1" applyBorder="1" applyAlignment="1">
      <alignment horizontal="left" vertical="center" wrapText="1"/>
    </xf>
    <xf numFmtId="0" fontId="9" fillId="0" borderId="3" xfId="0" quotePrefix="1" applyFont="1" applyBorder="1" applyAlignment="1">
      <alignment horizontal="center" vertical="center" wrapText="1"/>
    </xf>
    <xf numFmtId="0" fontId="9" fillId="0" borderId="0" xfId="0" applyFont="1" applyAlignment="1">
      <alignment horizontal="center"/>
    </xf>
    <xf numFmtId="0" fontId="9" fillId="0" borderId="10" xfId="0" quotePrefix="1" applyFont="1" applyBorder="1" applyAlignment="1">
      <alignment horizontal="left" vertical="center" wrapText="1"/>
    </xf>
    <xf numFmtId="0" fontId="8" fillId="2" borderId="1" xfId="0" applyFont="1" applyFill="1" applyBorder="1" applyAlignment="1">
      <alignment horizontal="center" vertical="center" wrapText="1"/>
    </xf>
    <xf numFmtId="0" fontId="14" fillId="0" borderId="6" xfId="0" quotePrefix="1" applyFont="1" applyBorder="1" applyAlignment="1">
      <alignment horizontal="left" vertical="center" wrapText="1"/>
    </xf>
    <xf numFmtId="0" fontId="14" fillId="0" borderId="9" xfId="0" quotePrefix="1" applyFont="1" applyBorder="1" applyAlignment="1">
      <alignment horizontal="left" vertical="center" wrapText="1"/>
    </xf>
    <xf numFmtId="0" fontId="14" fillId="0" borderId="1" xfId="0" quotePrefix="1" applyFont="1" applyBorder="1" applyAlignment="1">
      <alignment vertical="center" wrapText="1"/>
    </xf>
    <xf numFmtId="0" fontId="14" fillId="0" borderId="2" xfId="0" applyFont="1" applyBorder="1" applyAlignment="1">
      <alignment vertical="center" wrapText="1"/>
    </xf>
    <xf numFmtId="0" fontId="8" fillId="11" borderId="1"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8" fillId="12" borderId="1" xfId="0" applyFont="1" applyFill="1" applyBorder="1" applyAlignment="1">
      <alignment horizontal="center" vertical="center" wrapText="1"/>
    </xf>
    <xf numFmtId="0" fontId="8" fillId="8" borderId="1" xfId="0" applyFont="1" applyFill="1" applyBorder="1" applyAlignment="1">
      <alignment horizontal="center" vertical="center" wrapText="1"/>
    </xf>
    <xf numFmtId="0" fontId="9" fillId="0" borderId="1" xfId="0" applyFont="1" applyBorder="1" applyAlignment="1">
      <alignment wrapText="1"/>
    </xf>
    <xf numFmtId="0" fontId="21" fillId="13" borderId="1" xfId="0" applyFont="1" applyFill="1" applyBorder="1" applyAlignment="1">
      <alignment horizontal="center" vertical="center" wrapText="1"/>
    </xf>
    <xf numFmtId="0" fontId="9" fillId="0" borderId="0" xfId="0" applyFont="1" applyAlignment="1">
      <alignment horizontal="center" vertical="center"/>
    </xf>
    <xf numFmtId="0" fontId="8" fillId="0" borderId="0" xfId="0" applyFont="1" applyAlignment="1">
      <alignment wrapText="1"/>
    </xf>
    <xf numFmtId="0" fontId="9" fillId="6" borderId="3" xfId="0" applyFont="1" applyFill="1" applyBorder="1" applyAlignment="1">
      <alignment vertical="center" wrapText="1"/>
    </xf>
    <xf numFmtId="0" fontId="9" fillId="2" borderId="2" xfId="0" applyFont="1" applyFill="1" applyBorder="1" applyAlignment="1">
      <alignment vertical="center" wrapText="1"/>
    </xf>
    <xf numFmtId="0" fontId="9" fillId="2" borderId="3" xfId="0" applyFont="1" applyFill="1" applyBorder="1" applyAlignment="1">
      <alignment vertical="center" wrapText="1"/>
    </xf>
    <xf numFmtId="0" fontId="9" fillId="7" borderId="4" xfId="0" applyFont="1" applyFill="1" applyBorder="1" applyAlignment="1">
      <alignment wrapText="1"/>
    </xf>
    <xf numFmtId="0" fontId="8" fillId="7" borderId="0" xfId="0" applyFont="1" applyFill="1" applyAlignment="1">
      <alignment vertical="center" wrapText="1"/>
    </xf>
    <xf numFmtId="0" fontId="9" fillId="8" borderId="1" xfId="0" applyFont="1" applyFill="1" applyBorder="1" applyAlignment="1">
      <alignment horizontal="center" vertical="center" wrapText="1"/>
    </xf>
    <xf numFmtId="0" fontId="8" fillId="0" borderId="5" xfId="0" applyFont="1" applyBorder="1" applyAlignment="1">
      <alignment horizontal="center" vertical="center" wrapText="1"/>
    </xf>
    <xf numFmtId="0" fontId="8" fillId="0" borderId="0" xfId="0" applyFont="1" applyAlignment="1">
      <alignment horizontal="center" vertical="center" wrapText="1"/>
    </xf>
    <xf numFmtId="0" fontId="9" fillId="0" borderId="2" xfId="0" quotePrefix="1" applyFont="1" applyBorder="1" applyAlignment="1">
      <alignment horizontal="center" vertical="center" wrapText="1"/>
    </xf>
    <xf numFmtId="0" fontId="9" fillId="0" borderId="3" xfId="0" quotePrefix="1" applyFont="1" applyBorder="1" applyAlignment="1">
      <alignment horizontal="center" vertical="center" wrapText="1"/>
    </xf>
    <xf numFmtId="0" fontId="9" fillId="7" borderId="3" xfId="0" applyFont="1" applyFill="1" applyBorder="1" applyAlignment="1">
      <alignment horizontal="center" vertical="center" wrapText="1"/>
    </xf>
    <xf numFmtId="0" fontId="9" fillId="7" borderId="4" xfId="0" applyFont="1" applyFill="1" applyBorder="1" applyAlignment="1">
      <alignment horizontal="center" vertical="center" wrapText="1"/>
    </xf>
    <xf numFmtId="0" fontId="3" fillId="0" borderId="0" xfId="0" applyFont="1" applyAlignment="1">
      <alignment horizontal="center" vertical="center"/>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8" fillId="4" borderId="1" xfId="0" applyFont="1" applyFill="1" applyBorder="1" applyAlignment="1">
      <alignment horizontal="center" vertical="center"/>
    </xf>
    <xf numFmtId="0" fontId="11" fillId="2" borderId="1" xfId="0" applyFont="1" applyFill="1" applyBorder="1" applyAlignment="1">
      <alignment horizontal="center" vertical="center"/>
    </xf>
    <xf numFmtId="0" fontId="8" fillId="3" borderId="6"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8" fillId="3" borderId="8" xfId="0" applyFont="1" applyFill="1" applyBorder="1" applyAlignment="1">
      <alignment horizontal="center" vertical="center"/>
    </xf>
    <xf numFmtId="0" fontId="8" fillId="3" borderId="1" xfId="0" applyFont="1" applyFill="1" applyBorder="1" applyAlignment="1">
      <alignment horizontal="center" vertical="center"/>
    </xf>
    <xf numFmtId="0" fontId="22" fillId="0" borderId="1" xfId="0" applyFont="1" applyBorder="1" applyAlignment="1">
      <alignment horizontal="center" vertical="center" wrapText="1"/>
    </xf>
    <xf numFmtId="0" fontId="6" fillId="0" borderId="0" xfId="0" applyFont="1" applyAlignment="1">
      <alignment horizontal="left" vertical="top"/>
    </xf>
    <xf numFmtId="0" fontId="0" fillId="0" borderId="0" xfId="0" applyAlignment="1">
      <alignment horizontal="left" vertical="top"/>
    </xf>
    <xf numFmtId="0" fontId="20" fillId="0" borderId="0" xfId="0" applyFont="1" applyAlignment="1">
      <alignment horizontal="left" vertical="top"/>
    </xf>
    <xf numFmtId="0" fontId="17" fillId="0" borderId="0" xfId="0" applyFont="1" applyAlignment="1">
      <alignment horizontal="center" vertical="center"/>
    </xf>
    <xf numFmtId="0" fontId="16" fillId="0" borderId="0" xfId="0" applyFont="1" applyAlignment="1">
      <alignment horizontal="center" vertical="center"/>
    </xf>
    <xf numFmtId="0" fontId="0" fillId="0" borderId="0" xfId="0" applyAlignment="1">
      <alignment horizontal="left" vertical="center"/>
    </xf>
    <xf numFmtId="0" fontId="16" fillId="0" borderId="0" xfId="0" applyFont="1" applyAlignment="1">
      <alignment horizontal="left" vertical="center"/>
    </xf>
    <xf numFmtId="0" fontId="16" fillId="0" borderId="1" xfId="0" applyFont="1" applyBorder="1" applyAlignment="1">
      <alignment horizontal="center" vertical="center"/>
    </xf>
    <xf numFmtId="0" fontId="16" fillId="0" borderId="1" xfId="0" applyFont="1" applyBorder="1" applyAlignment="1">
      <alignment horizontal="center" vertical="center" wrapText="1"/>
    </xf>
    <xf numFmtId="0" fontId="16" fillId="0" borderId="1" xfId="0" applyFont="1" applyBorder="1" applyAlignment="1">
      <alignment horizontal="left" vertical="center"/>
    </xf>
    <xf numFmtId="0" fontId="16" fillId="0" borderId="2" xfId="0" applyFont="1" applyBorder="1" applyAlignment="1">
      <alignment horizontal="center" vertical="center" wrapText="1"/>
    </xf>
    <xf numFmtId="0" fontId="16" fillId="0" borderId="4" xfId="0" applyFont="1" applyBorder="1" applyAlignment="1">
      <alignment horizontal="center" vertical="center" wrapText="1"/>
    </xf>
    <xf numFmtId="0" fontId="9" fillId="11" borderId="1" xfId="0" applyFont="1" applyFill="1" applyBorder="1" applyAlignment="1">
      <alignment horizontal="center" vertical="center" wrapText="1"/>
    </xf>
    <xf numFmtId="0" fontId="9" fillId="6" borderId="1" xfId="0" applyFont="1" applyFill="1" applyBorder="1" applyAlignment="1">
      <alignment horizontal="center" vertical="center" wrapText="1"/>
    </xf>
    <xf numFmtId="0" fontId="9" fillId="12" borderId="1" xfId="0" applyFont="1" applyFill="1" applyBorder="1" applyAlignment="1">
      <alignment horizontal="center" vertical="center" wrapText="1"/>
    </xf>
    <xf numFmtId="0" fontId="9" fillId="7" borderId="1" xfId="0" applyFont="1" applyFill="1" applyBorder="1" applyAlignment="1">
      <alignment horizontal="center" vertical="center" wrapText="1"/>
    </xf>
  </cellXfs>
  <cellStyles count="3">
    <cellStyle name="Normal" xfId="0" builtinId="0"/>
    <cellStyle name="Normal 112" xfId="1" xr:uid="{E00F884F-BE9D-43B6-9B30-69B591BCF125}"/>
    <cellStyle name="Weekday" xfId="2" xr:uid="{A8DB364E-0A19-4DC7-853E-B4562D7CFA7B}"/>
  </cellStyles>
  <dxfs count="105">
    <dxf>
      <font>
        <color theme="0"/>
      </font>
    </dxf>
    <dxf>
      <font>
        <color rgb="FFC00000"/>
      </font>
    </dxf>
    <dxf>
      <fill>
        <patternFill>
          <bgColor theme="0"/>
        </patternFill>
      </fill>
    </dxf>
    <dxf>
      <fill>
        <patternFill>
          <bgColor theme="3" tint="0.89996032593768116"/>
        </patternFill>
      </fill>
    </dxf>
    <dxf>
      <fill>
        <patternFill>
          <bgColor theme="9" tint="0.79998168889431442"/>
        </patternFill>
      </fill>
    </dxf>
    <dxf>
      <fill>
        <patternFill>
          <bgColor theme="8" tint="0.79998168889431442"/>
        </patternFill>
      </fill>
    </dxf>
    <dxf>
      <fill>
        <patternFill>
          <bgColor theme="7" tint="0.59996337778862885"/>
        </patternFill>
      </fill>
    </dxf>
    <dxf>
      <font>
        <color theme="5" tint="0.79998168889431442"/>
      </font>
      <fill>
        <patternFill>
          <bgColor theme="5" tint="0.79998168889431442"/>
        </patternFill>
      </fill>
    </dxf>
    <dxf>
      <font>
        <color theme="5" tint="0.79998168889431442"/>
      </font>
      <fill>
        <patternFill>
          <bgColor theme="5" tint="0.79998168889431442"/>
        </patternFill>
      </fill>
    </dxf>
    <dxf>
      <font>
        <color theme="0"/>
      </font>
    </dxf>
    <dxf>
      <font>
        <color rgb="FFC00000"/>
      </font>
    </dxf>
    <dxf>
      <fill>
        <patternFill>
          <bgColor theme="0"/>
        </patternFill>
      </fill>
    </dxf>
    <dxf>
      <fill>
        <patternFill>
          <bgColor theme="3" tint="0.89996032593768116"/>
        </patternFill>
      </fill>
    </dxf>
    <dxf>
      <fill>
        <patternFill>
          <bgColor theme="9" tint="0.79998168889431442"/>
        </patternFill>
      </fill>
    </dxf>
    <dxf>
      <fill>
        <patternFill>
          <bgColor theme="8" tint="0.79998168889431442"/>
        </patternFill>
      </fill>
    </dxf>
    <dxf>
      <fill>
        <patternFill>
          <bgColor theme="7" tint="0.59996337778862885"/>
        </patternFill>
      </fill>
    </dxf>
    <dxf>
      <font>
        <color theme="5" tint="0.79998168889431442"/>
      </font>
      <fill>
        <patternFill>
          <bgColor theme="5" tint="0.79998168889431442"/>
        </patternFill>
      </fill>
    </dxf>
    <dxf>
      <font>
        <color theme="5" tint="0.79998168889431442"/>
      </font>
      <fill>
        <patternFill>
          <bgColor theme="5" tint="0.79998168889431442"/>
        </patternFill>
      </fill>
    </dxf>
    <dxf>
      <font>
        <color theme="0"/>
      </font>
    </dxf>
    <dxf>
      <font>
        <color rgb="FFC00000"/>
      </font>
    </dxf>
    <dxf>
      <fill>
        <patternFill>
          <bgColor theme="0"/>
        </patternFill>
      </fill>
    </dxf>
    <dxf>
      <fill>
        <patternFill>
          <bgColor theme="3" tint="0.89996032593768116"/>
        </patternFill>
      </fill>
    </dxf>
    <dxf>
      <fill>
        <patternFill>
          <bgColor theme="9" tint="0.79998168889431442"/>
        </patternFill>
      </fill>
    </dxf>
    <dxf>
      <fill>
        <patternFill>
          <bgColor theme="8" tint="0.79998168889431442"/>
        </patternFill>
      </fill>
    </dxf>
    <dxf>
      <fill>
        <patternFill>
          <bgColor theme="7" tint="0.59996337778862885"/>
        </patternFill>
      </fill>
    </dxf>
    <dxf>
      <font>
        <color theme="5" tint="0.79998168889431442"/>
      </font>
      <fill>
        <patternFill>
          <bgColor theme="5" tint="0.79998168889431442"/>
        </patternFill>
      </fill>
    </dxf>
    <dxf>
      <font>
        <color theme="5" tint="0.79998168889431442"/>
      </font>
      <fill>
        <patternFill>
          <bgColor theme="5" tint="0.79998168889431442"/>
        </patternFill>
      </fill>
    </dxf>
    <dxf>
      <font>
        <color theme="0"/>
      </font>
    </dxf>
    <dxf>
      <font>
        <color rgb="FFC00000"/>
      </font>
    </dxf>
    <dxf>
      <fill>
        <patternFill>
          <bgColor theme="0"/>
        </patternFill>
      </fill>
    </dxf>
    <dxf>
      <fill>
        <patternFill>
          <bgColor theme="3" tint="0.89996032593768116"/>
        </patternFill>
      </fill>
    </dxf>
    <dxf>
      <fill>
        <patternFill>
          <bgColor theme="9" tint="0.79998168889431442"/>
        </patternFill>
      </fill>
    </dxf>
    <dxf>
      <fill>
        <patternFill>
          <bgColor theme="8" tint="0.79998168889431442"/>
        </patternFill>
      </fill>
    </dxf>
    <dxf>
      <fill>
        <patternFill>
          <bgColor theme="7" tint="0.59996337778862885"/>
        </patternFill>
      </fill>
    </dxf>
    <dxf>
      <font>
        <color theme="5" tint="0.79998168889431442"/>
      </font>
      <fill>
        <patternFill>
          <bgColor theme="5" tint="0.79998168889431442"/>
        </patternFill>
      </fill>
    </dxf>
    <dxf>
      <font>
        <color theme="5" tint="0.79998168889431442"/>
      </font>
      <fill>
        <patternFill>
          <bgColor theme="5" tint="0.79998168889431442"/>
        </patternFill>
      </fill>
    </dxf>
    <dxf>
      <fill>
        <patternFill>
          <bgColor theme="0"/>
        </patternFill>
      </fill>
    </dxf>
    <dxf>
      <fill>
        <patternFill>
          <bgColor theme="3" tint="0.89996032593768116"/>
        </patternFill>
      </fill>
    </dxf>
    <dxf>
      <fill>
        <patternFill>
          <bgColor theme="9" tint="0.79998168889431442"/>
        </patternFill>
      </fill>
    </dxf>
    <dxf>
      <fill>
        <patternFill>
          <bgColor theme="8" tint="0.79998168889431442"/>
        </patternFill>
      </fill>
    </dxf>
    <dxf>
      <fill>
        <patternFill>
          <bgColor theme="7" tint="0.59996337778862885"/>
        </patternFill>
      </fill>
    </dxf>
    <dxf>
      <fill>
        <patternFill>
          <bgColor theme="0"/>
        </patternFill>
      </fill>
    </dxf>
    <dxf>
      <fill>
        <patternFill>
          <bgColor theme="3" tint="0.89996032593768116"/>
        </patternFill>
      </fill>
    </dxf>
    <dxf>
      <fill>
        <patternFill>
          <bgColor theme="9" tint="0.79998168889431442"/>
        </patternFill>
      </fill>
    </dxf>
    <dxf>
      <fill>
        <patternFill>
          <bgColor theme="8" tint="0.79998168889431442"/>
        </patternFill>
      </fill>
    </dxf>
    <dxf>
      <fill>
        <patternFill>
          <bgColor theme="7" tint="0.59996337778862885"/>
        </patternFill>
      </fill>
    </dxf>
    <dxf>
      <fill>
        <patternFill>
          <bgColor theme="0"/>
        </patternFill>
      </fill>
    </dxf>
    <dxf>
      <fill>
        <patternFill>
          <bgColor theme="3" tint="0.89996032593768116"/>
        </patternFill>
      </fill>
    </dxf>
    <dxf>
      <fill>
        <patternFill>
          <bgColor theme="9" tint="0.79998168889431442"/>
        </patternFill>
      </fill>
    </dxf>
    <dxf>
      <fill>
        <patternFill>
          <bgColor theme="8" tint="0.79998168889431442"/>
        </patternFill>
      </fill>
    </dxf>
    <dxf>
      <fill>
        <patternFill>
          <bgColor theme="7" tint="0.59996337778862885"/>
        </patternFill>
      </fill>
    </dxf>
    <dxf>
      <fill>
        <patternFill>
          <bgColor theme="0"/>
        </patternFill>
      </fill>
    </dxf>
    <dxf>
      <fill>
        <patternFill>
          <bgColor theme="3" tint="0.89996032593768116"/>
        </patternFill>
      </fill>
    </dxf>
    <dxf>
      <fill>
        <patternFill>
          <bgColor theme="9" tint="0.79998168889431442"/>
        </patternFill>
      </fill>
    </dxf>
    <dxf>
      <fill>
        <patternFill>
          <bgColor theme="8" tint="0.79998168889431442"/>
        </patternFill>
      </fill>
    </dxf>
    <dxf>
      <fill>
        <patternFill>
          <bgColor theme="7" tint="0.59996337778862885"/>
        </patternFill>
      </fill>
    </dxf>
    <dxf>
      <fill>
        <patternFill>
          <bgColor theme="0"/>
        </patternFill>
      </fill>
    </dxf>
    <dxf>
      <fill>
        <patternFill>
          <bgColor theme="3" tint="0.89996032593768116"/>
        </patternFill>
      </fill>
    </dxf>
    <dxf>
      <fill>
        <patternFill>
          <bgColor theme="9" tint="0.79998168889431442"/>
        </patternFill>
      </fill>
    </dxf>
    <dxf>
      <fill>
        <patternFill>
          <bgColor theme="8" tint="0.79998168889431442"/>
        </patternFill>
      </fill>
    </dxf>
    <dxf>
      <fill>
        <patternFill>
          <bgColor theme="7" tint="0.59996337778862885"/>
        </patternFill>
      </fill>
    </dxf>
    <dxf>
      <fill>
        <patternFill>
          <bgColor theme="0"/>
        </patternFill>
      </fill>
    </dxf>
    <dxf>
      <fill>
        <patternFill>
          <bgColor theme="3" tint="0.89996032593768116"/>
        </patternFill>
      </fill>
    </dxf>
    <dxf>
      <fill>
        <patternFill>
          <bgColor theme="9" tint="0.79998168889431442"/>
        </patternFill>
      </fill>
    </dxf>
    <dxf>
      <fill>
        <patternFill>
          <bgColor theme="8" tint="0.79998168889431442"/>
        </patternFill>
      </fill>
    </dxf>
    <dxf>
      <fill>
        <patternFill>
          <bgColor theme="7" tint="0.59996337778862885"/>
        </patternFill>
      </fill>
    </dxf>
    <dxf>
      <fill>
        <patternFill>
          <bgColor theme="0"/>
        </patternFill>
      </fill>
    </dxf>
    <dxf>
      <fill>
        <patternFill>
          <bgColor theme="3" tint="0.89996032593768116"/>
        </patternFill>
      </fill>
    </dxf>
    <dxf>
      <fill>
        <patternFill>
          <bgColor theme="9" tint="0.79998168889431442"/>
        </patternFill>
      </fill>
    </dxf>
    <dxf>
      <fill>
        <patternFill>
          <bgColor theme="8" tint="0.79998168889431442"/>
        </patternFill>
      </fill>
    </dxf>
    <dxf>
      <fill>
        <patternFill>
          <bgColor theme="7" tint="0.59996337778862885"/>
        </patternFill>
      </fill>
    </dxf>
    <dxf>
      <fill>
        <patternFill>
          <bgColor theme="0"/>
        </patternFill>
      </fill>
    </dxf>
    <dxf>
      <fill>
        <patternFill>
          <bgColor theme="3" tint="0.89996032593768116"/>
        </patternFill>
      </fill>
    </dxf>
    <dxf>
      <fill>
        <patternFill>
          <bgColor theme="9" tint="0.79998168889431442"/>
        </patternFill>
      </fill>
    </dxf>
    <dxf>
      <fill>
        <patternFill>
          <bgColor theme="8" tint="0.79998168889431442"/>
        </patternFill>
      </fill>
    </dxf>
    <dxf>
      <fill>
        <patternFill>
          <bgColor theme="7" tint="0.59996337778862885"/>
        </patternFill>
      </fill>
    </dxf>
    <dxf>
      <fill>
        <patternFill>
          <bgColor theme="0"/>
        </patternFill>
      </fill>
    </dxf>
    <dxf>
      <fill>
        <patternFill>
          <bgColor theme="3" tint="0.89996032593768116"/>
        </patternFill>
      </fill>
    </dxf>
    <dxf>
      <fill>
        <patternFill>
          <bgColor theme="9" tint="0.79998168889431442"/>
        </patternFill>
      </fill>
    </dxf>
    <dxf>
      <fill>
        <patternFill>
          <bgColor theme="8" tint="0.79998168889431442"/>
        </patternFill>
      </fill>
    </dxf>
    <dxf>
      <fill>
        <patternFill>
          <bgColor theme="7" tint="0.59996337778862885"/>
        </patternFill>
      </fill>
    </dxf>
    <dxf>
      <fill>
        <patternFill>
          <bgColor theme="0"/>
        </patternFill>
      </fill>
    </dxf>
    <dxf>
      <fill>
        <patternFill>
          <bgColor theme="3" tint="0.89996032593768116"/>
        </patternFill>
      </fill>
    </dxf>
    <dxf>
      <fill>
        <patternFill>
          <bgColor theme="9" tint="0.79998168889431442"/>
        </patternFill>
      </fill>
    </dxf>
    <dxf>
      <fill>
        <patternFill>
          <bgColor theme="8" tint="0.79998168889431442"/>
        </patternFill>
      </fill>
    </dxf>
    <dxf>
      <fill>
        <patternFill>
          <bgColor theme="7" tint="0.59996337778862885"/>
        </patternFill>
      </fill>
    </dxf>
    <dxf>
      <fill>
        <patternFill>
          <bgColor theme="0"/>
        </patternFill>
      </fill>
    </dxf>
    <dxf>
      <fill>
        <patternFill>
          <bgColor theme="3" tint="0.89996032593768116"/>
        </patternFill>
      </fill>
    </dxf>
    <dxf>
      <fill>
        <patternFill>
          <bgColor theme="9" tint="0.79998168889431442"/>
        </patternFill>
      </fill>
    </dxf>
    <dxf>
      <fill>
        <patternFill>
          <bgColor theme="8" tint="0.79998168889431442"/>
        </patternFill>
      </fill>
    </dxf>
    <dxf>
      <fill>
        <patternFill>
          <bgColor theme="7" tint="0.59996337778862885"/>
        </patternFill>
      </fill>
    </dxf>
    <dxf>
      <fill>
        <patternFill>
          <bgColor theme="0"/>
        </patternFill>
      </fill>
    </dxf>
    <dxf>
      <fill>
        <patternFill>
          <bgColor theme="3" tint="0.89996032593768116"/>
        </patternFill>
      </fill>
    </dxf>
    <dxf>
      <fill>
        <patternFill>
          <bgColor theme="9" tint="0.79998168889431442"/>
        </patternFill>
      </fill>
    </dxf>
    <dxf>
      <fill>
        <patternFill>
          <bgColor theme="8" tint="0.79998168889431442"/>
        </patternFill>
      </fill>
    </dxf>
    <dxf>
      <fill>
        <patternFill>
          <bgColor theme="7" tint="0.59996337778862885"/>
        </patternFill>
      </fill>
    </dxf>
    <dxf>
      <fill>
        <patternFill>
          <bgColor theme="0"/>
        </patternFill>
      </fill>
    </dxf>
    <dxf>
      <fill>
        <patternFill>
          <bgColor theme="3" tint="0.89996032593768116"/>
        </patternFill>
      </fill>
    </dxf>
    <dxf>
      <fill>
        <patternFill>
          <bgColor theme="9" tint="0.79998168889431442"/>
        </patternFill>
      </fill>
    </dxf>
    <dxf>
      <fill>
        <patternFill>
          <bgColor theme="8" tint="0.79998168889431442"/>
        </patternFill>
      </fill>
    </dxf>
    <dxf>
      <fill>
        <patternFill>
          <bgColor theme="7" tint="0.59996337778862885"/>
        </patternFill>
      </fill>
    </dxf>
    <dxf>
      <fill>
        <patternFill>
          <bgColor theme="9"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s>
  <tableStyles count="0" defaultTableStyle="TableStyleMedium2" defaultPivotStyle="PivotStyleLight16"/>
  <colors>
    <mruColors>
      <color rgb="FFFFFF99"/>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3321854412262429E-2"/>
          <c:y val="8.1180177474011156E-2"/>
          <c:w val="0.90903586857512042"/>
          <c:h val="0.847687196677123"/>
        </c:manualLayout>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KNL_ĐK_10!$F$3:$M$3</c:f>
              <c:strCache>
                <c:ptCount val="2"/>
                <c:pt idx="0">
                  <c:v>Bậc 1</c:v>
                </c:pt>
                <c:pt idx="1">
                  <c:v>Bậc 2</c:v>
                </c:pt>
              </c:strCache>
            </c:strRef>
          </c:cat>
          <c:val>
            <c:numRef>
              <c:f>KNL_ĐK_10!$F$4:$M$4</c:f>
              <c:numCache>
                <c:formatCode>General</c:formatCode>
                <c:ptCount val="2"/>
                <c:pt idx="0">
                  <c:v>51</c:v>
                </c:pt>
                <c:pt idx="1">
                  <c:v>108</c:v>
                </c:pt>
              </c:numCache>
            </c:numRef>
          </c:val>
          <c:extLst>
            <c:ext xmlns:c16="http://schemas.microsoft.com/office/drawing/2014/chart" uri="{C3380CC4-5D6E-409C-BE32-E72D297353CC}">
              <c16:uniqueId val="{00000000-73E0-43D6-AF20-3E28ED94DDD8}"/>
            </c:ext>
          </c:extLst>
        </c:ser>
        <c:dLbls>
          <c:dLblPos val="outEnd"/>
          <c:showLegendKey val="0"/>
          <c:showVal val="1"/>
          <c:showCatName val="0"/>
          <c:showSerName val="0"/>
          <c:showPercent val="0"/>
          <c:showBubbleSize val="0"/>
        </c:dLbls>
        <c:gapWidth val="219"/>
        <c:overlap val="-27"/>
        <c:axId val="101464240"/>
        <c:axId val="101452720"/>
      </c:barChart>
      <c:catAx>
        <c:axId val="101464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01452720"/>
        <c:crosses val="autoZero"/>
        <c:auto val="1"/>
        <c:lblAlgn val="ctr"/>
        <c:lblOffset val="100"/>
        <c:noMultiLvlLbl val="0"/>
      </c:catAx>
      <c:valAx>
        <c:axId val="101452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014642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800" b="1">
          <a:solidFill>
            <a:schemeClr val="tx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3321854412262429E-2"/>
          <c:y val="8.1180177474011156E-2"/>
          <c:w val="0.90903586857512042"/>
          <c:h val="0.847687196677123"/>
        </c:manualLayout>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KNL_ĐK_12!$F$3:$M$3</c:f>
              <c:strCache>
                <c:ptCount val="8"/>
                <c:pt idx="0">
                  <c:v>Bậc 1</c:v>
                </c:pt>
                <c:pt idx="1">
                  <c:v>Bậc 2</c:v>
                </c:pt>
                <c:pt idx="2">
                  <c:v>Bậc 3</c:v>
                </c:pt>
                <c:pt idx="3">
                  <c:v>Bậc 4</c:v>
                </c:pt>
                <c:pt idx="4">
                  <c:v>Bậc 5</c:v>
                </c:pt>
                <c:pt idx="5">
                  <c:v>Bậc 6</c:v>
                </c:pt>
                <c:pt idx="6">
                  <c:v>Bậc 7</c:v>
                </c:pt>
                <c:pt idx="7">
                  <c:v>Bậc 8</c:v>
                </c:pt>
              </c:strCache>
            </c:strRef>
          </c:cat>
          <c:val>
            <c:numRef>
              <c:f>KNL_ĐK_12!$F$4:$M$4</c:f>
              <c:numCache>
                <c:formatCode>General</c:formatCode>
                <c:ptCount val="8"/>
                <c:pt idx="0">
                  <c:v>58</c:v>
                </c:pt>
                <c:pt idx="1">
                  <c:v>68</c:v>
                </c:pt>
                <c:pt idx="2">
                  <c:v>87</c:v>
                </c:pt>
                <c:pt idx="3">
                  <c:v>104</c:v>
                </c:pt>
                <c:pt idx="4">
                  <c:v>107</c:v>
                </c:pt>
                <c:pt idx="5">
                  <c:v>111</c:v>
                </c:pt>
                <c:pt idx="6">
                  <c:v>116</c:v>
                </c:pt>
                <c:pt idx="7">
                  <c:v>116</c:v>
                </c:pt>
              </c:numCache>
            </c:numRef>
          </c:val>
          <c:extLst>
            <c:ext xmlns:c16="http://schemas.microsoft.com/office/drawing/2014/chart" uri="{C3380CC4-5D6E-409C-BE32-E72D297353CC}">
              <c16:uniqueId val="{00000000-7DC9-4F26-B3DC-3F329C3CE8C6}"/>
            </c:ext>
          </c:extLst>
        </c:ser>
        <c:dLbls>
          <c:dLblPos val="outEnd"/>
          <c:showLegendKey val="0"/>
          <c:showVal val="1"/>
          <c:showCatName val="0"/>
          <c:showSerName val="0"/>
          <c:showPercent val="0"/>
          <c:showBubbleSize val="0"/>
        </c:dLbls>
        <c:gapWidth val="219"/>
        <c:overlap val="-27"/>
        <c:axId val="101464240"/>
        <c:axId val="101452720"/>
      </c:barChart>
      <c:catAx>
        <c:axId val="101464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52720"/>
        <c:crosses val="autoZero"/>
        <c:auto val="1"/>
        <c:lblAlgn val="ctr"/>
        <c:lblOffset val="100"/>
        <c:noMultiLvlLbl val="0"/>
      </c:catAx>
      <c:valAx>
        <c:axId val="101452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642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0997659721962964E-2"/>
          <c:y val="3.6707726533050447E-2"/>
          <c:w val="0.90903586857512042"/>
          <c:h val="0.847687196677123"/>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0-9BDD-4144-8A8A-94BE820E39FA}"/>
              </c:ext>
            </c:extLst>
          </c:dPt>
          <c:dPt>
            <c:idx val="1"/>
            <c:invertIfNegative val="0"/>
            <c:bubble3D val="0"/>
            <c:spPr>
              <a:solidFill>
                <a:srgbClr val="00B0F0"/>
              </a:solidFill>
              <a:ln>
                <a:noFill/>
              </a:ln>
              <a:effectLst/>
            </c:spPr>
            <c:extLst>
              <c:ext xmlns:c16="http://schemas.microsoft.com/office/drawing/2014/chart" uri="{C3380CC4-5D6E-409C-BE32-E72D297353CC}">
                <c16:uniqueId val="{00000001-9BDD-4144-8A8A-94BE820E39FA}"/>
              </c:ext>
            </c:extLst>
          </c:dPt>
          <c:dPt>
            <c:idx val="2"/>
            <c:invertIfNegative val="0"/>
            <c:bubble3D val="0"/>
            <c:spPr>
              <a:solidFill>
                <a:srgbClr val="00B0F0"/>
              </a:solidFill>
              <a:ln>
                <a:noFill/>
              </a:ln>
              <a:effectLst/>
            </c:spPr>
            <c:extLst>
              <c:ext xmlns:c16="http://schemas.microsoft.com/office/drawing/2014/chart" uri="{C3380CC4-5D6E-409C-BE32-E72D297353CC}">
                <c16:uniqueId val="{00000002-9BDD-4144-8A8A-94BE820E39FA}"/>
              </c:ext>
            </c:extLst>
          </c:dPt>
          <c:dPt>
            <c:idx val="3"/>
            <c:invertIfNegative val="0"/>
            <c:bubble3D val="0"/>
            <c:spPr>
              <a:solidFill>
                <a:srgbClr val="00B050"/>
              </a:solidFill>
              <a:ln>
                <a:noFill/>
              </a:ln>
              <a:effectLst/>
            </c:spPr>
            <c:extLst>
              <c:ext xmlns:c16="http://schemas.microsoft.com/office/drawing/2014/chart" uri="{C3380CC4-5D6E-409C-BE32-E72D297353CC}">
                <c16:uniqueId val="{00000003-9BDD-4144-8A8A-94BE820E39FA}"/>
              </c:ext>
            </c:extLst>
          </c:dPt>
          <c:dPt>
            <c:idx val="4"/>
            <c:invertIfNegative val="0"/>
            <c:bubble3D val="0"/>
            <c:spPr>
              <a:solidFill>
                <a:srgbClr val="00B050"/>
              </a:solidFill>
              <a:ln>
                <a:noFill/>
              </a:ln>
              <a:effectLst/>
            </c:spPr>
            <c:extLst>
              <c:ext xmlns:c16="http://schemas.microsoft.com/office/drawing/2014/chart" uri="{C3380CC4-5D6E-409C-BE32-E72D297353CC}">
                <c16:uniqueId val="{00000004-9BDD-4144-8A8A-94BE820E39FA}"/>
              </c:ext>
            </c:extLst>
          </c:dPt>
          <c:dPt>
            <c:idx val="5"/>
            <c:invertIfNegative val="0"/>
            <c:bubble3D val="0"/>
            <c:spPr>
              <a:solidFill>
                <a:srgbClr val="00B050"/>
              </a:solidFill>
              <a:ln>
                <a:noFill/>
              </a:ln>
              <a:effectLst/>
            </c:spPr>
            <c:extLst>
              <c:ext xmlns:c16="http://schemas.microsoft.com/office/drawing/2014/chart" uri="{C3380CC4-5D6E-409C-BE32-E72D297353CC}">
                <c16:uniqueId val="{00000005-9BDD-4144-8A8A-94BE820E39FA}"/>
              </c:ext>
            </c:extLst>
          </c:dPt>
          <c:dPt>
            <c:idx val="6"/>
            <c:invertIfNegative val="0"/>
            <c:bubble3D val="0"/>
            <c:spPr>
              <a:solidFill>
                <a:srgbClr val="FF0000"/>
              </a:solidFill>
              <a:ln>
                <a:noFill/>
              </a:ln>
              <a:effectLst/>
            </c:spPr>
            <c:extLst>
              <c:ext xmlns:c16="http://schemas.microsoft.com/office/drawing/2014/chart" uri="{C3380CC4-5D6E-409C-BE32-E72D297353CC}">
                <c16:uniqueId val="{00000006-9BDD-4144-8A8A-94BE820E39FA}"/>
              </c:ext>
            </c:extLst>
          </c:dPt>
          <c:dPt>
            <c:idx val="7"/>
            <c:invertIfNegative val="0"/>
            <c:bubble3D val="0"/>
            <c:spPr>
              <a:solidFill>
                <a:srgbClr val="FF0000"/>
              </a:solidFill>
              <a:ln>
                <a:noFill/>
              </a:ln>
              <a:effectLst/>
            </c:spPr>
            <c:extLst>
              <c:ext xmlns:c16="http://schemas.microsoft.com/office/drawing/2014/chart" uri="{C3380CC4-5D6E-409C-BE32-E72D297353CC}">
                <c16:uniqueId val="{00000007-9BDD-4144-8A8A-94BE820E39FA}"/>
              </c:ext>
            </c:extLst>
          </c:dPt>
          <c:dLbls>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KNL_ĐK_13!$F$3:$M$3</c:f>
              <c:strCache>
                <c:ptCount val="8"/>
                <c:pt idx="0">
                  <c:v>Bậc 1</c:v>
                </c:pt>
                <c:pt idx="1">
                  <c:v>Bậc 2</c:v>
                </c:pt>
                <c:pt idx="2">
                  <c:v>Bậc 3</c:v>
                </c:pt>
                <c:pt idx="3">
                  <c:v>Bậc 4</c:v>
                </c:pt>
                <c:pt idx="4">
                  <c:v>Bậc 5</c:v>
                </c:pt>
                <c:pt idx="5">
                  <c:v>Bậc 6</c:v>
                </c:pt>
                <c:pt idx="6">
                  <c:v>Bậc 7</c:v>
                </c:pt>
                <c:pt idx="7">
                  <c:v>Bậc 8</c:v>
                </c:pt>
              </c:strCache>
            </c:strRef>
          </c:cat>
          <c:val>
            <c:numRef>
              <c:f>KNL_ĐK_13!$F$4:$M$4</c:f>
              <c:numCache>
                <c:formatCode>General</c:formatCode>
                <c:ptCount val="8"/>
                <c:pt idx="0">
                  <c:v>26</c:v>
                </c:pt>
                <c:pt idx="1">
                  <c:v>58</c:v>
                </c:pt>
                <c:pt idx="2">
                  <c:v>62</c:v>
                </c:pt>
                <c:pt idx="3">
                  <c:v>65</c:v>
                </c:pt>
                <c:pt idx="4">
                  <c:v>68</c:v>
                </c:pt>
                <c:pt idx="5">
                  <c:v>70</c:v>
                </c:pt>
                <c:pt idx="6">
                  <c:v>73</c:v>
                </c:pt>
                <c:pt idx="7">
                  <c:v>75</c:v>
                </c:pt>
              </c:numCache>
            </c:numRef>
          </c:val>
          <c:extLst>
            <c:ext xmlns:c16="http://schemas.microsoft.com/office/drawing/2014/chart" uri="{C3380CC4-5D6E-409C-BE32-E72D297353CC}">
              <c16:uniqueId val="{00000000-CF07-45EE-9267-A17BAD48EE8F}"/>
            </c:ext>
          </c:extLst>
        </c:ser>
        <c:dLbls>
          <c:dLblPos val="outEnd"/>
          <c:showLegendKey val="0"/>
          <c:showVal val="1"/>
          <c:showCatName val="0"/>
          <c:showSerName val="0"/>
          <c:showPercent val="0"/>
          <c:showBubbleSize val="0"/>
        </c:dLbls>
        <c:gapWidth val="219"/>
        <c:overlap val="-27"/>
        <c:axId val="101464240"/>
        <c:axId val="101452720"/>
      </c:barChart>
      <c:catAx>
        <c:axId val="101464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01452720"/>
        <c:crosses val="autoZero"/>
        <c:auto val="1"/>
        <c:lblAlgn val="ctr"/>
        <c:lblOffset val="100"/>
        <c:noMultiLvlLbl val="0"/>
      </c:catAx>
      <c:valAx>
        <c:axId val="101452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014642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3321854412262429E-2"/>
          <c:y val="8.1180177474011156E-2"/>
          <c:w val="0.90903586857512042"/>
          <c:h val="0.847687196677123"/>
        </c:manualLayout>
      </c:layout>
      <c:barChart>
        <c:barDir val="col"/>
        <c:grouping val="clustered"/>
        <c:varyColors val="0"/>
        <c:ser>
          <c:idx val="0"/>
          <c:order val="0"/>
          <c:spPr>
            <a:solidFill>
              <a:srgbClr val="FF0000"/>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5-9D72-4338-B7A6-15C302578CDD}"/>
              </c:ext>
            </c:extLst>
          </c:dPt>
          <c:dPt>
            <c:idx val="1"/>
            <c:invertIfNegative val="0"/>
            <c:bubble3D val="0"/>
            <c:spPr>
              <a:solidFill>
                <a:srgbClr val="00B0F0"/>
              </a:solidFill>
              <a:ln>
                <a:noFill/>
              </a:ln>
              <a:effectLst/>
            </c:spPr>
            <c:extLst>
              <c:ext xmlns:c16="http://schemas.microsoft.com/office/drawing/2014/chart" uri="{C3380CC4-5D6E-409C-BE32-E72D297353CC}">
                <c16:uniqueId val="{00000003-9D72-4338-B7A6-15C302578CDD}"/>
              </c:ext>
            </c:extLst>
          </c:dPt>
          <c:dPt>
            <c:idx val="2"/>
            <c:invertIfNegative val="0"/>
            <c:bubble3D val="0"/>
            <c:spPr>
              <a:solidFill>
                <a:srgbClr val="00B0F0"/>
              </a:solidFill>
              <a:ln>
                <a:noFill/>
              </a:ln>
              <a:effectLst/>
            </c:spPr>
            <c:extLst>
              <c:ext xmlns:c16="http://schemas.microsoft.com/office/drawing/2014/chart" uri="{C3380CC4-5D6E-409C-BE32-E72D297353CC}">
                <c16:uniqueId val="{00000004-9D72-4338-B7A6-15C302578CDD}"/>
              </c:ext>
            </c:extLst>
          </c:dPt>
          <c:dPt>
            <c:idx val="3"/>
            <c:invertIfNegative val="0"/>
            <c:bubble3D val="0"/>
            <c:spPr>
              <a:solidFill>
                <a:srgbClr val="00B050"/>
              </a:solidFill>
              <a:ln>
                <a:noFill/>
              </a:ln>
              <a:effectLst/>
            </c:spPr>
            <c:extLst>
              <c:ext xmlns:c16="http://schemas.microsoft.com/office/drawing/2014/chart" uri="{C3380CC4-5D6E-409C-BE32-E72D297353CC}">
                <c16:uniqueId val="{00000000-9D72-4338-B7A6-15C302578CDD}"/>
              </c:ext>
            </c:extLst>
          </c:dPt>
          <c:dPt>
            <c:idx val="4"/>
            <c:invertIfNegative val="0"/>
            <c:bubble3D val="0"/>
            <c:spPr>
              <a:solidFill>
                <a:srgbClr val="00B050"/>
              </a:solidFill>
              <a:ln>
                <a:noFill/>
              </a:ln>
              <a:effectLst/>
            </c:spPr>
            <c:extLst>
              <c:ext xmlns:c16="http://schemas.microsoft.com/office/drawing/2014/chart" uri="{C3380CC4-5D6E-409C-BE32-E72D297353CC}">
                <c16:uniqueId val="{00000001-9D72-4338-B7A6-15C302578CDD}"/>
              </c:ext>
            </c:extLst>
          </c:dPt>
          <c:dPt>
            <c:idx val="5"/>
            <c:invertIfNegative val="0"/>
            <c:bubble3D val="0"/>
            <c:spPr>
              <a:solidFill>
                <a:srgbClr val="00B050"/>
              </a:solidFill>
              <a:ln>
                <a:noFill/>
              </a:ln>
              <a:effectLst/>
            </c:spPr>
            <c:extLst>
              <c:ext xmlns:c16="http://schemas.microsoft.com/office/drawing/2014/chart" uri="{C3380CC4-5D6E-409C-BE32-E72D297353CC}">
                <c16:uniqueId val="{00000002-9D72-4338-B7A6-15C302578CDD}"/>
              </c:ext>
            </c:extLst>
          </c:dPt>
          <c:dLbls>
            <c:spPr>
              <a:noFill/>
              <a:ln>
                <a:noFill/>
              </a:ln>
              <a:effectLst/>
            </c:spPr>
            <c:txPr>
              <a:bodyPr rot="0" spcFirstLastPara="1" vertOverflow="ellipsis" vert="horz" wrap="square" anchor="ctr" anchorCtr="1"/>
              <a:lstStyle/>
              <a:p>
                <a:pPr>
                  <a:defRPr sz="2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KNL_ĐK_14!$F$3:$M$3</c:f>
              <c:strCache>
                <c:ptCount val="8"/>
                <c:pt idx="0">
                  <c:v>Bậc 1</c:v>
                </c:pt>
                <c:pt idx="1">
                  <c:v>Bậc 2</c:v>
                </c:pt>
                <c:pt idx="2">
                  <c:v>Bậc 3</c:v>
                </c:pt>
                <c:pt idx="3">
                  <c:v>Bậc 4</c:v>
                </c:pt>
                <c:pt idx="4">
                  <c:v>Bậc 5</c:v>
                </c:pt>
                <c:pt idx="5">
                  <c:v>Bậc 6</c:v>
                </c:pt>
                <c:pt idx="6">
                  <c:v>Bậc 7</c:v>
                </c:pt>
                <c:pt idx="7">
                  <c:v>Bậc 8</c:v>
                </c:pt>
              </c:strCache>
            </c:strRef>
          </c:cat>
          <c:val>
            <c:numRef>
              <c:f>KNL_ĐK_14!$F$4:$M$4</c:f>
              <c:numCache>
                <c:formatCode>General</c:formatCode>
                <c:ptCount val="8"/>
                <c:pt idx="0">
                  <c:v>40</c:v>
                </c:pt>
                <c:pt idx="1">
                  <c:v>68</c:v>
                </c:pt>
                <c:pt idx="2">
                  <c:v>75</c:v>
                </c:pt>
                <c:pt idx="3">
                  <c:v>85</c:v>
                </c:pt>
                <c:pt idx="4">
                  <c:v>91</c:v>
                </c:pt>
                <c:pt idx="5">
                  <c:v>97</c:v>
                </c:pt>
                <c:pt idx="6">
                  <c:v>102</c:v>
                </c:pt>
                <c:pt idx="7">
                  <c:v>104</c:v>
                </c:pt>
              </c:numCache>
            </c:numRef>
          </c:val>
          <c:extLst>
            <c:ext xmlns:c16="http://schemas.microsoft.com/office/drawing/2014/chart" uri="{C3380CC4-5D6E-409C-BE32-E72D297353CC}">
              <c16:uniqueId val="{00000000-B8AC-4F81-B5CF-49953848A6C2}"/>
            </c:ext>
          </c:extLst>
        </c:ser>
        <c:dLbls>
          <c:dLblPos val="outEnd"/>
          <c:showLegendKey val="0"/>
          <c:showVal val="1"/>
          <c:showCatName val="0"/>
          <c:showSerName val="0"/>
          <c:showPercent val="0"/>
          <c:showBubbleSize val="0"/>
        </c:dLbls>
        <c:gapWidth val="219"/>
        <c:overlap val="-27"/>
        <c:axId val="101464240"/>
        <c:axId val="101452720"/>
      </c:barChart>
      <c:catAx>
        <c:axId val="101464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crossAx val="101452720"/>
        <c:crosses val="autoZero"/>
        <c:auto val="1"/>
        <c:lblAlgn val="ctr"/>
        <c:lblOffset val="100"/>
        <c:noMultiLvlLbl val="0"/>
      </c:catAx>
      <c:valAx>
        <c:axId val="101452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014642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3321854412262429E-2"/>
          <c:y val="8.1180177474011156E-2"/>
          <c:w val="0.90903586857512042"/>
          <c:h val="0.847687196677123"/>
        </c:manualLayout>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KNL_ĐK_15!$F$3:$M$3</c:f>
              <c:strCache>
                <c:ptCount val="8"/>
                <c:pt idx="0">
                  <c:v>Bậc 1</c:v>
                </c:pt>
                <c:pt idx="1">
                  <c:v>Bậc 2</c:v>
                </c:pt>
                <c:pt idx="2">
                  <c:v>Bậc 3</c:v>
                </c:pt>
                <c:pt idx="3">
                  <c:v>Bậc 4</c:v>
                </c:pt>
                <c:pt idx="4">
                  <c:v>Bậc 5</c:v>
                </c:pt>
                <c:pt idx="5">
                  <c:v>Bậc 6</c:v>
                </c:pt>
                <c:pt idx="6">
                  <c:v>Bậc 7</c:v>
                </c:pt>
                <c:pt idx="7">
                  <c:v>Bậc 8</c:v>
                </c:pt>
              </c:strCache>
            </c:strRef>
          </c:cat>
          <c:val>
            <c:numRef>
              <c:f>KNL_ĐK_15!$F$4:$M$4</c:f>
              <c:numCache>
                <c:formatCode>General</c:formatCode>
                <c:ptCount val="8"/>
                <c:pt idx="0">
                  <c:v>44</c:v>
                </c:pt>
                <c:pt idx="1">
                  <c:v>59</c:v>
                </c:pt>
                <c:pt idx="2">
                  <c:v>74</c:v>
                </c:pt>
                <c:pt idx="3">
                  <c:v>79</c:v>
                </c:pt>
                <c:pt idx="4">
                  <c:v>81</c:v>
                </c:pt>
                <c:pt idx="5">
                  <c:v>85</c:v>
                </c:pt>
                <c:pt idx="6">
                  <c:v>91</c:v>
                </c:pt>
                <c:pt idx="7">
                  <c:v>101</c:v>
                </c:pt>
              </c:numCache>
            </c:numRef>
          </c:val>
          <c:extLst>
            <c:ext xmlns:c16="http://schemas.microsoft.com/office/drawing/2014/chart" uri="{C3380CC4-5D6E-409C-BE32-E72D297353CC}">
              <c16:uniqueId val="{00000000-A9B8-442D-A5FD-6A0B33465BDE}"/>
            </c:ext>
          </c:extLst>
        </c:ser>
        <c:dLbls>
          <c:dLblPos val="outEnd"/>
          <c:showLegendKey val="0"/>
          <c:showVal val="1"/>
          <c:showCatName val="0"/>
          <c:showSerName val="0"/>
          <c:showPercent val="0"/>
          <c:showBubbleSize val="0"/>
        </c:dLbls>
        <c:gapWidth val="219"/>
        <c:overlap val="-27"/>
        <c:axId val="101464240"/>
        <c:axId val="101452720"/>
      </c:barChart>
      <c:catAx>
        <c:axId val="101464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52720"/>
        <c:crosses val="autoZero"/>
        <c:auto val="1"/>
        <c:lblAlgn val="ctr"/>
        <c:lblOffset val="100"/>
        <c:noMultiLvlLbl val="0"/>
      </c:catAx>
      <c:valAx>
        <c:axId val="101452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642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13</xdr:col>
      <xdr:colOff>734789</xdr:colOff>
      <xdr:row>5</xdr:row>
      <xdr:rowOff>95579</xdr:rowOff>
    </xdr:from>
    <xdr:to>
      <xdr:col>21</xdr:col>
      <xdr:colOff>421822</xdr:colOff>
      <xdr:row>17</xdr:row>
      <xdr:rowOff>217714</xdr:rowOff>
    </xdr:to>
    <xdr:graphicFrame macro="">
      <xdr:nvGraphicFramePr>
        <xdr:cNvPr id="2" name="Chart 1">
          <a:extLst>
            <a:ext uri="{FF2B5EF4-FFF2-40B4-BE49-F238E27FC236}">
              <a16:creationId xmlns:a16="http://schemas.microsoft.com/office/drawing/2014/main" id="{EC70E1E2-8EFA-43B6-81BA-88EFC2B26C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14</xdr:col>
      <xdr:colOff>353789</xdr:colOff>
      <xdr:row>5</xdr:row>
      <xdr:rowOff>95579</xdr:rowOff>
    </xdr:from>
    <xdr:to>
      <xdr:col>21</xdr:col>
      <xdr:colOff>641940</xdr:colOff>
      <xdr:row>15</xdr:row>
      <xdr:rowOff>375558</xdr:rowOff>
    </xdr:to>
    <xdr:graphicFrame macro="">
      <xdr:nvGraphicFramePr>
        <xdr:cNvPr id="2" name="Chart 1">
          <a:extLst>
            <a:ext uri="{FF2B5EF4-FFF2-40B4-BE49-F238E27FC236}">
              <a16:creationId xmlns:a16="http://schemas.microsoft.com/office/drawing/2014/main" id="{D4426D5F-7330-492C-B461-99F3977537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13</xdr:col>
      <xdr:colOff>421821</xdr:colOff>
      <xdr:row>5</xdr:row>
      <xdr:rowOff>149680</xdr:rowOff>
    </xdr:from>
    <xdr:to>
      <xdr:col>22</xdr:col>
      <xdr:colOff>449035</xdr:colOff>
      <xdr:row>16</xdr:row>
      <xdr:rowOff>16330</xdr:rowOff>
    </xdr:to>
    <xdr:graphicFrame macro="">
      <xdr:nvGraphicFramePr>
        <xdr:cNvPr id="2" name="Chart 1">
          <a:extLst>
            <a:ext uri="{FF2B5EF4-FFF2-40B4-BE49-F238E27FC236}">
              <a16:creationId xmlns:a16="http://schemas.microsoft.com/office/drawing/2014/main" id="{B5579160-42C1-4F64-AB15-AE6D661956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13</xdr:col>
      <xdr:colOff>217713</xdr:colOff>
      <xdr:row>5</xdr:row>
      <xdr:rowOff>140482</xdr:rowOff>
    </xdr:from>
    <xdr:to>
      <xdr:col>22</xdr:col>
      <xdr:colOff>13607</xdr:colOff>
      <xdr:row>15</xdr:row>
      <xdr:rowOff>632733</xdr:rowOff>
    </xdr:to>
    <xdr:graphicFrame macro="">
      <xdr:nvGraphicFramePr>
        <xdr:cNvPr id="3" name="Chart 2">
          <a:extLst>
            <a:ext uri="{FF2B5EF4-FFF2-40B4-BE49-F238E27FC236}">
              <a16:creationId xmlns:a16="http://schemas.microsoft.com/office/drawing/2014/main" id="{8C75BD8F-53E7-BF7D-3AD0-BC31EA68B5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14</xdr:col>
      <xdr:colOff>16331</xdr:colOff>
      <xdr:row>6</xdr:row>
      <xdr:rowOff>120071</xdr:rowOff>
    </xdr:from>
    <xdr:to>
      <xdr:col>21</xdr:col>
      <xdr:colOff>282711</xdr:colOff>
      <xdr:row>16</xdr:row>
      <xdr:rowOff>342900</xdr:rowOff>
    </xdr:to>
    <xdr:graphicFrame macro="">
      <xdr:nvGraphicFramePr>
        <xdr:cNvPr id="2" name="Chart 1">
          <a:extLst>
            <a:ext uri="{FF2B5EF4-FFF2-40B4-BE49-F238E27FC236}">
              <a16:creationId xmlns:a16="http://schemas.microsoft.com/office/drawing/2014/main" id="{B8B24F6F-DBA3-4051-827A-7AA375F226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690DC-2DBD-4BA6-A90E-60780D27B276}">
  <dimension ref="A1:K28"/>
  <sheetViews>
    <sheetView zoomScale="67" zoomScaleNormal="100" workbookViewId="0">
      <pane xSplit="2" ySplit="6" topLeftCell="C7" activePane="bottomRight" state="frozen"/>
      <selection pane="topRight" activeCell="C1" sqref="C1"/>
      <selection pane="bottomLeft" activeCell="A7" sqref="A7"/>
      <selection pane="bottomRight" activeCell="E17" sqref="E17"/>
    </sheetView>
  </sheetViews>
  <sheetFormatPr defaultColWidth="8.77734375" defaultRowHeight="16.5" x14ac:dyDescent="0.25"/>
  <cols>
    <col min="1" max="1" width="6" style="4" customWidth="1"/>
    <col min="2" max="2" width="44.109375" style="3" customWidth="1"/>
    <col min="3" max="3" width="31.33203125" style="3" customWidth="1"/>
    <col min="4" max="4" width="18.44140625" style="4" customWidth="1"/>
    <col min="5" max="5" width="27" style="4" customWidth="1"/>
    <col min="6" max="6" width="26.88671875" style="4" customWidth="1"/>
    <col min="7" max="7" width="22.88671875" style="3" customWidth="1"/>
    <col min="8" max="16384" width="8.77734375" style="3"/>
  </cols>
  <sheetData>
    <row r="1" spans="1:11" x14ac:dyDescent="0.25">
      <c r="A1" s="5" t="s">
        <v>2</v>
      </c>
      <c r="B1" s="5"/>
      <c r="C1" s="5"/>
      <c r="D1" s="2"/>
      <c r="E1" s="2"/>
      <c r="F1" s="2"/>
      <c r="G1" s="5"/>
      <c r="H1" s="5"/>
      <c r="I1" s="5"/>
      <c r="J1" s="5"/>
      <c r="K1" s="5"/>
    </row>
    <row r="2" spans="1:11" x14ac:dyDescent="0.25">
      <c r="A2" s="6" t="s">
        <v>10</v>
      </c>
      <c r="B2" s="5"/>
      <c r="C2" s="5"/>
      <c r="D2" s="2"/>
      <c r="E2" s="2"/>
      <c r="F2" s="2"/>
      <c r="G2" s="5"/>
      <c r="H2" s="5"/>
      <c r="I2" s="5"/>
      <c r="J2" s="5"/>
      <c r="K2" s="5"/>
    </row>
    <row r="3" spans="1:11" x14ac:dyDescent="0.25">
      <c r="A3" s="2"/>
      <c r="B3" s="5"/>
      <c r="C3" s="5"/>
      <c r="D3" s="2"/>
      <c r="E3" s="2"/>
      <c r="F3" s="2"/>
      <c r="G3" s="5"/>
      <c r="H3" s="5"/>
      <c r="I3" s="5"/>
      <c r="J3" s="5"/>
      <c r="K3" s="5"/>
    </row>
    <row r="4" spans="1:11" x14ac:dyDescent="0.25">
      <c r="A4" s="142" t="s">
        <v>3</v>
      </c>
      <c r="B4" s="142"/>
      <c r="C4" s="142"/>
      <c r="D4" s="142"/>
      <c r="E4" s="142"/>
      <c r="F4" s="142"/>
      <c r="G4" s="1"/>
      <c r="H4" s="1"/>
      <c r="I4" s="1"/>
      <c r="J4" s="1"/>
      <c r="K4" s="1"/>
    </row>
    <row r="6" spans="1:11" s="8" customFormat="1" ht="30.75" customHeight="1" x14ac:dyDescent="0.25">
      <c r="A6" s="7" t="s">
        <v>0</v>
      </c>
      <c r="B6" s="7" t="s">
        <v>1</v>
      </c>
      <c r="C6" s="7" t="s">
        <v>4</v>
      </c>
      <c r="D6" s="7" t="s">
        <v>9</v>
      </c>
      <c r="E6" s="7" t="s">
        <v>6</v>
      </c>
      <c r="F6" s="7" t="s">
        <v>7</v>
      </c>
    </row>
    <row r="7" spans="1:11" s="8" customFormat="1" ht="24.75" customHeight="1" x14ac:dyDescent="0.25">
      <c r="A7" s="9">
        <v>1</v>
      </c>
      <c r="B7" s="10" t="s">
        <v>11</v>
      </c>
      <c r="C7" s="12" t="s">
        <v>5</v>
      </c>
      <c r="D7" s="9" t="s">
        <v>26</v>
      </c>
      <c r="E7" s="9"/>
      <c r="F7" s="9"/>
    </row>
    <row r="8" spans="1:11" s="8" customFormat="1" ht="24.75" customHeight="1" x14ac:dyDescent="0.25">
      <c r="A8" s="9">
        <v>2</v>
      </c>
      <c r="B8" s="10" t="s">
        <v>18</v>
      </c>
      <c r="C8" s="12" t="s">
        <v>5</v>
      </c>
      <c r="D8" s="9" t="s">
        <v>27</v>
      </c>
      <c r="E8" s="9"/>
      <c r="F8" s="9"/>
    </row>
    <row r="9" spans="1:11" s="8" customFormat="1" ht="24.75" customHeight="1" x14ac:dyDescent="0.25">
      <c r="A9" s="9">
        <v>3</v>
      </c>
      <c r="B9" s="11" t="s">
        <v>15</v>
      </c>
      <c r="C9" s="12" t="s">
        <v>5</v>
      </c>
      <c r="D9" s="9" t="s">
        <v>28</v>
      </c>
      <c r="E9" s="11"/>
      <c r="F9" s="9"/>
    </row>
    <row r="10" spans="1:11" s="8" customFormat="1" ht="24.75" customHeight="1" x14ac:dyDescent="0.25">
      <c r="A10" s="9">
        <v>4</v>
      </c>
      <c r="B10" s="11" t="s">
        <v>23</v>
      </c>
      <c r="C10" s="12" t="s">
        <v>5</v>
      </c>
      <c r="D10" s="9" t="s">
        <v>29</v>
      </c>
      <c r="E10" s="9"/>
      <c r="F10" s="9"/>
    </row>
    <row r="11" spans="1:11" s="8" customFormat="1" ht="24.75" customHeight="1" x14ac:dyDescent="0.25">
      <c r="A11" s="9">
        <v>5</v>
      </c>
      <c r="B11" s="11" t="s">
        <v>19</v>
      </c>
      <c r="C11" s="12" t="s">
        <v>5</v>
      </c>
      <c r="D11" s="9" t="s">
        <v>30</v>
      </c>
      <c r="E11" s="9"/>
      <c r="F11" s="9"/>
    </row>
    <row r="12" spans="1:11" s="8" customFormat="1" ht="24.75" customHeight="1" x14ac:dyDescent="0.25">
      <c r="A12" s="9">
        <v>6</v>
      </c>
      <c r="B12" s="11" t="s">
        <v>13</v>
      </c>
      <c r="C12" s="12" t="s">
        <v>5</v>
      </c>
      <c r="D12" s="9" t="s">
        <v>31</v>
      </c>
      <c r="E12" s="9"/>
      <c r="F12" s="9"/>
    </row>
    <row r="13" spans="1:11" s="8" customFormat="1" ht="24.75" customHeight="1" x14ac:dyDescent="0.25">
      <c r="A13" s="9">
        <v>7</v>
      </c>
      <c r="B13" s="11" t="s">
        <v>12</v>
      </c>
      <c r="C13" s="12" t="s">
        <v>5</v>
      </c>
      <c r="D13" s="9" t="s">
        <v>32</v>
      </c>
      <c r="E13" s="9"/>
      <c r="F13" s="9"/>
    </row>
    <row r="14" spans="1:11" s="8" customFormat="1" ht="24.75" customHeight="1" x14ac:dyDescent="0.25">
      <c r="A14" s="50">
        <v>8</v>
      </c>
      <c r="B14" s="51" t="s">
        <v>16</v>
      </c>
      <c r="C14" s="52" t="s">
        <v>5</v>
      </c>
      <c r="D14" s="50" t="s">
        <v>33</v>
      </c>
      <c r="E14" s="50"/>
      <c r="F14" s="53" t="s">
        <v>132</v>
      </c>
    </row>
    <row r="15" spans="1:11" s="8" customFormat="1" ht="24.75" customHeight="1" x14ac:dyDescent="0.25">
      <c r="A15" s="50">
        <v>9</v>
      </c>
      <c r="B15" s="51" t="s">
        <v>20</v>
      </c>
      <c r="C15" s="52" t="s">
        <v>5</v>
      </c>
      <c r="D15" s="50" t="s">
        <v>34</v>
      </c>
      <c r="E15" s="50"/>
      <c r="F15" s="53" t="s">
        <v>132</v>
      </c>
    </row>
    <row r="16" spans="1:11" s="8" customFormat="1" ht="24.75" customHeight="1" x14ac:dyDescent="0.25">
      <c r="A16" s="50">
        <v>10</v>
      </c>
      <c r="B16" s="51" t="s">
        <v>21</v>
      </c>
      <c r="C16" s="52" t="s">
        <v>5</v>
      </c>
      <c r="D16" s="50" t="s">
        <v>35</v>
      </c>
      <c r="E16" s="50"/>
      <c r="F16" s="53" t="s">
        <v>132</v>
      </c>
    </row>
    <row r="17" spans="1:6" ht="24.75" customHeight="1" x14ac:dyDescent="0.25">
      <c r="A17" s="50">
        <v>11</v>
      </c>
      <c r="B17" s="51" t="s">
        <v>24</v>
      </c>
      <c r="C17" s="52" t="s">
        <v>5</v>
      </c>
      <c r="D17" s="50" t="s">
        <v>36</v>
      </c>
      <c r="E17" s="50"/>
      <c r="F17" s="53" t="s">
        <v>132</v>
      </c>
    </row>
    <row r="18" spans="1:6" ht="24.75" customHeight="1" x14ac:dyDescent="0.25">
      <c r="A18" s="46">
        <v>12</v>
      </c>
      <c r="B18" s="47" t="s">
        <v>14</v>
      </c>
      <c r="C18" s="48" t="s">
        <v>5</v>
      </c>
      <c r="D18" s="46" t="s">
        <v>37</v>
      </c>
      <c r="E18" s="46"/>
      <c r="F18" s="49" t="s">
        <v>131</v>
      </c>
    </row>
    <row r="19" spans="1:6" ht="24.75" customHeight="1" x14ac:dyDescent="0.25">
      <c r="A19" s="46">
        <v>13</v>
      </c>
      <c r="B19" s="47" t="s">
        <v>17</v>
      </c>
      <c r="C19" s="48" t="s">
        <v>5</v>
      </c>
      <c r="D19" s="46" t="s">
        <v>38</v>
      </c>
      <c r="E19" s="46"/>
      <c r="F19" s="49" t="s">
        <v>131</v>
      </c>
    </row>
    <row r="20" spans="1:6" ht="24.75" customHeight="1" x14ac:dyDescent="0.25">
      <c r="A20" s="46">
        <v>14</v>
      </c>
      <c r="B20" s="47" t="s">
        <v>22</v>
      </c>
      <c r="C20" s="48" t="s">
        <v>5</v>
      </c>
      <c r="D20" s="46" t="s">
        <v>39</v>
      </c>
      <c r="E20" s="46"/>
      <c r="F20" s="49" t="s">
        <v>131</v>
      </c>
    </row>
    <row r="21" spans="1:6" ht="24.75" customHeight="1" x14ac:dyDescent="0.25">
      <c r="A21" s="46">
        <v>15</v>
      </c>
      <c r="B21" s="47" t="s">
        <v>25</v>
      </c>
      <c r="C21" s="48" t="s">
        <v>5</v>
      </c>
      <c r="D21" s="46" t="s">
        <v>40</v>
      </c>
      <c r="E21" s="46"/>
      <c r="F21" s="49" t="s">
        <v>131</v>
      </c>
    </row>
    <row r="22" spans="1:6" ht="26.25" customHeight="1" x14ac:dyDescent="0.25">
      <c r="A22" s="13">
        <v>16</v>
      </c>
      <c r="B22" s="14" t="s">
        <v>41</v>
      </c>
      <c r="C22" s="14" t="s">
        <v>48</v>
      </c>
      <c r="D22" s="143" t="s">
        <v>49</v>
      </c>
      <c r="E22" s="13"/>
      <c r="F22" s="13"/>
    </row>
    <row r="23" spans="1:6" ht="26.25" customHeight="1" x14ac:dyDescent="0.25">
      <c r="A23" s="9">
        <v>17</v>
      </c>
      <c r="B23" s="14" t="s">
        <v>42</v>
      </c>
      <c r="C23" s="14" t="s">
        <v>48</v>
      </c>
      <c r="D23" s="144"/>
      <c r="E23" s="13"/>
      <c r="F23" s="13"/>
    </row>
    <row r="24" spans="1:6" ht="26.25" customHeight="1" x14ac:dyDescent="0.25">
      <c r="A24" s="13">
        <v>18</v>
      </c>
      <c r="B24" s="14" t="s">
        <v>43</v>
      </c>
      <c r="C24" s="14" t="s">
        <v>48</v>
      </c>
      <c r="D24" s="144"/>
      <c r="E24" s="13"/>
      <c r="F24" s="13"/>
    </row>
    <row r="25" spans="1:6" ht="26.25" customHeight="1" x14ac:dyDescent="0.25">
      <c r="A25" s="9">
        <v>19</v>
      </c>
      <c r="B25" s="14" t="s">
        <v>44</v>
      </c>
      <c r="C25" s="14" t="s">
        <v>48</v>
      </c>
      <c r="D25" s="144"/>
      <c r="E25" s="13"/>
      <c r="F25" s="13"/>
    </row>
    <row r="26" spans="1:6" ht="26.25" customHeight="1" x14ac:dyDescent="0.25">
      <c r="A26" s="13">
        <v>20</v>
      </c>
      <c r="B26" s="14" t="s">
        <v>45</v>
      </c>
      <c r="C26" s="14" t="s">
        <v>48</v>
      </c>
      <c r="D26" s="144"/>
      <c r="E26" s="13"/>
      <c r="F26" s="13"/>
    </row>
    <row r="27" spans="1:6" ht="26.25" customHeight="1" x14ac:dyDescent="0.25">
      <c r="A27" s="9">
        <v>21</v>
      </c>
      <c r="B27" s="14" t="s">
        <v>46</v>
      </c>
      <c r="C27" s="14" t="s">
        <v>48</v>
      </c>
      <c r="D27" s="144"/>
      <c r="E27" s="13"/>
      <c r="F27" s="13"/>
    </row>
    <row r="28" spans="1:6" ht="26.25" customHeight="1" x14ac:dyDescent="0.25">
      <c r="A28" s="13">
        <v>22</v>
      </c>
      <c r="B28" s="14" t="s">
        <v>47</v>
      </c>
      <c r="C28" s="14" t="s">
        <v>48</v>
      </c>
      <c r="D28" s="145"/>
      <c r="E28" s="13"/>
      <c r="F28" s="13"/>
    </row>
  </sheetData>
  <mergeCells count="2">
    <mergeCell ref="A4:F4"/>
    <mergeCell ref="D22:D28"/>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D98E7-C964-4FD6-ADBE-3234F8A3ACEA}">
  <sheetPr filterMode="1">
    <tabColor rgb="FF7030A0"/>
  </sheetPr>
  <dimension ref="A1:AE69"/>
  <sheetViews>
    <sheetView zoomScale="80" zoomScaleNormal="80" workbookViewId="0">
      <pane xSplit="5" ySplit="3" topLeftCell="F10" activePane="bottomRight" state="frozen"/>
      <selection pane="topRight" activeCell="F1" sqref="F1"/>
      <selection pane="bottomLeft" activeCell="A4" sqref="A4"/>
      <selection pane="bottomRight" activeCell="G11" sqref="G11"/>
    </sheetView>
  </sheetViews>
  <sheetFormatPr defaultColWidth="8.6640625" defaultRowHeight="15.75" x14ac:dyDescent="0.25"/>
  <cols>
    <col min="1" max="1" width="6.33203125" style="17" customWidth="1"/>
    <col min="2" max="2" width="19.77734375" style="34" customWidth="1"/>
    <col min="3" max="3" width="14.6640625" style="34" customWidth="1"/>
    <col min="4" max="4" width="18.88671875" style="17" customWidth="1"/>
    <col min="5" max="5" width="19.88671875" style="34" customWidth="1"/>
    <col min="6" max="6" width="53.44140625" style="34" customWidth="1"/>
    <col min="7" max="7" width="44" style="34" customWidth="1"/>
    <col min="8" max="8" width="18.6640625" style="34" customWidth="1"/>
    <col min="9" max="9" width="11.88671875" style="34" hidden="1" customWidth="1"/>
    <col min="10" max="10" width="9.5546875" style="17" hidden="1" customWidth="1"/>
    <col min="11" max="11" width="8.6640625" style="17" hidden="1" customWidth="1"/>
    <col min="12" max="12" width="8.21875" style="17" hidden="1" customWidth="1"/>
    <col min="13" max="14" width="7.109375" style="17" hidden="1" customWidth="1"/>
    <col min="15" max="16" width="8.6640625" style="17" hidden="1" customWidth="1"/>
    <col min="17" max="20" width="8.6640625" style="17" customWidth="1"/>
    <col min="21" max="22" width="8.6640625" style="17"/>
    <col min="23" max="23" width="11.88671875" style="17" customWidth="1"/>
    <col min="24" max="16384" width="8.6640625" style="17"/>
  </cols>
  <sheetData>
    <row r="1" spans="1:31" ht="8.25" customHeight="1" x14ac:dyDescent="0.25">
      <c r="A1" s="136" t="s">
        <v>50</v>
      </c>
      <c r="B1" s="136"/>
      <c r="C1" s="136"/>
      <c r="D1" s="136"/>
      <c r="E1" s="136"/>
      <c r="F1" s="136"/>
      <c r="G1" s="136"/>
      <c r="H1" s="136"/>
      <c r="I1" s="136"/>
      <c r="J1" s="137"/>
      <c r="K1" s="137"/>
      <c r="L1" s="137"/>
      <c r="M1" s="137"/>
      <c r="N1" s="137"/>
    </row>
    <row r="2" spans="1:31" ht="111" customHeight="1" x14ac:dyDescent="0.25">
      <c r="A2" s="18" t="s">
        <v>51</v>
      </c>
      <c r="B2" s="18" t="s">
        <v>52</v>
      </c>
      <c r="C2" s="18" t="s">
        <v>53</v>
      </c>
      <c r="D2" s="18" t="s">
        <v>54</v>
      </c>
      <c r="E2" s="18" t="s">
        <v>88</v>
      </c>
      <c r="F2" s="18" t="s">
        <v>87</v>
      </c>
      <c r="G2" s="18" t="s">
        <v>55</v>
      </c>
      <c r="H2" s="19" t="s">
        <v>56</v>
      </c>
      <c r="I2" s="19" t="s">
        <v>67</v>
      </c>
      <c r="J2" s="19" t="s">
        <v>11</v>
      </c>
      <c r="K2" s="19" t="s">
        <v>18</v>
      </c>
      <c r="L2" s="19" t="s">
        <v>15</v>
      </c>
      <c r="M2" s="19" t="s">
        <v>23</v>
      </c>
      <c r="N2" s="19" t="s">
        <v>19</v>
      </c>
      <c r="O2" s="22" t="s">
        <v>13</v>
      </c>
      <c r="P2" s="22" t="s">
        <v>12</v>
      </c>
      <c r="Q2" s="22" t="s">
        <v>16</v>
      </c>
      <c r="R2" s="22" t="s">
        <v>20</v>
      </c>
      <c r="S2" s="117" t="s">
        <v>21</v>
      </c>
      <c r="T2" s="22" t="s">
        <v>24</v>
      </c>
      <c r="U2" s="22" t="s">
        <v>14</v>
      </c>
      <c r="V2" s="117" t="s">
        <v>17</v>
      </c>
      <c r="W2" s="117" t="s">
        <v>22</v>
      </c>
      <c r="X2" s="22" t="s">
        <v>25</v>
      </c>
      <c r="Y2" s="22" t="s">
        <v>41</v>
      </c>
      <c r="Z2" s="22" t="s">
        <v>42</v>
      </c>
      <c r="AA2" s="22" t="s">
        <v>43</v>
      </c>
      <c r="AB2" s="22" t="s">
        <v>44</v>
      </c>
      <c r="AC2" s="22" t="s">
        <v>45</v>
      </c>
      <c r="AD2" s="22" t="s">
        <v>46</v>
      </c>
      <c r="AE2" s="22" t="s">
        <v>47</v>
      </c>
    </row>
    <row r="3" spans="1:31" s="25" customFormat="1" ht="25.5" customHeight="1" x14ac:dyDescent="0.25">
      <c r="A3" s="20" t="s">
        <v>57</v>
      </c>
      <c r="B3" s="21"/>
      <c r="C3" s="21"/>
      <c r="D3" s="22"/>
      <c r="E3" s="23"/>
      <c r="F3" s="23"/>
      <c r="G3" s="22"/>
      <c r="H3" s="24"/>
      <c r="I3" s="22"/>
      <c r="J3" s="22">
        <f>COUNTIF(J4:J120,"x")</f>
        <v>0</v>
      </c>
      <c r="K3" s="22">
        <f>COUNTIF(K4:K120,"x")</f>
        <v>0</v>
      </c>
      <c r="L3" s="22">
        <f>COUNTIF(L4:L120,"x")</f>
        <v>0</v>
      </c>
      <c r="M3" s="22">
        <f>COUNTIF(M4:M120,"x")</f>
        <v>0</v>
      </c>
      <c r="N3" s="22">
        <f>COUNTIF(N4:N120,"x")</f>
        <v>0</v>
      </c>
      <c r="O3" s="30"/>
      <c r="P3" s="30"/>
      <c r="Q3" s="30"/>
      <c r="R3" s="22"/>
      <c r="S3" s="22"/>
      <c r="T3" s="22"/>
      <c r="U3" s="22"/>
      <c r="V3" s="22"/>
      <c r="W3" s="22"/>
      <c r="X3" s="22"/>
      <c r="Y3" s="22"/>
      <c r="Z3" s="22"/>
      <c r="AA3" s="22"/>
      <c r="AB3" s="22"/>
      <c r="AC3" s="22"/>
      <c r="AD3" s="22"/>
      <c r="AE3" s="22"/>
    </row>
    <row r="4" spans="1:31" ht="133.5" customHeight="1" x14ac:dyDescent="0.25">
      <c r="A4" s="131" t="s">
        <v>58</v>
      </c>
      <c r="B4" s="26" t="s">
        <v>59</v>
      </c>
      <c r="C4" s="15" t="s">
        <v>84</v>
      </c>
      <c r="D4" s="30" t="s">
        <v>264</v>
      </c>
      <c r="E4" s="16" t="s">
        <v>183</v>
      </c>
      <c r="F4" s="27" t="s">
        <v>338</v>
      </c>
      <c r="G4" s="37" t="s">
        <v>193</v>
      </c>
      <c r="H4" s="29" t="s">
        <v>363</v>
      </c>
      <c r="I4" s="30" t="s">
        <v>60</v>
      </c>
      <c r="J4" s="30"/>
      <c r="K4" s="30"/>
      <c r="L4" s="30"/>
      <c r="M4" s="30"/>
      <c r="N4" s="30"/>
      <c r="O4" s="30"/>
      <c r="P4" s="30"/>
      <c r="Q4" s="30"/>
      <c r="R4" s="30"/>
      <c r="S4" s="30" t="s">
        <v>103</v>
      </c>
      <c r="T4" s="30"/>
      <c r="U4" s="30" t="s">
        <v>103</v>
      </c>
      <c r="V4" s="30" t="s">
        <v>103</v>
      </c>
      <c r="W4" s="30" t="s">
        <v>103</v>
      </c>
      <c r="X4" s="30" t="s">
        <v>103</v>
      </c>
      <c r="Y4" s="30"/>
      <c r="Z4" s="30"/>
      <c r="AA4" s="30"/>
      <c r="AB4" s="30"/>
      <c r="AC4" s="30"/>
      <c r="AD4" s="30"/>
      <c r="AE4" s="30"/>
    </row>
    <row r="5" spans="1:31" s="63" customFormat="1" ht="130.5" customHeight="1" x14ac:dyDescent="0.25">
      <c r="A5" s="132"/>
      <c r="B5" s="57" t="s">
        <v>133</v>
      </c>
      <c r="C5" s="58" t="s">
        <v>133</v>
      </c>
      <c r="D5" s="30" t="s">
        <v>265</v>
      </c>
      <c r="E5" s="60" t="s">
        <v>134</v>
      </c>
      <c r="F5" s="61" t="s">
        <v>374</v>
      </c>
      <c r="G5" s="37" t="s">
        <v>193</v>
      </c>
      <c r="H5" s="29" t="s">
        <v>363</v>
      </c>
      <c r="I5" s="59"/>
      <c r="J5" s="59"/>
      <c r="K5" s="59"/>
      <c r="L5" s="59"/>
      <c r="M5" s="59"/>
      <c r="N5" s="59"/>
      <c r="O5" s="30"/>
      <c r="P5" s="30"/>
      <c r="Q5" s="30"/>
      <c r="R5" s="30"/>
      <c r="S5" s="30" t="s">
        <v>103</v>
      </c>
      <c r="T5" s="30"/>
      <c r="U5" s="59" t="s">
        <v>103</v>
      </c>
      <c r="V5" s="59" t="s">
        <v>103</v>
      </c>
      <c r="W5" s="59" t="s">
        <v>103</v>
      </c>
      <c r="X5" s="59" t="s">
        <v>103</v>
      </c>
      <c r="Y5" s="59"/>
      <c r="Z5" s="59"/>
      <c r="AA5" s="59"/>
      <c r="AB5" s="59"/>
      <c r="AC5" s="59"/>
      <c r="AD5" s="59"/>
      <c r="AE5" s="59"/>
    </row>
    <row r="6" spans="1:31" s="63" customFormat="1" ht="130.5" customHeight="1" x14ac:dyDescent="0.25">
      <c r="A6" s="132"/>
      <c r="B6" s="57" t="s">
        <v>367</v>
      </c>
      <c r="C6" s="58" t="str">
        <f>B6</f>
        <v>Nhận diện mối nguy và đánh giá rủi ro</v>
      </c>
      <c r="D6" s="30" t="s">
        <v>266</v>
      </c>
      <c r="E6" s="57" t="s">
        <v>367</v>
      </c>
      <c r="F6" s="61" t="s">
        <v>373</v>
      </c>
      <c r="G6" s="37" t="s">
        <v>193</v>
      </c>
      <c r="H6" s="29" t="s">
        <v>363</v>
      </c>
      <c r="I6" s="59"/>
      <c r="J6" s="59"/>
      <c r="K6" s="59"/>
      <c r="L6" s="59"/>
      <c r="M6" s="59"/>
      <c r="N6" s="59"/>
      <c r="O6" s="30"/>
      <c r="P6" s="30"/>
      <c r="Q6" s="30"/>
      <c r="R6" s="30"/>
      <c r="S6" s="30" t="s">
        <v>103</v>
      </c>
      <c r="T6" s="30"/>
      <c r="U6" s="59" t="s">
        <v>103</v>
      </c>
      <c r="V6" s="59" t="s">
        <v>103</v>
      </c>
      <c r="W6" s="59" t="s">
        <v>103</v>
      </c>
      <c r="X6" s="59" t="s">
        <v>103</v>
      </c>
      <c r="Y6" s="59"/>
      <c r="Z6" s="59"/>
      <c r="AA6" s="59"/>
      <c r="AB6" s="59"/>
      <c r="AC6" s="59"/>
      <c r="AD6" s="59"/>
      <c r="AE6" s="59"/>
    </row>
    <row r="7" spans="1:31" ht="201" customHeight="1" x14ac:dyDescent="0.25">
      <c r="A7" s="132"/>
      <c r="B7" s="26" t="s">
        <v>186</v>
      </c>
      <c r="C7" s="16" t="s">
        <v>128</v>
      </c>
      <c r="D7" s="30" t="s">
        <v>267</v>
      </c>
      <c r="E7" s="16" t="s">
        <v>155</v>
      </c>
      <c r="F7" s="54" t="s">
        <v>152</v>
      </c>
      <c r="G7" s="37" t="s">
        <v>193</v>
      </c>
      <c r="H7" s="29" t="s">
        <v>363</v>
      </c>
      <c r="I7" s="30" t="s">
        <v>62</v>
      </c>
      <c r="J7" s="30"/>
      <c r="K7" s="30"/>
      <c r="L7" s="30"/>
      <c r="M7" s="30"/>
      <c r="N7" s="30"/>
      <c r="O7" s="30"/>
      <c r="P7" s="30"/>
      <c r="Q7" s="30"/>
      <c r="R7" s="30"/>
      <c r="S7" s="30" t="s">
        <v>103</v>
      </c>
      <c r="T7" s="30"/>
      <c r="U7" s="30" t="s">
        <v>103</v>
      </c>
      <c r="V7" s="30" t="s">
        <v>103</v>
      </c>
      <c r="W7" s="30" t="s">
        <v>103</v>
      </c>
      <c r="X7" s="30" t="s">
        <v>103</v>
      </c>
      <c r="Y7" s="30"/>
      <c r="Z7" s="30"/>
      <c r="AA7" s="30"/>
      <c r="AB7" s="30"/>
      <c r="AC7" s="30"/>
      <c r="AD7" s="30"/>
      <c r="AE7" s="30"/>
    </row>
    <row r="8" spans="1:31" ht="335.45" customHeight="1" x14ac:dyDescent="0.25">
      <c r="A8" s="132"/>
      <c r="B8" s="26" t="s">
        <v>186</v>
      </c>
      <c r="C8" s="15" t="s">
        <v>73</v>
      </c>
      <c r="D8" s="30" t="s">
        <v>268</v>
      </c>
      <c r="E8" s="16" t="s">
        <v>158</v>
      </c>
      <c r="F8" s="54" t="s">
        <v>187</v>
      </c>
      <c r="G8" s="37" t="s">
        <v>193</v>
      </c>
      <c r="H8" s="29" t="s">
        <v>363</v>
      </c>
      <c r="I8" s="30" t="s">
        <v>62</v>
      </c>
      <c r="J8" s="30"/>
      <c r="K8" s="30"/>
      <c r="L8" s="30"/>
      <c r="M8" s="30"/>
      <c r="N8" s="30"/>
      <c r="O8" s="30"/>
      <c r="P8" s="30"/>
      <c r="Q8" s="30"/>
      <c r="R8" s="30"/>
      <c r="S8" s="30" t="s">
        <v>103</v>
      </c>
      <c r="T8" s="30"/>
      <c r="U8" s="30"/>
      <c r="V8" s="30"/>
      <c r="W8" s="30" t="s">
        <v>103</v>
      </c>
      <c r="X8" s="30"/>
      <c r="Y8" s="30"/>
      <c r="Z8" s="30"/>
      <c r="AA8" s="30"/>
      <c r="AB8" s="30"/>
      <c r="AC8" s="30"/>
      <c r="AD8" s="30"/>
      <c r="AE8" s="30"/>
    </row>
    <row r="9" spans="1:31" ht="135.75" customHeight="1" x14ac:dyDescent="0.25">
      <c r="A9" s="132"/>
      <c r="B9" s="26" t="s">
        <v>186</v>
      </c>
      <c r="C9" s="15" t="s">
        <v>74</v>
      </c>
      <c r="D9" s="30" t="s">
        <v>269</v>
      </c>
      <c r="E9" s="16" t="s">
        <v>129</v>
      </c>
      <c r="F9" s="27" t="s">
        <v>136</v>
      </c>
      <c r="G9" s="37" t="s">
        <v>193</v>
      </c>
      <c r="H9" s="29" t="s">
        <v>363</v>
      </c>
      <c r="I9" s="30" t="s">
        <v>62</v>
      </c>
      <c r="J9" s="30"/>
      <c r="K9" s="30"/>
      <c r="L9" s="30"/>
      <c r="M9" s="30"/>
      <c r="N9" s="30"/>
      <c r="O9" s="30"/>
      <c r="P9" s="30"/>
      <c r="Q9" s="30"/>
      <c r="R9" s="30"/>
      <c r="S9" s="30" t="s">
        <v>103</v>
      </c>
      <c r="T9" s="30"/>
      <c r="U9" s="30"/>
      <c r="V9" s="30"/>
      <c r="W9" s="30" t="s">
        <v>103</v>
      </c>
      <c r="X9" s="30"/>
      <c r="Y9" s="30"/>
      <c r="Z9" s="30"/>
      <c r="AA9" s="30"/>
      <c r="AB9" s="30"/>
      <c r="AC9" s="30"/>
      <c r="AD9" s="30"/>
      <c r="AE9" s="30"/>
    </row>
    <row r="10" spans="1:31" ht="222.75" customHeight="1" x14ac:dyDescent="0.25">
      <c r="A10" s="132"/>
      <c r="B10" s="26" t="s">
        <v>186</v>
      </c>
      <c r="C10" s="15" t="s">
        <v>76</v>
      </c>
      <c r="D10" s="30" t="s">
        <v>270</v>
      </c>
      <c r="E10" s="16" t="s">
        <v>92</v>
      </c>
      <c r="F10" s="27" t="s">
        <v>188</v>
      </c>
      <c r="G10" s="37" t="s">
        <v>193</v>
      </c>
      <c r="H10" s="29" t="s">
        <v>363</v>
      </c>
      <c r="I10" s="30" t="s">
        <v>62</v>
      </c>
      <c r="J10" s="30"/>
      <c r="K10" s="30"/>
      <c r="L10" s="30"/>
      <c r="M10" s="30"/>
      <c r="N10" s="30"/>
      <c r="O10" s="30"/>
      <c r="P10" s="30"/>
      <c r="Q10" s="30"/>
      <c r="R10" s="30"/>
      <c r="S10" s="30" t="s">
        <v>103</v>
      </c>
      <c r="T10" s="30"/>
      <c r="U10" s="30"/>
      <c r="V10" s="30"/>
      <c r="W10" s="30" t="s">
        <v>103</v>
      </c>
      <c r="X10" s="30"/>
      <c r="Y10" s="30"/>
      <c r="Z10" s="30"/>
      <c r="AA10" s="30"/>
      <c r="AB10" s="30"/>
      <c r="AC10" s="30"/>
      <c r="AD10" s="30"/>
      <c r="AE10" s="30"/>
    </row>
    <row r="11" spans="1:31" ht="134.25" customHeight="1" x14ac:dyDescent="0.25">
      <c r="A11" s="132"/>
      <c r="B11" s="26" t="s">
        <v>186</v>
      </c>
      <c r="C11" s="15" t="s">
        <v>93</v>
      </c>
      <c r="D11" s="30" t="s">
        <v>271</v>
      </c>
      <c r="E11" s="15" t="s">
        <v>94</v>
      </c>
      <c r="F11" s="27" t="s">
        <v>153</v>
      </c>
      <c r="G11" s="37" t="s">
        <v>193</v>
      </c>
      <c r="H11" s="29" t="s">
        <v>363</v>
      </c>
      <c r="I11" s="30" t="s">
        <v>62</v>
      </c>
      <c r="J11" s="30"/>
      <c r="K11" s="30"/>
      <c r="L11" s="30"/>
      <c r="M11" s="30"/>
      <c r="N11" s="30"/>
      <c r="O11" s="30"/>
      <c r="P11" s="30"/>
      <c r="Q11" s="30"/>
      <c r="R11" s="30"/>
      <c r="S11" s="30" t="s">
        <v>103</v>
      </c>
      <c r="T11" s="30"/>
      <c r="U11" s="30"/>
      <c r="V11" s="30"/>
      <c r="W11" s="30" t="s">
        <v>103</v>
      </c>
      <c r="X11" s="30"/>
      <c r="Y11" s="30"/>
      <c r="Z11" s="30"/>
      <c r="AA11" s="30"/>
      <c r="AB11" s="30"/>
      <c r="AC11" s="30"/>
      <c r="AD11" s="30"/>
      <c r="AE11" s="30"/>
    </row>
    <row r="12" spans="1:31" ht="151.5" customHeight="1" x14ac:dyDescent="0.25">
      <c r="A12" s="132"/>
      <c r="B12" s="35" t="s">
        <v>258</v>
      </c>
      <c r="C12" s="15" t="str">
        <f>B12</f>
        <v>Công cụ, Dụng cụ cầm tay cho chuyên môn thiết bị HTĐK</v>
      </c>
      <c r="D12" s="30" t="s">
        <v>272</v>
      </c>
      <c r="E12" s="15" t="s">
        <v>259</v>
      </c>
      <c r="F12" s="54" t="s">
        <v>189</v>
      </c>
      <c r="G12" s="37" t="s">
        <v>193</v>
      </c>
      <c r="H12" s="29" t="s">
        <v>363</v>
      </c>
      <c r="I12" s="30" t="s">
        <v>62</v>
      </c>
      <c r="J12" s="30"/>
      <c r="K12" s="30"/>
      <c r="L12" s="30"/>
      <c r="M12" s="30"/>
      <c r="N12" s="30"/>
      <c r="O12" s="30"/>
      <c r="P12" s="30"/>
      <c r="Q12" s="30"/>
      <c r="R12" s="30"/>
      <c r="S12" s="30" t="s">
        <v>103</v>
      </c>
      <c r="T12" s="30"/>
      <c r="U12" s="30"/>
      <c r="V12" s="30"/>
      <c r="W12" s="30" t="s">
        <v>103</v>
      </c>
      <c r="X12" s="30"/>
      <c r="Y12" s="30"/>
      <c r="Z12" s="30"/>
      <c r="AA12" s="30"/>
      <c r="AB12" s="30"/>
      <c r="AC12" s="30"/>
      <c r="AD12" s="30"/>
      <c r="AE12" s="30"/>
    </row>
    <row r="13" spans="1:31" ht="148.5" customHeight="1" x14ac:dyDescent="0.25">
      <c r="A13" s="132"/>
      <c r="B13" s="35" t="s">
        <v>75</v>
      </c>
      <c r="C13" s="15" t="s">
        <v>360</v>
      </c>
      <c r="D13" s="30" t="s">
        <v>273</v>
      </c>
      <c r="E13" s="15" t="s">
        <v>360</v>
      </c>
      <c r="F13" s="27" t="s">
        <v>364</v>
      </c>
      <c r="G13" s="37" t="s">
        <v>193</v>
      </c>
      <c r="H13" s="29" t="s">
        <v>363</v>
      </c>
      <c r="I13" s="30" t="s">
        <v>62</v>
      </c>
      <c r="J13" s="30"/>
      <c r="K13" s="30"/>
      <c r="L13" s="30"/>
      <c r="M13" s="30"/>
      <c r="N13" s="30"/>
      <c r="O13" s="30"/>
      <c r="P13" s="30"/>
      <c r="Q13" s="30"/>
      <c r="R13" s="30"/>
      <c r="S13" s="30" t="s">
        <v>103</v>
      </c>
      <c r="T13" s="30"/>
      <c r="U13" s="30" t="s">
        <v>103</v>
      </c>
      <c r="V13" s="30" t="s">
        <v>103</v>
      </c>
      <c r="W13" s="30" t="s">
        <v>103</v>
      </c>
      <c r="X13" s="30" t="s">
        <v>103</v>
      </c>
      <c r="Y13" s="30"/>
      <c r="Z13" s="30"/>
      <c r="AA13" s="30"/>
      <c r="AB13" s="30"/>
      <c r="AC13" s="30"/>
      <c r="AD13" s="30"/>
      <c r="AE13" s="30"/>
    </row>
    <row r="14" spans="1:31" ht="111" hidden="1" customHeight="1" x14ac:dyDescent="0.25">
      <c r="A14" s="132"/>
      <c r="B14" s="68" t="s">
        <v>228</v>
      </c>
      <c r="C14" s="69" t="s">
        <v>229</v>
      </c>
      <c r="D14" s="30" t="s">
        <v>274</v>
      </c>
      <c r="E14" s="69" t="s">
        <v>229</v>
      </c>
      <c r="F14" s="70" t="s">
        <v>227</v>
      </c>
      <c r="G14" s="37" t="s">
        <v>193</v>
      </c>
      <c r="H14" s="29"/>
      <c r="I14" s="30"/>
      <c r="J14" s="30"/>
      <c r="K14" s="30"/>
      <c r="L14" s="30"/>
      <c r="M14" s="30"/>
      <c r="N14" s="30"/>
      <c r="O14" s="30"/>
      <c r="P14" s="30"/>
      <c r="Q14" s="30"/>
      <c r="R14" s="30"/>
      <c r="S14" s="30"/>
      <c r="T14" s="30"/>
      <c r="U14" s="30" t="s">
        <v>103</v>
      </c>
      <c r="V14" s="30" t="s">
        <v>103</v>
      </c>
      <c r="W14" s="30"/>
      <c r="X14" s="30" t="s">
        <v>103</v>
      </c>
      <c r="Y14" s="30"/>
      <c r="Z14" s="30"/>
      <c r="AA14" s="30"/>
      <c r="AB14" s="30"/>
      <c r="AC14" s="30"/>
      <c r="AD14" s="30"/>
      <c r="AE14" s="30"/>
    </row>
    <row r="15" spans="1:31" ht="138" hidden="1" customHeight="1" x14ac:dyDescent="0.25">
      <c r="A15" s="132"/>
      <c r="B15" s="68" t="s">
        <v>253</v>
      </c>
      <c r="C15" s="69" t="str">
        <f t="shared" ref="C15" si="0">B15</f>
        <v>Công cụ, Dụng cụ cầm tay cho chuyên môn thiết bị Đo lường</v>
      </c>
      <c r="D15" s="30" t="s">
        <v>275</v>
      </c>
      <c r="E15" s="69" t="s">
        <v>255</v>
      </c>
      <c r="F15" s="96" t="s">
        <v>375</v>
      </c>
      <c r="G15" s="37" t="s">
        <v>193</v>
      </c>
      <c r="H15" s="29"/>
      <c r="I15" s="30"/>
      <c r="J15" s="30"/>
      <c r="K15" s="30"/>
      <c r="L15" s="30"/>
      <c r="M15" s="30"/>
      <c r="N15" s="30"/>
      <c r="O15" s="30"/>
      <c r="P15" s="30"/>
      <c r="Q15" s="30"/>
      <c r="R15" s="30"/>
      <c r="S15" s="30"/>
      <c r="T15" s="30"/>
      <c r="U15" s="30" t="s">
        <v>103</v>
      </c>
      <c r="V15" s="30" t="s">
        <v>103</v>
      </c>
      <c r="W15" s="30"/>
      <c r="X15" s="30"/>
      <c r="Y15" s="30"/>
      <c r="Z15" s="30"/>
      <c r="AA15" s="30"/>
      <c r="AB15" s="30"/>
      <c r="AC15" s="30"/>
      <c r="AD15" s="30"/>
      <c r="AE15" s="30"/>
    </row>
    <row r="16" spans="1:31" ht="138" hidden="1" customHeight="1" x14ac:dyDescent="0.25">
      <c r="A16" s="132"/>
      <c r="B16" s="68" t="s">
        <v>254</v>
      </c>
      <c r="C16" s="69" t="str">
        <f t="shared" ref="C16" si="1">B16</f>
        <v>Công cụ, Dụng cụ cầm tay cho chuyên môn thiết bị van điều khiển</v>
      </c>
      <c r="D16" s="30" t="s">
        <v>276</v>
      </c>
      <c r="E16" s="69" t="s">
        <v>256</v>
      </c>
      <c r="F16" s="96" t="s">
        <v>257</v>
      </c>
      <c r="G16" s="37" t="s">
        <v>193</v>
      </c>
      <c r="H16" s="29"/>
      <c r="I16" s="30"/>
      <c r="J16" s="30"/>
      <c r="K16" s="30"/>
      <c r="L16" s="30"/>
      <c r="M16" s="30"/>
      <c r="N16" s="30"/>
      <c r="O16" s="30"/>
      <c r="P16" s="30"/>
      <c r="Q16" s="30"/>
      <c r="R16" s="30"/>
      <c r="S16" s="30"/>
      <c r="T16" s="30"/>
      <c r="U16" s="30" t="s">
        <v>103</v>
      </c>
      <c r="V16" s="30"/>
      <c r="W16" s="30"/>
      <c r="X16" s="30" t="s">
        <v>103</v>
      </c>
      <c r="Y16" s="30"/>
      <c r="Z16" s="30"/>
      <c r="AA16" s="30"/>
      <c r="AB16" s="30"/>
      <c r="AC16" s="30"/>
      <c r="AD16" s="30"/>
      <c r="AE16" s="30"/>
    </row>
    <row r="17" spans="1:31" ht="153" hidden="1" customHeight="1" x14ac:dyDescent="0.25">
      <c r="A17" s="132"/>
      <c r="B17" s="68" t="s">
        <v>369</v>
      </c>
      <c r="C17" s="69" t="s">
        <v>370</v>
      </c>
      <c r="D17" s="30" t="s">
        <v>277</v>
      </c>
      <c r="E17" s="69" t="s">
        <v>370</v>
      </c>
      <c r="F17" s="70" t="s">
        <v>372</v>
      </c>
      <c r="G17" s="37" t="s">
        <v>193</v>
      </c>
      <c r="H17" s="29"/>
      <c r="I17" s="30"/>
      <c r="J17" s="30"/>
      <c r="K17" s="30"/>
      <c r="L17" s="30"/>
      <c r="M17" s="30"/>
      <c r="N17" s="30"/>
      <c r="O17" s="30"/>
      <c r="P17" s="30"/>
      <c r="Q17" s="30"/>
      <c r="R17" s="30"/>
      <c r="S17" s="30"/>
      <c r="T17" s="30"/>
      <c r="U17" s="30" t="s">
        <v>103</v>
      </c>
      <c r="V17" s="30" t="s">
        <v>103</v>
      </c>
      <c r="W17" s="30"/>
      <c r="X17" s="30" t="s">
        <v>103</v>
      </c>
      <c r="Y17" s="30"/>
      <c r="Z17" s="30"/>
      <c r="AA17" s="30"/>
      <c r="AB17" s="30"/>
      <c r="AC17" s="30"/>
      <c r="AD17" s="30"/>
      <c r="AE17" s="30"/>
    </row>
    <row r="18" spans="1:31" ht="121.5" hidden="1" customHeight="1" x14ac:dyDescent="0.25">
      <c r="A18" s="132"/>
      <c r="B18" s="68" t="s">
        <v>244</v>
      </c>
      <c r="C18" s="69" t="str">
        <f>B18</f>
        <v>Lựa chọn fitting, tubing</v>
      </c>
      <c r="D18" s="30" t="s">
        <v>278</v>
      </c>
      <c r="E18" s="69" t="s">
        <v>245</v>
      </c>
      <c r="F18" s="70" t="s">
        <v>371</v>
      </c>
      <c r="G18" s="37" t="s">
        <v>193</v>
      </c>
      <c r="H18" s="29"/>
      <c r="I18" s="30"/>
      <c r="J18" s="30"/>
      <c r="K18" s="30"/>
      <c r="L18" s="30"/>
      <c r="M18" s="30"/>
      <c r="N18" s="30"/>
      <c r="O18" s="30"/>
      <c r="P18" s="30"/>
      <c r="Q18" s="30"/>
      <c r="R18" s="30"/>
      <c r="S18" s="30"/>
      <c r="T18" s="30"/>
      <c r="U18" s="30" t="s">
        <v>103</v>
      </c>
      <c r="V18" s="30" t="s">
        <v>103</v>
      </c>
      <c r="W18" s="30"/>
      <c r="X18" s="30" t="s">
        <v>103</v>
      </c>
      <c r="Y18" s="30"/>
      <c r="Z18" s="30"/>
      <c r="AA18" s="30"/>
      <c r="AB18" s="30"/>
      <c r="AC18" s="30"/>
      <c r="AD18" s="30"/>
      <c r="AE18" s="30"/>
    </row>
    <row r="19" spans="1:31" ht="104.25" customHeight="1" x14ac:dyDescent="0.25">
      <c r="A19" s="132"/>
      <c r="B19" s="26" t="s">
        <v>105</v>
      </c>
      <c r="C19" s="15" t="s">
        <v>68</v>
      </c>
      <c r="D19" s="30" t="s">
        <v>279</v>
      </c>
      <c r="E19" s="16" t="s">
        <v>106</v>
      </c>
      <c r="F19" s="27" t="s">
        <v>138</v>
      </c>
      <c r="G19" s="37" t="s">
        <v>193</v>
      </c>
      <c r="H19" s="29" t="s">
        <v>363</v>
      </c>
      <c r="I19" s="30" t="s">
        <v>62</v>
      </c>
      <c r="J19" s="30"/>
      <c r="K19" s="30"/>
      <c r="L19" s="30"/>
      <c r="M19" s="30"/>
      <c r="N19" s="30"/>
      <c r="O19" s="30"/>
      <c r="P19" s="30"/>
      <c r="Q19" s="30"/>
      <c r="R19" s="30"/>
      <c r="S19" s="30" t="s">
        <v>103</v>
      </c>
      <c r="T19" s="30"/>
      <c r="U19" s="30" t="s">
        <v>103</v>
      </c>
      <c r="V19" s="30" t="s">
        <v>103</v>
      </c>
      <c r="W19" s="30" t="s">
        <v>103</v>
      </c>
      <c r="X19" s="30" t="s">
        <v>103</v>
      </c>
      <c r="Y19" s="30"/>
      <c r="Z19" s="30"/>
      <c r="AA19" s="30"/>
      <c r="AB19" s="30"/>
      <c r="AC19" s="30"/>
      <c r="AD19" s="30"/>
      <c r="AE19" s="30"/>
    </row>
    <row r="20" spans="1:31" ht="159.6" customHeight="1" x14ac:dyDescent="0.25">
      <c r="A20" s="132"/>
      <c r="B20" s="26" t="s">
        <v>70</v>
      </c>
      <c r="C20" s="15" t="s">
        <v>71</v>
      </c>
      <c r="D20" s="30" t="s">
        <v>280</v>
      </c>
      <c r="E20" s="16" t="s">
        <v>157</v>
      </c>
      <c r="F20" s="55" t="s">
        <v>139</v>
      </c>
      <c r="G20" s="37" t="s">
        <v>193</v>
      </c>
      <c r="H20" s="29" t="s">
        <v>363</v>
      </c>
      <c r="I20" s="30" t="s">
        <v>62</v>
      </c>
      <c r="J20" s="30"/>
      <c r="K20" s="30"/>
      <c r="L20" s="30"/>
      <c r="M20" s="30"/>
      <c r="N20" s="30"/>
      <c r="O20" s="30"/>
      <c r="P20" s="30"/>
      <c r="Q20" s="30"/>
      <c r="R20" s="30"/>
      <c r="S20" s="30" t="s">
        <v>103</v>
      </c>
      <c r="T20" s="30"/>
      <c r="U20" s="30" t="s">
        <v>103</v>
      </c>
      <c r="V20" s="30" t="s">
        <v>103</v>
      </c>
      <c r="W20" s="30" t="s">
        <v>103</v>
      </c>
      <c r="X20" s="30" t="s">
        <v>103</v>
      </c>
      <c r="Y20" s="30"/>
      <c r="Z20" s="30"/>
      <c r="AA20" s="30"/>
      <c r="AB20" s="30"/>
      <c r="AC20" s="30"/>
      <c r="AD20" s="30"/>
      <c r="AE20" s="30"/>
    </row>
    <row r="21" spans="1:31" ht="125.25" customHeight="1" x14ac:dyDescent="0.25">
      <c r="A21" s="132"/>
      <c r="B21" s="15" t="s">
        <v>135</v>
      </c>
      <c r="C21" s="15" t="s">
        <v>102</v>
      </c>
      <c r="D21" s="30" t="s">
        <v>281</v>
      </c>
      <c r="E21" s="15" t="s">
        <v>102</v>
      </c>
      <c r="F21" s="65" t="s">
        <v>140</v>
      </c>
      <c r="G21" s="37" t="s">
        <v>193</v>
      </c>
      <c r="H21" s="29" t="s">
        <v>363</v>
      </c>
      <c r="I21" s="30" t="s">
        <v>62</v>
      </c>
      <c r="J21" s="30"/>
      <c r="K21" s="30"/>
      <c r="L21" s="30"/>
      <c r="M21" s="30"/>
      <c r="N21" s="30"/>
      <c r="O21" s="30"/>
      <c r="P21" s="30"/>
      <c r="Q21" s="30"/>
      <c r="R21" s="30"/>
      <c r="S21" s="30" t="s">
        <v>103</v>
      </c>
      <c r="T21" s="30"/>
      <c r="U21" s="30" t="s">
        <v>103</v>
      </c>
      <c r="V21" s="30" t="s">
        <v>103</v>
      </c>
      <c r="W21" s="30" t="s">
        <v>103</v>
      </c>
      <c r="X21" s="30" t="s">
        <v>103</v>
      </c>
      <c r="Y21" s="30"/>
      <c r="Z21" s="30"/>
      <c r="AA21" s="30"/>
      <c r="AB21" s="30"/>
      <c r="AC21" s="30"/>
      <c r="AD21" s="30"/>
      <c r="AE21" s="30"/>
    </row>
    <row r="22" spans="1:31" ht="90.6" customHeight="1" x14ac:dyDescent="0.25">
      <c r="A22" s="132"/>
      <c r="B22" s="58" t="s">
        <v>137</v>
      </c>
      <c r="C22" s="62" t="s">
        <v>77</v>
      </c>
      <c r="D22" s="30" t="s">
        <v>282</v>
      </c>
      <c r="E22" s="62" t="s">
        <v>104</v>
      </c>
      <c r="F22" s="65" t="s">
        <v>141</v>
      </c>
      <c r="G22" s="37" t="s">
        <v>193</v>
      </c>
      <c r="H22" s="29" t="s">
        <v>363</v>
      </c>
      <c r="I22" s="31" t="s">
        <v>62</v>
      </c>
      <c r="J22" s="30"/>
      <c r="K22" s="30"/>
      <c r="L22" s="30"/>
      <c r="M22" s="30"/>
      <c r="N22" s="30"/>
      <c r="O22" s="30"/>
      <c r="P22" s="30"/>
      <c r="Q22" s="30"/>
      <c r="R22" s="30"/>
      <c r="S22" s="30" t="s">
        <v>103</v>
      </c>
      <c r="T22" s="30"/>
      <c r="U22" s="30" t="s">
        <v>103</v>
      </c>
      <c r="V22" s="30" t="s">
        <v>103</v>
      </c>
      <c r="W22" s="30" t="s">
        <v>103</v>
      </c>
      <c r="X22" s="30" t="s">
        <v>103</v>
      </c>
      <c r="Y22" s="30"/>
      <c r="Z22" s="30"/>
      <c r="AA22" s="30"/>
      <c r="AB22" s="30"/>
      <c r="AC22" s="30"/>
      <c r="AD22" s="30"/>
      <c r="AE22" s="30"/>
    </row>
    <row r="23" spans="1:31" ht="90.6" customHeight="1" x14ac:dyDescent="0.25">
      <c r="A23" s="132"/>
      <c r="B23" s="58" t="s">
        <v>137</v>
      </c>
      <c r="C23" s="62" t="s">
        <v>72</v>
      </c>
      <c r="D23" s="30" t="s">
        <v>283</v>
      </c>
      <c r="E23" s="62" t="s">
        <v>142</v>
      </c>
      <c r="F23" s="65" t="s">
        <v>143</v>
      </c>
      <c r="G23" s="37" t="s">
        <v>193</v>
      </c>
      <c r="H23" s="29" t="s">
        <v>363</v>
      </c>
      <c r="I23" s="30" t="s">
        <v>62</v>
      </c>
      <c r="J23" s="30"/>
      <c r="K23" s="30"/>
      <c r="L23" s="30"/>
      <c r="M23" s="30"/>
      <c r="N23" s="30"/>
      <c r="O23" s="30"/>
      <c r="P23" s="30"/>
      <c r="Q23" s="30"/>
      <c r="R23" s="30"/>
      <c r="S23" s="30" t="s">
        <v>103</v>
      </c>
      <c r="T23" s="30"/>
      <c r="U23" s="30" t="s">
        <v>103</v>
      </c>
      <c r="V23" s="30" t="s">
        <v>103</v>
      </c>
      <c r="W23" s="30" t="s">
        <v>103</v>
      </c>
      <c r="X23" s="30" t="s">
        <v>103</v>
      </c>
      <c r="Y23" s="30"/>
      <c r="Z23" s="30"/>
      <c r="AA23" s="30"/>
      <c r="AB23" s="30"/>
      <c r="AC23" s="30"/>
      <c r="AD23" s="30"/>
      <c r="AE23" s="30"/>
    </row>
    <row r="24" spans="1:31" ht="90.6" customHeight="1" x14ac:dyDescent="0.25">
      <c r="A24" s="132"/>
      <c r="B24" s="69" t="s">
        <v>343</v>
      </c>
      <c r="C24" s="68" t="str">
        <f>B24</f>
        <v>Kỹ năng mềm chuyên ngành Đo lường - Điều khiển</v>
      </c>
      <c r="D24" s="30" t="s">
        <v>284</v>
      </c>
      <c r="E24" s="68" t="s">
        <v>343</v>
      </c>
      <c r="F24" s="118" t="s">
        <v>359</v>
      </c>
      <c r="G24" s="69" t="s">
        <v>193</v>
      </c>
      <c r="H24" s="56" t="s">
        <v>61</v>
      </c>
      <c r="I24" s="30" t="s">
        <v>62</v>
      </c>
      <c r="J24" s="30"/>
      <c r="K24" s="30"/>
      <c r="L24" s="30"/>
      <c r="M24" s="30"/>
      <c r="N24" s="30"/>
      <c r="O24" s="30"/>
      <c r="P24" s="30"/>
      <c r="Q24" s="30"/>
      <c r="R24" s="30"/>
      <c r="S24" s="30" t="s">
        <v>103</v>
      </c>
      <c r="T24" s="30"/>
      <c r="U24" s="30"/>
      <c r="V24" s="30"/>
      <c r="W24" s="30"/>
      <c r="X24" s="30"/>
      <c r="Y24" s="30"/>
      <c r="Z24" s="30"/>
      <c r="AA24" s="30"/>
      <c r="AB24" s="30"/>
      <c r="AC24" s="30"/>
      <c r="AD24" s="30"/>
      <c r="AE24" s="30"/>
    </row>
    <row r="25" spans="1:31" ht="90.6" customHeight="1" x14ac:dyDescent="0.25">
      <c r="A25" s="132"/>
      <c r="B25" s="119" t="s">
        <v>349</v>
      </c>
      <c r="C25" s="119" t="s">
        <v>349</v>
      </c>
      <c r="D25" s="30" t="s">
        <v>285</v>
      </c>
      <c r="E25" s="119" t="s">
        <v>349</v>
      </c>
      <c r="F25" s="119" t="s">
        <v>350</v>
      </c>
      <c r="G25" s="69" t="s">
        <v>193</v>
      </c>
      <c r="H25" s="116"/>
      <c r="I25" s="30"/>
      <c r="J25" s="30"/>
      <c r="K25" s="30"/>
      <c r="L25" s="30"/>
      <c r="M25" s="30"/>
      <c r="N25" s="30"/>
      <c r="O25" s="30"/>
      <c r="P25" s="30"/>
      <c r="Q25" s="30"/>
      <c r="R25" s="30"/>
      <c r="S25" s="30" t="s">
        <v>103</v>
      </c>
      <c r="T25" s="30"/>
      <c r="U25" s="30"/>
      <c r="V25" s="30"/>
      <c r="W25" s="30"/>
      <c r="X25" s="30"/>
      <c r="Y25" s="30"/>
      <c r="Z25" s="30"/>
      <c r="AA25" s="30"/>
      <c r="AB25" s="30"/>
      <c r="AC25" s="30"/>
      <c r="AD25" s="30"/>
      <c r="AE25" s="30"/>
    </row>
    <row r="26" spans="1:31" ht="123" customHeight="1" x14ac:dyDescent="0.25">
      <c r="A26" s="132"/>
      <c r="B26" s="69" t="s">
        <v>348</v>
      </c>
      <c r="C26" s="68" t="str">
        <f>B26</f>
        <v>Kiến thức và kỹ năng liên quan đến hệ thống các tiêu chuẩn Quốc tế liên quan đến ngành đo lường điều khiển</v>
      </c>
      <c r="D26" s="30" t="s">
        <v>286</v>
      </c>
      <c r="E26" s="68" t="str">
        <f>C26</f>
        <v>Kiến thức và kỹ năng liên quan đến hệ thống các tiêu chuẩn Quốc tế liên quan đến ngành đo lường điều khiển</v>
      </c>
      <c r="F26" s="119" t="s">
        <v>347</v>
      </c>
      <c r="G26" s="69" t="s">
        <v>193</v>
      </c>
      <c r="H26" s="116"/>
      <c r="I26" s="30"/>
      <c r="J26" s="30"/>
      <c r="K26" s="30"/>
      <c r="L26" s="30"/>
      <c r="M26" s="30"/>
      <c r="N26" s="30"/>
      <c r="O26" s="30"/>
      <c r="P26" s="30"/>
      <c r="Q26" s="30"/>
      <c r="R26" s="30"/>
      <c r="S26" s="30" t="s">
        <v>103</v>
      </c>
      <c r="T26" s="30"/>
      <c r="U26" s="30"/>
      <c r="V26" s="30"/>
      <c r="W26" s="30"/>
      <c r="X26" s="30"/>
      <c r="Y26" s="30"/>
      <c r="Z26" s="30"/>
      <c r="AA26" s="30"/>
      <c r="AB26" s="30"/>
      <c r="AC26" s="30"/>
      <c r="AD26" s="30"/>
      <c r="AE26" s="30"/>
    </row>
    <row r="27" spans="1:31" ht="298.5" customHeight="1" x14ac:dyDescent="0.25">
      <c r="A27" s="132"/>
      <c r="B27" s="26" t="s">
        <v>198</v>
      </c>
      <c r="C27" s="26" t="s">
        <v>198</v>
      </c>
      <c r="D27" s="30" t="s">
        <v>287</v>
      </c>
      <c r="E27" s="26" t="s">
        <v>345</v>
      </c>
      <c r="F27" s="79" t="s">
        <v>260</v>
      </c>
      <c r="G27" s="37" t="s">
        <v>193</v>
      </c>
      <c r="H27" s="29" t="s">
        <v>363</v>
      </c>
      <c r="I27" s="30"/>
      <c r="J27" s="30"/>
      <c r="K27" s="30"/>
      <c r="L27" s="30"/>
      <c r="M27" s="30"/>
      <c r="N27" s="30"/>
      <c r="O27" s="30"/>
      <c r="P27" s="30"/>
      <c r="Q27" s="30"/>
      <c r="R27" s="30"/>
      <c r="S27" s="30" t="s">
        <v>103</v>
      </c>
      <c r="T27" s="30"/>
      <c r="U27" s="30" t="s">
        <v>103</v>
      </c>
      <c r="V27" s="30" t="s">
        <v>103</v>
      </c>
      <c r="W27" s="30" t="s">
        <v>103</v>
      </c>
      <c r="X27" s="30" t="s">
        <v>103</v>
      </c>
      <c r="Y27" s="30"/>
      <c r="Z27" s="30"/>
      <c r="AA27" s="30"/>
      <c r="AB27" s="30"/>
      <c r="AC27" s="30"/>
      <c r="AD27" s="30"/>
      <c r="AE27" s="30"/>
    </row>
    <row r="28" spans="1:31" s="63" customFormat="1" ht="288" customHeight="1" x14ac:dyDescent="0.25">
      <c r="A28" s="66"/>
      <c r="B28" s="64" t="s">
        <v>99</v>
      </c>
      <c r="C28" s="64" t="s">
        <v>69</v>
      </c>
      <c r="D28" s="30" t="s">
        <v>288</v>
      </c>
      <c r="E28" s="64" t="s">
        <v>98</v>
      </c>
      <c r="F28" s="62" t="s">
        <v>190</v>
      </c>
      <c r="G28" s="37" t="s">
        <v>193</v>
      </c>
      <c r="H28" s="29" t="s">
        <v>363</v>
      </c>
      <c r="I28" s="59" t="s">
        <v>62</v>
      </c>
      <c r="J28" s="59"/>
      <c r="K28" s="59"/>
      <c r="L28" s="59"/>
      <c r="M28" s="59"/>
      <c r="N28" s="59"/>
      <c r="O28" s="30"/>
      <c r="P28" s="30"/>
      <c r="Q28" s="30"/>
      <c r="R28" s="30"/>
      <c r="S28" s="30" t="s">
        <v>103</v>
      </c>
      <c r="T28" s="30"/>
      <c r="U28" s="59"/>
      <c r="V28" s="59"/>
      <c r="W28" s="59" t="s">
        <v>103</v>
      </c>
      <c r="X28" s="59"/>
      <c r="Y28" s="59"/>
      <c r="Z28" s="59"/>
      <c r="AA28" s="59"/>
      <c r="AB28" s="59"/>
      <c r="AC28" s="59"/>
      <c r="AD28" s="59"/>
      <c r="AE28" s="59"/>
    </row>
    <row r="29" spans="1:31" ht="149.44999999999999" customHeight="1" x14ac:dyDescent="0.25">
      <c r="A29" s="130"/>
      <c r="B29" s="28" t="s">
        <v>144</v>
      </c>
      <c r="C29" s="28" t="s">
        <v>144</v>
      </c>
      <c r="D29" s="30" t="s">
        <v>289</v>
      </c>
      <c r="E29" s="37" t="s">
        <v>146</v>
      </c>
      <c r="F29" s="61" t="s">
        <v>148</v>
      </c>
      <c r="G29" s="37" t="s">
        <v>193</v>
      </c>
      <c r="H29" s="29" t="s">
        <v>363</v>
      </c>
      <c r="I29" s="30" t="s">
        <v>62</v>
      </c>
      <c r="J29" s="30"/>
      <c r="K29" s="30"/>
      <c r="L29" s="30"/>
      <c r="M29" s="30"/>
      <c r="N29" s="30"/>
      <c r="O29" s="30"/>
      <c r="P29" s="30"/>
      <c r="Q29" s="30"/>
      <c r="R29" s="30"/>
      <c r="S29" s="30" t="s">
        <v>103</v>
      </c>
      <c r="T29" s="30"/>
      <c r="U29" s="30"/>
      <c r="V29" s="30"/>
      <c r="W29" s="30" t="s">
        <v>103</v>
      </c>
      <c r="X29" s="30"/>
      <c r="Y29" s="30"/>
      <c r="Z29" s="30"/>
      <c r="AA29" s="30"/>
      <c r="AB29" s="30"/>
      <c r="AC29" s="30"/>
      <c r="AD29" s="30"/>
      <c r="AE29" s="30"/>
    </row>
    <row r="30" spans="1:31" ht="211.5" customHeight="1" x14ac:dyDescent="0.25">
      <c r="A30" s="130"/>
      <c r="B30" s="28" t="s">
        <v>145</v>
      </c>
      <c r="C30" s="28" t="s">
        <v>145</v>
      </c>
      <c r="D30" s="30" t="s">
        <v>290</v>
      </c>
      <c r="E30" s="37" t="s">
        <v>147</v>
      </c>
      <c r="F30" s="61" t="s">
        <v>149</v>
      </c>
      <c r="G30" s="37" t="s">
        <v>193</v>
      </c>
      <c r="H30" s="29" t="s">
        <v>363</v>
      </c>
      <c r="I30" s="30" t="s">
        <v>62</v>
      </c>
      <c r="J30" s="30"/>
      <c r="K30" s="30"/>
      <c r="L30" s="30"/>
      <c r="M30" s="30"/>
      <c r="N30" s="30"/>
      <c r="O30" s="30"/>
      <c r="P30" s="30"/>
      <c r="Q30" s="30"/>
      <c r="R30" s="30"/>
      <c r="S30" s="30" t="s">
        <v>103</v>
      </c>
      <c r="T30" s="30"/>
      <c r="U30" s="30"/>
      <c r="V30" s="30"/>
      <c r="W30" s="30" t="s">
        <v>103</v>
      </c>
      <c r="X30" s="30"/>
      <c r="Y30" s="30"/>
      <c r="Z30" s="30"/>
      <c r="AA30" s="30"/>
      <c r="AB30" s="30"/>
      <c r="AC30" s="30"/>
      <c r="AD30" s="30"/>
      <c r="AE30" s="30"/>
    </row>
    <row r="31" spans="1:31" ht="195.6" customHeight="1" x14ac:dyDescent="0.25">
      <c r="A31" s="130"/>
      <c r="B31" s="28" t="s">
        <v>120</v>
      </c>
      <c r="C31" s="28" t="s">
        <v>120</v>
      </c>
      <c r="D31" s="30" t="s">
        <v>291</v>
      </c>
      <c r="E31" s="37" t="s">
        <v>100</v>
      </c>
      <c r="F31" s="29" t="s">
        <v>340</v>
      </c>
      <c r="G31" s="37" t="s">
        <v>193</v>
      </c>
      <c r="H31" s="29" t="s">
        <v>363</v>
      </c>
      <c r="I31" s="30" t="s">
        <v>62</v>
      </c>
      <c r="J31" s="30"/>
      <c r="K31" s="30"/>
      <c r="L31" s="30"/>
      <c r="M31" s="30"/>
      <c r="N31" s="30"/>
      <c r="O31" s="30"/>
      <c r="P31" s="30"/>
      <c r="Q31" s="30"/>
      <c r="R31" s="30"/>
      <c r="S31" s="30" t="s">
        <v>103</v>
      </c>
      <c r="T31" s="30"/>
      <c r="U31" s="30"/>
      <c r="V31" s="30"/>
      <c r="W31" s="30" t="s">
        <v>103</v>
      </c>
      <c r="X31" s="30"/>
      <c r="Y31" s="30"/>
      <c r="Z31" s="30"/>
      <c r="AA31" s="30"/>
      <c r="AB31" s="30"/>
      <c r="AC31" s="30"/>
      <c r="AD31" s="30"/>
      <c r="AE31" s="30"/>
    </row>
    <row r="32" spans="1:31" ht="210" customHeight="1" x14ac:dyDescent="0.25">
      <c r="A32" s="130"/>
      <c r="B32" s="28" t="s">
        <v>121</v>
      </c>
      <c r="C32" s="28" t="s">
        <v>121</v>
      </c>
      <c r="D32" s="30" t="s">
        <v>292</v>
      </c>
      <c r="E32" s="37" t="s">
        <v>101</v>
      </c>
      <c r="F32" s="29" t="s">
        <v>336</v>
      </c>
      <c r="G32" s="37" t="s">
        <v>193</v>
      </c>
      <c r="H32" s="29" t="s">
        <v>363</v>
      </c>
      <c r="I32" s="30" t="s">
        <v>62</v>
      </c>
      <c r="J32" s="30"/>
      <c r="K32" s="30"/>
      <c r="L32" s="30"/>
      <c r="M32" s="30"/>
      <c r="N32" s="30"/>
      <c r="O32" s="30"/>
      <c r="P32" s="30"/>
      <c r="Q32" s="30"/>
      <c r="R32" s="30"/>
      <c r="S32" s="30" t="s">
        <v>103</v>
      </c>
      <c r="T32" s="30"/>
      <c r="U32" s="30"/>
      <c r="V32" s="30"/>
      <c r="W32" s="30" t="s">
        <v>103</v>
      </c>
      <c r="X32" s="30"/>
      <c r="Y32" s="30"/>
      <c r="Z32" s="30"/>
      <c r="AA32" s="30"/>
      <c r="AB32" s="30"/>
      <c r="AC32" s="30"/>
      <c r="AD32" s="30"/>
      <c r="AE32" s="30"/>
    </row>
    <row r="33" spans="1:31" ht="160.5" customHeight="1" x14ac:dyDescent="0.25">
      <c r="A33" s="130"/>
      <c r="B33" s="28" t="s">
        <v>124</v>
      </c>
      <c r="C33" s="28" t="s">
        <v>124</v>
      </c>
      <c r="D33" s="30" t="s">
        <v>293</v>
      </c>
      <c r="E33" s="37" t="s">
        <v>95</v>
      </c>
      <c r="F33" s="29" t="s">
        <v>342</v>
      </c>
      <c r="G33" s="37" t="s">
        <v>193</v>
      </c>
      <c r="H33" s="29" t="s">
        <v>363</v>
      </c>
      <c r="I33" s="30" t="s">
        <v>62</v>
      </c>
      <c r="J33" s="30"/>
      <c r="K33" s="30"/>
      <c r="L33" s="30"/>
      <c r="M33" s="30"/>
      <c r="N33" s="30"/>
      <c r="O33" s="30"/>
      <c r="P33" s="30"/>
      <c r="Q33" s="30"/>
      <c r="R33" s="30"/>
      <c r="S33" s="30" t="s">
        <v>103</v>
      </c>
      <c r="T33" s="30"/>
      <c r="U33" s="30"/>
      <c r="V33" s="30"/>
      <c r="W33" s="30" t="s">
        <v>103</v>
      </c>
      <c r="X33" s="30"/>
      <c r="Y33" s="30"/>
      <c r="Z33" s="30"/>
      <c r="AA33" s="30"/>
      <c r="AB33" s="30"/>
      <c r="AC33" s="30"/>
      <c r="AD33" s="30"/>
      <c r="AE33" s="30"/>
    </row>
    <row r="34" spans="1:31" ht="162" customHeight="1" x14ac:dyDescent="0.25">
      <c r="A34" s="130"/>
      <c r="B34" s="28" t="s">
        <v>125</v>
      </c>
      <c r="C34" s="28" t="s">
        <v>125</v>
      </c>
      <c r="D34" s="30" t="s">
        <v>294</v>
      </c>
      <c r="E34" s="37" t="s">
        <v>96</v>
      </c>
      <c r="F34" s="29" t="s">
        <v>151</v>
      </c>
      <c r="G34" s="37" t="s">
        <v>193</v>
      </c>
      <c r="H34" s="29" t="s">
        <v>363</v>
      </c>
      <c r="I34" s="30" t="s">
        <v>62</v>
      </c>
      <c r="J34" s="30"/>
      <c r="K34" s="30"/>
      <c r="L34" s="30"/>
      <c r="M34" s="30"/>
      <c r="N34" s="30"/>
      <c r="O34" s="30"/>
      <c r="P34" s="30"/>
      <c r="Q34" s="30"/>
      <c r="R34" s="30"/>
      <c r="S34" s="30" t="s">
        <v>103</v>
      </c>
      <c r="T34" s="30"/>
      <c r="U34" s="30"/>
      <c r="V34" s="30"/>
      <c r="W34" s="30" t="s">
        <v>103</v>
      </c>
      <c r="X34" s="30"/>
      <c r="Y34" s="30"/>
      <c r="Z34" s="30"/>
      <c r="AA34" s="30"/>
      <c r="AB34" s="30"/>
      <c r="AC34" s="30"/>
      <c r="AD34" s="30"/>
      <c r="AE34" s="30"/>
    </row>
    <row r="35" spans="1:31" ht="199.5" customHeight="1" x14ac:dyDescent="0.25">
      <c r="A35" s="130"/>
      <c r="B35" s="28" t="s">
        <v>122</v>
      </c>
      <c r="C35" s="28" t="s">
        <v>122</v>
      </c>
      <c r="D35" s="30" t="s">
        <v>295</v>
      </c>
      <c r="E35" s="37" t="s">
        <v>82</v>
      </c>
      <c r="F35" s="29" t="s">
        <v>341</v>
      </c>
      <c r="G35" s="37" t="s">
        <v>193</v>
      </c>
      <c r="H35" s="29" t="s">
        <v>363</v>
      </c>
      <c r="I35" s="30" t="s">
        <v>62</v>
      </c>
      <c r="J35" s="30"/>
      <c r="K35" s="30"/>
      <c r="L35" s="30"/>
      <c r="M35" s="30"/>
      <c r="N35" s="30"/>
      <c r="O35" s="30"/>
      <c r="P35" s="30"/>
      <c r="Q35" s="30"/>
      <c r="R35" s="30"/>
      <c r="S35" s="30" t="s">
        <v>103</v>
      </c>
      <c r="T35" s="30"/>
      <c r="U35" s="30"/>
      <c r="V35" s="30"/>
      <c r="W35" s="30" t="s">
        <v>103</v>
      </c>
      <c r="X35" s="30"/>
      <c r="Y35" s="30"/>
      <c r="Z35" s="30"/>
      <c r="AA35" s="30"/>
      <c r="AB35" s="30"/>
      <c r="AC35" s="30"/>
      <c r="AD35" s="30"/>
      <c r="AE35" s="30"/>
    </row>
    <row r="36" spans="1:31" ht="186.6" customHeight="1" x14ac:dyDescent="0.25">
      <c r="A36" s="130"/>
      <c r="B36" s="28" t="s">
        <v>123</v>
      </c>
      <c r="C36" s="28" t="s">
        <v>123</v>
      </c>
      <c r="D36" s="30" t="s">
        <v>296</v>
      </c>
      <c r="E36" s="37" t="s">
        <v>83</v>
      </c>
      <c r="F36" s="61" t="s">
        <v>337</v>
      </c>
      <c r="G36" s="37" t="s">
        <v>193</v>
      </c>
      <c r="H36" s="29" t="s">
        <v>363</v>
      </c>
      <c r="I36" s="30" t="s">
        <v>62</v>
      </c>
      <c r="J36" s="30"/>
      <c r="K36" s="30"/>
      <c r="L36" s="30"/>
      <c r="M36" s="30"/>
      <c r="N36" s="30"/>
      <c r="O36" s="30"/>
      <c r="P36" s="30"/>
      <c r="Q36" s="30"/>
      <c r="R36" s="30"/>
      <c r="S36" s="30" t="s">
        <v>103</v>
      </c>
      <c r="T36" s="30"/>
      <c r="U36" s="30"/>
      <c r="V36" s="30"/>
      <c r="W36" s="30" t="s">
        <v>103</v>
      </c>
      <c r="X36" s="30"/>
      <c r="Y36" s="30"/>
      <c r="Z36" s="30"/>
      <c r="AA36" s="30"/>
      <c r="AB36" s="30"/>
      <c r="AC36" s="30"/>
      <c r="AD36" s="30"/>
      <c r="AE36" s="30"/>
    </row>
    <row r="37" spans="1:31" ht="151.15" customHeight="1" x14ac:dyDescent="0.25">
      <c r="A37" s="130"/>
      <c r="B37" s="37" t="s">
        <v>262</v>
      </c>
      <c r="C37" s="28" t="s">
        <v>118</v>
      </c>
      <c r="D37" s="30" t="s">
        <v>297</v>
      </c>
      <c r="E37" s="37" t="s">
        <v>85</v>
      </c>
      <c r="F37" s="36" t="s">
        <v>339</v>
      </c>
      <c r="G37" s="37" t="s">
        <v>193</v>
      </c>
      <c r="H37" s="29" t="s">
        <v>363</v>
      </c>
      <c r="I37" s="138" t="s">
        <v>62</v>
      </c>
      <c r="J37" s="30"/>
      <c r="K37" s="30"/>
      <c r="L37" s="30"/>
      <c r="M37" s="30"/>
      <c r="N37" s="30"/>
      <c r="O37" s="30"/>
      <c r="P37" s="30"/>
      <c r="Q37" s="30"/>
      <c r="R37" s="30"/>
      <c r="S37" s="30" t="s">
        <v>103</v>
      </c>
      <c r="T37" s="30"/>
      <c r="U37" s="30"/>
      <c r="V37" s="30"/>
      <c r="W37" s="30" t="s">
        <v>103</v>
      </c>
      <c r="X37" s="30"/>
      <c r="Y37" s="30"/>
      <c r="Z37" s="30"/>
      <c r="AA37" s="30"/>
      <c r="AB37" s="30"/>
      <c r="AC37" s="30"/>
      <c r="AD37" s="30"/>
      <c r="AE37" s="30"/>
    </row>
    <row r="38" spans="1:31" ht="194.45" customHeight="1" x14ac:dyDescent="0.25">
      <c r="A38" s="130"/>
      <c r="B38" s="37" t="s">
        <v>263</v>
      </c>
      <c r="C38" s="28" t="s">
        <v>119</v>
      </c>
      <c r="D38" s="30" t="s">
        <v>298</v>
      </c>
      <c r="E38" s="37" t="s">
        <v>86</v>
      </c>
      <c r="F38" s="60" t="s">
        <v>335</v>
      </c>
      <c r="G38" s="37" t="s">
        <v>193</v>
      </c>
      <c r="H38" s="29" t="s">
        <v>363</v>
      </c>
      <c r="I38" s="139"/>
      <c r="J38" s="30"/>
      <c r="K38" s="30"/>
      <c r="L38" s="30"/>
      <c r="M38" s="30"/>
      <c r="N38" s="30"/>
      <c r="O38" s="30"/>
      <c r="P38" s="30"/>
      <c r="Q38" s="30"/>
      <c r="R38" s="30"/>
      <c r="S38" s="30" t="s">
        <v>103</v>
      </c>
      <c r="T38" s="30"/>
      <c r="U38" s="30"/>
      <c r="V38" s="30"/>
      <c r="W38" s="30" t="s">
        <v>103</v>
      </c>
      <c r="X38" s="30"/>
      <c r="Y38" s="30"/>
      <c r="Z38" s="30"/>
      <c r="AA38" s="30"/>
      <c r="AB38" s="30"/>
      <c r="AC38" s="30"/>
      <c r="AD38" s="30"/>
      <c r="AE38" s="30"/>
    </row>
    <row r="39" spans="1:31" ht="180.6" customHeight="1" x14ac:dyDescent="0.25">
      <c r="A39" s="130"/>
      <c r="B39" s="69" t="s">
        <v>333</v>
      </c>
      <c r="C39" s="68" t="str">
        <f>B39</f>
        <v>Hệ thống PLC nâng cao</v>
      </c>
      <c r="D39" s="30" t="s">
        <v>299</v>
      </c>
      <c r="E39" s="69" t="s">
        <v>322</v>
      </c>
      <c r="F39" s="120" t="s">
        <v>351</v>
      </c>
      <c r="G39" s="69" t="s">
        <v>193</v>
      </c>
      <c r="H39" s="113"/>
      <c r="I39" s="114"/>
      <c r="J39" s="30"/>
      <c r="K39" s="30"/>
      <c r="L39" s="30"/>
      <c r="M39" s="30"/>
      <c r="N39" s="30"/>
      <c r="O39" s="30"/>
      <c r="P39" s="30"/>
      <c r="Q39" s="30"/>
      <c r="R39" s="30"/>
      <c r="S39" s="30" t="s">
        <v>103</v>
      </c>
      <c r="T39" s="30"/>
      <c r="U39" s="30"/>
      <c r="V39" s="30"/>
      <c r="W39" s="30"/>
      <c r="X39" s="30"/>
      <c r="Y39" s="30"/>
      <c r="Z39" s="30"/>
      <c r="AA39" s="30"/>
      <c r="AB39" s="30"/>
      <c r="AC39" s="30"/>
      <c r="AD39" s="30"/>
      <c r="AE39" s="30"/>
    </row>
    <row r="40" spans="1:31" ht="170.45" customHeight="1" x14ac:dyDescent="0.25">
      <c r="A40" s="130"/>
      <c r="B40" s="71" t="s">
        <v>332</v>
      </c>
      <c r="C40" s="68" t="str">
        <f>B40</f>
        <v>Hệ thống DCS nâng cao</v>
      </c>
      <c r="D40" s="30" t="s">
        <v>300</v>
      </c>
      <c r="E40" s="69" t="s">
        <v>324</v>
      </c>
      <c r="F40" s="70" t="s">
        <v>352</v>
      </c>
      <c r="G40" s="69" t="s">
        <v>193</v>
      </c>
      <c r="H40" s="29"/>
      <c r="I40" s="30"/>
      <c r="J40" s="30"/>
      <c r="K40" s="30"/>
      <c r="L40" s="30"/>
      <c r="M40" s="30"/>
      <c r="N40" s="30"/>
      <c r="O40" s="30"/>
      <c r="P40" s="30"/>
      <c r="Q40" s="30"/>
      <c r="R40" s="30"/>
      <c r="S40" s="30" t="s">
        <v>103</v>
      </c>
      <c r="T40" s="30"/>
      <c r="U40" s="30"/>
      <c r="V40" s="30"/>
      <c r="W40" s="30"/>
      <c r="X40" s="30"/>
      <c r="Y40" s="30"/>
      <c r="Z40" s="30"/>
      <c r="AA40" s="30"/>
      <c r="AB40" s="30"/>
      <c r="AC40" s="30"/>
      <c r="AD40" s="30"/>
      <c r="AE40" s="30"/>
    </row>
    <row r="41" spans="1:31" ht="156.75" customHeight="1" x14ac:dyDescent="0.25">
      <c r="A41" s="130"/>
      <c r="B41" s="121" t="s">
        <v>331</v>
      </c>
      <c r="C41" s="121" t="str">
        <f>B41</f>
        <v>Hệ thống ESD nâng cao</v>
      </c>
      <c r="D41" s="30" t="s">
        <v>301</v>
      </c>
      <c r="E41" s="69" t="s">
        <v>326</v>
      </c>
      <c r="F41" s="70" t="s">
        <v>353</v>
      </c>
      <c r="G41" s="69" t="s">
        <v>193</v>
      </c>
      <c r="H41" s="29"/>
      <c r="I41" s="30"/>
      <c r="J41" s="30"/>
      <c r="K41" s="30"/>
      <c r="L41" s="30"/>
      <c r="M41" s="30"/>
      <c r="N41" s="30"/>
      <c r="O41" s="30"/>
      <c r="P41" s="30"/>
      <c r="Q41" s="30"/>
      <c r="R41" s="30"/>
      <c r="S41" s="30" t="s">
        <v>103</v>
      </c>
      <c r="T41" s="30"/>
      <c r="U41" s="30"/>
      <c r="V41" s="30"/>
      <c r="W41" s="30"/>
      <c r="X41" s="30"/>
      <c r="Y41" s="30"/>
      <c r="Z41" s="30"/>
      <c r="AA41" s="30"/>
      <c r="AB41" s="30"/>
      <c r="AC41" s="30"/>
      <c r="AD41" s="30"/>
      <c r="AE41" s="30"/>
    </row>
    <row r="42" spans="1:31" ht="211.5" customHeight="1" x14ac:dyDescent="0.25">
      <c r="A42" s="130"/>
      <c r="B42" s="68" t="s">
        <v>356</v>
      </c>
      <c r="C42" s="68" t="s">
        <v>145</v>
      </c>
      <c r="D42" s="30" t="s">
        <v>302</v>
      </c>
      <c r="E42" s="69" t="s">
        <v>147</v>
      </c>
      <c r="F42" s="70" t="s">
        <v>357</v>
      </c>
      <c r="G42" s="69" t="s">
        <v>193</v>
      </c>
      <c r="H42" s="29" t="s">
        <v>63</v>
      </c>
      <c r="I42" s="30" t="s">
        <v>62</v>
      </c>
      <c r="J42" s="30"/>
      <c r="K42" s="30"/>
      <c r="L42" s="30"/>
      <c r="M42" s="30"/>
      <c r="N42" s="30"/>
      <c r="O42" s="30"/>
      <c r="P42" s="30"/>
      <c r="Q42" s="30"/>
      <c r="R42" s="30"/>
      <c r="S42" s="30" t="s">
        <v>103</v>
      </c>
      <c r="T42" s="30"/>
      <c r="U42" s="30"/>
      <c r="V42" s="30"/>
      <c r="W42" s="30"/>
      <c r="X42" s="30"/>
      <c r="Y42" s="30"/>
      <c r="Z42" s="30"/>
      <c r="AA42" s="30"/>
      <c r="AB42" s="30"/>
      <c r="AC42" s="30"/>
      <c r="AD42" s="30"/>
      <c r="AE42" s="30"/>
    </row>
    <row r="43" spans="1:31" ht="139.5" customHeight="1" x14ac:dyDescent="0.25">
      <c r="A43" s="130"/>
      <c r="B43" s="32" t="s">
        <v>79</v>
      </c>
      <c r="C43" s="32" t="s">
        <v>79</v>
      </c>
      <c r="D43" s="30" t="s">
        <v>303</v>
      </c>
      <c r="E43" s="28" t="s">
        <v>89</v>
      </c>
      <c r="F43" s="28" t="s">
        <v>150</v>
      </c>
      <c r="G43" s="37" t="s">
        <v>193</v>
      </c>
      <c r="H43" s="29" t="s">
        <v>363</v>
      </c>
      <c r="I43" s="30" t="s">
        <v>62</v>
      </c>
      <c r="J43" s="30"/>
      <c r="K43" s="30"/>
      <c r="L43" s="30"/>
      <c r="M43" s="30"/>
      <c r="N43" s="30"/>
      <c r="O43" s="30"/>
      <c r="P43" s="30"/>
      <c r="Q43" s="30"/>
      <c r="R43" s="30"/>
      <c r="S43" s="30" t="s">
        <v>103</v>
      </c>
      <c r="T43" s="30"/>
      <c r="U43" s="30"/>
      <c r="V43" s="30"/>
      <c r="W43" s="30" t="s">
        <v>103</v>
      </c>
      <c r="X43" s="30"/>
      <c r="Y43" s="30"/>
      <c r="Z43" s="30"/>
      <c r="AA43" s="30"/>
      <c r="AB43" s="30"/>
      <c r="AC43" s="30"/>
      <c r="AD43" s="30"/>
      <c r="AE43" s="30"/>
    </row>
    <row r="44" spans="1:31" ht="123" customHeight="1" x14ac:dyDescent="0.25">
      <c r="A44" s="130"/>
      <c r="B44" s="32" t="s">
        <v>80</v>
      </c>
      <c r="C44" s="32" t="s">
        <v>80</v>
      </c>
      <c r="D44" s="30" t="s">
        <v>304</v>
      </c>
      <c r="E44" s="28" t="s">
        <v>90</v>
      </c>
      <c r="F44" s="28" t="s">
        <v>150</v>
      </c>
      <c r="G44" s="37" t="s">
        <v>193</v>
      </c>
      <c r="H44" s="29" t="s">
        <v>363</v>
      </c>
      <c r="I44" s="30" t="s">
        <v>62</v>
      </c>
      <c r="J44" s="30"/>
      <c r="K44" s="30"/>
      <c r="L44" s="30"/>
      <c r="M44" s="30"/>
      <c r="N44" s="30"/>
      <c r="O44" s="30"/>
      <c r="P44" s="30"/>
      <c r="Q44" s="30"/>
      <c r="R44" s="30"/>
      <c r="S44" s="30" t="s">
        <v>103</v>
      </c>
      <c r="T44" s="30"/>
      <c r="U44" s="30"/>
      <c r="V44" s="30"/>
      <c r="W44" s="30" t="s">
        <v>103</v>
      </c>
      <c r="X44" s="30"/>
      <c r="Y44" s="30"/>
      <c r="Z44" s="30"/>
      <c r="AA44" s="30"/>
      <c r="AB44" s="30"/>
      <c r="AC44" s="30"/>
      <c r="AD44" s="30"/>
      <c r="AE44" s="30"/>
    </row>
    <row r="45" spans="1:31" ht="137.25" customHeight="1" x14ac:dyDescent="0.25">
      <c r="A45" s="130"/>
      <c r="B45" s="32" t="s">
        <v>81</v>
      </c>
      <c r="C45" s="32" t="s">
        <v>81</v>
      </c>
      <c r="D45" s="30" t="s">
        <v>305</v>
      </c>
      <c r="E45" s="28" t="s">
        <v>91</v>
      </c>
      <c r="F45" s="28" t="s">
        <v>150</v>
      </c>
      <c r="G45" s="37" t="s">
        <v>193</v>
      </c>
      <c r="H45" s="29" t="s">
        <v>363</v>
      </c>
      <c r="I45" s="30" t="s">
        <v>62</v>
      </c>
      <c r="J45" s="30"/>
      <c r="K45" s="30"/>
      <c r="L45" s="30"/>
      <c r="M45" s="30"/>
      <c r="N45" s="30"/>
      <c r="O45" s="30"/>
      <c r="P45" s="30"/>
      <c r="Q45" s="30"/>
      <c r="R45" s="30"/>
      <c r="S45" s="30" t="s">
        <v>103</v>
      </c>
      <c r="T45" s="30"/>
      <c r="U45" s="30"/>
      <c r="V45" s="30"/>
      <c r="W45" s="30" t="s">
        <v>103</v>
      </c>
      <c r="X45" s="30"/>
      <c r="Y45" s="30"/>
      <c r="Z45" s="30"/>
      <c r="AA45" s="30"/>
      <c r="AB45" s="30"/>
      <c r="AC45" s="30"/>
      <c r="AD45" s="30"/>
      <c r="AE45" s="30"/>
    </row>
    <row r="46" spans="1:31" s="63" customFormat="1" ht="148.15" customHeight="1" x14ac:dyDescent="0.25">
      <c r="A46" s="130"/>
      <c r="B46" s="32" t="s">
        <v>78</v>
      </c>
      <c r="C46" s="32" t="s">
        <v>78</v>
      </c>
      <c r="D46" s="30" t="s">
        <v>306</v>
      </c>
      <c r="E46" s="32" t="s">
        <v>97</v>
      </c>
      <c r="F46" s="28" t="s">
        <v>150</v>
      </c>
      <c r="G46" s="37" t="s">
        <v>193</v>
      </c>
      <c r="H46" s="29" t="s">
        <v>363</v>
      </c>
      <c r="I46" s="30" t="s">
        <v>62</v>
      </c>
      <c r="J46" s="30"/>
      <c r="K46" s="30"/>
      <c r="L46" s="30"/>
      <c r="M46" s="30"/>
      <c r="N46" s="30"/>
      <c r="O46" s="30"/>
      <c r="P46" s="30"/>
      <c r="Q46" s="30"/>
      <c r="R46" s="30"/>
      <c r="S46" s="30" t="s">
        <v>103</v>
      </c>
      <c r="T46" s="30"/>
      <c r="U46" s="30"/>
      <c r="V46" s="30"/>
      <c r="W46" s="30" t="s">
        <v>103</v>
      </c>
      <c r="X46" s="30"/>
      <c r="Y46" s="59"/>
      <c r="Z46" s="59"/>
      <c r="AA46" s="59"/>
      <c r="AB46" s="59"/>
      <c r="AC46" s="59"/>
      <c r="AD46" s="59"/>
      <c r="AE46" s="59"/>
    </row>
    <row r="47" spans="1:31" s="63" customFormat="1" ht="207" hidden="1" customHeight="1" x14ac:dyDescent="0.25">
      <c r="A47" s="66"/>
      <c r="B47" s="71" t="s">
        <v>160</v>
      </c>
      <c r="C47" s="71" t="str">
        <f>B47</f>
        <v>Thiết bị đo nhiệt độ</v>
      </c>
      <c r="D47" s="30" t="s">
        <v>307</v>
      </c>
      <c r="E47" s="71" t="s">
        <v>163</v>
      </c>
      <c r="F47" s="71" t="s">
        <v>181</v>
      </c>
      <c r="G47" s="37" t="s">
        <v>193</v>
      </c>
      <c r="H47" s="67"/>
      <c r="I47" s="59"/>
      <c r="J47" s="59"/>
      <c r="K47" s="59"/>
      <c r="L47" s="59"/>
      <c r="M47" s="59"/>
      <c r="N47" s="59"/>
      <c r="O47" s="30"/>
      <c r="P47" s="30"/>
      <c r="Q47" s="30"/>
      <c r="R47" s="30"/>
      <c r="S47" s="30"/>
      <c r="T47" s="30"/>
      <c r="U47" s="59" t="s">
        <v>103</v>
      </c>
      <c r="V47" s="59" t="s">
        <v>103</v>
      </c>
      <c r="W47" s="59"/>
      <c r="X47" s="59"/>
      <c r="Y47" s="59"/>
      <c r="Z47" s="59"/>
      <c r="AA47" s="59"/>
      <c r="AB47" s="59"/>
      <c r="AC47" s="59"/>
      <c r="AD47" s="59"/>
      <c r="AE47" s="59"/>
    </row>
    <row r="48" spans="1:31" s="63" customFormat="1" ht="205.15" hidden="1" customHeight="1" x14ac:dyDescent="0.25">
      <c r="A48" s="66"/>
      <c r="B48" s="71" t="s">
        <v>159</v>
      </c>
      <c r="C48" s="71" t="str">
        <f>B48</f>
        <v>Thiết bị đo áp suất</v>
      </c>
      <c r="D48" s="30" t="s">
        <v>308</v>
      </c>
      <c r="E48" s="71" t="s">
        <v>162</v>
      </c>
      <c r="F48" s="71" t="s">
        <v>178</v>
      </c>
      <c r="G48" s="37" t="s">
        <v>193</v>
      </c>
      <c r="H48" s="67"/>
      <c r="I48" s="59"/>
      <c r="J48" s="59"/>
      <c r="K48" s="59"/>
      <c r="L48" s="59"/>
      <c r="M48" s="59"/>
      <c r="N48" s="59"/>
      <c r="O48" s="30"/>
      <c r="P48" s="30"/>
      <c r="Q48" s="30"/>
      <c r="R48" s="30"/>
      <c r="S48" s="30"/>
      <c r="T48" s="30"/>
      <c r="U48" s="59" t="s">
        <v>103</v>
      </c>
      <c r="V48" s="59" t="s">
        <v>103</v>
      </c>
      <c r="W48" s="59"/>
      <c r="X48" s="59"/>
      <c r="Y48" s="59"/>
      <c r="Z48" s="59"/>
      <c r="AA48" s="59"/>
      <c r="AB48" s="59"/>
      <c r="AC48" s="59"/>
      <c r="AD48" s="59"/>
      <c r="AE48" s="59"/>
    </row>
    <row r="49" spans="1:31" s="63" customFormat="1" ht="211.15" hidden="1" customHeight="1" x14ac:dyDescent="0.25">
      <c r="A49" s="66"/>
      <c r="B49" s="71" t="s">
        <v>230</v>
      </c>
      <c r="C49" s="71" t="str">
        <f t="shared" ref="C49:C57" si="2">B49</f>
        <v>Thiết bị đo mức theo nguyên lý chênh áp</v>
      </c>
      <c r="D49" s="30" t="s">
        <v>309</v>
      </c>
      <c r="E49" s="71" t="s">
        <v>240</v>
      </c>
      <c r="F49" s="71" t="s">
        <v>179</v>
      </c>
      <c r="G49" s="37" t="s">
        <v>193</v>
      </c>
      <c r="H49" s="67"/>
      <c r="I49" s="59"/>
      <c r="J49" s="59"/>
      <c r="K49" s="59"/>
      <c r="L49" s="59"/>
      <c r="M49" s="59"/>
      <c r="N49" s="59"/>
      <c r="O49" s="30"/>
      <c r="P49" s="30"/>
      <c r="Q49" s="30"/>
      <c r="R49" s="30"/>
      <c r="S49" s="30"/>
      <c r="T49" s="30"/>
      <c r="U49" s="59" t="s">
        <v>103</v>
      </c>
      <c r="V49" s="59" t="s">
        <v>103</v>
      </c>
      <c r="W49" s="59"/>
      <c r="X49" s="59"/>
      <c r="Y49" s="59"/>
      <c r="Z49" s="59"/>
      <c r="AA49" s="59"/>
      <c r="AB49" s="59"/>
      <c r="AC49" s="59"/>
      <c r="AD49" s="59"/>
      <c r="AE49" s="59"/>
    </row>
    <row r="50" spans="1:31" s="63" customFormat="1" ht="233.25" hidden="1" customHeight="1" x14ac:dyDescent="0.25">
      <c r="A50" s="66"/>
      <c r="B50" s="71" t="s">
        <v>231</v>
      </c>
      <c r="C50" s="71" t="str">
        <f t="shared" si="2"/>
        <v>Thiết bị đo lưu lượng theo nguyên lý chênh áp</v>
      </c>
      <c r="D50" s="30" t="s">
        <v>310</v>
      </c>
      <c r="E50" s="71" t="s">
        <v>241</v>
      </c>
      <c r="F50" s="71" t="s">
        <v>180</v>
      </c>
      <c r="G50" s="37" t="s">
        <v>193</v>
      </c>
      <c r="H50" s="67"/>
      <c r="I50" s="59"/>
      <c r="J50" s="59"/>
      <c r="K50" s="59"/>
      <c r="L50" s="59"/>
      <c r="M50" s="59"/>
      <c r="N50" s="59"/>
      <c r="O50" s="30"/>
      <c r="P50" s="30"/>
      <c r="Q50" s="30"/>
      <c r="R50" s="30"/>
      <c r="S50" s="30"/>
      <c r="T50" s="30"/>
      <c r="U50" s="59" t="s">
        <v>103</v>
      </c>
      <c r="V50" s="59" t="s">
        <v>103</v>
      </c>
      <c r="W50" s="59"/>
      <c r="X50" s="59"/>
      <c r="Y50" s="59"/>
      <c r="Z50" s="59"/>
      <c r="AA50" s="59"/>
      <c r="AB50" s="59"/>
      <c r="AC50" s="59"/>
      <c r="AD50" s="59"/>
      <c r="AE50" s="59"/>
    </row>
    <row r="51" spans="1:31" s="63" customFormat="1" ht="234.75" hidden="1" customHeight="1" x14ac:dyDescent="0.25">
      <c r="A51" s="66"/>
      <c r="B51" s="71" t="s">
        <v>161</v>
      </c>
      <c r="C51" s="71" t="str">
        <f t="shared" si="2"/>
        <v>Thiết bị đo giám sát máy động</v>
      </c>
      <c r="D51" s="30" t="s">
        <v>311</v>
      </c>
      <c r="E51" s="71" t="s">
        <v>164</v>
      </c>
      <c r="F51" s="71" t="s">
        <v>232</v>
      </c>
      <c r="G51" s="37" t="s">
        <v>193</v>
      </c>
      <c r="H51" s="67"/>
      <c r="I51" s="59"/>
      <c r="J51" s="59"/>
      <c r="K51" s="59"/>
      <c r="L51" s="59"/>
      <c r="M51" s="59"/>
      <c r="N51" s="59"/>
      <c r="O51" s="30"/>
      <c r="P51" s="30"/>
      <c r="Q51" s="30"/>
      <c r="R51" s="30"/>
      <c r="S51" s="30"/>
      <c r="T51" s="30"/>
      <c r="U51" s="59" t="s">
        <v>103</v>
      </c>
      <c r="V51" s="59" t="s">
        <v>103</v>
      </c>
      <c r="W51" s="59"/>
      <c r="X51" s="59"/>
      <c r="Y51" s="59"/>
      <c r="Z51" s="59"/>
      <c r="AA51" s="59"/>
      <c r="AB51" s="59"/>
      <c r="AC51" s="59"/>
      <c r="AD51" s="59"/>
      <c r="AE51" s="59"/>
    </row>
    <row r="52" spans="1:31" s="63" customFormat="1" ht="211.9" hidden="1" customHeight="1" x14ac:dyDescent="0.25">
      <c r="A52" s="66"/>
      <c r="B52" s="71" t="s">
        <v>236</v>
      </c>
      <c r="C52" s="71" t="str">
        <f t="shared" si="2"/>
        <v>Van điều khiển với cơ cấu chấp hành khí nén  (Pneumatic actuator)</v>
      </c>
      <c r="D52" s="30" t="s">
        <v>312</v>
      </c>
      <c r="E52" s="71" t="s">
        <v>248</v>
      </c>
      <c r="F52" s="71" t="s">
        <v>249</v>
      </c>
      <c r="G52" s="37" t="s">
        <v>193</v>
      </c>
      <c r="H52" s="67"/>
      <c r="I52" s="59"/>
      <c r="J52" s="59"/>
      <c r="K52" s="59"/>
      <c r="L52" s="59"/>
      <c r="M52" s="59"/>
      <c r="N52" s="59"/>
      <c r="O52" s="30"/>
      <c r="P52" s="30"/>
      <c r="Q52" s="30"/>
      <c r="R52" s="30"/>
      <c r="S52" s="30"/>
      <c r="T52" s="30"/>
      <c r="U52" s="59" t="s">
        <v>103</v>
      </c>
      <c r="V52" s="59"/>
      <c r="W52" s="59"/>
      <c r="X52" s="59" t="s">
        <v>103</v>
      </c>
      <c r="Y52" s="59"/>
      <c r="Z52" s="59"/>
      <c r="AA52" s="59"/>
      <c r="AB52" s="59"/>
      <c r="AC52" s="59"/>
      <c r="AD52" s="59"/>
      <c r="AE52" s="59"/>
    </row>
    <row r="53" spans="1:31" s="63" customFormat="1" ht="157.15" hidden="1" customHeight="1" x14ac:dyDescent="0.25">
      <c r="A53" s="66"/>
      <c r="B53" s="71" t="s">
        <v>170</v>
      </c>
      <c r="C53" s="71" t="str">
        <f t="shared" si="2"/>
        <v>Thiết bị phân tích, quan trắc môi trường</v>
      </c>
      <c r="D53" s="30" t="s">
        <v>313</v>
      </c>
      <c r="E53" s="71" t="s">
        <v>171</v>
      </c>
      <c r="F53" s="71" t="s">
        <v>177</v>
      </c>
      <c r="G53" s="37" t="s">
        <v>193</v>
      </c>
      <c r="H53" s="67"/>
      <c r="I53" s="59"/>
      <c r="J53" s="59"/>
      <c r="K53" s="59"/>
      <c r="L53" s="59"/>
      <c r="M53" s="59"/>
      <c r="N53" s="59"/>
      <c r="O53" s="30"/>
      <c r="P53" s="30"/>
      <c r="Q53" s="30"/>
      <c r="R53" s="30"/>
      <c r="S53" s="30"/>
      <c r="T53" s="30"/>
      <c r="U53" s="59" t="s">
        <v>103</v>
      </c>
      <c r="V53" s="59"/>
      <c r="W53" s="59"/>
      <c r="X53" s="59" t="s">
        <v>103</v>
      </c>
      <c r="Y53" s="59"/>
      <c r="Z53" s="59"/>
      <c r="AA53" s="59"/>
      <c r="AB53" s="59"/>
      <c r="AC53" s="59"/>
      <c r="AD53" s="59"/>
      <c r="AE53" s="59"/>
    </row>
    <row r="54" spans="1:31" s="63" customFormat="1" ht="169.9" hidden="1" customHeight="1" x14ac:dyDescent="0.25">
      <c r="A54" s="66"/>
      <c r="B54" s="71" t="s">
        <v>166</v>
      </c>
      <c r="C54" s="71" t="str">
        <f t="shared" si="2"/>
        <v>Thiết bị dò khí cháy nổ và khí độc</v>
      </c>
      <c r="D54" s="30" t="s">
        <v>314</v>
      </c>
      <c r="E54" s="71" t="s">
        <v>165</v>
      </c>
      <c r="F54" s="71" t="s">
        <v>173</v>
      </c>
      <c r="G54" s="37" t="s">
        <v>193</v>
      </c>
      <c r="H54" s="67"/>
      <c r="I54" s="59"/>
      <c r="J54" s="59"/>
      <c r="K54" s="59"/>
      <c r="L54" s="59"/>
      <c r="M54" s="59"/>
      <c r="N54" s="59"/>
      <c r="O54" s="30"/>
      <c r="P54" s="30"/>
      <c r="Q54" s="30"/>
      <c r="R54" s="30"/>
      <c r="S54" s="30"/>
      <c r="T54" s="30"/>
      <c r="U54" s="59" t="s">
        <v>103</v>
      </c>
      <c r="V54" s="59"/>
      <c r="W54" s="59"/>
      <c r="X54" s="59" t="s">
        <v>103</v>
      </c>
      <c r="Y54" s="59"/>
      <c r="Z54" s="59"/>
      <c r="AA54" s="59"/>
      <c r="AB54" s="59"/>
      <c r="AC54" s="59"/>
      <c r="AD54" s="59"/>
      <c r="AE54" s="59"/>
    </row>
    <row r="55" spans="1:31" s="63" customFormat="1" ht="171" hidden="1" customHeight="1" x14ac:dyDescent="0.25">
      <c r="A55" s="66"/>
      <c r="B55" s="71" t="s">
        <v>167</v>
      </c>
      <c r="C55" s="71" t="str">
        <f t="shared" si="2"/>
        <v>Thiết bị đóng bao</v>
      </c>
      <c r="D55" s="30" t="s">
        <v>315</v>
      </c>
      <c r="E55" s="71" t="s">
        <v>172</v>
      </c>
      <c r="F55" s="71" t="s">
        <v>175</v>
      </c>
      <c r="G55" s="37" t="s">
        <v>193</v>
      </c>
      <c r="H55" s="67"/>
      <c r="I55" s="59"/>
      <c r="J55" s="59"/>
      <c r="K55" s="59"/>
      <c r="L55" s="59"/>
      <c r="M55" s="59"/>
      <c r="N55" s="59"/>
      <c r="O55" s="30"/>
      <c r="P55" s="30"/>
      <c r="Q55" s="30"/>
      <c r="R55" s="30"/>
      <c r="S55" s="30"/>
      <c r="T55" s="30"/>
      <c r="U55" s="59" t="s">
        <v>103</v>
      </c>
      <c r="V55" s="59"/>
      <c r="W55" s="59"/>
      <c r="X55" s="59" t="s">
        <v>103</v>
      </c>
      <c r="Y55" s="59"/>
      <c r="Z55" s="59"/>
      <c r="AA55" s="59"/>
      <c r="AB55" s="59"/>
      <c r="AC55" s="59"/>
      <c r="AD55" s="59"/>
      <c r="AE55" s="59"/>
    </row>
    <row r="56" spans="1:31" ht="180.6" hidden="1" customHeight="1" x14ac:dyDescent="0.25">
      <c r="A56" s="140"/>
      <c r="B56" s="71" t="s">
        <v>168</v>
      </c>
      <c r="C56" s="71" t="str">
        <f t="shared" si="2"/>
        <v>Thiết bị vận chuyển, xuất hàng, lưu  kho, nhập liệu</v>
      </c>
      <c r="D56" s="30" t="s">
        <v>316</v>
      </c>
      <c r="E56" s="71" t="s">
        <v>169</v>
      </c>
      <c r="F56" s="71" t="s">
        <v>174</v>
      </c>
      <c r="G56" s="37" t="s">
        <v>193</v>
      </c>
      <c r="H56" s="67"/>
      <c r="I56" s="59"/>
      <c r="J56" s="59"/>
      <c r="K56" s="59"/>
      <c r="L56" s="59"/>
      <c r="M56" s="59"/>
      <c r="N56" s="59"/>
      <c r="O56" s="30"/>
      <c r="P56" s="30"/>
      <c r="Q56" s="30"/>
      <c r="R56" s="30"/>
      <c r="S56" s="30"/>
      <c r="T56" s="30"/>
      <c r="U56" s="59" t="s">
        <v>103</v>
      </c>
      <c r="V56" s="59"/>
      <c r="W56" s="59"/>
      <c r="X56" s="59" t="s">
        <v>103</v>
      </c>
      <c r="Y56" s="30"/>
      <c r="Z56" s="30"/>
      <c r="AA56" s="30"/>
      <c r="AB56" s="30"/>
      <c r="AC56" s="30"/>
      <c r="AD56" s="30"/>
      <c r="AE56" s="30"/>
    </row>
    <row r="57" spans="1:31" ht="145.9" customHeight="1" x14ac:dyDescent="0.25">
      <c r="A57" s="140"/>
      <c r="B57" s="71" t="s">
        <v>329</v>
      </c>
      <c r="C57" s="71" t="str">
        <f t="shared" si="2"/>
        <v>Quy trình làm việc nâng cao</v>
      </c>
      <c r="D57" s="30" t="s">
        <v>317</v>
      </c>
      <c r="E57" s="71" t="s">
        <v>330</v>
      </c>
      <c r="F57" s="70" t="s">
        <v>358</v>
      </c>
      <c r="G57" s="37" t="s">
        <v>193</v>
      </c>
      <c r="H57" s="67"/>
      <c r="I57" s="59"/>
      <c r="J57" s="59"/>
      <c r="K57" s="59"/>
      <c r="L57" s="59"/>
      <c r="M57" s="59"/>
      <c r="N57" s="59"/>
      <c r="O57" s="30"/>
      <c r="P57" s="30"/>
      <c r="Q57" s="30"/>
      <c r="R57" s="30"/>
      <c r="S57" s="30" t="s">
        <v>103</v>
      </c>
      <c r="T57" s="30"/>
      <c r="U57" s="59"/>
      <c r="V57" s="59"/>
      <c r="W57" s="59"/>
      <c r="X57" s="59"/>
      <c r="Y57" s="30"/>
      <c r="Z57" s="30"/>
      <c r="AA57" s="30"/>
      <c r="AB57" s="30"/>
      <c r="AC57" s="30"/>
      <c r="AD57" s="30"/>
      <c r="AE57" s="30"/>
    </row>
    <row r="58" spans="1:31" ht="146.44999999999999" customHeight="1" x14ac:dyDescent="0.25">
      <c r="A58" s="140"/>
      <c r="B58" s="28" t="s">
        <v>195</v>
      </c>
      <c r="C58" s="28" t="s">
        <v>195</v>
      </c>
      <c r="D58" s="30" t="s">
        <v>318</v>
      </c>
      <c r="E58" s="28" t="s">
        <v>194</v>
      </c>
      <c r="F58" s="29" t="s">
        <v>197</v>
      </c>
      <c r="G58" s="37" t="s">
        <v>193</v>
      </c>
      <c r="H58" s="29" t="s">
        <v>363</v>
      </c>
      <c r="I58" s="30" t="s">
        <v>62</v>
      </c>
      <c r="J58" s="30"/>
      <c r="K58" s="30"/>
      <c r="L58" s="30"/>
      <c r="M58" s="30"/>
      <c r="N58" s="30"/>
      <c r="O58" s="30"/>
      <c r="P58" s="30"/>
      <c r="Q58" s="30"/>
      <c r="R58" s="30"/>
      <c r="S58" s="30" t="s">
        <v>103</v>
      </c>
      <c r="T58" s="30"/>
      <c r="U58" s="30"/>
      <c r="V58" s="30"/>
      <c r="W58" s="30" t="s">
        <v>103</v>
      </c>
      <c r="X58" s="30"/>
      <c r="Y58" s="30"/>
      <c r="Z58" s="30"/>
      <c r="AA58" s="30"/>
      <c r="AB58" s="30"/>
      <c r="AC58" s="30"/>
      <c r="AD58" s="30"/>
      <c r="AE58" s="30"/>
    </row>
    <row r="59" spans="1:31" ht="144.6" customHeight="1" x14ac:dyDescent="0.25">
      <c r="A59" s="140"/>
      <c r="B59" s="26" t="s">
        <v>191</v>
      </c>
      <c r="C59" s="26" t="s">
        <v>191</v>
      </c>
      <c r="D59" s="30" t="s">
        <v>319</v>
      </c>
      <c r="E59" s="76" t="s">
        <v>192</v>
      </c>
      <c r="F59" s="77" t="s">
        <v>327</v>
      </c>
      <c r="G59" s="37" t="s">
        <v>193</v>
      </c>
      <c r="H59" s="29" t="s">
        <v>363</v>
      </c>
      <c r="I59" s="30"/>
      <c r="J59" s="30"/>
      <c r="K59" s="30"/>
      <c r="L59" s="30"/>
      <c r="M59" s="30"/>
      <c r="N59" s="30"/>
      <c r="O59" s="30"/>
      <c r="P59" s="30"/>
      <c r="Q59" s="30"/>
      <c r="R59" s="30"/>
      <c r="S59" s="30" t="s">
        <v>103</v>
      </c>
      <c r="T59" s="30"/>
      <c r="U59" s="30"/>
      <c r="V59" s="30"/>
      <c r="W59" s="30" t="s">
        <v>103</v>
      </c>
      <c r="X59" s="30"/>
      <c r="Y59" s="30"/>
      <c r="Z59" s="30"/>
      <c r="AA59" s="30"/>
      <c r="AB59" s="30"/>
      <c r="AC59" s="30"/>
      <c r="AD59" s="30"/>
      <c r="AE59" s="30"/>
    </row>
    <row r="60" spans="1:31" ht="140.44999999999999" customHeight="1" x14ac:dyDescent="0.25">
      <c r="A60" s="140"/>
      <c r="B60" s="26" t="s">
        <v>199</v>
      </c>
      <c r="C60" s="78" t="s">
        <v>200</v>
      </c>
      <c r="D60" s="30" t="s">
        <v>320</v>
      </c>
      <c r="E60" s="78" t="s">
        <v>200</v>
      </c>
      <c r="F60" s="79" t="s">
        <v>328</v>
      </c>
      <c r="G60" s="37" t="s">
        <v>193</v>
      </c>
      <c r="H60" s="29" t="s">
        <v>363</v>
      </c>
      <c r="I60" s="30"/>
      <c r="J60" s="30"/>
      <c r="K60" s="30"/>
      <c r="L60" s="30"/>
      <c r="M60" s="30"/>
      <c r="N60" s="30"/>
      <c r="O60" s="30"/>
      <c r="P60" s="30"/>
      <c r="Q60" s="30"/>
      <c r="R60" s="30"/>
      <c r="S60" s="30" t="s">
        <v>103</v>
      </c>
      <c r="T60" s="30"/>
      <c r="U60" s="30"/>
      <c r="V60" s="30"/>
      <c r="W60" s="30" t="s">
        <v>103</v>
      </c>
      <c r="X60" s="30"/>
      <c r="Y60" s="30"/>
      <c r="Z60" s="30"/>
      <c r="AA60" s="30"/>
      <c r="AB60" s="30"/>
      <c r="AC60" s="30"/>
      <c r="AD60" s="30"/>
      <c r="AE60" s="30"/>
    </row>
    <row r="61" spans="1:31" ht="151.15" hidden="1" customHeight="1" x14ac:dyDescent="0.25">
      <c r="A61" s="140"/>
      <c r="B61" s="110" t="s">
        <v>233</v>
      </c>
      <c r="C61" s="111" t="str">
        <f>B61</f>
        <v>Thiết bị đo mức không theo nguyên lý chênh áp</v>
      </c>
      <c r="D61" s="30" t="s">
        <v>321</v>
      </c>
      <c r="E61" s="111" t="s">
        <v>242</v>
      </c>
      <c r="F61" s="71" t="s">
        <v>251</v>
      </c>
      <c r="G61" s="69" t="s">
        <v>193</v>
      </c>
      <c r="H61" s="33"/>
      <c r="I61" s="30"/>
      <c r="J61" s="30"/>
      <c r="K61" s="30"/>
      <c r="L61" s="30"/>
      <c r="M61" s="30"/>
      <c r="N61" s="30"/>
      <c r="O61" s="30"/>
      <c r="P61" s="30"/>
      <c r="Q61" s="30"/>
      <c r="R61" s="30"/>
      <c r="S61" s="30"/>
      <c r="T61" s="30"/>
      <c r="U61" s="30" t="s">
        <v>103</v>
      </c>
      <c r="V61" s="30" t="s">
        <v>103</v>
      </c>
      <c r="W61" s="30"/>
      <c r="X61" s="30"/>
      <c r="Y61" s="30"/>
      <c r="Z61" s="30"/>
      <c r="AA61" s="30"/>
      <c r="AB61" s="30"/>
      <c r="AC61" s="30"/>
      <c r="AD61" s="30"/>
      <c r="AE61" s="30"/>
    </row>
    <row r="62" spans="1:31" ht="145.9" hidden="1" customHeight="1" x14ac:dyDescent="0.25">
      <c r="A62" s="140"/>
      <c r="B62" s="110" t="s">
        <v>234</v>
      </c>
      <c r="C62" s="111" t="str">
        <f>B62</f>
        <v>Thiết bị đo lưu lượng  không theo nguyên lý chênh áp</v>
      </c>
      <c r="D62" s="30" t="s">
        <v>323</v>
      </c>
      <c r="E62" s="111" t="s">
        <v>243</v>
      </c>
      <c r="F62" s="71" t="s">
        <v>252</v>
      </c>
      <c r="G62" s="69" t="s">
        <v>193</v>
      </c>
      <c r="H62" s="33"/>
      <c r="I62" s="30"/>
      <c r="J62" s="30"/>
      <c r="K62" s="30"/>
      <c r="L62" s="30"/>
      <c r="M62" s="30"/>
      <c r="N62" s="30"/>
      <c r="O62" s="30"/>
      <c r="P62" s="30"/>
      <c r="Q62" s="30"/>
      <c r="R62" s="30"/>
      <c r="S62" s="30"/>
      <c r="T62" s="30"/>
      <c r="U62" s="30" t="s">
        <v>103</v>
      </c>
      <c r="V62" s="30" t="s">
        <v>103</v>
      </c>
      <c r="W62" s="30"/>
      <c r="X62" s="30"/>
      <c r="Y62" s="30"/>
      <c r="Z62" s="30"/>
      <c r="AA62" s="30"/>
      <c r="AB62" s="30"/>
      <c r="AC62" s="30"/>
      <c r="AD62" s="30"/>
      <c r="AE62" s="30"/>
    </row>
    <row r="63" spans="1:31" ht="141.75" hidden="1" customHeight="1" x14ac:dyDescent="0.25">
      <c r="A63" s="140"/>
      <c r="B63" s="68" t="s">
        <v>201</v>
      </c>
      <c r="C63" s="71" t="s">
        <v>202</v>
      </c>
      <c r="D63" s="30" t="s">
        <v>325</v>
      </c>
      <c r="E63" s="71" t="s">
        <v>202</v>
      </c>
      <c r="F63" s="112" t="s">
        <v>204</v>
      </c>
      <c r="G63" s="69" t="s">
        <v>193</v>
      </c>
      <c r="H63" s="33"/>
      <c r="I63" s="30"/>
      <c r="J63" s="30"/>
      <c r="K63" s="30"/>
      <c r="L63" s="30"/>
      <c r="M63" s="30"/>
      <c r="N63" s="30"/>
      <c r="O63" s="30"/>
      <c r="P63" s="30"/>
      <c r="Q63" s="30"/>
      <c r="R63" s="30"/>
      <c r="S63" s="30"/>
      <c r="T63" s="30"/>
      <c r="U63" s="30" t="s">
        <v>103</v>
      </c>
      <c r="V63" s="30" t="s">
        <v>103</v>
      </c>
      <c r="W63" s="30"/>
      <c r="X63" s="30"/>
      <c r="Y63" s="30"/>
      <c r="Z63" s="30"/>
      <c r="AA63" s="30"/>
      <c r="AB63" s="30"/>
      <c r="AC63" s="30"/>
      <c r="AD63" s="30"/>
      <c r="AE63" s="30"/>
    </row>
    <row r="64" spans="1:31" s="63" customFormat="1" ht="149.44999999999999" hidden="1" customHeight="1" x14ac:dyDescent="0.25">
      <c r="A64" s="140"/>
      <c r="B64" s="71" t="s">
        <v>235</v>
      </c>
      <c r="C64" s="71" t="str">
        <f>B64</f>
        <v>Van điều khiển với cơ cấu chấp hành motor (MOV)</v>
      </c>
      <c r="D64" s="30" t="s">
        <v>334</v>
      </c>
      <c r="E64" s="71" t="s">
        <v>246</v>
      </c>
      <c r="F64" s="71" t="s">
        <v>176</v>
      </c>
      <c r="G64" s="69" t="s">
        <v>193</v>
      </c>
      <c r="H64" s="67"/>
      <c r="I64" s="59"/>
      <c r="J64" s="59"/>
      <c r="K64" s="59"/>
      <c r="L64" s="59"/>
      <c r="M64" s="59"/>
      <c r="N64" s="59"/>
      <c r="O64" s="30"/>
      <c r="P64" s="30"/>
      <c r="Q64" s="30"/>
      <c r="R64" s="30"/>
      <c r="S64" s="30"/>
      <c r="T64" s="30"/>
      <c r="U64" s="59" t="s">
        <v>103</v>
      </c>
      <c r="V64" s="59"/>
      <c r="W64" s="59"/>
      <c r="X64" s="59" t="s">
        <v>103</v>
      </c>
      <c r="Y64" s="59"/>
      <c r="Z64" s="59"/>
      <c r="AA64" s="59"/>
      <c r="AB64" s="59"/>
      <c r="AC64" s="59"/>
      <c r="AD64" s="59"/>
      <c r="AE64" s="59"/>
    </row>
    <row r="65" spans="1:31" s="63" customFormat="1" ht="169.9" hidden="1" customHeight="1" x14ac:dyDescent="0.25">
      <c r="A65" s="140"/>
      <c r="B65" s="71" t="s">
        <v>237</v>
      </c>
      <c r="C65" s="71" t="str">
        <f>B65</f>
        <v xml:space="preserve">Van điều khiển với cơ cấu chấp hành thủy lực </v>
      </c>
      <c r="D65" s="30" t="s">
        <v>344</v>
      </c>
      <c r="E65" s="71" t="s">
        <v>247</v>
      </c>
      <c r="F65" s="71" t="s">
        <v>250</v>
      </c>
      <c r="G65" s="69" t="s">
        <v>193</v>
      </c>
      <c r="H65" s="67"/>
      <c r="I65" s="59"/>
      <c r="J65" s="59"/>
      <c r="K65" s="59"/>
      <c r="L65" s="59"/>
      <c r="M65" s="59"/>
      <c r="N65" s="59"/>
      <c r="O65" s="30"/>
      <c r="P65" s="30"/>
      <c r="Q65" s="30"/>
      <c r="R65" s="30"/>
      <c r="S65" s="30"/>
      <c r="T65" s="30"/>
      <c r="U65" s="59" t="s">
        <v>103</v>
      </c>
      <c r="V65" s="59"/>
      <c r="W65" s="59"/>
      <c r="X65" s="59" t="s">
        <v>103</v>
      </c>
      <c r="Y65" s="59"/>
      <c r="Z65" s="59"/>
      <c r="AA65" s="59"/>
      <c r="AB65" s="59"/>
      <c r="AC65" s="59"/>
      <c r="AD65" s="59"/>
      <c r="AE65" s="59"/>
    </row>
    <row r="66" spans="1:31" ht="151.9" hidden="1" customHeight="1" x14ac:dyDescent="0.25">
      <c r="A66" s="141"/>
      <c r="B66" s="68" t="s">
        <v>196</v>
      </c>
      <c r="C66" s="68" t="s">
        <v>203</v>
      </c>
      <c r="D66" s="30" t="s">
        <v>346</v>
      </c>
      <c r="E66" s="68" t="s">
        <v>203</v>
      </c>
      <c r="F66" s="112" t="s">
        <v>205</v>
      </c>
      <c r="G66" s="69" t="s">
        <v>193</v>
      </c>
      <c r="H66" s="29"/>
      <c r="I66" s="30"/>
      <c r="J66" s="30"/>
      <c r="K66" s="30"/>
      <c r="L66" s="30"/>
      <c r="M66" s="30"/>
      <c r="N66" s="30"/>
      <c r="O66" s="30"/>
      <c r="P66" s="30"/>
      <c r="Q66" s="30"/>
      <c r="R66" s="30"/>
      <c r="S66" s="30"/>
      <c r="T66" s="30"/>
      <c r="U66" s="30" t="s">
        <v>103</v>
      </c>
      <c r="V66" s="30"/>
      <c r="W66" s="30"/>
      <c r="X66" s="30" t="s">
        <v>103</v>
      </c>
      <c r="Y66" s="30"/>
      <c r="Z66" s="30"/>
      <c r="AA66" s="30"/>
      <c r="AB66" s="30"/>
      <c r="AC66" s="30"/>
      <c r="AD66" s="30"/>
      <c r="AE66" s="30"/>
    </row>
    <row r="67" spans="1:31" ht="83.25" customHeight="1" x14ac:dyDescent="0.25">
      <c r="A67" s="135" t="s">
        <v>66</v>
      </c>
      <c r="B67" s="28" t="s">
        <v>156</v>
      </c>
      <c r="C67" s="11" t="s">
        <v>156</v>
      </c>
      <c r="D67" s="30" t="s">
        <v>354</v>
      </c>
      <c r="E67" s="11" t="s">
        <v>156</v>
      </c>
      <c r="F67" s="28"/>
      <c r="G67" s="28"/>
      <c r="H67" s="28"/>
      <c r="I67" s="30"/>
      <c r="J67" s="30"/>
      <c r="K67" s="30"/>
      <c r="L67" s="30"/>
      <c r="M67" s="30"/>
      <c r="N67" s="30"/>
      <c r="O67" s="30"/>
      <c r="P67" s="30"/>
      <c r="Q67" s="30"/>
      <c r="R67" s="30"/>
      <c r="S67" s="30" t="s">
        <v>103</v>
      </c>
      <c r="T67" s="30"/>
      <c r="U67" s="30" t="s">
        <v>103</v>
      </c>
      <c r="V67" s="30" t="s">
        <v>103</v>
      </c>
      <c r="W67" s="30" t="s">
        <v>103</v>
      </c>
      <c r="X67" s="30" t="s">
        <v>103</v>
      </c>
      <c r="Y67" s="30"/>
      <c r="Z67" s="30"/>
      <c r="AA67" s="30"/>
      <c r="AB67" s="30"/>
      <c r="AC67" s="30"/>
      <c r="AD67" s="30"/>
      <c r="AE67" s="30"/>
    </row>
    <row r="68" spans="1:31" ht="83.25" customHeight="1" x14ac:dyDescent="0.25">
      <c r="A68" s="135"/>
      <c r="B68" s="28" t="s">
        <v>126</v>
      </c>
      <c r="C68" s="11" t="s">
        <v>126</v>
      </c>
      <c r="D68" s="30" t="s">
        <v>355</v>
      </c>
      <c r="E68" s="11" t="s">
        <v>126</v>
      </c>
      <c r="F68" s="28"/>
      <c r="G68" s="28"/>
      <c r="H68" s="28"/>
      <c r="I68" s="30"/>
      <c r="J68" s="30"/>
      <c r="K68" s="30"/>
      <c r="L68" s="30"/>
      <c r="M68" s="30"/>
      <c r="N68" s="30"/>
      <c r="O68" s="30"/>
      <c r="P68" s="30"/>
      <c r="Q68" s="30"/>
      <c r="R68" s="30"/>
      <c r="S68" s="30" t="s">
        <v>103</v>
      </c>
      <c r="T68" s="30"/>
      <c r="U68" s="30" t="s">
        <v>103</v>
      </c>
      <c r="V68" s="30" t="s">
        <v>103</v>
      </c>
      <c r="W68" s="30" t="s">
        <v>103</v>
      </c>
      <c r="X68" s="30" t="s">
        <v>103</v>
      </c>
      <c r="Y68" s="30"/>
      <c r="Z68" s="30"/>
      <c r="AA68" s="30"/>
      <c r="AB68" s="30"/>
      <c r="AC68" s="30"/>
      <c r="AD68" s="30"/>
      <c r="AE68" s="30"/>
    </row>
    <row r="69" spans="1:31" ht="81.75" customHeight="1" x14ac:dyDescent="0.25">
      <c r="A69" s="135"/>
      <c r="B69" s="28" t="s">
        <v>154</v>
      </c>
      <c r="C69" s="28" t="s">
        <v>154</v>
      </c>
      <c r="D69" s="30" t="s">
        <v>368</v>
      </c>
      <c r="E69" s="28" t="s">
        <v>130</v>
      </c>
      <c r="F69" s="28"/>
      <c r="G69" s="28"/>
      <c r="H69" s="28"/>
      <c r="I69" s="30"/>
      <c r="J69" s="30"/>
      <c r="K69" s="30"/>
      <c r="L69" s="30"/>
      <c r="M69" s="30"/>
      <c r="N69" s="30"/>
      <c r="O69" s="30"/>
      <c r="P69" s="30"/>
      <c r="Q69" s="30"/>
      <c r="R69" s="30"/>
      <c r="S69" s="30" t="s">
        <v>103</v>
      </c>
      <c r="T69" s="30"/>
      <c r="U69" s="30" t="s">
        <v>103</v>
      </c>
      <c r="V69" s="30" t="s">
        <v>103</v>
      </c>
      <c r="W69" s="30" t="s">
        <v>103</v>
      </c>
      <c r="X69" s="30" t="s">
        <v>103</v>
      </c>
      <c r="Y69" s="30"/>
      <c r="Z69" s="30"/>
      <c r="AA69" s="30"/>
      <c r="AB69" s="30"/>
      <c r="AC69" s="30"/>
      <c r="AD69" s="30"/>
      <c r="AE69" s="30"/>
    </row>
  </sheetData>
  <autoFilter ref="A3:AE69" xr:uid="{43ED98E7-C964-4FD6-ADBE-3234F8A3ACEA}">
    <filterColumn colId="18">
      <customFilters>
        <customFilter operator="notEqual" val=" "/>
      </customFilters>
    </filterColumn>
  </autoFilter>
  <mergeCells count="4">
    <mergeCell ref="A67:A69"/>
    <mergeCell ref="A1:N1"/>
    <mergeCell ref="I37:I38"/>
    <mergeCell ref="A56:A66"/>
  </mergeCells>
  <phoneticPr fontId="1" type="noConversion"/>
  <conditionalFormatting sqref="H2:I2 H40:I66">
    <cfRule type="cellIs" dxfId="104" priority="8" operator="equal">
      <formula>5</formula>
    </cfRule>
  </conditionalFormatting>
  <conditionalFormatting sqref="H4:I6 I7:I21 H7:H23 I23">
    <cfRule type="cellIs" dxfId="103" priority="4" operator="equal">
      <formula>5</formula>
    </cfRule>
  </conditionalFormatting>
  <conditionalFormatting sqref="H24:I36 H27:H39">
    <cfRule type="cellIs" dxfId="102" priority="1" operator="equal">
      <formula>5</formula>
    </cfRule>
  </conditionalFormatting>
  <conditionalFormatting sqref="O4:AE69">
    <cfRule type="containsText" dxfId="101" priority="2" operator="containsText" text="x">
      <formula>NOT(ISERROR(SEARCH("x",O4)))</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13E10-164C-4037-B831-8FB986F4E0FB}">
  <sheetPr>
    <tabColor rgb="FFFFFF00"/>
  </sheetPr>
  <dimension ref="A1:R50"/>
  <sheetViews>
    <sheetView tabSelected="1" zoomScale="70" zoomScaleNormal="85" workbookViewId="0">
      <pane xSplit="13" ySplit="4" topLeftCell="N6" activePane="bottomRight" state="frozen"/>
      <selection pane="topRight" activeCell="P1" sqref="P1"/>
      <selection pane="bottomLeft" activeCell="A5" sqref="A5"/>
      <selection pane="bottomRight" activeCell="G13" sqref="G13"/>
    </sheetView>
  </sheetViews>
  <sheetFormatPr defaultColWidth="8.77734375" defaultRowHeight="15.75" x14ac:dyDescent="0.25"/>
  <cols>
    <col min="1" max="1" width="11.21875" style="44" customWidth="1"/>
    <col min="2" max="2" width="52.109375" style="45" customWidth="1"/>
    <col min="3" max="3" width="5.77734375" style="39" customWidth="1"/>
    <col min="4" max="4" width="21.5546875" style="115" customWidth="1"/>
    <col min="5" max="5" width="64.44140625" style="45" customWidth="1"/>
    <col min="6" max="7" width="7.109375" style="39" customWidth="1"/>
    <col min="8" max="13" width="7.109375" style="39" hidden="1" customWidth="1"/>
    <col min="14" max="16384" width="8.77734375" style="39"/>
  </cols>
  <sheetData>
    <row r="1" spans="1:18" ht="20.25" customHeight="1" x14ac:dyDescent="0.25">
      <c r="A1" s="146" t="s">
        <v>107</v>
      </c>
      <c r="B1" s="146"/>
      <c r="C1" s="146"/>
      <c r="D1" s="146"/>
      <c r="E1" s="146"/>
      <c r="F1" s="146"/>
      <c r="G1" s="146"/>
      <c r="H1" s="146"/>
      <c r="I1" s="146"/>
      <c r="J1" s="146"/>
      <c r="K1" s="146"/>
      <c r="L1" s="146"/>
      <c r="M1" s="146"/>
    </row>
    <row r="2" spans="1:18" ht="27.75" customHeight="1" x14ac:dyDescent="0.25">
      <c r="A2" s="147" t="s">
        <v>261</v>
      </c>
      <c r="B2" s="147"/>
      <c r="C2" s="147"/>
      <c r="D2" s="147"/>
      <c r="E2" s="147"/>
      <c r="F2" s="147"/>
      <c r="G2" s="147"/>
      <c r="H2" s="147"/>
      <c r="I2" s="147"/>
      <c r="J2" s="147"/>
      <c r="K2" s="147"/>
      <c r="L2" s="147"/>
      <c r="M2" s="147"/>
    </row>
    <row r="3" spans="1:18" s="40" customFormat="1" ht="28.9" customHeight="1" x14ac:dyDescent="0.25">
      <c r="A3" s="148" t="s">
        <v>4</v>
      </c>
      <c r="B3" s="149" t="s">
        <v>52</v>
      </c>
      <c r="C3" s="150" t="s">
        <v>0</v>
      </c>
      <c r="D3" s="149" t="s">
        <v>108</v>
      </c>
      <c r="E3" s="151" t="s">
        <v>109</v>
      </c>
      <c r="F3" s="19" t="s">
        <v>110</v>
      </c>
      <c r="G3" s="19" t="s">
        <v>111</v>
      </c>
      <c r="H3" s="19" t="s">
        <v>112</v>
      </c>
      <c r="I3" s="19" t="s">
        <v>113</v>
      </c>
      <c r="J3" s="19" t="s">
        <v>114</v>
      </c>
      <c r="K3" s="19" t="s">
        <v>115</v>
      </c>
      <c r="L3" s="19" t="s">
        <v>116</v>
      </c>
      <c r="M3" s="19" t="s">
        <v>117</v>
      </c>
      <c r="N3" s="39"/>
      <c r="O3" s="39"/>
      <c r="P3" s="39"/>
      <c r="Q3" s="39"/>
      <c r="R3" s="39"/>
    </row>
    <row r="4" spans="1:18" s="40" customFormat="1" x14ac:dyDescent="0.25">
      <c r="A4" s="148"/>
      <c r="B4" s="149"/>
      <c r="C4" s="150"/>
      <c r="D4" s="149"/>
      <c r="E4" s="151"/>
      <c r="F4" s="41">
        <f t="shared" ref="F4:M4" si="0">SUM(F6:F55)</f>
        <v>51</v>
      </c>
      <c r="G4" s="41">
        <f t="shared" si="0"/>
        <v>108</v>
      </c>
      <c r="H4" s="41">
        <f t="shared" si="0"/>
        <v>130</v>
      </c>
      <c r="I4" s="41">
        <f t="shared" si="0"/>
        <v>136</v>
      </c>
      <c r="J4" s="41">
        <f t="shared" si="0"/>
        <v>136</v>
      </c>
      <c r="K4" s="41">
        <f t="shared" si="0"/>
        <v>145</v>
      </c>
      <c r="L4" s="41">
        <f t="shared" si="0"/>
        <v>161</v>
      </c>
      <c r="M4" s="41">
        <f t="shared" si="0"/>
        <v>178</v>
      </c>
      <c r="N4" s="39"/>
      <c r="O4" s="39"/>
      <c r="P4" s="39"/>
      <c r="Q4" s="39"/>
      <c r="R4" s="39"/>
    </row>
    <row r="5" spans="1:18" s="40" customFormat="1" hidden="1" x14ac:dyDescent="0.25">
      <c r="A5" s="99"/>
      <c r="B5" s="19"/>
      <c r="C5" s="97"/>
      <c r="D5" s="19"/>
      <c r="E5" s="80"/>
      <c r="F5" s="92">
        <v>1</v>
      </c>
      <c r="G5" s="92">
        <v>2</v>
      </c>
      <c r="H5" s="92">
        <v>3</v>
      </c>
      <c r="I5" s="92">
        <v>4</v>
      </c>
      <c r="J5" s="92">
        <v>5</v>
      </c>
      <c r="K5" s="92">
        <v>6</v>
      </c>
      <c r="L5" s="92">
        <v>7</v>
      </c>
      <c r="M5" s="92">
        <v>8</v>
      </c>
      <c r="N5" s="39"/>
      <c r="O5" s="39"/>
      <c r="P5" s="39"/>
      <c r="Q5" s="39"/>
      <c r="R5" s="39"/>
    </row>
    <row r="6" spans="1:18" s="43" customFormat="1" ht="33.6" customHeight="1" x14ac:dyDescent="0.25">
      <c r="A6" s="73" t="s">
        <v>58</v>
      </c>
      <c r="B6" s="38" t="str">
        <f>INDEX('Ma trận năng lực'!B:B, MATCH(D6, 'Ma trận năng lực'!D:D, 0))</f>
        <v>HSE cương vị</v>
      </c>
      <c r="C6" s="72">
        <f>ROW()-5</f>
        <v>1</v>
      </c>
      <c r="D6" s="30" t="str" cm="1">
        <f t="array" ref="D6:D50">_xlfn._xlws.FILTER('Ma trận năng lực'!D:D,'Ma trận năng lực'!S:S="x")</f>
        <v>ĐK_NLCM_001</v>
      </c>
      <c r="E6" s="28" t="str">
        <f>VLOOKUP(D6,'Ma trận năng lực'!D4:E69,2,1)</f>
        <v xml:space="preserve">Kiến thức về an toàn khi làm việc với các thiết bị đo lường tự động hóa </v>
      </c>
      <c r="F6" s="30">
        <v>1</v>
      </c>
      <c r="G6" s="30">
        <v>4</v>
      </c>
      <c r="H6" s="30">
        <v>4</v>
      </c>
      <c r="I6" s="30">
        <v>4</v>
      </c>
      <c r="J6" s="30">
        <v>4</v>
      </c>
      <c r="K6" s="30">
        <v>4</v>
      </c>
      <c r="L6" s="30">
        <v>5</v>
      </c>
      <c r="M6" s="30">
        <v>5</v>
      </c>
    </row>
    <row r="7" spans="1:18" s="43" customFormat="1" ht="33.6" customHeight="1" x14ac:dyDescent="0.25">
      <c r="A7" s="74"/>
      <c r="B7" s="38" t="str">
        <f>INDEX('Ma trận năng lực'!B:B, MATCH(D7, 'Ma trận năng lực'!D:D, 0))</f>
        <v>Quy trình làm việc</v>
      </c>
      <c r="C7" s="72">
        <f t="shared" ref="C7:C50" si="1">ROW()-5</f>
        <v>2</v>
      </c>
      <c r="D7" s="30" t="str">
        <v>ĐK_NLCM_002</v>
      </c>
      <c r="E7" s="28" t="str">
        <f>VLOOKUP(D7,'Ma trận năng lực'!D5:E70,2,1)</f>
        <v>Kiến thức về quy trình làm việc</v>
      </c>
      <c r="F7" s="30">
        <v>1</v>
      </c>
      <c r="G7" s="30">
        <v>4</v>
      </c>
      <c r="H7" s="30">
        <v>4</v>
      </c>
      <c r="I7" s="30">
        <v>4</v>
      </c>
      <c r="J7" s="30">
        <v>4</v>
      </c>
      <c r="K7" s="30">
        <v>4</v>
      </c>
      <c r="L7" s="30">
        <v>5</v>
      </c>
      <c r="M7" s="30">
        <v>5</v>
      </c>
    </row>
    <row r="8" spans="1:18" s="43" customFormat="1" ht="39" customHeight="1" x14ac:dyDescent="0.25">
      <c r="A8" s="74"/>
      <c r="B8" s="38" t="str">
        <f>INDEX('Ma trận năng lực'!B:B, MATCH(D8, 'Ma trận năng lực'!D:D, 0))</f>
        <v>Nhận diện mối nguy và đánh giá rủi ro</v>
      </c>
      <c r="C8" s="72">
        <f t="shared" si="1"/>
        <v>3</v>
      </c>
      <c r="D8" s="30" t="str">
        <v>ĐK_NLCM_003</v>
      </c>
      <c r="E8" s="28" t="str">
        <f>VLOOKUP(D8,'Ma trận năng lực'!D6:E71,2,1)</f>
        <v>Nhận diện mối nguy và đánh giá rủi ro</v>
      </c>
      <c r="F8" s="30">
        <v>1</v>
      </c>
      <c r="G8" s="30">
        <v>4</v>
      </c>
      <c r="H8" s="30">
        <v>2</v>
      </c>
      <c r="I8" s="30">
        <v>2</v>
      </c>
      <c r="J8" s="30">
        <v>2</v>
      </c>
      <c r="K8" s="30">
        <v>2</v>
      </c>
      <c r="L8" s="30">
        <v>2</v>
      </c>
      <c r="M8" s="30">
        <v>2</v>
      </c>
    </row>
    <row r="9" spans="1:18" s="43" customFormat="1" ht="37.5" customHeight="1" x14ac:dyDescent="0.25">
      <c r="A9" s="74"/>
      <c r="B9" s="38" t="str">
        <f>INDEX('Ma trận năng lực'!B:B, MATCH(D9, 'Ma trận năng lực'!D:D, 0))</f>
        <v>Nền tảng chuyên ngành đo lường điều khiển</v>
      </c>
      <c r="C9" s="72">
        <f t="shared" si="1"/>
        <v>4</v>
      </c>
      <c r="D9" s="30" t="str">
        <v>ĐK_NLCM_004</v>
      </c>
      <c r="E9" s="28" t="str">
        <f>VLOOKUP(D9,'Ma trận năng lực'!D7:E72,2,1)</f>
        <v>Kiến thức Điện - Điện tử cơ bản</v>
      </c>
      <c r="F9" s="30">
        <v>2</v>
      </c>
      <c r="G9" s="30">
        <v>2</v>
      </c>
      <c r="H9" s="30">
        <v>4</v>
      </c>
      <c r="I9" s="30">
        <v>4</v>
      </c>
      <c r="J9" s="30">
        <v>4</v>
      </c>
      <c r="K9" s="30">
        <v>4</v>
      </c>
      <c r="L9" s="30">
        <v>5</v>
      </c>
      <c r="M9" s="30">
        <v>5</v>
      </c>
    </row>
    <row r="10" spans="1:18" s="43" customFormat="1" ht="33.6" customHeight="1" x14ac:dyDescent="0.25">
      <c r="A10" s="74"/>
      <c r="B10" s="38" t="str">
        <f>INDEX('Ma trận năng lực'!B:B, MATCH(D10, 'Ma trận năng lực'!D:D, 0))</f>
        <v>Nền tảng chuyên ngành đo lường điều khiển</v>
      </c>
      <c r="C10" s="72">
        <f t="shared" si="1"/>
        <v>5</v>
      </c>
      <c r="D10" s="30" t="str">
        <v>ĐK_NLCM_005</v>
      </c>
      <c r="E10" s="28" t="str">
        <f>VLOOKUP(D10,'Ma trận năng lực'!D8:E73,2,1)</f>
        <v>Kiến thức và kỹ năng cơ bản về truyền thông công nghiệp</v>
      </c>
      <c r="F10" s="30">
        <v>2</v>
      </c>
      <c r="G10" s="30">
        <v>4</v>
      </c>
      <c r="H10" s="30">
        <v>2</v>
      </c>
      <c r="I10" s="30">
        <v>2</v>
      </c>
      <c r="J10" s="30">
        <v>2</v>
      </c>
      <c r="K10" s="30">
        <v>2</v>
      </c>
      <c r="L10" s="30">
        <v>2</v>
      </c>
      <c r="M10" s="30">
        <v>2</v>
      </c>
    </row>
    <row r="11" spans="1:18" s="43" customFormat="1" ht="33.6" customHeight="1" x14ac:dyDescent="0.25">
      <c r="A11" s="74"/>
      <c r="B11" s="38" t="str">
        <f>INDEX('Ma trận năng lực'!B:B, MATCH(D11, 'Ma trận năng lực'!D:D, 0))</f>
        <v>Nền tảng chuyên ngành đo lường điều khiển</v>
      </c>
      <c r="C11" s="72">
        <f t="shared" si="1"/>
        <v>6</v>
      </c>
      <c r="D11" s="30" t="str">
        <v>ĐK_NLCM_006</v>
      </c>
      <c r="E11" s="28" t="str">
        <f>VLOOKUP(D11,'Ma trận năng lực'!D9:E74,2,1)</f>
        <v xml:space="preserve">Kiến thức về điều khiển </v>
      </c>
      <c r="F11" s="30">
        <v>2</v>
      </c>
      <c r="G11" s="30">
        <v>2</v>
      </c>
      <c r="H11" s="30">
        <v>4</v>
      </c>
      <c r="I11" s="30">
        <v>4</v>
      </c>
      <c r="J11" s="30">
        <v>4</v>
      </c>
      <c r="K11" s="30">
        <v>4</v>
      </c>
      <c r="L11" s="30">
        <v>5</v>
      </c>
      <c r="M11" s="30">
        <v>5</v>
      </c>
    </row>
    <row r="12" spans="1:18" s="43" customFormat="1" ht="33.6" customHeight="1" x14ac:dyDescent="0.25">
      <c r="A12" s="74"/>
      <c r="B12" s="38" t="str">
        <f>INDEX('Ma trận năng lực'!B:B, MATCH(D12, 'Ma trận năng lực'!D:D, 0))</f>
        <v>Nền tảng chuyên ngành đo lường điều khiển</v>
      </c>
      <c r="C12" s="72">
        <f t="shared" si="1"/>
        <v>7</v>
      </c>
      <c r="D12" s="30" t="str">
        <v>ĐK_NLCM_007</v>
      </c>
      <c r="E12" s="28" t="str">
        <f>VLOOKUP(D12,'Ma trận năng lực'!D10:E75,2,1)</f>
        <v>Kiến thức và kỹ năng về hệ thống máy tính</v>
      </c>
      <c r="F12" s="30">
        <v>2</v>
      </c>
      <c r="G12" s="30">
        <v>4</v>
      </c>
      <c r="H12" s="30">
        <v>2</v>
      </c>
      <c r="I12" s="30">
        <v>2</v>
      </c>
      <c r="J12" s="30">
        <v>2</v>
      </c>
      <c r="K12" s="30">
        <v>2</v>
      </c>
      <c r="L12" s="30">
        <v>2</v>
      </c>
      <c r="M12" s="30">
        <v>2</v>
      </c>
    </row>
    <row r="13" spans="1:18" s="43" customFormat="1" ht="33.6" customHeight="1" x14ac:dyDescent="0.25">
      <c r="A13" s="74"/>
      <c r="B13" s="38" t="str">
        <f>INDEX('Ma trận năng lực'!B:B, MATCH(D13, 'Ma trận năng lực'!D:D, 0))</f>
        <v>Nền tảng chuyên ngành đo lường điều khiển</v>
      </c>
      <c r="C13" s="72">
        <f t="shared" si="1"/>
        <v>8</v>
      </c>
      <c r="D13" s="30" t="str">
        <v>ĐK_NLCM_008</v>
      </c>
      <c r="E13" s="28" t="str">
        <f>VLOOKUP(D13,'Ma trận năng lực'!D11:E76,2,1)</f>
        <v xml:space="preserve">Kiến thức về hệ thống nối đất </v>
      </c>
      <c r="F13" s="30">
        <v>2</v>
      </c>
      <c r="G13" s="30">
        <v>2</v>
      </c>
      <c r="H13" s="30">
        <v>4</v>
      </c>
      <c r="I13" s="30">
        <v>4</v>
      </c>
      <c r="J13" s="30">
        <v>4</v>
      </c>
      <c r="K13" s="30">
        <v>4</v>
      </c>
      <c r="L13" s="30">
        <v>5</v>
      </c>
      <c r="M13" s="30">
        <v>5</v>
      </c>
    </row>
    <row r="14" spans="1:18" s="43" customFormat="1" ht="33.6" customHeight="1" x14ac:dyDescent="0.25">
      <c r="A14" s="74"/>
      <c r="B14" s="38" t="str">
        <f>INDEX('Ma trận năng lực'!B:B, MATCH(D14, 'Ma trận năng lực'!D:D, 0))</f>
        <v>Công cụ, Dụng cụ cầm tay cho chuyên môn thiết bị HTĐK</v>
      </c>
      <c r="C14" s="72">
        <f t="shared" si="1"/>
        <v>9</v>
      </c>
      <c r="D14" s="30" t="str">
        <v>ĐK_NLCM_009</v>
      </c>
      <c r="E14" s="28" t="str">
        <f>VLOOKUP(D14,'Ma trận năng lực'!D12:E77,2,1)</f>
        <v>Kiến thức và kỹ năng sử dụng công cụ dụng cụ cầm tay thuộc chuyên môn thiết bị HTĐK</v>
      </c>
      <c r="F14" s="30">
        <v>1</v>
      </c>
      <c r="G14" s="30">
        <v>4</v>
      </c>
      <c r="H14" s="30">
        <v>3</v>
      </c>
      <c r="I14" s="30">
        <v>4</v>
      </c>
      <c r="J14" s="30">
        <v>4</v>
      </c>
      <c r="K14" s="30">
        <v>5</v>
      </c>
      <c r="L14" s="30">
        <v>5</v>
      </c>
      <c r="M14" s="30">
        <v>5</v>
      </c>
    </row>
    <row r="15" spans="1:18" s="43" customFormat="1" ht="44.25" customHeight="1" x14ac:dyDescent="0.25">
      <c r="A15" s="74"/>
      <c r="B15" s="38" t="str">
        <f>INDEX('Ma trận năng lực'!B:B, MATCH(D15, 'Ma trận năng lực'!D:D, 0))</f>
        <v>P&amp;ID</v>
      </c>
      <c r="C15" s="72">
        <f t="shared" si="1"/>
        <v>10</v>
      </c>
      <c r="D15" s="30" t="str">
        <v>ĐK_NLCM_010</v>
      </c>
      <c r="E15" s="28" t="str">
        <f>VLOOKUP(D15,'Ma trận năng lực'!D13:E78,2,1)</f>
        <v>Kiến thức và kỹ năng về P&amp;ID</v>
      </c>
      <c r="F15" s="30">
        <v>1</v>
      </c>
      <c r="G15" s="30">
        <v>3</v>
      </c>
      <c r="H15" s="30">
        <v>2</v>
      </c>
      <c r="I15" s="30">
        <v>2</v>
      </c>
      <c r="J15" s="30">
        <v>2</v>
      </c>
      <c r="K15" s="30">
        <v>2</v>
      </c>
      <c r="L15" s="30">
        <v>2</v>
      </c>
      <c r="M15" s="30">
        <v>2</v>
      </c>
    </row>
    <row r="16" spans="1:18" s="43" customFormat="1" ht="57" customHeight="1" x14ac:dyDescent="0.25">
      <c r="A16" s="74"/>
      <c r="B16" s="38" t="str">
        <f>INDEX('Ma trận năng lực'!B:B, MATCH(D16, 'Ma trận năng lực'!D:D, 0))</f>
        <v>Công nghệ sản xuất</v>
      </c>
      <c r="C16" s="72">
        <f t="shared" si="1"/>
        <v>11</v>
      </c>
      <c r="D16" s="30" t="str">
        <v>ĐK_NLCM_016</v>
      </c>
      <c r="E16" s="28" t="str">
        <f>VLOOKUP(D16,'Ma trận năng lực'!D14:E79,2,1)</f>
        <v>Kiến thức cơ bản về quy trình công nghệ sản xuất tại Nhà máy Đạm Cà Mau từ khí đầu vào đến tạo hạt, đóng bao.</v>
      </c>
      <c r="F16" s="30">
        <v>1</v>
      </c>
      <c r="G16" s="30">
        <v>2</v>
      </c>
      <c r="H16" s="30">
        <v>2</v>
      </c>
      <c r="I16" s="30">
        <v>2</v>
      </c>
      <c r="J16" s="30">
        <v>2</v>
      </c>
      <c r="K16" s="30">
        <v>2</v>
      </c>
      <c r="L16" s="30">
        <v>2</v>
      </c>
      <c r="M16" s="30">
        <v>2</v>
      </c>
    </row>
    <row r="17" spans="1:13" s="43" customFormat="1" ht="50.25" customHeight="1" x14ac:dyDescent="0.25">
      <c r="A17" s="74"/>
      <c r="B17" s="38" t="str">
        <f>INDEX('Ma trận năng lực'!B:B, MATCH(D17, 'Ma trận năng lực'!D:D, 0))</f>
        <v>Tổng quan Hệ thống điều khiển nhà máy Đạm Cà Mau</v>
      </c>
      <c r="C17" s="72">
        <f t="shared" si="1"/>
        <v>12</v>
      </c>
      <c r="D17" s="30" t="str">
        <v>ĐK_NLCM_017</v>
      </c>
      <c r="E17" s="28" t="str">
        <f>VLOOKUP(D17,'Ma trận năng lực'!D15:E80,2,1)</f>
        <v>Nắm được chức năng của các hệ thống điều khiển tại nhà máy Đạm Cà Mau bao gồm Hệ thống điều khiển phân tán, ESD, hệ thống điều khiển Turbine và máy nén, hệ thống MPS/MMS, hệ thống đóng bao xuất hàng</v>
      </c>
      <c r="F17" s="30">
        <v>1</v>
      </c>
      <c r="G17" s="30">
        <v>2</v>
      </c>
      <c r="H17" s="30">
        <v>2</v>
      </c>
      <c r="I17" s="30">
        <v>2</v>
      </c>
      <c r="J17" s="30">
        <v>2</v>
      </c>
      <c r="K17" s="30">
        <v>2</v>
      </c>
      <c r="L17" s="30">
        <v>2</v>
      </c>
      <c r="M17" s="30">
        <v>2</v>
      </c>
    </row>
    <row r="18" spans="1:13" s="43" customFormat="1" ht="33.6" customHeight="1" x14ac:dyDescent="0.25">
      <c r="A18" s="74"/>
      <c r="B18" s="38" t="str">
        <f>INDEX('Ma trận năng lực'!B:B, MATCH(D18, 'Ma trận năng lực'!D:D, 0))</f>
        <v>Tổng quan Thiết bị đo lường và van điều khiển nhà máy Đạm Cà Mau</v>
      </c>
      <c r="C18" s="72">
        <f t="shared" si="1"/>
        <v>13</v>
      </c>
      <c r="D18" s="30" t="str">
        <v>ĐK_NLCM_018</v>
      </c>
      <c r="E18" s="28" t="str">
        <f>VLOOKUP(D18,'Ma trận năng lực'!D16:E81,2,1)</f>
        <v>Kiến thức về thiết bị đo lường và van điều khiển tại nhà máy Đạm Cà Mau</v>
      </c>
      <c r="F18" s="30">
        <v>1</v>
      </c>
      <c r="G18" s="30">
        <v>2</v>
      </c>
      <c r="H18" s="30">
        <v>2</v>
      </c>
      <c r="I18" s="30">
        <v>2</v>
      </c>
      <c r="J18" s="30">
        <v>2</v>
      </c>
      <c r="K18" s="30">
        <v>2</v>
      </c>
      <c r="L18" s="30">
        <v>2</v>
      </c>
      <c r="M18" s="30">
        <v>2</v>
      </c>
    </row>
    <row r="19" spans="1:13" s="43" customFormat="1" ht="27" customHeight="1" x14ac:dyDescent="0.25">
      <c r="A19" s="74"/>
      <c r="B19" s="38" t="str">
        <f>INDEX('Ma trận năng lực'!B:B, MATCH(D19, 'Ma trận năng lực'!D:D, 0))</f>
        <v>Kiến thức tổng quan về biện pháp phòng nổ (Ex protection)</v>
      </c>
      <c r="C19" s="72">
        <f t="shared" si="1"/>
        <v>14</v>
      </c>
      <c r="D19" s="30" t="str">
        <v>ĐK_NLCM_019</v>
      </c>
      <c r="E19" s="28" t="str">
        <f>VLOOKUP(D19,'Ma trận năng lực'!D17:E82,2,1)</f>
        <v>Kiến thức về vùng nguy hiểm</v>
      </c>
      <c r="F19" s="30">
        <v>1</v>
      </c>
      <c r="G19" s="30">
        <v>2</v>
      </c>
      <c r="H19" s="30">
        <v>2</v>
      </c>
      <c r="I19" s="30">
        <v>2</v>
      </c>
      <c r="J19" s="30">
        <v>2</v>
      </c>
      <c r="K19" s="30">
        <v>2</v>
      </c>
      <c r="L19" s="30">
        <v>2</v>
      </c>
      <c r="M19" s="30">
        <v>2</v>
      </c>
    </row>
    <row r="20" spans="1:13" s="43" customFormat="1" ht="33.6" customHeight="1" x14ac:dyDescent="0.25">
      <c r="A20" s="74"/>
      <c r="B20" s="38" t="str">
        <f>INDEX('Ma trận năng lực'!B:B, MATCH(D20, 'Ma trận năng lực'!D:D, 0))</f>
        <v>Kiến thức tổng quan về biện pháp phòng nổ (Ex protection)</v>
      </c>
      <c r="C20" s="72">
        <f t="shared" si="1"/>
        <v>15</v>
      </c>
      <c r="D20" s="30" t="str">
        <v>ĐK_NLCM_020</v>
      </c>
      <c r="E20" s="28" t="str">
        <f>VLOOKUP(D20,'Ma trận năng lực'!D18:E83,2,1)</f>
        <v>Kiến thức về ký hiệu phòng nổ trên thiết bị</v>
      </c>
      <c r="F20" s="30">
        <v>1</v>
      </c>
      <c r="G20" s="30">
        <v>2</v>
      </c>
      <c r="H20" s="30">
        <v>4</v>
      </c>
      <c r="I20" s="30">
        <v>4</v>
      </c>
      <c r="J20" s="30">
        <v>4</v>
      </c>
      <c r="K20" s="30">
        <v>4</v>
      </c>
      <c r="L20" s="30">
        <v>4</v>
      </c>
      <c r="M20" s="30">
        <v>5</v>
      </c>
    </row>
    <row r="21" spans="1:13" s="43" customFormat="1" ht="33.6" customHeight="1" x14ac:dyDescent="0.25">
      <c r="A21" s="74"/>
      <c r="B21" s="38" t="str">
        <f>INDEX('Ma trận năng lực'!B:B, MATCH(D21, 'Ma trận năng lực'!D:D, 0))</f>
        <v>Kỹ năng mềm chuyên ngành Đo lường - Điều khiển</v>
      </c>
      <c r="C21" s="72">
        <f t="shared" si="1"/>
        <v>16</v>
      </c>
      <c r="D21" s="30" t="str">
        <v>ĐK_NLCM_021</v>
      </c>
      <c r="E21" s="28" t="str">
        <f>VLOOKUP(D21,'Ma trận năng lực'!D19:E84,2,1)</f>
        <v>Kỹ năng mềm chuyên ngành Đo lường - Điều khiển</v>
      </c>
      <c r="F21" s="30">
        <v>3</v>
      </c>
      <c r="G21" s="30">
        <v>4</v>
      </c>
      <c r="H21" s="30">
        <v>2</v>
      </c>
      <c r="I21" s="30">
        <v>2</v>
      </c>
      <c r="J21" s="30">
        <v>2</v>
      </c>
      <c r="K21" s="30">
        <v>2</v>
      </c>
      <c r="L21" s="30">
        <v>2</v>
      </c>
      <c r="M21" s="30">
        <v>2</v>
      </c>
    </row>
    <row r="22" spans="1:13" s="43" customFormat="1" ht="47.25" customHeight="1" x14ac:dyDescent="0.25">
      <c r="A22" s="74"/>
      <c r="B22" s="38" t="str">
        <f>INDEX('Ma trận năng lực'!B:B, MATCH(D22, 'Ma trận năng lực'!D:D, 0))</f>
        <v>Nắm được nguyên lý hoạt động Turbine/máy nén và nồi hơi</v>
      </c>
      <c r="C22" s="72">
        <f t="shared" si="1"/>
        <v>17</v>
      </c>
      <c r="D22" s="30" t="str">
        <v>ĐK_NLCM_022</v>
      </c>
      <c r="E22" s="28" t="str">
        <f>VLOOKUP(D22,'Ma trận năng lực'!D20:E85,2,1)</f>
        <v>Nắm được nguyên lý hoạt động Turbine/máy nén và nồi hơi</v>
      </c>
      <c r="F22" s="30">
        <v>1</v>
      </c>
      <c r="G22" s="30">
        <v>2</v>
      </c>
      <c r="H22" s="30">
        <v>3</v>
      </c>
      <c r="I22" s="30">
        <v>3</v>
      </c>
      <c r="J22" s="30">
        <v>3</v>
      </c>
      <c r="K22" s="30">
        <v>4</v>
      </c>
      <c r="L22" s="30">
        <v>4</v>
      </c>
      <c r="M22" s="30">
        <v>5</v>
      </c>
    </row>
    <row r="23" spans="1:13" s="43" customFormat="1" ht="33.6" customHeight="1" x14ac:dyDescent="0.25">
      <c r="A23" s="74"/>
      <c r="B23" s="38" t="str">
        <f>INDEX('Ma trận năng lực'!B:B, MATCH(D23, 'Ma trận năng lực'!D:D, 0))</f>
        <v>Kiến thức và kỹ năng liên quan đến hệ thống các tiêu chuẩn Quốc tế liên quan đến ngành đo lường điều khiển</v>
      </c>
      <c r="C23" s="72">
        <f t="shared" si="1"/>
        <v>18</v>
      </c>
      <c r="D23" s="30" t="str">
        <v>ĐK_NLCM_023</v>
      </c>
      <c r="E23" s="28" t="str">
        <f>VLOOKUP(D23,'Ma trận năng lực'!D21:E86,2,1)</f>
        <v>Kiến thức và kỹ năng liên quan đến hệ thống các tiêu chuẩn Quốc tế liên quan đến ngành đo lường điều khiển</v>
      </c>
      <c r="F23" s="30">
        <v>1</v>
      </c>
      <c r="G23" s="30">
        <v>2</v>
      </c>
      <c r="H23" s="30">
        <v>4</v>
      </c>
      <c r="I23" s="30">
        <v>4</v>
      </c>
      <c r="J23" s="30">
        <v>4</v>
      </c>
      <c r="K23" s="30">
        <v>5</v>
      </c>
      <c r="L23" s="30">
        <v>5</v>
      </c>
      <c r="M23" s="30">
        <v>5</v>
      </c>
    </row>
    <row r="24" spans="1:13" s="43" customFormat="1" ht="33.6" customHeight="1" x14ac:dyDescent="0.25">
      <c r="A24" s="74"/>
      <c r="B24" s="38" t="str">
        <f>INDEX('Ma trận năng lực'!B:B, MATCH(D24, 'Ma trận năng lực'!D:D, 0))</f>
        <v>Trí tuệ nhân tạo (AI)</v>
      </c>
      <c r="C24" s="72">
        <f t="shared" si="1"/>
        <v>19</v>
      </c>
      <c r="D24" s="30" t="str">
        <v>ĐK_NLCM_024</v>
      </c>
      <c r="E24" s="28" t="str">
        <f>VLOOKUP(D24,'Ma trận năng lực'!D22:E87,2,1)</f>
        <v>Kiến thức và kỹ năng liên về trí tuệ nhân tạo (AI)</v>
      </c>
      <c r="F24" s="30">
        <v>3</v>
      </c>
      <c r="G24" s="30">
        <v>4</v>
      </c>
      <c r="H24" s="30">
        <v>4</v>
      </c>
      <c r="I24" s="30">
        <v>4</v>
      </c>
      <c r="J24" s="30">
        <v>4</v>
      </c>
      <c r="K24" s="30">
        <v>4</v>
      </c>
      <c r="L24" s="30">
        <v>5</v>
      </c>
      <c r="M24" s="30">
        <v>5</v>
      </c>
    </row>
    <row r="25" spans="1:13" s="43" customFormat="1" ht="33.6" customHeight="1" x14ac:dyDescent="0.25">
      <c r="A25" s="100" t="s">
        <v>64</v>
      </c>
      <c r="B25" s="38" t="str">
        <f>INDEX('Ma trận năng lực'!B:B, MATCH(D25, 'Ma trận năng lực'!D:D, 0))</f>
        <v>Hệ thống Fire Alarm- FA &amp; Automatic Fire Fighting System- AFFS</v>
      </c>
      <c r="C25" s="72">
        <f t="shared" si="1"/>
        <v>20</v>
      </c>
      <c r="D25" s="30" t="str">
        <v>ĐK_NLCM_025</v>
      </c>
      <c r="E25" s="28" t="str">
        <f>VLOOKUP(D25,'Ma trận năng lực'!D23:E88,2,1)</f>
        <v>Kiến thức và kỹ năng liên quan đến hệ thống FA &amp; AFFS</v>
      </c>
      <c r="F25" s="30">
        <v>1</v>
      </c>
      <c r="G25" s="30">
        <v>2</v>
      </c>
      <c r="H25" s="30">
        <v>4</v>
      </c>
      <c r="I25" s="30">
        <v>4</v>
      </c>
      <c r="J25" s="30">
        <v>4</v>
      </c>
      <c r="K25" s="30">
        <v>4</v>
      </c>
      <c r="L25" s="30">
        <v>4</v>
      </c>
      <c r="M25" s="30">
        <v>5</v>
      </c>
    </row>
    <row r="26" spans="1:13" s="43" customFormat="1" ht="33.6" customHeight="1" x14ac:dyDescent="0.25">
      <c r="A26" s="101"/>
      <c r="B26" s="38" t="str">
        <f>INDEX('Ma trận năng lực'!B:B, MATCH(D26, 'Ma trận năng lực'!D:D, 0))</f>
        <v>Phần cứng hệ thống MPS/MMS</v>
      </c>
      <c r="C26" s="72">
        <f t="shared" si="1"/>
        <v>21</v>
      </c>
      <c r="D26" s="30" t="str">
        <v>ĐK_NLCM_026</v>
      </c>
      <c r="E26" s="28" t="str">
        <f>VLOOKUP(D26,'Ma trận năng lực'!D24:E89,2,1)</f>
        <v>Kiến trúc phần cứng hệ thống MPS/MMS</v>
      </c>
      <c r="F26" s="30">
        <v>1</v>
      </c>
      <c r="G26" s="30">
        <v>4</v>
      </c>
      <c r="H26" s="30">
        <v>3</v>
      </c>
      <c r="I26" s="30">
        <v>4</v>
      </c>
      <c r="J26" s="30">
        <v>4</v>
      </c>
      <c r="K26" s="30">
        <v>5</v>
      </c>
      <c r="L26" s="30">
        <v>5</v>
      </c>
      <c r="M26" s="30">
        <v>5</v>
      </c>
    </row>
    <row r="27" spans="1:13" s="43" customFormat="1" ht="33.6" customHeight="1" x14ac:dyDescent="0.25">
      <c r="A27" s="101"/>
      <c r="B27" s="38" t="str">
        <f>INDEX('Ma trận năng lực'!B:B, MATCH(D27, 'Ma trận năng lực'!D:D, 0))</f>
        <v>Phần mềm hệ thống MPS/MMS</v>
      </c>
      <c r="C27" s="72">
        <f t="shared" si="1"/>
        <v>22</v>
      </c>
      <c r="D27" s="30" t="str">
        <v>ĐK_NLCM_027</v>
      </c>
      <c r="E27" s="28" t="str">
        <f>VLOOKUP(D27,'Ma trận năng lực'!D25:E90,2,1)</f>
        <v>Kiến trúc phần mềm hệ thống MPS/MMS</v>
      </c>
      <c r="F27" s="30">
        <v>1</v>
      </c>
      <c r="G27" s="30">
        <v>3</v>
      </c>
      <c r="H27" s="30">
        <v>4</v>
      </c>
      <c r="I27" s="30">
        <v>4</v>
      </c>
      <c r="J27" s="30">
        <v>4</v>
      </c>
      <c r="K27" s="30">
        <v>4</v>
      </c>
      <c r="L27" s="30">
        <v>5</v>
      </c>
      <c r="M27" s="30">
        <v>5</v>
      </c>
    </row>
    <row r="28" spans="1:13" s="43" customFormat="1" ht="33.6" customHeight="1" x14ac:dyDescent="0.25">
      <c r="A28" s="101"/>
      <c r="B28" s="38" t="str">
        <f>INDEX('Ma trận năng lực'!B:B, MATCH(D28, 'Ma trận năng lực'!D:D, 0))</f>
        <v>Phần cứng hệ thống DCS</v>
      </c>
      <c r="C28" s="72">
        <f t="shared" si="1"/>
        <v>23</v>
      </c>
      <c r="D28" s="30" t="str">
        <v>ĐK_NLCM_028</v>
      </c>
      <c r="E28" s="28" t="str">
        <f>VLOOKUP(D28,'Ma trận năng lực'!D26:E91,2,1)</f>
        <v>Kiến thức và kỹ năng liên quan đến phần cứng hệ thống DCS</v>
      </c>
      <c r="F28" s="30">
        <v>1</v>
      </c>
      <c r="G28" s="30">
        <v>4</v>
      </c>
      <c r="H28" s="30">
        <v>3</v>
      </c>
      <c r="I28" s="30">
        <v>4</v>
      </c>
      <c r="J28" s="30">
        <v>4</v>
      </c>
      <c r="K28" s="30">
        <v>4</v>
      </c>
      <c r="L28" s="30">
        <v>4</v>
      </c>
      <c r="M28" s="30">
        <v>5</v>
      </c>
    </row>
    <row r="29" spans="1:13" s="43" customFormat="1" ht="33.6" customHeight="1" x14ac:dyDescent="0.25">
      <c r="A29" s="101"/>
      <c r="B29" s="38" t="str">
        <f>INDEX('Ma trận năng lực'!B:B, MATCH(D29, 'Ma trận năng lực'!D:D, 0))</f>
        <v>Phần mềm hệ thống DCS</v>
      </c>
      <c r="C29" s="72">
        <f t="shared" si="1"/>
        <v>24</v>
      </c>
      <c r="D29" s="30" t="str">
        <v>ĐK_NLCM_029</v>
      </c>
      <c r="E29" s="28" t="str">
        <f>VLOOKUP(D29,'Ma trận năng lực'!D27:E92,2,1)</f>
        <v>Kiến thức và kỹ năng liên quan đến phần mềm hệ thống DCS</v>
      </c>
      <c r="F29" s="30">
        <v>1</v>
      </c>
      <c r="G29" s="30">
        <v>3</v>
      </c>
      <c r="H29" s="30">
        <v>3</v>
      </c>
      <c r="I29" s="30">
        <v>4</v>
      </c>
      <c r="J29" s="30">
        <v>4</v>
      </c>
      <c r="K29" s="30">
        <v>5</v>
      </c>
      <c r="L29" s="30">
        <v>5</v>
      </c>
      <c r="M29" s="30">
        <v>5</v>
      </c>
    </row>
    <row r="30" spans="1:13" s="43" customFormat="1" ht="33.6" customHeight="1" x14ac:dyDescent="0.25">
      <c r="A30" s="101"/>
      <c r="B30" s="38" t="str">
        <f>INDEX('Ma trận năng lực'!B:B, MATCH(D30, 'Ma trận năng lực'!D:D, 0))</f>
        <v>Phần cứng hệ thống F&amp;G</v>
      </c>
      <c r="C30" s="72">
        <f t="shared" si="1"/>
        <v>25</v>
      </c>
      <c r="D30" s="30" t="str">
        <v>ĐK_NLCM_030</v>
      </c>
      <c r="E30" s="28" t="str">
        <f>VLOOKUP(D30,'Ma trận năng lực'!D28:E93,2,1)</f>
        <v>Kiến trúc phần cứng hệ thống F&amp;G</v>
      </c>
      <c r="F30" s="30">
        <v>1</v>
      </c>
      <c r="G30" s="30">
        <v>2</v>
      </c>
      <c r="H30" s="30">
        <v>4</v>
      </c>
      <c r="I30" s="30">
        <v>4</v>
      </c>
      <c r="J30" s="30">
        <v>4</v>
      </c>
      <c r="K30" s="30">
        <v>4</v>
      </c>
      <c r="L30" s="30">
        <v>5</v>
      </c>
      <c r="M30" s="30">
        <v>5</v>
      </c>
    </row>
    <row r="31" spans="1:13" s="43" customFormat="1" ht="33.6" customHeight="1" x14ac:dyDescent="0.25">
      <c r="A31" s="101"/>
      <c r="B31" s="38" t="str">
        <f>INDEX('Ma trận năng lực'!B:B, MATCH(D31, 'Ma trận năng lực'!D:D, 0))</f>
        <v>Phần mềm hệ thống F&amp;G</v>
      </c>
      <c r="C31" s="72">
        <f t="shared" si="1"/>
        <v>26</v>
      </c>
      <c r="D31" s="30" t="str">
        <v>ĐK_NLCM_031</v>
      </c>
      <c r="E31" s="28" t="str">
        <f>VLOOKUP(D31,'Ma trận năng lực'!D29:E94,2,1)</f>
        <v>Kiến trúc phần mềm hệ thống F&amp;G</v>
      </c>
      <c r="F31" s="30">
        <v>1</v>
      </c>
      <c r="G31" s="30">
        <v>2</v>
      </c>
      <c r="H31" s="30">
        <v>3</v>
      </c>
      <c r="I31" s="30">
        <v>4</v>
      </c>
      <c r="J31" s="30">
        <v>4</v>
      </c>
      <c r="K31" s="30">
        <v>4</v>
      </c>
      <c r="L31" s="30">
        <v>4</v>
      </c>
      <c r="M31" s="30">
        <v>5</v>
      </c>
    </row>
    <row r="32" spans="1:13" s="43" customFormat="1" ht="33.6" customHeight="1" x14ac:dyDescent="0.25">
      <c r="A32" s="101"/>
      <c r="B32" s="38" t="str">
        <f>INDEX('Ma trận năng lực'!B:B, MATCH(D32, 'Ma trận năng lực'!D:D, 0))</f>
        <v>Phần cứng hệ thống ESD</v>
      </c>
      <c r="C32" s="72">
        <f t="shared" si="1"/>
        <v>27</v>
      </c>
      <c r="D32" s="30" t="str">
        <v>ĐK_NLCM_032</v>
      </c>
      <c r="E32" s="28" t="str">
        <f>VLOOKUP(D32,'Ma trận năng lực'!D30:E95,2,1)</f>
        <v>Kiến trúc phần cứng hệ thống ESD</v>
      </c>
      <c r="F32" s="30">
        <v>1</v>
      </c>
      <c r="G32" s="30">
        <v>4</v>
      </c>
      <c r="H32" s="30">
        <v>3</v>
      </c>
      <c r="I32" s="30">
        <v>4</v>
      </c>
      <c r="J32" s="30">
        <v>4</v>
      </c>
      <c r="K32" s="30">
        <v>4</v>
      </c>
      <c r="L32" s="30">
        <v>5</v>
      </c>
      <c r="M32" s="30">
        <v>5</v>
      </c>
    </row>
    <row r="33" spans="1:13" s="43" customFormat="1" ht="33.6" customHeight="1" x14ac:dyDescent="0.25">
      <c r="A33" s="101"/>
      <c r="B33" s="38" t="str">
        <f>INDEX('Ma trận năng lực'!B:B, MATCH(D33, 'Ma trận năng lực'!D:D, 0))</f>
        <v>Phần mềm hệ thống ESD</v>
      </c>
      <c r="C33" s="72">
        <f t="shared" si="1"/>
        <v>28</v>
      </c>
      <c r="D33" s="30" t="str">
        <v>ĐK_NLCM_033</v>
      </c>
      <c r="E33" s="28" t="str">
        <f>VLOOKUP(D33,'Ma trận năng lực'!D31:E96,2,1)</f>
        <v>Kiến trúc phần mềm hệ thống ESD</v>
      </c>
      <c r="F33" s="30">
        <v>1</v>
      </c>
      <c r="G33" s="30">
        <v>3</v>
      </c>
      <c r="H33" s="30">
        <v>4</v>
      </c>
      <c r="I33" s="30">
        <v>4</v>
      </c>
      <c r="J33" s="30">
        <v>4</v>
      </c>
      <c r="K33" s="30">
        <v>4</v>
      </c>
      <c r="L33" s="30">
        <v>4</v>
      </c>
      <c r="M33" s="30">
        <v>5</v>
      </c>
    </row>
    <row r="34" spans="1:13" s="43" customFormat="1" ht="33.6" customHeight="1" x14ac:dyDescent="0.25">
      <c r="A34" s="101"/>
      <c r="B34" s="38" t="str">
        <f>INDEX('Ma trận năng lực'!B:B, MATCH(D34, 'Ma trận năng lực'!D:D, 0))</f>
        <v xml:space="preserve">Phần cứng hệ thống PLC </v>
      </c>
      <c r="C34" s="72">
        <f t="shared" si="1"/>
        <v>29</v>
      </c>
      <c r="D34" s="30" t="str">
        <v>ĐK_NLCM_034</v>
      </c>
      <c r="E34" s="28" t="str">
        <f>VLOOKUP(D34,'Ma trận năng lực'!D32:E97,2,1)</f>
        <v xml:space="preserve">Kiến thức và kỹ năng liên quan đến phần cứng hệ thống PLC </v>
      </c>
      <c r="F34" s="30">
        <v>1</v>
      </c>
      <c r="G34" s="30">
        <v>3</v>
      </c>
      <c r="H34" s="30">
        <v>3</v>
      </c>
      <c r="I34" s="30">
        <v>3</v>
      </c>
      <c r="J34" s="30">
        <v>3</v>
      </c>
      <c r="K34" s="30">
        <v>3</v>
      </c>
      <c r="L34" s="30">
        <v>4</v>
      </c>
      <c r="M34" s="30">
        <v>5</v>
      </c>
    </row>
    <row r="35" spans="1:13" s="43" customFormat="1" ht="33.6" customHeight="1" x14ac:dyDescent="0.25">
      <c r="A35" s="101"/>
      <c r="B35" s="38" t="str">
        <f>INDEX('Ma trận năng lực'!B:B, MATCH(D35, 'Ma trận năng lực'!D:D, 0))</f>
        <v xml:space="preserve">Phần mềm hệ thống PLC </v>
      </c>
      <c r="C35" s="72">
        <f t="shared" si="1"/>
        <v>30</v>
      </c>
      <c r="D35" s="30" t="str">
        <v>ĐK_NLCM_035</v>
      </c>
      <c r="E35" s="28" t="str">
        <f>VLOOKUP(D35,'Ma trận năng lực'!D33:E98,2,1)</f>
        <v xml:space="preserve">Kiến trúc và kỹ năng liên quan đến phần mềm hệ thống PLC </v>
      </c>
      <c r="F35" s="30">
        <v>1</v>
      </c>
      <c r="G35" s="30">
        <v>3</v>
      </c>
      <c r="H35" s="30">
        <v>3</v>
      </c>
      <c r="I35" s="30">
        <v>3</v>
      </c>
      <c r="J35" s="30">
        <v>3</v>
      </c>
      <c r="K35" s="30">
        <v>4</v>
      </c>
      <c r="L35" s="30">
        <v>4</v>
      </c>
      <c r="M35" s="30">
        <v>5</v>
      </c>
    </row>
    <row r="36" spans="1:13" s="43" customFormat="1" ht="33.6" customHeight="1" x14ac:dyDescent="0.25">
      <c r="A36" s="101"/>
      <c r="B36" s="38" t="str">
        <f>INDEX('Ma trận năng lực'!B:B, MATCH(D36, 'Ma trận năng lực'!D:D, 0))</f>
        <v>Hệ thống PLC nâng cao</v>
      </c>
      <c r="C36" s="72">
        <f t="shared" si="1"/>
        <v>31</v>
      </c>
      <c r="D36" s="30" t="str">
        <v>ĐK_NLCM_036</v>
      </c>
      <c r="E36" s="28" t="str">
        <f>VLOOKUP(D36,'Ma trận năng lực'!D34:E99,2,1)</f>
        <v xml:space="preserve">Kiến trúc và kỹ năng nâng cao liên quan đến hệ thống PLC </v>
      </c>
      <c r="F36" s="30">
        <v>1</v>
      </c>
      <c r="G36" s="30">
        <v>2</v>
      </c>
      <c r="H36" s="30">
        <v>3</v>
      </c>
      <c r="I36" s="30">
        <v>3</v>
      </c>
      <c r="J36" s="30">
        <v>3</v>
      </c>
      <c r="K36" s="30">
        <v>4</v>
      </c>
      <c r="L36" s="30">
        <v>4</v>
      </c>
      <c r="M36" s="30">
        <v>5</v>
      </c>
    </row>
    <row r="37" spans="1:13" s="43" customFormat="1" ht="33.6" customHeight="1" x14ac:dyDescent="0.25">
      <c r="A37" s="101"/>
      <c r="B37" s="38" t="str">
        <f>INDEX('Ma trận năng lực'!B:B, MATCH(D37, 'Ma trận năng lực'!D:D, 0))</f>
        <v>Hệ thống DCS nâng cao</v>
      </c>
      <c r="C37" s="72">
        <f t="shared" si="1"/>
        <v>32</v>
      </c>
      <c r="D37" s="30" t="str">
        <v>ĐK_NLCM_037</v>
      </c>
      <c r="E37" s="28" t="str">
        <f>VLOOKUP(D37,'Ma trận năng lực'!D35:E100,2,1)</f>
        <v>Kiến thức và kỹ năng chuyên sâu liên quan đến hệ thống DCS</v>
      </c>
      <c r="F37" s="30">
        <v>1</v>
      </c>
      <c r="G37" s="30">
        <v>2</v>
      </c>
      <c r="H37" s="30">
        <v>3</v>
      </c>
      <c r="I37" s="30">
        <v>3</v>
      </c>
      <c r="J37" s="30">
        <v>3</v>
      </c>
      <c r="K37" s="30">
        <v>3</v>
      </c>
      <c r="L37" s="30">
        <v>4</v>
      </c>
      <c r="M37" s="30">
        <v>5</v>
      </c>
    </row>
    <row r="38" spans="1:13" s="43" customFormat="1" ht="33.6" customHeight="1" x14ac:dyDescent="0.25">
      <c r="A38" s="101"/>
      <c r="B38" s="38" t="str">
        <f>INDEX('Ma trận năng lực'!B:B, MATCH(D38, 'Ma trận năng lực'!D:D, 0))</f>
        <v>Hệ thống ESD nâng cao</v>
      </c>
      <c r="C38" s="72">
        <f t="shared" si="1"/>
        <v>33</v>
      </c>
      <c r="D38" s="30" t="str">
        <v>ĐK_NLCM_038</v>
      </c>
      <c r="E38" s="28" t="str">
        <f>VLOOKUP(D38,'Ma trận năng lực'!D36:E101,2,1)</f>
        <v>Kiến thức và kỹ năng chuyên sâu liên quan đến hệ thống ESD</v>
      </c>
      <c r="F38" s="30">
        <v>1</v>
      </c>
      <c r="G38" s="30">
        <v>2</v>
      </c>
      <c r="H38" s="30">
        <v>4</v>
      </c>
      <c r="I38" s="30">
        <v>4</v>
      </c>
      <c r="J38" s="30">
        <v>4</v>
      </c>
      <c r="K38" s="30">
        <v>5</v>
      </c>
      <c r="L38" s="30">
        <v>5</v>
      </c>
      <c r="M38" s="30">
        <v>5</v>
      </c>
    </row>
    <row r="39" spans="1:13" s="43" customFormat="1" ht="33.6" customHeight="1" x14ac:dyDescent="0.25">
      <c r="A39" s="101"/>
      <c r="B39" s="38" t="str">
        <f>INDEX('Ma trận năng lực'!B:B, MATCH(D39, 'Ma trận năng lực'!D:D, 0))</f>
        <v>Hệ thống MPS/MMS nâng cao</v>
      </c>
      <c r="C39" s="72">
        <f t="shared" si="1"/>
        <v>34</v>
      </c>
      <c r="D39" s="30" t="str">
        <v>ĐK_NLCM_039</v>
      </c>
      <c r="E39" s="28" t="str">
        <f>VLOOKUP(D39,'Ma trận năng lực'!D37:E102,2,1)</f>
        <v>Kiến trúc phần mềm hệ thống MPS/MMS</v>
      </c>
      <c r="F39" s="30">
        <v>1</v>
      </c>
      <c r="G39" s="30">
        <v>2</v>
      </c>
      <c r="H39" s="30">
        <v>4</v>
      </c>
      <c r="I39" s="30">
        <v>4</v>
      </c>
      <c r="J39" s="30">
        <v>4</v>
      </c>
      <c r="K39" s="30">
        <v>4</v>
      </c>
      <c r="L39" s="30">
        <v>5</v>
      </c>
      <c r="M39" s="30">
        <v>5</v>
      </c>
    </row>
    <row r="40" spans="1:13" s="43" customFormat="1" ht="33.6" customHeight="1" x14ac:dyDescent="0.25">
      <c r="A40" s="101"/>
      <c r="B40" s="38" t="str">
        <f>INDEX('Ma trận năng lực'!B:B, MATCH(D40, 'Ma trận năng lực'!D:D, 0))</f>
        <v>Hệ thống AMS</v>
      </c>
      <c r="C40" s="72">
        <f t="shared" si="1"/>
        <v>35</v>
      </c>
      <c r="D40" s="30" t="str">
        <v>ĐK_NLCM_040</v>
      </c>
      <c r="E40" s="28" t="str">
        <f>VLOOKUP(D40,'Ma trận năng lực'!D38:E103,2,1)</f>
        <v>Kiến thức và kỹ năng liên quan đến hệ thống AMS</v>
      </c>
      <c r="F40" s="30">
        <v>1</v>
      </c>
      <c r="G40" s="30">
        <v>2</v>
      </c>
      <c r="H40" s="30">
        <v>4</v>
      </c>
      <c r="I40" s="30">
        <v>4</v>
      </c>
      <c r="J40" s="30">
        <v>4</v>
      </c>
      <c r="K40" s="30">
        <v>4</v>
      </c>
      <c r="L40" s="30">
        <v>4</v>
      </c>
      <c r="M40" s="30">
        <v>5</v>
      </c>
    </row>
    <row r="41" spans="1:13" s="43" customFormat="1" ht="33.6" customHeight="1" x14ac:dyDescent="0.25">
      <c r="A41" s="101"/>
      <c r="B41" s="38" t="str">
        <f>INDEX('Ma trận năng lực'!B:B, MATCH(D41, 'Ma trận năng lực'!D:D, 0))</f>
        <v>Hệ thống OPC</v>
      </c>
      <c r="C41" s="72">
        <f t="shared" si="1"/>
        <v>36</v>
      </c>
      <c r="D41" s="30" t="str">
        <v>ĐK_NLCM_041</v>
      </c>
      <c r="E41" s="28" t="str">
        <f>VLOOKUP(D41,'Ma trận năng lực'!D39:E104,2,1)</f>
        <v>Kiến thức và kỹ năng liên quan đến hệ thống OPC</v>
      </c>
      <c r="F41" s="30">
        <v>1</v>
      </c>
      <c r="G41" s="30">
        <v>2</v>
      </c>
      <c r="H41" s="30">
        <v>4</v>
      </c>
      <c r="I41" s="30">
        <v>4</v>
      </c>
      <c r="J41" s="30">
        <v>4</v>
      </c>
      <c r="K41" s="30">
        <v>4</v>
      </c>
      <c r="L41" s="30">
        <v>4</v>
      </c>
      <c r="M41" s="30">
        <v>5</v>
      </c>
    </row>
    <row r="42" spans="1:13" s="43" customFormat="1" ht="33.6" customHeight="1" x14ac:dyDescent="0.25">
      <c r="A42" s="101"/>
      <c r="B42" s="38" t="str">
        <f>INDEX('Ma trận năng lực'!B:B, MATCH(D42, 'Ma trận năng lực'!D:D, 0))</f>
        <v>Hệ thống OTS</v>
      </c>
      <c r="C42" s="72">
        <f t="shared" si="1"/>
        <v>37</v>
      </c>
      <c r="D42" s="30" t="str">
        <v>ĐK_NLCM_042</v>
      </c>
      <c r="E42" s="28" t="str">
        <f>VLOOKUP(D42,'Ma trận năng lực'!D40:E105,2,1)</f>
        <v>Kiến thức và kỹ năng liên quan đến hệ thống OTS</v>
      </c>
      <c r="F42" s="30">
        <v>1</v>
      </c>
      <c r="G42" s="30">
        <v>2</v>
      </c>
      <c r="H42" s="30">
        <v>4</v>
      </c>
      <c r="I42" s="30">
        <v>4</v>
      </c>
      <c r="J42" s="30">
        <v>4</v>
      </c>
      <c r="K42" s="30">
        <v>4</v>
      </c>
      <c r="L42" s="30">
        <v>4</v>
      </c>
      <c r="M42" s="30">
        <v>5</v>
      </c>
    </row>
    <row r="43" spans="1:13" s="43" customFormat="1" ht="33.6" customHeight="1" x14ac:dyDescent="0.25">
      <c r="A43" s="101"/>
      <c r="B43" s="38" t="str">
        <f>INDEX('Ma trận năng lực'!B:B, MATCH(D43, 'Ma trận năng lực'!D:D, 0))</f>
        <v>Hệ thống APC</v>
      </c>
      <c r="C43" s="72">
        <f t="shared" si="1"/>
        <v>38</v>
      </c>
      <c r="D43" s="30" t="str">
        <v>ĐK_NLCM_043</v>
      </c>
      <c r="E43" s="28" t="str">
        <f>VLOOKUP(D43,'Ma trận năng lực'!D41:E106,2,1)</f>
        <v>Kiến thức về hệ thống APC</v>
      </c>
      <c r="F43" s="30">
        <v>1</v>
      </c>
      <c r="G43" s="30">
        <v>2</v>
      </c>
      <c r="H43" s="30">
        <v>2</v>
      </c>
      <c r="I43" s="30">
        <v>2</v>
      </c>
      <c r="J43" s="30">
        <v>2</v>
      </c>
      <c r="K43" s="30">
        <v>3</v>
      </c>
      <c r="L43" s="30">
        <v>4</v>
      </c>
      <c r="M43" s="30">
        <v>5</v>
      </c>
    </row>
    <row r="44" spans="1:13" s="43" customFormat="1" ht="33.6" customHeight="1" x14ac:dyDescent="0.25">
      <c r="A44" s="102" t="s">
        <v>65</v>
      </c>
      <c r="B44" s="38" t="str">
        <f>INDEX('Ma trận năng lực'!B:B, MATCH(D44, 'Ma trận năng lực'!D:D, 0))</f>
        <v>Quy trình làm việc nâng cao</v>
      </c>
      <c r="C44" s="72">
        <f t="shared" si="1"/>
        <v>39</v>
      </c>
      <c r="D44" s="30" t="str">
        <v>ĐK_NLCM_054</v>
      </c>
      <c r="E44" s="28" t="str">
        <f>VLOOKUP(D44,'Ma trận năng lực'!D42:E107,2,1)</f>
        <v>Kiến thức về qui trình làm việc nâng cao</v>
      </c>
      <c r="F44" s="30">
        <v>1</v>
      </c>
      <c r="G44" s="30">
        <v>1</v>
      </c>
      <c r="H44" s="30">
        <v>3</v>
      </c>
      <c r="I44" s="30">
        <v>3</v>
      </c>
      <c r="J44" s="30">
        <v>3</v>
      </c>
      <c r="K44" s="30">
        <v>3</v>
      </c>
      <c r="L44" s="30">
        <v>4</v>
      </c>
      <c r="M44" s="30">
        <v>5</v>
      </c>
    </row>
    <row r="45" spans="1:13" s="43" customFormat="1" ht="33.6" customHeight="1" x14ac:dyDescent="0.25">
      <c r="A45" s="103"/>
      <c r="B45" s="38" t="str">
        <f>INDEX('Ma trận năng lực'!B:B, MATCH(D45, 'Ma trận năng lực'!D:D, 0))</f>
        <v>Thiết kế và triển khai các dự án C&amp;I quy mô nhỏ</v>
      </c>
      <c r="C45" s="72">
        <f t="shared" si="1"/>
        <v>40</v>
      </c>
      <c r="D45" s="30" t="str">
        <v>ĐK_NLCM_055</v>
      </c>
      <c r="E45" s="28" t="str">
        <f>VLOOKUP(D45,'Ma trận năng lực'!D43:E108,2,1)</f>
        <v>Tham gia thiết kế và triển khai các dự án C&amp;I quy mô nhỏ</v>
      </c>
      <c r="F45" s="30">
        <v>1</v>
      </c>
      <c r="G45" s="30">
        <v>1</v>
      </c>
      <c r="H45" s="30">
        <v>3</v>
      </c>
      <c r="I45" s="30">
        <v>3</v>
      </c>
      <c r="J45" s="30">
        <v>3</v>
      </c>
      <c r="K45" s="30">
        <v>3</v>
      </c>
      <c r="L45" s="30">
        <v>4</v>
      </c>
      <c r="M45" s="30">
        <v>5</v>
      </c>
    </row>
    <row r="46" spans="1:13" s="43" customFormat="1" ht="33.6" customHeight="1" x14ac:dyDescent="0.25">
      <c r="A46" s="103"/>
      <c r="B46" s="38" t="str">
        <f>INDEX('Ma trận năng lực'!B:B, MATCH(D46, 'Ma trận năng lực'!D:D, 0))</f>
        <v>An toàn điều khiển chức năng</v>
      </c>
      <c r="C46" s="72">
        <f t="shared" si="1"/>
        <v>41</v>
      </c>
      <c r="D46" s="30" t="str">
        <v>ĐK_NLCM_056</v>
      </c>
      <c r="E46" s="28" t="str">
        <f>VLOOKUP(D46,'Ma trận năng lực'!D44:E109,2,1)</f>
        <v>Kiến thức về an toàn điều khiển chức năng</v>
      </c>
      <c r="F46" s="30">
        <v>1</v>
      </c>
      <c r="G46" s="30">
        <v>1</v>
      </c>
      <c r="H46" s="30">
        <v>3</v>
      </c>
      <c r="I46" s="30">
        <v>3</v>
      </c>
      <c r="J46" s="30">
        <v>3</v>
      </c>
      <c r="K46" s="30">
        <v>3</v>
      </c>
      <c r="L46" s="30">
        <v>4</v>
      </c>
      <c r="M46" s="30">
        <v>5</v>
      </c>
    </row>
    <row r="47" spans="1:13" s="43" customFormat="1" ht="33.6" customHeight="1" x14ac:dyDescent="0.25">
      <c r="A47" s="103"/>
      <c r="B47" s="38" t="str">
        <f>INDEX('Ma trận năng lực'!B:B, MATCH(D47, 'Ma trận năng lực'!D:D, 0))</f>
        <v>Điều khiển nâng cao</v>
      </c>
      <c r="C47" s="72">
        <f t="shared" si="1"/>
        <v>42</v>
      </c>
      <c r="D47" s="30" t="str">
        <v>ĐK_NLCM_057</v>
      </c>
      <c r="E47" s="28" t="str">
        <f>VLOOKUP(D47,'Ma trận năng lực'!D45:E110,2,1)</f>
        <v>Kiến thức và kỹ năng liên quan đến điều khiển nâng cao</v>
      </c>
      <c r="F47" s="30">
        <v>1</v>
      </c>
      <c r="G47" s="30">
        <v>1</v>
      </c>
      <c r="H47" s="30"/>
      <c r="I47" s="30"/>
      <c r="J47" s="30"/>
      <c r="K47" s="30"/>
      <c r="L47" s="30"/>
      <c r="M47" s="30"/>
    </row>
    <row r="48" spans="1:13" s="43" customFormat="1" ht="33.6" customHeight="1" x14ac:dyDescent="0.25">
      <c r="A48" s="107" t="s">
        <v>66</v>
      </c>
      <c r="B48" s="38" t="str">
        <f>INDEX('Ma trận năng lực'!B:B, MATCH(D48, 'Ma trận năng lực'!D:D, 0))</f>
        <v>Quản lý hồ sơ, tài liệu/bản vẽ kỹ thuật</v>
      </c>
      <c r="C48" s="72">
        <f t="shared" si="1"/>
        <v>43</v>
      </c>
      <c r="D48" s="30" t="str">
        <v>ĐK_NLCM_064</v>
      </c>
      <c r="E48" s="28" t="str">
        <f>VLOOKUP(D48,'Ma trận năng lực'!D46:E111,2,1)</f>
        <v>Quản lý hồ sơ, tài liệu/bản vẽ kỹ thuật</v>
      </c>
      <c r="F48" s="30"/>
      <c r="G48" s="30"/>
      <c r="H48" s="30"/>
      <c r="I48" s="30"/>
      <c r="J48" s="30"/>
      <c r="K48" s="30"/>
      <c r="L48" s="30"/>
      <c r="M48" s="30"/>
    </row>
    <row r="49" spans="1:13" s="43" customFormat="1" ht="33.6" customHeight="1" x14ac:dyDescent="0.25">
      <c r="A49" s="108"/>
      <c r="B49" s="38" t="str">
        <f>INDEX('Ma trận năng lực'!B:B, MATCH(D49, 'Ma trận năng lực'!D:D, 0))</f>
        <v>Quản lý sử dụng vật tư tiêu hao, thiết bị, CCDC</v>
      </c>
      <c r="C49" s="72">
        <f t="shared" si="1"/>
        <v>44</v>
      </c>
      <c r="D49" s="30" t="str">
        <v>ĐK_NLCM_065</v>
      </c>
      <c r="E49" s="28" t="str">
        <f>VLOOKUP(D49,'Ma trận năng lực'!D47:E112,2,1)</f>
        <v>Quản lý sử dụng vật tư tiêu hao, thiết bị, CCDC</v>
      </c>
      <c r="F49" s="30"/>
      <c r="G49" s="30"/>
      <c r="H49" s="30"/>
      <c r="I49" s="30"/>
      <c r="J49" s="30"/>
      <c r="K49" s="30"/>
      <c r="L49" s="30"/>
      <c r="M49" s="30"/>
    </row>
    <row r="50" spans="1:13" s="43" customFormat="1" ht="33.6" customHeight="1" x14ac:dyDescent="0.25">
      <c r="A50" s="109"/>
      <c r="B50" s="38"/>
      <c r="C50" s="72">
        <f t="shared" si="1"/>
        <v>45</v>
      </c>
      <c r="D50" s="30" t="str">
        <v>ĐK_NLCM_066</v>
      </c>
      <c r="E50" s="28" t="str">
        <f>VLOOKUP(D50,'Ma trận năng lực'!D48:E113,2,1)</f>
        <v>Kỹ năng sử dụng SAP</v>
      </c>
      <c r="F50" s="30"/>
      <c r="G50" s="30"/>
      <c r="H50" s="30"/>
      <c r="I50" s="30"/>
      <c r="J50" s="30"/>
      <c r="K50" s="30"/>
      <c r="L50" s="30"/>
      <c r="M50" s="30"/>
    </row>
  </sheetData>
  <mergeCells count="7">
    <mergeCell ref="A1:M1"/>
    <mergeCell ref="A2:M2"/>
    <mergeCell ref="A3:A4"/>
    <mergeCell ref="B3:B4"/>
    <mergeCell ref="C3:C4"/>
    <mergeCell ref="D3:D4"/>
    <mergeCell ref="E3:E4"/>
  </mergeCells>
  <conditionalFormatting sqref="F6:M7 F25:M25 H8:M24 F9:G24 F25:F47">
    <cfRule type="cellIs" dxfId="100" priority="51" operator="equal">
      <formula>5</formula>
    </cfRule>
    <cfRule type="cellIs" dxfId="99" priority="52" operator="equal">
      <formula>4</formula>
    </cfRule>
    <cfRule type="cellIs" dxfId="98" priority="53" operator="equal">
      <formula>3</formula>
    </cfRule>
    <cfRule type="cellIs" dxfId="97" priority="54" operator="equal">
      <formula>2</formula>
    </cfRule>
    <cfRule type="cellIs" dxfId="96" priority="55" operator="equal">
      <formula>1</formula>
    </cfRule>
  </conditionalFormatting>
  <conditionalFormatting sqref="F30:M31 F26:F29 H26:M29 F32:F33 H32:M33 F34:M49">
    <cfRule type="cellIs" dxfId="95" priority="31" operator="equal">
      <formula>5</formula>
    </cfRule>
    <cfRule type="cellIs" dxfId="94" priority="32" operator="equal">
      <formula>4</formula>
    </cfRule>
    <cfRule type="cellIs" dxfId="93" priority="33" operator="equal">
      <formula>3</formula>
    </cfRule>
    <cfRule type="cellIs" dxfId="92" priority="34" operator="equal">
      <formula>2</formula>
    </cfRule>
    <cfRule type="cellIs" dxfId="91" priority="35" operator="equal">
      <formula>1</formula>
    </cfRule>
  </conditionalFormatting>
  <conditionalFormatting sqref="G44:J46">
    <cfRule type="cellIs" dxfId="90" priority="66" operator="equal">
      <formula>5</formula>
    </cfRule>
    <cfRule type="cellIs" dxfId="89" priority="67" operator="equal">
      <formula>4</formula>
    </cfRule>
    <cfRule type="cellIs" dxfId="88" priority="68" operator="equal">
      <formula>3</formula>
    </cfRule>
    <cfRule type="cellIs" dxfId="87" priority="69" operator="equal">
      <formula>2</formula>
    </cfRule>
    <cfRule type="cellIs" dxfId="86" priority="70" operator="equal">
      <formula>1</formula>
    </cfRule>
  </conditionalFormatting>
  <conditionalFormatting sqref="G26:G27">
    <cfRule type="cellIs" dxfId="85" priority="26" operator="equal">
      <formula>5</formula>
    </cfRule>
    <cfRule type="cellIs" dxfId="84" priority="27" operator="equal">
      <formula>4</formula>
    </cfRule>
    <cfRule type="cellIs" dxfId="83" priority="28" operator="equal">
      <formula>3</formula>
    </cfRule>
    <cfRule type="cellIs" dxfId="82" priority="29" operator="equal">
      <formula>2</formula>
    </cfRule>
    <cfRule type="cellIs" dxfId="81" priority="30" operator="equal">
      <formula>1</formula>
    </cfRule>
  </conditionalFormatting>
  <conditionalFormatting sqref="G28:G29">
    <cfRule type="cellIs" dxfId="80" priority="21" operator="equal">
      <formula>5</formula>
    </cfRule>
    <cfRule type="cellIs" dxfId="79" priority="22" operator="equal">
      <formula>4</formula>
    </cfRule>
    <cfRule type="cellIs" dxfId="78" priority="23" operator="equal">
      <formula>3</formula>
    </cfRule>
    <cfRule type="cellIs" dxfId="77" priority="24" operator="equal">
      <formula>2</formula>
    </cfRule>
    <cfRule type="cellIs" dxfId="76" priority="25" operator="equal">
      <formula>1</formula>
    </cfRule>
  </conditionalFormatting>
  <conditionalFormatting sqref="G32:G33">
    <cfRule type="cellIs" dxfId="75" priority="16" operator="equal">
      <formula>5</formula>
    </cfRule>
    <cfRule type="cellIs" dxfId="74" priority="17" operator="equal">
      <formula>4</formula>
    </cfRule>
    <cfRule type="cellIs" dxfId="73" priority="18" operator="equal">
      <formula>3</formula>
    </cfRule>
    <cfRule type="cellIs" dxfId="72" priority="19" operator="equal">
      <formula>2</formula>
    </cfRule>
    <cfRule type="cellIs" dxfId="71" priority="20" operator="equal">
      <formula>1</formula>
    </cfRule>
  </conditionalFormatting>
  <conditionalFormatting sqref="F8:G8">
    <cfRule type="cellIs" dxfId="70" priority="11" operator="equal">
      <formula>5</formula>
    </cfRule>
    <cfRule type="cellIs" dxfId="69" priority="12" operator="equal">
      <formula>4</formula>
    </cfRule>
    <cfRule type="cellIs" dxfId="68" priority="13" operator="equal">
      <formula>3</formula>
    </cfRule>
    <cfRule type="cellIs" dxfId="67" priority="14" operator="equal">
      <formula>2</formula>
    </cfRule>
    <cfRule type="cellIs" dxfId="66" priority="15" operator="equal">
      <formula>1</formula>
    </cfRule>
  </conditionalFormatting>
  <conditionalFormatting sqref="F50:M50">
    <cfRule type="cellIs" dxfId="65" priority="6" operator="equal">
      <formula>5</formula>
    </cfRule>
    <cfRule type="cellIs" dxfId="64" priority="7" operator="equal">
      <formula>4</formula>
    </cfRule>
    <cfRule type="cellIs" dxfId="63" priority="8" operator="equal">
      <formula>3</formula>
    </cfRule>
    <cfRule type="cellIs" dxfId="62" priority="9" operator="equal">
      <formula>2</formula>
    </cfRule>
    <cfRule type="cellIs" dxfId="61" priority="10" operator="equal">
      <formula>1</formula>
    </cfRule>
  </conditionalFormatting>
  <conditionalFormatting sqref="G47">
    <cfRule type="cellIs" dxfId="60" priority="1" operator="equal">
      <formula>5</formula>
    </cfRule>
    <cfRule type="cellIs" dxfId="59" priority="2" operator="equal">
      <formula>4</formula>
    </cfRule>
    <cfRule type="cellIs" dxfId="58" priority="3" operator="equal">
      <formula>3</formula>
    </cfRule>
    <cfRule type="cellIs" dxfId="57" priority="4" operator="equal">
      <formula>2</formula>
    </cfRule>
    <cfRule type="cellIs" dxfId="56" priority="5" operator="equal">
      <formula>1</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A428C-4EAA-40C5-BC57-AC285DFD829C}">
  <dimension ref="A1:R40"/>
  <sheetViews>
    <sheetView zoomScale="70" zoomScaleNormal="85" workbookViewId="0">
      <pane xSplit="13" ySplit="4" topLeftCell="N6" activePane="bottomRight" state="frozen"/>
      <selection pane="topRight" activeCell="P1" sqref="P1"/>
      <selection pane="bottomLeft" activeCell="A5" sqref="A5"/>
      <selection pane="bottomRight" activeCell="E10" sqref="E10"/>
    </sheetView>
  </sheetViews>
  <sheetFormatPr defaultColWidth="8.77734375" defaultRowHeight="15.75" x14ac:dyDescent="0.25"/>
  <cols>
    <col min="1" max="1" width="11.21875" style="44" customWidth="1"/>
    <col min="2" max="2" width="52.109375" style="45" customWidth="1"/>
    <col min="3" max="3" width="5.77734375" style="39" customWidth="1"/>
    <col min="4" max="4" width="21.5546875" style="115" customWidth="1"/>
    <col min="5" max="5" width="64.44140625" style="45" customWidth="1"/>
    <col min="6" max="13" width="7.109375" style="39" customWidth="1"/>
    <col min="14" max="16384" width="8.77734375" style="39"/>
  </cols>
  <sheetData>
    <row r="1" spans="1:18" ht="20.25" customHeight="1" x14ac:dyDescent="0.25">
      <c r="A1" s="146" t="s">
        <v>107</v>
      </c>
      <c r="B1" s="146"/>
      <c r="C1" s="146"/>
      <c r="D1" s="146"/>
      <c r="E1" s="146"/>
      <c r="F1" s="146"/>
      <c r="G1" s="146"/>
      <c r="H1" s="146"/>
      <c r="I1" s="146"/>
      <c r="J1" s="146"/>
      <c r="K1" s="146"/>
      <c r="L1" s="146"/>
      <c r="M1" s="146"/>
    </row>
    <row r="2" spans="1:18" ht="27.75" customHeight="1" x14ac:dyDescent="0.25">
      <c r="A2" s="147" t="s">
        <v>185</v>
      </c>
      <c r="B2" s="147"/>
      <c r="C2" s="147"/>
      <c r="D2" s="147"/>
      <c r="E2" s="147"/>
      <c r="F2" s="147"/>
      <c r="G2" s="147"/>
      <c r="H2" s="147"/>
      <c r="I2" s="147"/>
      <c r="J2" s="147"/>
      <c r="K2" s="147"/>
      <c r="L2" s="147"/>
      <c r="M2" s="147"/>
    </row>
    <row r="3" spans="1:18" s="40" customFormat="1" ht="28.9" customHeight="1" x14ac:dyDescent="0.25">
      <c r="A3" s="148" t="s">
        <v>4</v>
      </c>
      <c r="B3" s="149" t="s">
        <v>52</v>
      </c>
      <c r="C3" s="150" t="s">
        <v>0</v>
      </c>
      <c r="D3" s="149" t="s">
        <v>108</v>
      </c>
      <c r="E3" s="151" t="s">
        <v>109</v>
      </c>
      <c r="F3" s="19" t="s">
        <v>110</v>
      </c>
      <c r="G3" s="19" t="s">
        <v>111</v>
      </c>
      <c r="H3" s="19" t="s">
        <v>112</v>
      </c>
      <c r="I3" s="19" t="s">
        <v>113</v>
      </c>
      <c r="J3" s="19" t="s">
        <v>114</v>
      </c>
      <c r="K3" s="19" t="s">
        <v>115</v>
      </c>
      <c r="L3" s="19" t="s">
        <v>116</v>
      </c>
      <c r="M3" s="19" t="s">
        <v>117</v>
      </c>
      <c r="N3" s="39"/>
      <c r="O3" s="39"/>
      <c r="P3" s="39"/>
      <c r="Q3" s="39"/>
      <c r="R3" s="39"/>
    </row>
    <row r="4" spans="1:18" s="40" customFormat="1" x14ac:dyDescent="0.25">
      <c r="A4" s="148"/>
      <c r="B4" s="149"/>
      <c r="C4" s="150"/>
      <c r="D4" s="149"/>
      <c r="E4" s="151"/>
      <c r="F4" s="41">
        <f t="shared" ref="F4:M4" si="0">SUM(F6:F55)</f>
        <v>58</v>
      </c>
      <c r="G4" s="41">
        <f t="shared" si="0"/>
        <v>68</v>
      </c>
      <c r="H4" s="41">
        <f t="shared" si="0"/>
        <v>87</v>
      </c>
      <c r="I4" s="41">
        <f t="shared" si="0"/>
        <v>104</v>
      </c>
      <c r="J4" s="41">
        <f t="shared" si="0"/>
        <v>107</v>
      </c>
      <c r="K4" s="41">
        <f t="shared" si="0"/>
        <v>111</v>
      </c>
      <c r="L4" s="41">
        <f t="shared" si="0"/>
        <v>116</v>
      </c>
      <c r="M4" s="41">
        <f t="shared" si="0"/>
        <v>116</v>
      </c>
      <c r="N4" s="39"/>
      <c r="O4" s="39"/>
      <c r="P4" s="39"/>
      <c r="Q4" s="39"/>
      <c r="R4" s="39"/>
    </row>
    <row r="5" spans="1:18" s="40" customFormat="1" hidden="1" x14ac:dyDescent="0.25">
      <c r="A5" s="99"/>
      <c r="B5" s="19"/>
      <c r="C5" s="97"/>
      <c r="D5" s="19"/>
      <c r="E5" s="80"/>
      <c r="F5" s="92">
        <v>1</v>
      </c>
      <c r="G5" s="92">
        <v>2</v>
      </c>
      <c r="H5" s="92">
        <v>3</v>
      </c>
      <c r="I5" s="92">
        <v>4</v>
      </c>
      <c r="J5" s="92">
        <v>5</v>
      </c>
      <c r="K5" s="92">
        <v>6</v>
      </c>
      <c r="L5" s="92">
        <v>7</v>
      </c>
      <c r="M5" s="92">
        <v>8</v>
      </c>
      <c r="N5" s="39"/>
      <c r="O5" s="39"/>
      <c r="P5" s="39"/>
      <c r="Q5" s="39"/>
      <c r="R5" s="39"/>
    </row>
    <row r="6" spans="1:18" s="43" customFormat="1" ht="33.6" customHeight="1" x14ac:dyDescent="0.25">
      <c r="A6" s="73" t="s">
        <v>58</v>
      </c>
      <c r="B6" s="38" t="str">
        <f>INDEX('Ma trận năng lực'!B:B, MATCH(D6, 'Ma trận năng lực'!D:D, 0))</f>
        <v>HSE cương vị</v>
      </c>
      <c r="C6" s="72">
        <f>ROW()-5</f>
        <v>1</v>
      </c>
      <c r="D6" s="30" t="str" cm="1">
        <f t="array" ref="D6:D40">_xlfn._xlws.FILTER('Ma trận năng lực'!D:D,'Ma trận năng lực'!U:U="x")</f>
        <v>ĐK_NLCM_001</v>
      </c>
      <c r="E6" s="28" t="str">
        <f>VLOOKUP(D6,'Ma trận năng lực'!D4:E69,2,1)</f>
        <v xml:space="preserve">Kiến thức về an toàn khi làm việc với các thiết bị đo lường tự động hóa </v>
      </c>
      <c r="F6" s="30">
        <v>2</v>
      </c>
      <c r="G6" s="30">
        <v>3</v>
      </c>
      <c r="H6" s="30">
        <v>4</v>
      </c>
      <c r="I6" s="30">
        <v>4</v>
      </c>
      <c r="J6" s="30">
        <v>4</v>
      </c>
      <c r="K6" s="30">
        <v>4</v>
      </c>
      <c r="L6" s="30">
        <v>4</v>
      </c>
      <c r="M6" s="30">
        <v>4</v>
      </c>
    </row>
    <row r="7" spans="1:18" s="43" customFormat="1" ht="33.6" customHeight="1" x14ac:dyDescent="0.25">
      <c r="A7" s="74"/>
      <c r="B7" s="38" t="str">
        <f>INDEX('Ma trận năng lực'!B:B, MATCH(D7, 'Ma trận năng lực'!D:D, 0))</f>
        <v>Quy trình làm việc</v>
      </c>
      <c r="C7" s="72">
        <f t="shared" ref="C7:C39" si="1">ROW()-5</f>
        <v>2</v>
      </c>
      <c r="D7" s="30" t="str">
        <v>ĐK_NLCM_002</v>
      </c>
      <c r="E7" s="28" t="str">
        <f>VLOOKUP(D7,'Ma trận năng lực'!D5:E70,2,1)</f>
        <v>Kiến thức về quy trình làm việc</v>
      </c>
      <c r="F7" s="30">
        <v>2</v>
      </c>
      <c r="G7" s="30">
        <v>3</v>
      </c>
      <c r="H7" s="30">
        <v>4</v>
      </c>
      <c r="I7" s="30">
        <v>4</v>
      </c>
      <c r="J7" s="30">
        <v>4</v>
      </c>
      <c r="K7" s="30">
        <v>4</v>
      </c>
      <c r="L7" s="30">
        <v>4</v>
      </c>
      <c r="M7" s="30">
        <v>4</v>
      </c>
    </row>
    <row r="8" spans="1:18" s="43" customFormat="1" ht="39" customHeight="1" x14ac:dyDescent="0.25">
      <c r="A8" s="74"/>
      <c r="B8" s="38" t="str">
        <f>INDEX('Ma trận năng lực'!B:B, MATCH(D8, 'Ma trận năng lực'!D:D, 0))</f>
        <v>Nhận diện mối nguy và đánh giá rủi ro</v>
      </c>
      <c r="C8" s="72">
        <f t="shared" si="1"/>
        <v>3</v>
      </c>
      <c r="D8" s="30" t="str">
        <v>ĐK_NLCM_003</v>
      </c>
      <c r="E8" s="28" t="str">
        <f>VLOOKUP(D8,'Ma trận năng lực'!D6:E71,2,1)</f>
        <v>Nhận diện mối nguy và đánh giá rủi ro</v>
      </c>
      <c r="F8" s="30">
        <v>2</v>
      </c>
      <c r="G8" s="30">
        <v>3</v>
      </c>
      <c r="H8" s="30">
        <v>3</v>
      </c>
      <c r="I8" s="30">
        <v>3</v>
      </c>
      <c r="J8" s="30">
        <v>4</v>
      </c>
      <c r="K8" s="30">
        <v>4</v>
      </c>
      <c r="L8" s="30">
        <v>4</v>
      </c>
      <c r="M8" s="30">
        <v>4</v>
      </c>
    </row>
    <row r="9" spans="1:18" s="43" customFormat="1" ht="37.5" customHeight="1" x14ac:dyDescent="0.25">
      <c r="A9" s="74"/>
      <c r="B9" s="38" t="str">
        <f>INDEX('Ma trận năng lực'!B:B, MATCH(D9, 'Ma trận năng lực'!D:D, 0))</f>
        <v>Nền tảng chuyên ngành đo lường điều khiển</v>
      </c>
      <c r="C9" s="72">
        <f t="shared" si="1"/>
        <v>4</v>
      </c>
      <c r="D9" s="30" t="str">
        <v>ĐK_NLCM_004</v>
      </c>
      <c r="E9" s="28" t="str">
        <f>VLOOKUP(D9,'Ma trận năng lực'!D7:E72,2,1)</f>
        <v>Kiến thức Điện - Điện tử cơ bản</v>
      </c>
      <c r="F9" s="30">
        <v>2</v>
      </c>
      <c r="G9" s="30">
        <v>3</v>
      </c>
      <c r="H9" s="30">
        <v>4</v>
      </c>
      <c r="I9" s="30">
        <v>4</v>
      </c>
      <c r="J9" s="30">
        <v>4</v>
      </c>
      <c r="K9" s="30">
        <v>4</v>
      </c>
      <c r="L9" s="30">
        <v>4</v>
      </c>
      <c r="M9" s="30">
        <v>4</v>
      </c>
    </row>
    <row r="10" spans="1:18" s="43" customFormat="1" ht="33.6" customHeight="1" x14ac:dyDescent="0.25">
      <c r="A10" s="74"/>
      <c r="B10" s="38" t="str">
        <f>INDEX('Ma trận năng lực'!B:B, MATCH(D10, 'Ma trận năng lực'!D:D, 0))</f>
        <v>P&amp;ID</v>
      </c>
      <c r="C10" s="72">
        <f t="shared" si="1"/>
        <v>5</v>
      </c>
      <c r="D10" s="30" t="str">
        <v>ĐK_NLCM_010</v>
      </c>
      <c r="E10" s="28" t="str">
        <f>VLOOKUP(D10,'Ma trận năng lực'!D8:E73,2,1)</f>
        <v>Kiến thức và kỹ năng về P&amp;ID</v>
      </c>
      <c r="F10" s="30">
        <v>2</v>
      </c>
      <c r="G10" s="30">
        <v>3</v>
      </c>
      <c r="H10" s="30">
        <v>3</v>
      </c>
      <c r="I10" s="30">
        <v>3</v>
      </c>
      <c r="J10" s="30">
        <v>4</v>
      </c>
      <c r="K10" s="30">
        <v>4</v>
      </c>
      <c r="L10" s="30">
        <v>4</v>
      </c>
      <c r="M10" s="30">
        <v>4</v>
      </c>
    </row>
    <row r="11" spans="1:18" s="43" customFormat="1" ht="33.6" customHeight="1" x14ac:dyDescent="0.25">
      <c r="A11" s="74"/>
      <c r="B11" s="38" t="str">
        <f>INDEX('Ma trận năng lực'!B:B, MATCH(D11, 'Ma trận năng lực'!D:D, 0))</f>
        <v>IO wiring, Instrument juction box và cable schedule và Interlock</v>
      </c>
      <c r="C11" s="72">
        <f t="shared" si="1"/>
        <v>6</v>
      </c>
      <c r="D11" s="30" t="str">
        <v>ĐK_NLCM_011</v>
      </c>
      <c r="E11" s="28" t="str">
        <f>VLOOKUP(D11,'Ma trận năng lực'!D9:E74,2,1)</f>
        <v xml:space="preserve">Kiến thức về IO wiring, Instrument juction box và cable schedule, Interlock </v>
      </c>
      <c r="F11" s="30">
        <v>2</v>
      </c>
      <c r="G11" s="30">
        <v>3</v>
      </c>
      <c r="H11" s="30">
        <v>3</v>
      </c>
      <c r="I11" s="30">
        <v>4</v>
      </c>
      <c r="J11" s="30">
        <v>4</v>
      </c>
      <c r="K11" s="30">
        <v>4</v>
      </c>
      <c r="L11" s="30">
        <v>4</v>
      </c>
      <c r="M11" s="30">
        <v>4</v>
      </c>
    </row>
    <row r="12" spans="1:18" s="43" customFormat="1" ht="33.6" customHeight="1" x14ac:dyDescent="0.25">
      <c r="A12" s="74"/>
      <c r="B12" s="38" t="str">
        <f>INDEX('Ma trận năng lực'!B:B, MATCH(D12, 'Ma trận năng lực'!D:D, 0))</f>
        <v>Công cụ, Dụng cụ cầm tay cho chuyên môn thiết bị Đo lường</v>
      </c>
      <c r="C12" s="72">
        <f t="shared" si="1"/>
        <v>7</v>
      </c>
      <c r="D12" s="30" t="str">
        <v>ĐK_NLCM_012</v>
      </c>
      <c r="E12" s="28" t="str">
        <f>VLOOKUP(D12,'Ma trận năng lực'!D10:E75,2,1)</f>
        <v>Kỹ năng sử dụng Công cụ, Dụng cụ cầm tay cho chuyên môn thiết bị Đo lường</v>
      </c>
      <c r="F12" s="30">
        <v>2</v>
      </c>
      <c r="G12" s="30">
        <v>3</v>
      </c>
      <c r="H12" s="30">
        <v>3</v>
      </c>
      <c r="I12" s="30">
        <v>3</v>
      </c>
      <c r="J12" s="30">
        <v>3</v>
      </c>
      <c r="K12" s="30">
        <v>3</v>
      </c>
      <c r="L12" s="30">
        <v>4</v>
      </c>
      <c r="M12" s="30">
        <v>4</v>
      </c>
    </row>
    <row r="13" spans="1:18" s="43" customFormat="1" ht="33.6" customHeight="1" x14ac:dyDescent="0.25">
      <c r="A13" s="74"/>
      <c r="B13" s="38" t="str">
        <f>INDEX('Ma trận năng lực'!B:B, MATCH(D13, 'Ma trận năng lực'!D:D, 0))</f>
        <v>Công cụ, Dụng cụ cầm tay cho chuyên môn thiết bị van điều khiển</v>
      </c>
      <c r="C13" s="72">
        <f t="shared" si="1"/>
        <v>8</v>
      </c>
      <c r="D13" s="30" t="str">
        <v>ĐK_NLCM_013</v>
      </c>
      <c r="E13" s="28" t="str">
        <f>VLOOKUP(D13,'Ma trận năng lực'!D11:E76,2,1)</f>
        <v>Kỹ năng sử dụng Công cụ, Dụng cụ cầm tay cho chuyên môn thiết bị van điều khiển</v>
      </c>
      <c r="F13" s="30">
        <v>2</v>
      </c>
      <c r="G13" s="30">
        <v>2</v>
      </c>
      <c r="H13" s="30">
        <v>3</v>
      </c>
      <c r="I13" s="30">
        <v>3</v>
      </c>
      <c r="J13" s="30">
        <v>4</v>
      </c>
      <c r="K13" s="30">
        <v>4</v>
      </c>
      <c r="L13" s="30">
        <v>4</v>
      </c>
      <c r="M13" s="30">
        <v>4</v>
      </c>
    </row>
    <row r="14" spans="1:18" s="43" customFormat="1" ht="33.6" customHeight="1" x14ac:dyDescent="0.25">
      <c r="A14" s="74"/>
      <c r="B14" s="38" t="str">
        <f>INDEX('Ma trận năng lực'!B:B, MATCH(D14, 'Ma trận năng lực'!D:D, 0))</f>
        <v>Vật lý cơ bản</v>
      </c>
      <c r="C14" s="72">
        <f t="shared" si="1"/>
        <v>9</v>
      </c>
      <c r="D14" s="30" t="str">
        <v>ĐK_NLCM_014</v>
      </c>
      <c r="E14" s="28" t="str">
        <f>VLOOKUP(D14,'Ma trận năng lực'!D12:E77,2,1)</f>
        <v>Kiến thức về vật lý và đại lượng đo lường cơ bản</v>
      </c>
      <c r="F14" s="30">
        <v>2</v>
      </c>
      <c r="G14" s="30">
        <v>3</v>
      </c>
      <c r="H14" s="30">
        <v>3</v>
      </c>
      <c r="I14" s="30">
        <v>4</v>
      </c>
      <c r="J14" s="30">
        <v>4</v>
      </c>
      <c r="K14" s="30">
        <v>4</v>
      </c>
      <c r="L14" s="30">
        <v>4</v>
      </c>
      <c r="M14" s="30">
        <v>4</v>
      </c>
    </row>
    <row r="15" spans="1:18" s="43" customFormat="1" ht="51.6" customHeight="1" x14ac:dyDescent="0.25">
      <c r="A15" s="74"/>
      <c r="B15" s="38" t="str">
        <f>INDEX('Ma trận năng lực'!B:B, MATCH(D15, 'Ma trận năng lực'!D:D, 0))</f>
        <v>Lựa chọn fitting, tubing</v>
      </c>
      <c r="C15" s="72">
        <f t="shared" si="1"/>
        <v>10</v>
      </c>
      <c r="D15" s="30" t="str">
        <v>ĐK_NLCM_015</v>
      </c>
      <c r="E15" s="28" t="str">
        <f>VLOOKUP(D15,'Ma trận năng lực'!D13:E78,2,1)</f>
        <v>Kiến thức và kỹ năng liên quan đến lựa chọn fitting và tubing</v>
      </c>
      <c r="F15" s="30">
        <v>2</v>
      </c>
      <c r="G15" s="30">
        <v>2</v>
      </c>
      <c r="H15" s="30">
        <v>2</v>
      </c>
      <c r="I15" s="30">
        <v>2</v>
      </c>
      <c r="J15" s="30">
        <v>2</v>
      </c>
      <c r="K15" s="30">
        <v>2</v>
      </c>
      <c r="L15" s="30">
        <v>2</v>
      </c>
      <c r="M15" s="30">
        <v>2</v>
      </c>
    </row>
    <row r="16" spans="1:18" s="43" customFormat="1" ht="57" customHeight="1" x14ac:dyDescent="0.25">
      <c r="A16" s="74"/>
      <c r="B16" s="38" t="str">
        <f>INDEX('Ma trận năng lực'!B:B, MATCH(D16, 'Ma trận năng lực'!D:D, 0))</f>
        <v>Công nghệ sản xuất</v>
      </c>
      <c r="C16" s="72">
        <f t="shared" si="1"/>
        <v>11</v>
      </c>
      <c r="D16" s="30" t="str">
        <v>ĐK_NLCM_016</v>
      </c>
      <c r="E16" s="28" t="str">
        <f>VLOOKUP(D16,'Ma trận năng lực'!D14:E79,2,1)</f>
        <v>Kiến thức cơ bản về quy trình công nghệ sản xuất tại Nhà máy Đạm Cà Mau từ khí đầu vào đến tạo hạt, đóng bao.</v>
      </c>
      <c r="F16" s="30">
        <v>2</v>
      </c>
      <c r="G16" s="30">
        <v>2</v>
      </c>
      <c r="H16" s="30">
        <v>3</v>
      </c>
      <c r="I16" s="30">
        <v>3</v>
      </c>
      <c r="J16" s="30">
        <v>3</v>
      </c>
      <c r="K16" s="30">
        <v>3</v>
      </c>
      <c r="L16" s="30">
        <v>3</v>
      </c>
      <c r="M16" s="30">
        <v>3</v>
      </c>
    </row>
    <row r="17" spans="1:13" s="43" customFormat="1" ht="33.6" customHeight="1" x14ac:dyDescent="0.25">
      <c r="A17" s="74"/>
      <c r="B17" s="38" t="str">
        <f>INDEX('Ma trận năng lực'!B:B, MATCH(D17, 'Ma trận năng lực'!D:D, 0))</f>
        <v>Tổng quan Hệ thống điều khiển nhà máy Đạm Cà Mau</v>
      </c>
      <c r="C17" s="72">
        <f t="shared" si="1"/>
        <v>12</v>
      </c>
      <c r="D17" s="30" t="str">
        <v>ĐK_NLCM_017</v>
      </c>
      <c r="E17" s="28" t="str">
        <f>VLOOKUP(D17,'Ma trận năng lực'!D15:E80,2,1)</f>
        <v>Nắm được chức năng của các hệ thống điều khiển tại nhà máy Đạm Cà Mau bao gồm Hệ thống điều khiển phân tán, ESD, hệ thống điều khiển Turbine và máy nén, hệ thống MPS/MMS, hệ thống đóng bao xuất hàng</v>
      </c>
      <c r="F17" s="30">
        <v>2</v>
      </c>
      <c r="G17" s="30">
        <v>2</v>
      </c>
      <c r="H17" s="30">
        <v>3</v>
      </c>
      <c r="I17" s="30">
        <v>3</v>
      </c>
      <c r="J17" s="30">
        <v>3</v>
      </c>
      <c r="K17" s="30">
        <v>4</v>
      </c>
      <c r="L17" s="30">
        <v>4</v>
      </c>
      <c r="M17" s="30">
        <v>4</v>
      </c>
    </row>
    <row r="18" spans="1:13" s="43" customFormat="1" ht="33.6" customHeight="1" x14ac:dyDescent="0.25">
      <c r="A18" s="74"/>
      <c r="B18" s="38" t="str">
        <f>INDEX('Ma trận năng lực'!B:B, MATCH(D18, 'Ma trận năng lực'!D:D, 0))</f>
        <v>Tổng quan Thiết bị đo lường và van điều khiển nhà máy Đạm Cà Mau</v>
      </c>
      <c r="C18" s="72">
        <f t="shared" si="1"/>
        <v>13</v>
      </c>
      <c r="D18" s="30" t="str">
        <v>ĐK_NLCM_018</v>
      </c>
      <c r="E18" s="28" t="str">
        <f>VLOOKUP(D18,'Ma trận năng lực'!D16:E81,2,1)</f>
        <v>Kiến thức về thiết bị đo lường và van điều khiển tại nhà máy Đạm Cà Mau</v>
      </c>
      <c r="F18" s="30">
        <v>2</v>
      </c>
      <c r="G18" s="30">
        <v>2</v>
      </c>
      <c r="H18" s="30">
        <v>3</v>
      </c>
      <c r="I18" s="30">
        <v>3</v>
      </c>
      <c r="J18" s="30">
        <v>3</v>
      </c>
      <c r="K18" s="30">
        <v>4</v>
      </c>
      <c r="L18" s="30">
        <v>4</v>
      </c>
      <c r="M18" s="30">
        <v>4</v>
      </c>
    </row>
    <row r="19" spans="1:13" s="43" customFormat="1" ht="27" customHeight="1" x14ac:dyDescent="0.25">
      <c r="A19" s="74"/>
      <c r="B19" s="38" t="str">
        <f>INDEX('Ma trận năng lực'!B:B, MATCH(D19, 'Ma trận năng lực'!D:D, 0))</f>
        <v>Kiến thức tổng quan về biện pháp phòng nổ (Ex protection)</v>
      </c>
      <c r="C19" s="72">
        <f t="shared" si="1"/>
        <v>14</v>
      </c>
      <c r="D19" s="30" t="str">
        <v>ĐK_NLCM_019</v>
      </c>
      <c r="E19" s="28" t="str">
        <f>VLOOKUP(D19,'Ma trận năng lực'!D17:E82,2,1)</f>
        <v>Kiến thức về vùng nguy hiểm</v>
      </c>
      <c r="F19" s="30">
        <v>2</v>
      </c>
      <c r="G19" s="30">
        <v>2</v>
      </c>
      <c r="H19" s="30">
        <v>3</v>
      </c>
      <c r="I19" s="30">
        <v>3</v>
      </c>
      <c r="J19" s="30">
        <v>3</v>
      </c>
      <c r="K19" s="30">
        <v>4</v>
      </c>
      <c r="L19" s="30">
        <v>4</v>
      </c>
      <c r="M19" s="30">
        <v>4</v>
      </c>
    </row>
    <row r="20" spans="1:13" s="43" customFormat="1" ht="33.6" customHeight="1" x14ac:dyDescent="0.25">
      <c r="A20" s="74"/>
      <c r="B20" s="38" t="str">
        <f>INDEX('Ma trận năng lực'!B:B, MATCH(D20, 'Ma trận năng lực'!D:D, 0))</f>
        <v>Kiến thức tổng quan về biện pháp phòng nổ (Ex protection)</v>
      </c>
      <c r="C20" s="72">
        <f t="shared" si="1"/>
        <v>15</v>
      </c>
      <c r="D20" s="30" t="str">
        <v>ĐK_NLCM_020</v>
      </c>
      <c r="E20" s="28" t="str">
        <f>VLOOKUP(D20,'Ma trận năng lực'!D18:E83,2,1)</f>
        <v>Kiến thức về ký hiệu phòng nổ trên thiết bị</v>
      </c>
      <c r="F20" s="30">
        <v>2</v>
      </c>
      <c r="G20" s="30">
        <v>2</v>
      </c>
      <c r="H20" s="30">
        <v>3</v>
      </c>
      <c r="I20" s="30">
        <v>4</v>
      </c>
      <c r="J20" s="30">
        <v>4</v>
      </c>
      <c r="K20" s="30">
        <v>4</v>
      </c>
      <c r="L20" s="30">
        <v>4</v>
      </c>
      <c r="M20" s="30">
        <v>4</v>
      </c>
    </row>
    <row r="21" spans="1:13" s="43" customFormat="1" ht="33.6" customHeight="1" x14ac:dyDescent="0.25">
      <c r="A21" s="100" t="s">
        <v>64</v>
      </c>
      <c r="B21" s="38" t="str">
        <f>INDEX('Ma trận năng lực'!B:B, MATCH(D21, 'Ma trận năng lực'!D:D, 0))</f>
        <v>Trí tuệ nhân tạo (AI)</v>
      </c>
      <c r="C21" s="72">
        <f t="shared" si="1"/>
        <v>16</v>
      </c>
      <c r="D21" s="30" t="str">
        <v>ĐK_NLCM_024</v>
      </c>
      <c r="E21" s="28" t="str">
        <f>VLOOKUP(D21,'Ma trận năng lực'!D19:E84,2,1)</f>
        <v>Kiến thức và kỹ năng liên về trí tuệ nhân tạo (AI)</v>
      </c>
      <c r="F21" s="30">
        <v>2</v>
      </c>
      <c r="G21" s="30">
        <v>2</v>
      </c>
      <c r="H21" s="30">
        <v>3</v>
      </c>
      <c r="I21" s="30">
        <v>4</v>
      </c>
      <c r="J21" s="30">
        <v>4</v>
      </c>
      <c r="K21" s="30">
        <v>4</v>
      </c>
      <c r="L21" s="30">
        <v>4</v>
      </c>
      <c r="M21" s="30">
        <v>4</v>
      </c>
    </row>
    <row r="22" spans="1:13" s="43" customFormat="1" ht="33.6" customHeight="1" x14ac:dyDescent="0.25">
      <c r="A22" s="101"/>
      <c r="B22" s="38" t="str">
        <f>INDEX('Ma trận năng lực'!B:B, MATCH(D22, 'Ma trận năng lực'!D:D, 0))</f>
        <v>Thiết bị đo nhiệt độ</v>
      </c>
      <c r="C22" s="72">
        <f t="shared" si="1"/>
        <v>17</v>
      </c>
      <c r="D22" s="30" t="str">
        <v>ĐK_NLCM_044</v>
      </c>
      <c r="E22" s="28" t="str">
        <f>VLOOKUP(D22,'Ma trận năng lực'!D20:E85,2,1)</f>
        <v>Kiến thức và kỹ năng về thiết bị đo nhiệt độ</v>
      </c>
      <c r="F22" s="30">
        <v>2</v>
      </c>
      <c r="G22" s="30">
        <v>2</v>
      </c>
      <c r="H22" s="30">
        <v>3</v>
      </c>
      <c r="I22" s="30">
        <v>4</v>
      </c>
      <c r="J22" s="30">
        <v>4</v>
      </c>
      <c r="K22" s="30">
        <v>4</v>
      </c>
      <c r="L22" s="30">
        <v>4</v>
      </c>
      <c r="M22" s="30">
        <v>4</v>
      </c>
    </row>
    <row r="23" spans="1:13" s="43" customFormat="1" ht="33.6" customHeight="1" x14ac:dyDescent="0.25">
      <c r="A23" s="101"/>
      <c r="B23" s="38" t="str">
        <f>INDEX('Ma trận năng lực'!B:B, MATCH(D23, 'Ma trận năng lực'!D:D, 0))</f>
        <v>Thiết bị đo áp suất</v>
      </c>
      <c r="C23" s="72">
        <f t="shared" si="1"/>
        <v>18</v>
      </c>
      <c r="D23" s="30" t="str">
        <v>ĐK_NLCM_045</v>
      </c>
      <c r="E23" s="28" t="str">
        <f>VLOOKUP(D23,'Ma trận năng lực'!D21:E86,2,1)</f>
        <v>Kiến thức và kỹ năng về thiết bị đo áp suất</v>
      </c>
      <c r="F23" s="30">
        <v>2</v>
      </c>
      <c r="G23" s="30">
        <v>2</v>
      </c>
      <c r="H23" s="30">
        <v>3</v>
      </c>
      <c r="I23" s="30">
        <v>4</v>
      </c>
      <c r="J23" s="30">
        <v>4</v>
      </c>
      <c r="K23" s="30">
        <v>4</v>
      </c>
      <c r="L23" s="30">
        <v>4</v>
      </c>
      <c r="M23" s="30">
        <v>4</v>
      </c>
    </row>
    <row r="24" spans="1:13" s="43" customFormat="1" ht="33.6" customHeight="1" x14ac:dyDescent="0.25">
      <c r="A24" s="101"/>
      <c r="B24" s="38" t="str">
        <f>INDEX('Ma trận năng lực'!B:B, MATCH(D24, 'Ma trận năng lực'!D:D, 0))</f>
        <v>Thiết bị đo mức theo nguyên lý chênh áp</v>
      </c>
      <c r="C24" s="72">
        <f t="shared" si="1"/>
        <v>19</v>
      </c>
      <c r="D24" s="30" t="str">
        <v>ĐK_NLCM_046</v>
      </c>
      <c r="E24" s="28" t="str">
        <f>VLOOKUP(D24,'Ma trận năng lực'!D22:E87,2,1)</f>
        <v>Kiến thức và kỹ năng về thiết bị đo mức theo nguyên lý chênh áp</v>
      </c>
      <c r="F24" s="30">
        <v>2</v>
      </c>
      <c r="G24" s="30">
        <v>2</v>
      </c>
      <c r="H24" s="30">
        <v>3</v>
      </c>
      <c r="I24" s="30">
        <v>4</v>
      </c>
      <c r="J24" s="30">
        <v>4</v>
      </c>
      <c r="K24" s="30">
        <v>4</v>
      </c>
      <c r="L24" s="30">
        <v>4</v>
      </c>
      <c r="M24" s="30">
        <v>4</v>
      </c>
    </row>
    <row r="25" spans="1:13" s="43" customFormat="1" ht="33.6" customHeight="1" x14ac:dyDescent="0.25">
      <c r="A25" s="101"/>
      <c r="B25" s="38" t="str">
        <f>INDEX('Ma trận năng lực'!B:B, MATCH(D25, 'Ma trận năng lực'!D:D, 0))</f>
        <v>Thiết bị đo lưu lượng theo nguyên lý chênh áp</v>
      </c>
      <c r="C25" s="72">
        <f t="shared" si="1"/>
        <v>20</v>
      </c>
      <c r="D25" s="30" t="str">
        <v>ĐK_NLCM_047</v>
      </c>
      <c r="E25" s="28" t="str">
        <f>VLOOKUP(D25,'Ma trận năng lực'!D23:E88,2,1)</f>
        <v>Kiến thức và kỹ năng về thiết bị đo lưu lượng theo nguyên lý chênh áp</v>
      </c>
      <c r="F25" s="30">
        <v>2</v>
      </c>
      <c r="G25" s="30">
        <v>2</v>
      </c>
      <c r="H25" s="30">
        <v>3</v>
      </c>
      <c r="I25" s="30">
        <v>4</v>
      </c>
      <c r="J25" s="30">
        <v>4</v>
      </c>
      <c r="K25" s="30">
        <v>4</v>
      </c>
      <c r="L25" s="30">
        <v>4</v>
      </c>
      <c r="M25" s="30">
        <v>4</v>
      </c>
    </row>
    <row r="26" spans="1:13" s="43" customFormat="1" ht="33.6" customHeight="1" x14ac:dyDescent="0.25">
      <c r="A26" s="101"/>
      <c r="B26" s="38" t="str">
        <f>INDEX('Ma trận năng lực'!B:B, MATCH(D26, 'Ma trận năng lực'!D:D, 0))</f>
        <v>Thiết bị đo giám sát máy động</v>
      </c>
      <c r="C26" s="72">
        <f t="shared" si="1"/>
        <v>21</v>
      </c>
      <c r="D26" s="30" t="str">
        <v>ĐK_NLCM_048</v>
      </c>
      <c r="E26" s="28" t="str">
        <f>VLOOKUP(D26,'Ma trận năng lực'!D24:E89,2,1)</f>
        <v>Kiến thức và kỹ năng về thiết bị đo giám sát máy động</v>
      </c>
      <c r="F26" s="30">
        <v>2</v>
      </c>
      <c r="G26" s="30">
        <v>2</v>
      </c>
      <c r="H26" s="30">
        <v>3</v>
      </c>
      <c r="I26" s="30">
        <v>4</v>
      </c>
      <c r="J26" s="30">
        <v>4</v>
      </c>
      <c r="K26" s="30">
        <v>4</v>
      </c>
      <c r="L26" s="30">
        <v>4</v>
      </c>
      <c r="M26" s="30">
        <v>4</v>
      </c>
    </row>
    <row r="27" spans="1:13" s="43" customFormat="1" ht="33.6" customHeight="1" x14ac:dyDescent="0.25">
      <c r="A27" s="101"/>
      <c r="B27" s="38" t="str">
        <f>INDEX('Ma trận năng lực'!B:B, MATCH(D27, 'Ma trận năng lực'!D:D, 0))</f>
        <v>Van điều khiển với cơ cấu chấp hành khí nén  (Pneumatic actuator)</v>
      </c>
      <c r="C27" s="72">
        <f t="shared" si="1"/>
        <v>22</v>
      </c>
      <c r="D27" s="30" t="str">
        <v>ĐK_NLCM_049</v>
      </c>
      <c r="E27" s="28" t="str">
        <f>VLOOKUP(D27,'Ma trận năng lực'!D25:E90,2,1)</f>
        <v>Kiến thức và kỹ năng về van điều khiển với cơ cấu chấp hành khí nén  (Pneumatic actuator)</v>
      </c>
      <c r="F27" s="30">
        <v>2</v>
      </c>
      <c r="G27" s="30">
        <v>2</v>
      </c>
      <c r="H27" s="30">
        <v>3</v>
      </c>
      <c r="I27" s="30">
        <v>4</v>
      </c>
      <c r="J27" s="30">
        <v>4</v>
      </c>
      <c r="K27" s="30">
        <v>4</v>
      </c>
      <c r="L27" s="30">
        <v>4</v>
      </c>
      <c r="M27" s="30">
        <v>4</v>
      </c>
    </row>
    <row r="28" spans="1:13" s="43" customFormat="1" ht="33.6" customHeight="1" x14ac:dyDescent="0.25">
      <c r="A28" s="101"/>
      <c r="B28" s="38" t="str">
        <f>INDEX('Ma trận năng lực'!B:B, MATCH(D28, 'Ma trận năng lực'!D:D, 0))</f>
        <v>Thiết bị phân tích, quan trắc môi trường</v>
      </c>
      <c r="C28" s="72">
        <f t="shared" si="1"/>
        <v>23</v>
      </c>
      <c r="D28" s="30" t="str">
        <v>ĐK_NLCM_050</v>
      </c>
      <c r="E28" s="28" t="str">
        <f>VLOOKUP(D28,'Ma trận năng lực'!D26:E91,2,1)</f>
        <v>Kiến thức và kỹ năng về thiết bị phân tích, quan trắc môi trường</v>
      </c>
      <c r="F28" s="30">
        <v>2</v>
      </c>
      <c r="G28" s="30">
        <v>3</v>
      </c>
      <c r="H28" s="30">
        <v>3</v>
      </c>
      <c r="I28" s="30">
        <v>4</v>
      </c>
      <c r="J28" s="30">
        <v>4</v>
      </c>
      <c r="K28" s="30">
        <v>4</v>
      </c>
      <c r="L28" s="30">
        <v>4</v>
      </c>
      <c r="M28" s="30">
        <v>4</v>
      </c>
    </row>
    <row r="29" spans="1:13" s="43" customFormat="1" ht="33.6" customHeight="1" x14ac:dyDescent="0.25">
      <c r="A29" s="101"/>
      <c r="B29" s="38" t="str">
        <f>INDEX('Ma trận năng lực'!B:B, MATCH(D29, 'Ma trận năng lực'!D:D, 0))</f>
        <v>Thiết bị dò khí cháy nổ và khí độc</v>
      </c>
      <c r="C29" s="72">
        <f t="shared" si="1"/>
        <v>24</v>
      </c>
      <c r="D29" s="30" t="str">
        <v>ĐK_NLCM_051</v>
      </c>
      <c r="E29" s="28" t="str">
        <f>VLOOKUP(D29,'Ma trận năng lực'!D27:E92,2,1)</f>
        <v>Kiến thức và kỹ năng về thiết bị dò khí cháy nổ và khí độc</v>
      </c>
      <c r="F29" s="30">
        <v>2</v>
      </c>
      <c r="G29" s="30">
        <v>3</v>
      </c>
      <c r="H29" s="30">
        <v>3</v>
      </c>
      <c r="I29" s="30">
        <v>4</v>
      </c>
      <c r="J29" s="30">
        <v>4</v>
      </c>
      <c r="K29" s="30">
        <v>4</v>
      </c>
      <c r="L29" s="30">
        <v>4</v>
      </c>
      <c r="M29" s="30">
        <v>4</v>
      </c>
    </row>
    <row r="30" spans="1:13" s="43" customFormat="1" ht="33.6" customHeight="1" x14ac:dyDescent="0.25">
      <c r="A30" s="102" t="s">
        <v>65</v>
      </c>
      <c r="B30" s="38" t="str">
        <f>INDEX('Ma trận năng lực'!B:B, MATCH(D30, 'Ma trận năng lực'!D:D, 0))</f>
        <v>Thiết bị đóng bao</v>
      </c>
      <c r="C30" s="72">
        <f t="shared" si="1"/>
        <v>25</v>
      </c>
      <c r="D30" s="30" t="str">
        <v>ĐK_NLCM_052</v>
      </c>
      <c r="E30" s="28" t="str">
        <f>VLOOKUP(D30,'Ma trận năng lực'!D28:E93,2,1)</f>
        <v>Kiến thức và kỹ năng về thiết bị đóng bao</v>
      </c>
      <c r="F30" s="30">
        <v>2</v>
      </c>
      <c r="G30" s="30">
        <v>2</v>
      </c>
      <c r="H30" s="30">
        <v>3</v>
      </c>
      <c r="I30" s="30">
        <v>3</v>
      </c>
      <c r="J30" s="30">
        <v>3</v>
      </c>
      <c r="K30" s="30">
        <v>3</v>
      </c>
      <c r="L30" s="30">
        <v>4</v>
      </c>
      <c r="M30" s="30">
        <v>4</v>
      </c>
    </row>
    <row r="31" spans="1:13" s="43" customFormat="1" ht="33.6" customHeight="1" x14ac:dyDescent="0.25">
      <c r="A31" s="103"/>
      <c r="B31" s="38" t="str">
        <f>INDEX('Ma trận năng lực'!B:B, MATCH(D31, 'Ma trận năng lực'!D:D, 0))</f>
        <v>Thiết bị vận chuyển, xuất hàng, lưu  kho, nhập liệu</v>
      </c>
      <c r="C31" s="72">
        <f t="shared" si="1"/>
        <v>26</v>
      </c>
      <c r="D31" s="30" t="str">
        <v>ĐK_NLCM_053</v>
      </c>
      <c r="E31" s="28" t="str">
        <f>VLOOKUP(D31,'Ma trận năng lực'!D29:E94,2,1)</f>
        <v>Kiến thức và kỹ năng về thiết bị vận chuyển, xuất hàng, lưu  kho, nhập liệu</v>
      </c>
      <c r="F31" s="30">
        <v>2</v>
      </c>
      <c r="G31" s="30">
        <v>2</v>
      </c>
      <c r="H31" s="30">
        <v>3</v>
      </c>
      <c r="I31" s="30">
        <v>3</v>
      </c>
      <c r="J31" s="30">
        <v>3</v>
      </c>
      <c r="K31" s="30">
        <v>3</v>
      </c>
      <c r="L31" s="30">
        <v>4</v>
      </c>
      <c r="M31" s="30">
        <v>4</v>
      </c>
    </row>
    <row r="32" spans="1:13" s="43" customFormat="1" ht="33.6" customHeight="1" x14ac:dyDescent="0.25">
      <c r="A32" s="103"/>
      <c r="B32" s="38" t="str">
        <f>INDEX('Ma trận năng lực'!B:B, MATCH(D32, 'Ma trận năng lực'!D:D, 0))</f>
        <v>Thiết bị đo mức không theo nguyên lý chênh áp</v>
      </c>
      <c r="C32" s="72">
        <f t="shared" si="1"/>
        <v>27</v>
      </c>
      <c r="D32" s="30" t="str">
        <v>ĐK_NLCM_058</v>
      </c>
      <c r="E32" s="28" t="str">
        <f>VLOOKUP(D32,'Ma trận năng lực'!D30:E95,2,1)</f>
        <v>Kiến thức và kỹ năng về Thiết bị đo mức không theo nguyên lý chênh áp</v>
      </c>
      <c r="F32" s="30">
        <v>2</v>
      </c>
      <c r="G32" s="30">
        <v>2</v>
      </c>
      <c r="H32" s="30">
        <v>3</v>
      </c>
      <c r="I32" s="30">
        <v>3</v>
      </c>
      <c r="J32" s="30">
        <v>3</v>
      </c>
      <c r="K32" s="30">
        <v>3</v>
      </c>
      <c r="L32" s="30">
        <v>4</v>
      </c>
      <c r="M32" s="30">
        <v>4</v>
      </c>
    </row>
    <row r="33" spans="1:13" s="43" customFormat="1" ht="33.6" customHeight="1" x14ac:dyDescent="0.25">
      <c r="A33" s="103"/>
      <c r="B33" s="38" t="str">
        <f>INDEX('Ma trận năng lực'!B:B, MATCH(D33, 'Ma trận năng lực'!D:D, 0))</f>
        <v>Thiết bị đo lưu lượng  không theo nguyên lý chênh áp</v>
      </c>
      <c r="C33" s="72">
        <f t="shared" si="1"/>
        <v>28</v>
      </c>
      <c r="D33" s="30" t="str">
        <v>ĐK_NLCM_059</v>
      </c>
      <c r="E33" s="28" t="str">
        <f>VLOOKUP(D33,'Ma trận năng lực'!D31:E96,2,1)</f>
        <v>Kiến thức và kỹ năng về Thiết bị đo lưu lượng  không theo nguyên lý chênh áp</v>
      </c>
      <c r="F33" s="30">
        <v>1</v>
      </c>
      <c r="G33" s="30">
        <v>1</v>
      </c>
      <c r="H33" s="30">
        <v>1</v>
      </c>
      <c r="I33" s="30">
        <v>2</v>
      </c>
      <c r="J33" s="30">
        <v>2</v>
      </c>
      <c r="K33" s="30">
        <v>2</v>
      </c>
      <c r="L33" s="30">
        <v>2</v>
      </c>
      <c r="M33" s="30">
        <v>2</v>
      </c>
    </row>
    <row r="34" spans="1:13" s="43" customFormat="1" ht="33.6" customHeight="1" x14ac:dyDescent="0.25">
      <c r="A34" s="103"/>
      <c r="B34" s="38" t="str">
        <f>INDEX('Ma trận năng lực'!B:B, MATCH(D34, 'Ma trận năng lực'!D:D, 0))</f>
        <v>Lựa chọn thiết bị đo lường</v>
      </c>
      <c r="C34" s="72">
        <f t="shared" si="1"/>
        <v>29</v>
      </c>
      <c r="D34" s="30" t="str">
        <v>ĐK_NLCM_060</v>
      </c>
      <c r="E34" s="28" t="str">
        <f>VLOOKUP(D34,'Ma trận năng lực'!D32:E97,2,1)</f>
        <v>Kiến thức liên quan đến lựa chọn thiết bị đo lường</v>
      </c>
      <c r="F34" s="30">
        <v>1</v>
      </c>
      <c r="G34" s="30">
        <v>1</v>
      </c>
      <c r="H34" s="30">
        <v>1</v>
      </c>
      <c r="I34" s="30">
        <v>3</v>
      </c>
      <c r="J34" s="30">
        <v>3</v>
      </c>
      <c r="K34" s="30">
        <v>3</v>
      </c>
      <c r="L34" s="30">
        <v>4</v>
      </c>
      <c r="M34" s="30">
        <v>4</v>
      </c>
    </row>
    <row r="35" spans="1:13" s="43" customFormat="1" ht="33.6" customHeight="1" x14ac:dyDescent="0.25">
      <c r="A35" s="103"/>
      <c r="B35" s="38" t="str">
        <f>INDEX('Ma trận năng lực'!B:B, MATCH(D35, 'Ma trận năng lực'!D:D, 0))</f>
        <v>Van điều khiển với cơ cấu chấp hành motor (MOV)</v>
      </c>
      <c r="C35" s="72">
        <f t="shared" si="1"/>
        <v>30</v>
      </c>
      <c r="D35" s="30" t="str">
        <v>ĐK_NLCM_061</v>
      </c>
      <c r="E35" s="28" t="str">
        <f>VLOOKUP(D35,'Ma trận năng lực'!D33:E98,2,1)</f>
        <v>Kiến thức và kỹ năng về van điều khiển với cơ cấu chấp hành motor (MOV)</v>
      </c>
      <c r="F35" s="30">
        <v>1</v>
      </c>
      <c r="G35" s="30">
        <v>1</v>
      </c>
      <c r="H35" s="30">
        <v>1</v>
      </c>
      <c r="I35" s="30">
        <v>2</v>
      </c>
      <c r="J35" s="30">
        <v>2</v>
      </c>
      <c r="K35" s="30">
        <v>3</v>
      </c>
      <c r="L35" s="30">
        <v>3</v>
      </c>
      <c r="M35" s="30">
        <v>3</v>
      </c>
    </row>
    <row r="36" spans="1:13" s="43" customFormat="1" ht="33.6" customHeight="1" x14ac:dyDescent="0.25">
      <c r="A36" s="103"/>
      <c r="B36" s="38" t="str">
        <f>INDEX('Ma trận năng lực'!B:B, MATCH(D36, 'Ma trận năng lực'!D:D, 0))</f>
        <v xml:space="preserve">Van điều khiển với cơ cấu chấp hành thủy lực </v>
      </c>
      <c r="C36" s="72">
        <f t="shared" si="1"/>
        <v>31</v>
      </c>
      <c r="D36" s="30" t="str">
        <v>ĐK_NLCM_062</v>
      </c>
      <c r="E36" s="28" t="str">
        <f>VLOOKUP(D36,'Ma trận năng lực'!D34:E99,2,1)</f>
        <v xml:space="preserve">Kiến thức và kỹ năng về van điều khiển với cơ cấu chấp hành thủy lực </v>
      </c>
      <c r="F36" s="30">
        <v>1</v>
      </c>
      <c r="G36" s="30">
        <v>1</v>
      </c>
      <c r="H36" s="30">
        <v>1</v>
      </c>
      <c r="I36" s="30">
        <v>2</v>
      </c>
      <c r="J36" s="30">
        <v>2</v>
      </c>
      <c r="K36" s="30">
        <v>2</v>
      </c>
      <c r="L36" s="30">
        <v>2</v>
      </c>
      <c r="M36" s="30">
        <v>2</v>
      </c>
    </row>
    <row r="37" spans="1:13" s="43" customFormat="1" ht="33.6" customHeight="1" x14ac:dyDescent="0.25">
      <c r="A37" s="107" t="s">
        <v>66</v>
      </c>
      <c r="B37" s="38" t="str">
        <f>INDEX('Ma trận năng lực'!B:B, MATCH(D37, 'Ma trận năng lực'!D:D, 0))</f>
        <v>Lựa chọn thiết bị van điều khiển</v>
      </c>
      <c r="C37" s="72">
        <f t="shared" si="1"/>
        <v>32</v>
      </c>
      <c r="D37" s="30" t="str">
        <v>ĐK_NLCM_063</v>
      </c>
      <c r="E37" s="28" t="str">
        <f>VLOOKUP(D37,'Ma trận năng lực'!D35:E100,2,1)</f>
        <v>Kiến thức liên quan đến lựa chọn thiết bị van điều khiển</v>
      </c>
      <c r="F37" s="30"/>
      <c r="G37" s="30"/>
      <c r="H37" s="30"/>
      <c r="I37" s="30"/>
      <c r="J37" s="30"/>
      <c r="K37" s="30"/>
      <c r="L37" s="30"/>
      <c r="M37" s="30"/>
    </row>
    <row r="38" spans="1:13" s="43" customFormat="1" ht="33.6" customHeight="1" x14ac:dyDescent="0.25">
      <c r="A38" s="108"/>
      <c r="B38" s="38" t="str">
        <f>INDEX('Ma trận năng lực'!B:B, MATCH(D38, 'Ma trận năng lực'!D:D, 0))</f>
        <v>Quản lý hồ sơ, tài liệu/bản vẽ kỹ thuật</v>
      </c>
      <c r="C38" s="72">
        <f t="shared" si="1"/>
        <v>33</v>
      </c>
      <c r="D38" s="30" t="str">
        <v>ĐK_NLCM_064</v>
      </c>
      <c r="E38" s="28" t="str">
        <f>VLOOKUP(D38,'Ma trận năng lực'!D36:E101,2,1)</f>
        <v>Quản lý hồ sơ, tài liệu/bản vẽ kỹ thuật</v>
      </c>
      <c r="F38" s="30"/>
      <c r="G38" s="30"/>
      <c r="H38" s="30"/>
      <c r="I38" s="30"/>
      <c r="J38" s="30"/>
      <c r="K38" s="30"/>
      <c r="L38" s="30"/>
      <c r="M38" s="30"/>
    </row>
    <row r="39" spans="1:13" s="43" customFormat="1" ht="33.6" customHeight="1" x14ac:dyDescent="0.25">
      <c r="A39" s="109"/>
      <c r="B39" s="38" t="str">
        <f>INDEX('Ma trận năng lực'!B:B, MATCH(D39, 'Ma trận năng lực'!D:D, 0))</f>
        <v>Quản lý sử dụng vật tư tiêu hao, thiết bị, CCDC</v>
      </c>
      <c r="C39" s="72">
        <f t="shared" si="1"/>
        <v>34</v>
      </c>
      <c r="D39" s="30" t="str">
        <v>ĐK_NLCM_065</v>
      </c>
      <c r="E39" s="28" t="str">
        <f>VLOOKUP(D39,'Ma trận năng lực'!D37:E102,2,1)</f>
        <v>Quản lý sử dụng vật tư tiêu hao, thiết bị, CCDC</v>
      </c>
      <c r="F39" s="30"/>
      <c r="G39" s="30"/>
      <c r="H39" s="30"/>
      <c r="I39" s="30"/>
      <c r="J39" s="30"/>
      <c r="K39" s="30"/>
      <c r="L39" s="30"/>
      <c r="M39" s="30"/>
    </row>
    <row r="40" spans="1:13" x14ac:dyDescent="0.25">
      <c r="D40" s="115" t="str">
        <v>ĐK_NLCM_066</v>
      </c>
    </row>
  </sheetData>
  <mergeCells count="7">
    <mergeCell ref="A1:M1"/>
    <mergeCell ref="A2:M2"/>
    <mergeCell ref="A3:A4"/>
    <mergeCell ref="B3:B4"/>
    <mergeCell ref="C3:C4"/>
    <mergeCell ref="D3:D4"/>
    <mergeCell ref="E3:E4"/>
  </mergeCells>
  <conditionalFormatting sqref="F6:M39">
    <cfRule type="cellIs" dxfId="55" priority="1" operator="equal">
      <formula>5</formula>
    </cfRule>
    <cfRule type="cellIs" dxfId="54" priority="2" operator="equal">
      <formula>4</formula>
    </cfRule>
    <cfRule type="cellIs" dxfId="53" priority="3" operator="equal">
      <formula>3</formula>
    </cfRule>
    <cfRule type="cellIs" dxfId="52" priority="4" operator="equal">
      <formula>2</formula>
    </cfRule>
    <cfRule type="cellIs" dxfId="51" priority="5" operator="equal">
      <formula>1</formula>
    </cfRule>
  </conditionalFormatting>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06762-E805-4AA7-9D38-2D7428B928D2}">
  <sheetPr>
    <tabColor rgb="FF92D050"/>
  </sheetPr>
  <dimension ref="A1:V31"/>
  <sheetViews>
    <sheetView zoomScale="70" zoomScaleNormal="85" workbookViewId="0">
      <pane xSplit="13" ySplit="4" topLeftCell="N6" activePane="bottomRight" state="frozen"/>
      <selection pane="topRight" activeCell="P1" sqref="P1"/>
      <selection pane="bottomLeft" activeCell="A5" sqref="A5"/>
      <selection pane="bottomRight" activeCell="E20" sqref="E20"/>
    </sheetView>
  </sheetViews>
  <sheetFormatPr defaultColWidth="8.77734375" defaultRowHeight="15.75" x14ac:dyDescent="0.25"/>
  <cols>
    <col min="1" max="1" width="11.21875" style="44" customWidth="1"/>
    <col min="2" max="2" width="52.109375" style="45" customWidth="1"/>
    <col min="3" max="3" width="5.77734375" style="39" customWidth="1"/>
    <col min="4" max="4" width="21.5546875" style="115" customWidth="1"/>
    <col min="5" max="5" width="64.44140625" style="45" customWidth="1"/>
    <col min="6" max="13" width="7.109375" style="39" customWidth="1"/>
    <col min="14" max="16384" width="8.77734375" style="39"/>
  </cols>
  <sheetData>
    <row r="1" spans="1:18" ht="20.25" customHeight="1" x14ac:dyDescent="0.25">
      <c r="A1" s="146" t="s">
        <v>107</v>
      </c>
      <c r="B1" s="146"/>
      <c r="C1" s="146"/>
      <c r="D1" s="146"/>
      <c r="E1" s="146"/>
      <c r="F1" s="146"/>
      <c r="G1" s="146"/>
      <c r="H1" s="146"/>
      <c r="I1" s="146"/>
      <c r="J1" s="146"/>
      <c r="K1" s="146"/>
      <c r="L1" s="146"/>
      <c r="M1" s="146"/>
    </row>
    <row r="2" spans="1:18" ht="27.75" customHeight="1" x14ac:dyDescent="0.25">
      <c r="A2" s="147" t="s">
        <v>182</v>
      </c>
      <c r="B2" s="147"/>
      <c r="C2" s="147"/>
      <c r="D2" s="147"/>
      <c r="E2" s="147"/>
      <c r="F2" s="147"/>
      <c r="G2" s="147"/>
      <c r="H2" s="147"/>
      <c r="I2" s="147"/>
      <c r="J2" s="147"/>
      <c r="K2" s="147"/>
      <c r="L2" s="147"/>
      <c r="M2" s="147"/>
    </row>
    <row r="3" spans="1:18" s="40" customFormat="1" ht="28.9" customHeight="1" x14ac:dyDescent="0.25">
      <c r="A3" s="148" t="s">
        <v>4</v>
      </c>
      <c r="B3" s="149" t="s">
        <v>52</v>
      </c>
      <c r="C3" s="150" t="s">
        <v>0</v>
      </c>
      <c r="D3" s="149" t="s">
        <v>108</v>
      </c>
      <c r="E3" s="151" t="s">
        <v>109</v>
      </c>
      <c r="F3" s="125" t="s">
        <v>110</v>
      </c>
      <c r="G3" s="123" t="s">
        <v>111</v>
      </c>
      <c r="H3" s="123" t="s">
        <v>112</v>
      </c>
      <c r="I3" s="122" t="s">
        <v>113</v>
      </c>
      <c r="J3" s="122" t="s">
        <v>114</v>
      </c>
      <c r="K3" s="122" t="s">
        <v>115</v>
      </c>
      <c r="L3" s="124" t="s">
        <v>116</v>
      </c>
      <c r="M3" s="124" t="s">
        <v>117</v>
      </c>
      <c r="N3" s="39"/>
      <c r="O3" s="39"/>
      <c r="P3" s="39"/>
      <c r="Q3" s="39"/>
      <c r="R3" s="39"/>
    </row>
    <row r="4" spans="1:18" s="40" customFormat="1" x14ac:dyDescent="0.25">
      <c r="A4" s="148"/>
      <c r="B4" s="149"/>
      <c r="C4" s="150"/>
      <c r="D4" s="149"/>
      <c r="E4" s="151"/>
      <c r="F4" s="41">
        <f t="shared" ref="F4:M4" si="0">SUM(F6:F57)</f>
        <v>26</v>
      </c>
      <c r="G4" s="41">
        <f t="shared" si="0"/>
        <v>58</v>
      </c>
      <c r="H4" s="41">
        <f t="shared" si="0"/>
        <v>62</v>
      </c>
      <c r="I4" s="41">
        <f t="shared" si="0"/>
        <v>65</v>
      </c>
      <c r="J4" s="41">
        <f t="shared" si="0"/>
        <v>68</v>
      </c>
      <c r="K4" s="41">
        <f t="shared" si="0"/>
        <v>70</v>
      </c>
      <c r="L4" s="41">
        <f t="shared" si="0"/>
        <v>73</v>
      </c>
      <c r="M4" s="41">
        <f t="shared" si="0"/>
        <v>75</v>
      </c>
      <c r="N4" s="39"/>
      <c r="O4" s="39"/>
      <c r="P4" s="39"/>
      <c r="Q4" s="39"/>
      <c r="R4" s="39"/>
    </row>
    <row r="5" spans="1:18" s="40" customFormat="1" hidden="1" x14ac:dyDescent="0.25">
      <c r="A5" s="99"/>
      <c r="B5" s="19"/>
      <c r="C5" s="97"/>
      <c r="D5" s="19"/>
      <c r="E5" s="80"/>
      <c r="F5" s="92">
        <v>1</v>
      </c>
      <c r="G5" s="92">
        <v>2</v>
      </c>
      <c r="H5" s="92">
        <v>3</v>
      </c>
      <c r="I5" s="92">
        <v>4</v>
      </c>
      <c r="J5" s="92">
        <v>5</v>
      </c>
      <c r="K5" s="92">
        <v>6</v>
      </c>
      <c r="L5" s="92">
        <v>7</v>
      </c>
      <c r="M5" s="92">
        <v>8</v>
      </c>
      <c r="N5" s="39"/>
      <c r="O5" s="39"/>
      <c r="P5" s="39"/>
      <c r="Q5" s="39"/>
      <c r="R5" s="39"/>
    </row>
    <row r="6" spans="1:18" s="43" customFormat="1" ht="33.6" customHeight="1" x14ac:dyDescent="0.25">
      <c r="A6" s="73" t="s">
        <v>58</v>
      </c>
      <c r="B6" s="38" t="str">
        <f>INDEX('Ma trận năng lực'!B:B, MATCH(D6, 'Ma trận năng lực'!D:D, 0))</f>
        <v>HSE cương vị</v>
      </c>
      <c r="C6" s="72">
        <f>ROW()-5</f>
        <v>1</v>
      </c>
      <c r="D6" s="30" t="str" cm="1">
        <f t="array" ref="D6:D31">_xlfn._xlws.FILTER('Ma trận năng lực'!D:D,'Ma trận năng lực'!V:V="x")</f>
        <v>ĐK_NLCM_001</v>
      </c>
      <c r="E6" s="28" t="str">
        <f>VLOOKUP(D6,'Ma trận năng lực'!D4:E69,2,1)</f>
        <v xml:space="preserve">Kiến thức về an toàn khi làm việc với các thiết bị đo lường tự động hóa </v>
      </c>
      <c r="F6" s="30">
        <v>1</v>
      </c>
      <c r="G6" s="30">
        <v>4</v>
      </c>
      <c r="H6" s="30">
        <v>4</v>
      </c>
      <c r="I6" s="30">
        <v>4</v>
      </c>
      <c r="J6" s="30">
        <v>4</v>
      </c>
      <c r="K6" s="30">
        <v>4</v>
      </c>
      <c r="L6" s="30">
        <v>4</v>
      </c>
      <c r="M6" s="30">
        <v>4</v>
      </c>
    </row>
    <row r="7" spans="1:18" s="43" customFormat="1" ht="33.6" customHeight="1" x14ac:dyDescent="0.25">
      <c r="A7" s="74"/>
      <c r="B7" s="38" t="str">
        <f>INDEX('Ma trận năng lực'!B:B, MATCH(D7, 'Ma trận năng lực'!D:D, 0))</f>
        <v>Quy trình làm việc</v>
      </c>
      <c r="C7" s="72">
        <f t="shared" ref="C7:C31" si="1">ROW()-5</f>
        <v>2</v>
      </c>
      <c r="D7" s="30" t="str">
        <v>ĐK_NLCM_002</v>
      </c>
      <c r="E7" s="28" t="str">
        <f>VLOOKUP(D7,'Ma trận năng lực'!D5:E70,2,1)</f>
        <v>Kiến thức về quy trình làm việc</v>
      </c>
      <c r="F7" s="30">
        <v>1</v>
      </c>
      <c r="G7" s="30">
        <v>4</v>
      </c>
      <c r="H7" s="30">
        <v>4</v>
      </c>
      <c r="I7" s="30">
        <v>4</v>
      </c>
      <c r="J7" s="30">
        <v>4</v>
      </c>
      <c r="K7" s="30">
        <v>4</v>
      </c>
      <c r="L7" s="30">
        <v>4</v>
      </c>
      <c r="M7" s="30">
        <v>4</v>
      </c>
    </row>
    <row r="8" spans="1:18" s="43" customFormat="1" ht="39" customHeight="1" x14ac:dyDescent="0.25">
      <c r="A8" s="74"/>
      <c r="B8" s="38" t="str">
        <f>INDEX('Ma trận năng lực'!B:B, MATCH(D8, 'Ma trận năng lực'!D:D, 0))</f>
        <v>Nhận diện mối nguy và đánh giá rủi ro</v>
      </c>
      <c r="C8" s="72">
        <f t="shared" si="1"/>
        <v>3</v>
      </c>
      <c r="D8" s="30" t="str">
        <v>ĐK_NLCM_003</v>
      </c>
      <c r="E8" s="28" t="str">
        <f>VLOOKUP(D8,'Ma trận năng lực'!D6:E71,2,1)</f>
        <v>Nhận diện mối nguy và đánh giá rủi ro</v>
      </c>
      <c r="F8" s="30">
        <v>1</v>
      </c>
      <c r="G8" s="30">
        <v>4</v>
      </c>
      <c r="H8" s="30">
        <v>4</v>
      </c>
      <c r="I8" s="30">
        <v>4</v>
      </c>
      <c r="J8" s="30">
        <v>4</v>
      </c>
      <c r="K8" s="30">
        <v>4</v>
      </c>
      <c r="L8" s="30">
        <v>4</v>
      </c>
      <c r="M8" s="30">
        <v>4</v>
      </c>
    </row>
    <row r="9" spans="1:18" s="43" customFormat="1" ht="37.5" customHeight="1" x14ac:dyDescent="0.25">
      <c r="A9" s="74"/>
      <c r="B9" s="38" t="str">
        <f>INDEX('Ma trận năng lực'!B:B, MATCH(D9, 'Ma trận năng lực'!D:D, 0))</f>
        <v>Nền tảng chuyên ngành đo lường điều khiển</v>
      </c>
      <c r="C9" s="72">
        <f t="shared" si="1"/>
        <v>4</v>
      </c>
      <c r="D9" s="30" t="str">
        <v>ĐK_NLCM_004</v>
      </c>
      <c r="E9" s="28" t="str">
        <f>VLOOKUP(D9,'Ma trận năng lực'!D7:E72,2,1)</f>
        <v>Kiến thức Điện - Điện tử cơ bản</v>
      </c>
      <c r="F9" s="30">
        <v>2</v>
      </c>
      <c r="G9" s="30">
        <v>2</v>
      </c>
      <c r="H9" s="30">
        <v>2</v>
      </c>
      <c r="I9" s="30">
        <v>2</v>
      </c>
      <c r="J9" s="30">
        <v>2</v>
      </c>
      <c r="K9" s="30">
        <v>2</v>
      </c>
      <c r="L9" s="30">
        <v>2</v>
      </c>
      <c r="M9" s="30">
        <v>2</v>
      </c>
    </row>
    <row r="10" spans="1:18" s="43" customFormat="1" ht="33.6" customHeight="1" x14ac:dyDescent="0.25">
      <c r="A10" s="74"/>
      <c r="B10" s="38" t="str">
        <f>INDEX('Ma trận năng lực'!B:B, MATCH(D10, 'Ma trận năng lực'!D:D, 0))</f>
        <v>P&amp;ID</v>
      </c>
      <c r="C10" s="72">
        <f t="shared" si="1"/>
        <v>5</v>
      </c>
      <c r="D10" s="30" t="str">
        <v>ĐK_NLCM_010</v>
      </c>
      <c r="E10" s="28" t="str">
        <f>VLOOKUP(D10,'Ma trận năng lực'!D8:E73,2,1)</f>
        <v>Kiến thức và kỹ năng về P&amp;ID</v>
      </c>
      <c r="F10" s="30">
        <v>1</v>
      </c>
      <c r="G10" s="30">
        <v>2</v>
      </c>
      <c r="H10" s="30">
        <v>2</v>
      </c>
      <c r="I10" s="30">
        <v>2</v>
      </c>
      <c r="J10" s="30">
        <v>2</v>
      </c>
      <c r="K10" s="30">
        <v>2</v>
      </c>
      <c r="L10" s="30">
        <v>2</v>
      </c>
      <c r="M10" s="30">
        <v>2</v>
      </c>
    </row>
    <row r="11" spans="1:18" s="43" customFormat="1" ht="33.6" customHeight="1" x14ac:dyDescent="0.25">
      <c r="A11" s="74"/>
      <c r="B11" s="38" t="str">
        <f>INDEX('Ma trận năng lực'!B:B, MATCH(D11, 'Ma trận năng lực'!D:D, 0))</f>
        <v>IO wiring, Instrument juction box và cable schedule và Interlock</v>
      </c>
      <c r="C11" s="72">
        <f t="shared" si="1"/>
        <v>6</v>
      </c>
      <c r="D11" s="30" t="str">
        <v>ĐK_NLCM_011</v>
      </c>
      <c r="E11" s="28" t="str">
        <f>VLOOKUP(D11,'Ma trận năng lực'!D9:E74,2,1)</f>
        <v xml:space="preserve">Kiến thức về IO wiring, Instrument juction box và cable schedule, Interlock </v>
      </c>
      <c r="F11" s="30">
        <v>1</v>
      </c>
      <c r="G11" s="30">
        <v>4</v>
      </c>
      <c r="H11" s="30">
        <v>4</v>
      </c>
      <c r="I11" s="30">
        <v>4</v>
      </c>
      <c r="J11" s="30">
        <v>4</v>
      </c>
      <c r="K11" s="30">
        <v>4</v>
      </c>
      <c r="L11" s="30">
        <v>4</v>
      </c>
      <c r="M11" s="30">
        <v>4</v>
      </c>
    </row>
    <row r="12" spans="1:18" s="43" customFormat="1" ht="33.6" customHeight="1" x14ac:dyDescent="0.25">
      <c r="A12" s="74"/>
      <c r="B12" s="38" t="str">
        <f>INDEX('Ma trận năng lực'!B:B, MATCH(D12, 'Ma trận năng lực'!D:D, 0))</f>
        <v>Công cụ, Dụng cụ cầm tay cho chuyên môn thiết bị Đo lường</v>
      </c>
      <c r="C12" s="72">
        <f t="shared" si="1"/>
        <v>7</v>
      </c>
      <c r="D12" s="30" t="str">
        <v>ĐK_NLCM_012</v>
      </c>
      <c r="E12" s="28" t="str">
        <f>VLOOKUP(D12,'Ma trận năng lực'!D10:E75,2,1)</f>
        <v>Kỹ năng sử dụng Công cụ, Dụng cụ cầm tay cho chuyên môn thiết bị Đo lường</v>
      </c>
      <c r="F12" s="30">
        <v>1</v>
      </c>
      <c r="G12" s="30">
        <v>4</v>
      </c>
      <c r="H12" s="30">
        <v>4</v>
      </c>
      <c r="I12" s="30">
        <v>4</v>
      </c>
      <c r="J12" s="30">
        <v>4</v>
      </c>
      <c r="K12" s="30">
        <v>4</v>
      </c>
      <c r="L12" s="30">
        <v>4</v>
      </c>
      <c r="M12" s="30">
        <v>4</v>
      </c>
    </row>
    <row r="13" spans="1:18" s="43" customFormat="1" ht="33.6" customHeight="1" x14ac:dyDescent="0.25">
      <c r="A13" s="74"/>
      <c r="B13" s="38" t="str">
        <f>INDEX('Ma trận năng lực'!B:B, MATCH(D13, 'Ma trận năng lực'!D:D, 0))</f>
        <v>Vật lý cơ bản</v>
      </c>
      <c r="C13" s="72">
        <f t="shared" si="1"/>
        <v>8</v>
      </c>
      <c r="D13" s="30" t="str">
        <v>ĐK_NLCM_014</v>
      </c>
      <c r="E13" s="28" t="str">
        <f>VLOOKUP(D13,'Ma trận năng lực'!D11:E76,2,1)</f>
        <v>Kiến thức về vật lý và đại lượng đo lường cơ bản</v>
      </c>
      <c r="F13" s="30">
        <v>2</v>
      </c>
      <c r="G13" s="30">
        <v>2</v>
      </c>
      <c r="H13" s="30">
        <v>2</v>
      </c>
      <c r="I13" s="30">
        <v>2</v>
      </c>
      <c r="J13" s="30">
        <v>2</v>
      </c>
      <c r="K13" s="30">
        <v>2</v>
      </c>
      <c r="L13" s="30">
        <v>2</v>
      </c>
      <c r="M13" s="30">
        <v>2</v>
      </c>
    </row>
    <row r="14" spans="1:18" s="43" customFormat="1" ht="33.6" customHeight="1" x14ac:dyDescent="0.25">
      <c r="A14" s="74"/>
      <c r="B14" s="38" t="str">
        <f>INDEX('Ma trận năng lực'!B:B, MATCH(D14, 'Ma trận năng lực'!D:D, 0))</f>
        <v>Lựa chọn fitting, tubing</v>
      </c>
      <c r="C14" s="72">
        <f t="shared" si="1"/>
        <v>9</v>
      </c>
      <c r="D14" s="30" t="str">
        <v>ĐK_NLCM_015</v>
      </c>
      <c r="E14" s="28" t="str">
        <f>VLOOKUP(D14,'Ma trận năng lực'!D12:E77,2,1)</f>
        <v>Kiến thức và kỹ năng liên quan đến lựa chọn fitting và tubing</v>
      </c>
      <c r="F14" s="30">
        <v>1</v>
      </c>
      <c r="G14" s="30">
        <v>3</v>
      </c>
      <c r="H14" s="30">
        <v>4</v>
      </c>
      <c r="I14" s="30">
        <v>4</v>
      </c>
      <c r="J14" s="30">
        <v>4</v>
      </c>
      <c r="K14" s="30">
        <v>4</v>
      </c>
      <c r="L14" s="30">
        <v>4</v>
      </c>
      <c r="M14" s="30">
        <v>4</v>
      </c>
    </row>
    <row r="15" spans="1:18" s="43" customFormat="1" ht="51.6" customHeight="1" x14ac:dyDescent="0.25">
      <c r="A15" s="74"/>
      <c r="B15" s="38" t="str">
        <f>INDEX('Ma trận năng lực'!B:B, MATCH(D15, 'Ma trận năng lực'!D:D, 0))</f>
        <v>Công nghệ sản xuất</v>
      </c>
      <c r="C15" s="72">
        <f t="shared" si="1"/>
        <v>10</v>
      </c>
      <c r="D15" s="30" t="str">
        <v>ĐK_NLCM_016</v>
      </c>
      <c r="E15" s="28" t="str">
        <f>VLOOKUP(D15,'Ma trận năng lực'!D13:E78,2,1)</f>
        <v>Kiến thức cơ bản về quy trình công nghệ sản xuất tại Nhà máy Đạm Cà Mau từ khí đầu vào đến tạo hạt, đóng bao.</v>
      </c>
      <c r="F15" s="30">
        <v>1</v>
      </c>
      <c r="G15" s="30">
        <v>2</v>
      </c>
      <c r="H15" s="30">
        <v>2</v>
      </c>
      <c r="I15" s="30">
        <v>2</v>
      </c>
      <c r="J15" s="30">
        <v>2</v>
      </c>
      <c r="K15" s="30">
        <v>2</v>
      </c>
      <c r="L15" s="30">
        <v>2</v>
      </c>
      <c r="M15" s="30">
        <v>2</v>
      </c>
    </row>
    <row r="16" spans="1:18" s="43" customFormat="1" ht="46.5" customHeight="1" x14ac:dyDescent="0.25">
      <c r="A16" s="74"/>
      <c r="B16" s="38" t="str">
        <f>INDEX('Ma trận năng lực'!B:B, MATCH(D16, 'Ma trận năng lực'!D:D, 0))</f>
        <v>Tổng quan Hệ thống điều khiển nhà máy Đạm Cà Mau</v>
      </c>
      <c r="C16" s="72">
        <f t="shared" si="1"/>
        <v>11</v>
      </c>
      <c r="D16" s="30" t="str">
        <v>ĐK_NLCM_017</v>
      </c>
      <c r="E16" s="28" t="str">
        <f>VLOOKUP(D16,'Ma trận năng lực'!D14:E79,2,1)</f>
        <v>Nắm được chức năng của các hệ thống điều khiển tại nhà máy Đạm Cà Mau bao gồm Hệ thống điều khiển phân tán, ESD, hệ thống điều khiển Turbine và máy nén, hệ thống MPS/MMS, hệ thống đóng bao xuất hàng</v>
      </c>
      <c r="F16" s="30">
        <v>1</v>
      </c>
      <c r="G16" s="30">
        <v>2</v>
      </c>
      <c r="H16" s="30">
        <v>2</v>
      </c>
      <c r="I16" s="30">
        <v>2</v>
      </c>
      <c r="J16" s="30">
        <v>2</v>
      </c>
      <c r="K16" s="30">
        <v>2</v>
      </c>
      <c r="L16" s="30">
        <v>2</v>
      </c>
      <c r="M16" s="30">
        <v>2</v>
      </c>
    </row>
    <row r="17" spans="1:22" s="43" customFormat="1" ht="33.6" customHeight="1" x14ac:dyDescent="0.25">
      <c r="A17" s="74"/>
      <c r="B17" s="38" t="str">
        <f>INDEX('Ma trận năng lực'!B:B, MATCH(D17, 'Ma trận năng lực'!D:D, 0))</f>
        <v>Tổng quan Thiết bị đo lường và van điều khiển nhà máy Đạm Cà Mau</v>
      </c>
      <c r="C17" s="72">
        <f t="shared" si="1"/>
        <v>12</v>
      </c>
      <c r="D17" s="30" t="str">
        <v>ĐK_NLCM_018</v>
      </c>
      <c r="E17" s="28" t="str">
        <f>VLOOKUP(D17,'Ma trận năng lực'!D15:E80,2,1)</f>
        <v>Kiến thức về thiết bị đo lường và van điều khiển tại nhà máy Đạm Cà Mau</v>
      </c>
      <c r="F17" s="30">
        <v>1</v>
      </c>
      <c r="G17" s="30">
        <v>2</v>
      </c>
      <c r="H17" s="30">
        <v>2</v>
      </c>
      <c r="I17" s="30">
        <v>2</v>
      </c>
      <c r="J17" s="30">
        <v>2</v>
      </c>
      <c r="K17" s="30">
        <v>2</v>
      </c>
      <c r="L17" s="30">
        <v>2</v>
      </c>
      <c r="M17" s="30">
        <v>2</v>
      </c>
    </row>
    <row r="18" spans="1:22" s="43" customFormat="1" ht="33.6" customHeight="1" x14ac:dyDescent="0.25">
      <c r="A18" s="74"/>
      <c r="B18" s="38" t="str">
        <f>INDEX('Ma trận năng lực'!B:B, MATCH(D18, 'Ma trận năng lực'!D:D, 0))</f>
        <v>Kiến thức tổng quan về biện pháp phòng nổ (Ex protection)</v>
      </c>
      <c r="C18" s="72">
        <f t="shared" si="1"/>
        <v>13</v>
      </c>
      <c r="D18" s="30" t="str">
        <v>ĐK_NLCM_019</v>
      </c>
      <c r="E18" s="28" t="str">
        <f>VLOOKUP(D18,'Ma trận năng lực'!D16:E81,2,1)</f>
        <v>Kiến thức về vùng nguy hiểm</v>
      </c>
      <c r="F18" s="30">
        <v>1</v>
      </c>
      <c r="G18" s="30">
        <v>2</v>
      </c>
      <c r="H18" s="30">
        <v>2</v>
      </c>
      <c r="I18" s="30">
        <v>2</v>
      </c>
      <c r="J18" s="30">
        <v>2</v>
      </c>
      <c r="K18" s="30">
        <v>2</v>
      </c>
      <c r="L18" s="30">
        <v>2</v>
      </c>
      <c r="M18" s="30">
        <v>2</v>
      </c>
      <c r="O18" s="152" t="s">
        <v>361</v>
      </c>
      <c r="P18" s="152"/>
      <c r="Q18" s="152"/>
      <c r="R18" s="152"/>
      <c r="S18" s="152"/>
      <c r="T18" s="152"/>
      <c r="U18" s="152"/>
      <c r="V18" s="152"/>
    </row>
    <row r="19" spans="1:22" s="43" customFormat="1" ht="27" customHeight="1" x14ac:dyDescent="0.25">
      <c r="A19" s="74"/>
      <c r="B19" s="38" t="str">
        <f>INDEX('Ma trận năng lực'!B:B, MATCH(D19, 'Ma trận năng lực'!D:D, 0))</f>
        <v>Kiến thức tổng quan về biện pháp phòng nổ (Ex protection)</v>
      </c>
      <c r="C19" s="72">
        <f t="shared" si="1"/>
        <v>14</v>
      </c>
      <c r="D19" s="30" t="str">
        <v>ĐK_NLCM_020</v>
      </c>
      <c r="E19" s="28" t="str">
        <f>VLOOKUP(D19,'Ma trận năng lực'!D17:E82,2,1)</f>
        <v>Kiến thức về ký hiệu phòng nổ trên thiết bị</v>
      </c>
      <c r="F19" s="30">
        <v>1</v>
      </c>
      <c r="G19" s="30">
        <v>2</v>
      </c>
      <c r="H19" s="30">
        <v>2</v>
      </c>
      <c r="I19" s="30">
        <v>2</v>
      </c>
      <c r="J19" s="30">
        <v>2</v>
      </c>
      <c r="K19" s="30">
        <v>2</v>
      </c>
      <c r="L19" s="30">
        <v>2</v>
      </c>
      <c r="M19" s="30">
        <v>2</v>
      </c>
      <c r="O19" s="30">
        <v>1</v>
      </c>
      <c r="P19" s="166">
        <v>2</v>
      </c>
      <c r="Q19" s="166">
        <v>3</v>
      </c>
      <c r="R19" s="165">
        <v>4</v>
      </c>
      <c r="S19" s="165">
        <v>5</v>
      </c>
      <c r="T19" s="165">
        <v>6</v>
      </c>
      <c r="U19" s="167">
        <v>7</v>
      </c>
      <c r="V19" s="167">
        <v>8</v>
      </c>
    </row>
    <row r="20" spans="1:22" s="43" customFormat="1" ht="33.6" customHeight="1" x14ac:dyDescent="0.25">
      <c r="A20" s="74"/>
      <c r="B20" s="38" t="str">
        <f>INDEX('Ma trận năng lực'!B:B, MATCH(D20, 'Ma trận năng lực'!D:D, 0))</f>
        <v>Trí tuệ nhân tạo (AI)</v>
      </c>
      <c r="C20" s="72">
        <f t="shared" si="1"/>
        <v>15</v>
      </c>
      <c r="D20" s="30" t="str">
        <v>ĐK_NLCM_024</v>
      </c>
      <c r="E20" s="28" t="str">
        <f>VLOOKUP(D20,'Ma trận năng lực'!D18:E83,2,1)</f>
        <v>Kiến thức và kỹ năng liên về trí tuệ nhân tạo (AI)</v>
      </c>
      <c r="F20" s="30">
        <v>2</v>
      </c>
      <c r="G20" s="30">
        <v>4</v>
      </c>
      <c r="H20" s="30">
        <v>4</v>
      </c>
      <c r="I20" s="30">
        <v>4</v>
      </c>
      <c r="J20" s="30">
        <v>4</v>
      </c>
      <c r="K20" s="30">
        <v>4</v>
      </c>
      <c r="L20" s="30">
        <v>4</v>
      </c>
      <c r="M20" s="30">
        <v>4</v>
      </c>
      <c r="N20" s="17" t="s">
        <v>366</v>
      </c>
      <c r="O20" s="126"/>
      <c r="P20" s="30">
        <v>18</v>
      </c>
      <c r="Q20" s="30">
        <f>P20*2</f>
        <v>36</v>
      </c>
      <c r="R20" s="30">
        <f>Q20+24</f>
        <v>60</v>
      </c>
      <c r="S20" s="30">
        <f t="shared" ref="S20:V20" si="2">R20+24</f>
        <v>84</v>
      </c>
      <c r="T20" s="30">
        <f t="shared" si="2"/>
        <v>108</v>
      </c>
      <c r="U20" s="30">
        <f>T20+36</f>
        <v>144</v>
      </c>
      <c r="V20" s="30">
        <f>U20+36</f>
        <v>180</v>
      </c>
    </row>
    <row r="21" spans="1:22" s="43" customFormat="1" ht="33.6" customHeight="1" x14ac:dyDescent="0.25">
      <c r="A21" s="100" t="s">
        <v>64</v>
      </c>
      <c r="B21" s="38" t="str">
        <f>INDEX('Ma trận năng lực'!B:B, MATCH(D21, 'Ma trận năng lực'!D:D, 0))</f>
        <v>Thiết bị đo nhiệt độ</v>
      </c>
      <c r="C21" s="72">
        <f t="shared" si="1"/>
        <v>16</v>
      </c>
      <c r="D21" s="30" t="str">
        <v>ĐK_NLCM_044</v>
      </c>
      <c r="E21" s="28" t="str">
        <f>VLOOKUP(D21,'Ma trận năng lực'!D19:E84,2,1)</f>
        <v>Kiến thức và kỹ năng về thiết bị đo nhiệt độ</v>
      </c>
      <c r="F21" s="30">
        <v>1</v>
      </c>
      <c r="G21" s="30">
        <v>4</v>
      </c>
      <c r="H21" s="30">
        <v>4</v>
      </c>
      <c r="I21" s="30">
        <v>4</v>
      </c>
      <c r="J21" s="30">
        <v>4</v>
      </c>
      <c r="K21" s="30">
        <v>4</v>
      </c>
      <c r="L21" s="30">
        <v>4</v>
      </c>
      <c r="M21" s="30">
        <v>4</v>
      </c>
      <c r="N21" s="17" t="s">
        <v>365</v>
      </c>
      <c r="O21" s="126"/>
      <c r="P21" s="22">
        <f>P20/12</f>
        <v>1.5</v>
      </c>
      <c r="Q21" s="22">
        <f t="shared" ref="Q21:V21" si="3">Q20/12</f>
        <v>3</v>
      </c>
      <c r="R21" s="22">
        <f t="shared" si="3"/>
        <v>5</v>
      </c>
      <c r="S21" s="22">
        <f t="shared" si="3"/>
        <v>7</v>
      </c>
      <c r="T21" s="22">
        <f t="shared" si="3"/>
        <v>9</v>
      </c>
      <c r="U21" s="22">
        <f t="shared" si="3"/>
        <v>12</v>
      </c>
      <c r="V21" s="22">
        <f t="shared" si="3"/>
        <v>15</v>
      </c>
    </row>
    <row r="22" spans="1:22" s="43" customFormat="1" ht="33.6" customHeight="1" x14ac:dyDescent="0.25">
      <c r="A22" s="101"/>
      <c r="B22" s="38" t="str">
        <f>INDEX('Ma trận năng lực'!B:B, MATCH(D22, 'Ma trận năng lực'!D:D, 0))</f>
        <v>Thiết bị đo áp suất</v>
      </c>
      <c r="C22" s="72">
        <f t="shared" si="1"/>
        <v>17</v>
      </c>
      <c r="D22" s="30" t="str">
        <v>ĐK_NLCM_045</v>
      </c>
      <c r="E22" s="28" t="str">
        <f>VLOOKUP(D22,'Ma trận năng lực'!D20:E85,2,1)</f>
        <v>Kiến thức và kỹ năng về thiết bị đo áp suất</v>
      </c>
      <c r="F22" s="30">
        <v>1</v>
      </c>
      <c r="G22" s="30">
        <v>3</v>
      </c>
      <c r="H22" s="30">
        <v>4</v>
      </c>
      <c r="I22" s="30">
        <v>4</v>
      </c>
      <c r="J22" s="30">
        <v>4</v>
      </c>
      <c r="K22" s="30">
        <v>4</v>
      </c>
      <c r="L22" s="30">
        <v>4</v>
      </c>
      <c r="M22" s="30">
        <v>4</v>
      </c>
      <c r="N22" s="17" t="s">
        <v>362</v>
      </c>
      <c r="O22" s="127">
        <v>0</v>
      </c>
      <c r="P22" s="127">
        <f>G4-F4</f>
        <v>32</v>
      </c>
      <c r="Q22" s="127">
        <f t="shared" ref="Q22:V22" si="4">H4-G4</f>
        <v>4</v>
      </c>
      <c r="R22" s="127">
        <f t="shared" si="4"/>
        <v>3</v>
      </c>
      <c r="S22" s="127">
        <f t="shared" si="4"/>
        <v>3</v>
      </c>
      <c r="T22" s="127">
        <f t="shared" si="4"/>
        <v>2</v>
      </c>
      <c r="U22" s="127">
        <f t="shared" si="4"/>
        <v>3</v>
      </c>
      <c r="V22" s="127">
        <f t="shared" si="4"/>
        <v>2</v>
      </c>
    </row>
    <row r="23" spans="1:22" s="43" customFormat="1" ht="33.6" customHeight="1" x14ac:dyDescent="0.25">
      <c r="A23" s="101"/>
      <c r="B23" s="38" t="str">
        <f>INDEX('Ma trận năng lực'!B:B, MATCH(D23, 'Ma trận năng lực'!D:D, 0))</f>
        <v>Thiết bị đo mức theo nguyên lý chênh áp</v>
      </c>
      <c r="C23" s="72">
        <f t="shared" si="1"/>
        <v>18</v>
      </c>
      <c r="D23" s="30" t="str">
        <v>ĐK_NLCM_046</v>
      </c>
      <c r="E23" s="28" t="str">
        <f>VLOOKUP(D23,'Ma trận năng lực'!D21:E86,2,1)</f>
        <v>Kiến thức và kỹ năng về thiết bị đo mức theo nguyên lý chênh áp</v>
      </c>
      <c r="F23" s="30">
        <v>1</v>
      </c>
      <c r="G23" s="30">
        <v>1</v>
      </c>
      <c r="H23" s="30">
        <v>3</v>
      </c>
      <c r="I23" s="30">
        <v>4</v>
      </c>
      <c r="J23" s="30">
        <v>4</v>
      </c>
      <c r="K23" s="30">
        <v>4</v>
      </c>
      <c r="L23" s="30">
        <v>4</v>
      </c>
      <c r="M23" s="30">
        <v>4</v>
      </c>
    </row>
    <row r="24" spans="1:22" s="43" customFormat="1" ht="33.6" customHeight="1" x14ac:dyDescent="0.25">
      <c r="A24" s="101"/>
      <c r="B24" s="38" t="str">
        <f>INDEX('Ma trận năng lực'!B:B, MATCH(D24, 'Ma trận năng lực'!D:D, 0))</f>
        <v>Thiết bị đo lưu lượng theo nguyên lý chênh áp</v>
      </c>
      <c r="C24" s="72">
        <f t="shared" si="1"/>
        <v>19</v>
      </c>
      <c r="D24" s="30" t="str">
        <v>ĐK_NLCM_047</v>
      </c>
      <c r="E24" s="28" t="str">
        <f>VLOOKUP(D24,'Ma trận năng lực'!D22:E87,2,1)</f>
        <v>Kiến thức và kỹ năng về thiết bị đo lưu lượng theo nguyên lý chênh áp</v>
      </c>
      <c r="F24" s="30">
        <v>1</v>
      </c>
      <c r="G24" s="30">
        <v>1</v>
      </c>
      <c r="H24" s="30">
        <v>1</v>
      </c>
      <c r="I24" s="30">
        <v>3</v>
      </c>
      <c r="J24" s="30">
        <v>4</v>
      </c>
      <c r="K24" s="30">
        <v>4</v>
      </c>
      <c r="L24" s="30">
        <v>4</v>
      </c>
      <c r="M24" s="30">
        <v>4</v>
      </c>
    </row>
    <row r="25" spans="1:22" s="43" customFormat="1" ht="33.6" customHeight="1" x14ac:dyDescent="0.25">
      <c r="A25" s="101"/>
      <c r="B25" s="38" t="str">
        <f>INDEX('Ma trận năng lực'!B:B, MATCH(D25, 'Ma trận năng lực'!D:D, 0))</f>
        <v>Thiết bị đo giám sát máy động</v>
      </c>
      <c r="C25" s="72">
        <f t="shared" si="1"/>
        <v>20</v>
      </c>
      <c r="D25" s="30" t="str">
        <v>ĐK_NLCM_048</v>
      </c>
      <c r="E25" s="28" t="str">
        <f>VLOOKUP(D25,'Ma trận năng lực'!D23:E88,2,1)</f>
        <v>Kiến thức và kỹ năng về thiết bị đo giám sát máy động</v>
      </c>
      <c r="F25" s="30">
        <v>1</v>
      </c>
      <c r="G25" s="30">
        <v>1</v>
      </c>
      <c r="H25" s="30">
        <v>1</v>
      </c>
      <c r="I25" s="30">
        <v>1</v>
      </c>
      <c r="J25" s="30">
        <v>3</v>
      </c>
      <c r="K25" s="30">
        <v>4</v>
      </c>
      <c r="L25" s="30">
        <v>4</v>
      </c>
      <c r="M25" s="30">
        <v>4</v>
      </c>
    </row>
    <row r="26" spans="1:22" s="43" customFormat="1" ht="33.6" customHeight="1" x14ac:dyDescent="0.25">
      <c r="A26" s="102" t="s">
        <v>65</v>
      </c>
      <c r="B26" s="38" t="str">
        <f>INDEX('Ma trận năng lực'!B:B, MATCH(D26, 'Ma trận năng lực'!D:D, 0))</f>
        <v>Thiết bị đo mức không theo nguyên lý chênh áp</v>
      </c>
      <c r="C26" s="72">
        <f t="shared" si="1"/>
        <v>21</v>
      </c>
      <c r="D26" s="30" t="str">
        <v>ĐK_NLCM_058</v>
      </c>
      <c r="E26" s="28" t="str">
        <f>VLOOKUP(D26,'Ma trận năng lực'!D24:E89,2,1)</f>
        <v>Kiến thức và kỹ năng về Thiết bị đo mức không theo nguyên lý chênh áp</v>
      </c>
      <c r="F26" s="30">
        <v>1</v>
      </c>
      <c r="G26" s="30">
        <v>2</v>
      </c>
      <c r="H26" s="30">
        <v>2</v>
      </c>
      <c r="I26" s="30">
        <v>2</v>
      </c>
      <c r="J26" s="30">
        <v>2</v>
      </c>
      <c r="K26" s="30">
        <v>3</v>
      </c>
      <c r="L26" s="30">
        <v>4</v>
      </c>
      <c r="M26" s="30">
        <v>4</v>
      </c>
    </row>
    <row r="27" spans="1:22" s="43" customFormat="1" ht="33.6" customHeight="1" x14ac:dyDescent="0.25">
      <c r="A27" s="103"/>
      <c r="B27" s="38" t="str">
        <f>INDEX('Ma trận năng lực'!B:B, MATCH(D27, 'Ma trận năng lực'!D:D, 0))</f>
        <v>Thiết bị đo lưu lượng  không theo nguyên lý chênh áp</v>
      </c>
      <c r="C27" s="72">
        <f t="shared" si="1"/>
        <v>22</v>
      </c>
      <c r="D27" s="30" t="str">
        <v>ĐK_NLCM_059</v>
      </c>
      <c r="E27" s="28" t="str">
        <f>VLOOKUP(D27,'Ma trận năng lực'!D25:E90,2,1)</f>
        <v>Kiến thức và kỹ năng về Thiết bị đo lưu lượng  không theo nguyên lý chênh áp</v>
      </c>
      <c r="F27" s="30">
        <v>1</v>
      </c>
      <c r="G27" s="30">
        <v>2</v>
      </c>
      <c r="H27" s="30">
        <v>2</v>
      </c>
      <c r="I27" s="30">
        <v>2</v>
      </c>
      <c r="J27" s="30">
        <v>2</v>
      </c>
      <c r="K27" s="30">
        <v>2</v>
      </c>
      <c r="L27" s="30">
        <v>3</v>
      </c>
      <c r="M27" s="30">
        <v>4</v>
      </c>
    </row>
    <row r="28" spans="1:22" s="43" customFormat="1" ht="33.6" customHeight="1" x14ac:dyDescent="0.25">
      <c r="A28" s="133"/>
      <c r="B28" s="38" t="str">
        <f>INDEX('Ma trận năng lực'!B:B, MATCH(D28, 'Ma trận năng lực'!D:D, 0))</f>
        <v>Lựa chọn thiết bị đo lường</v>
      </c>
      <c r="C28" s="72">
        <f t="shared" si="1"/>
        <v>23</v>
      </c>
      <c r="D28" s="30" t="str">
        <v>ĐK_NLCM_060</v>
      </c>
      <c r="E28" s="28" t="str">
        <f>VLOOKUP(D28,'Ma trận năng lực'!D26:E91,2,1)</f>
        <v>Kiến thức liên quan đến lựa chọn thiết bị đo lường</v>
      </c>
      <c r="F28" s="30">
        <v>1</v>
      </c>
      <c r="G28" s="30">
        <v>1</v>
      </c>
      <c r="H28" s="30">
        <v>1</v>
      </c>
      <c r="I28" s="30">
        <v>1</v>
      </c>
      <c r="J28" s="30">
        <v>1</v>
      </c>
      <c r="K28" s="30">
        <v>1</v>
      </c>
      <c r="L28" s="30">
        <v>2</v>
      </c>
      <c r="M28" s="30">
        <v>3</v>
      </c>
    </row>
    <row r="29" spans="1:22" s="43" customFormat="1" ht="33.6" customHeight="1" x14ac:dyDescent="0.25">
      <c r="A29" s="107" t="s">
        <v>66</v>
      </c>
      <c r="B29" s="38" t="str">
        <f>INDEX('Ma trận năng lực'!B:B, MATCH(D29, 'Ma trận năng lực'!D:D, 0))</f>
        <v>Quản lý hồ sơ, tài liệu/bản vẽ kỹ thuật</v>
      </c>
      <c r="C29" s="72">
        <f t="shared" si="1"/>
        <v>24</v>
      </c>
      <c r="D29" s="30" t="str">
        <v>ĐK_NLCM_064</v>
      </c>
      <c r="E29" s="28" t="str">
        <f>VLOOKUP(D29,'Ma trận năng lực'!D27:E92,2,1)</f>
        <v>Quản lý hồ sơ, tài liệu/bản vẽ kỹ thuật</v>
      </c>
      <c r="F29" s="30"/>
      <c r="G29" s="30"/>
      <c r="H29" s="30"/>
      <c r="I29" s="30"/>
      <c r="J29" s="30"/>
      <c r="K29" s="30"/>
      <c r="L29" s="30"/>
      <c r="M29" s="30"/>
    </row>
    <row r="30" spans="1:22" s="43" customFormat="1" ht="33.6" customHeight="1" x14ac:dyDescent="0.25">
      <c r="A30" s="108"/>
      <c r="B30" s="38" t="str">
        <f>INDEX('Ma trận năng lực'!B:B, MATCH(D30, 'Ma trận năng lực'!D:D, 0))</f>
        <v>Quản lý sử dụng vật tư tiêu hao, thiết bị, CCDC</v>
      </c>
      <c r="C30" s="72">
        <f t="shared" si="1"/>
        <v>25</v>
      </c>
      <c r="D30" s="30" t="str">
        <v>ĐK_NLCM_065</v>
      </c>
      <c r="E30" s="28" t="str">
        <f>VLOOKUP(D30,'Ma trận năng lực'!D28:E93,2,1)</f>
        <v>Quản lý sử dụng vật tư tiêu hao, thiết bị, CCDC</v>
      </c>
      <c r="F30" s="30"/>
      <c r="G30" s="30"/>
      <c r="H30" s="30"/>
      <c r="I30" s="30"/>
      <c r="J30" s="30"/>
      <c r="K30" s="30"/>
      <c r="L30" s="30"/>
      <c r="M30" s="30"/>
    </row>
    <row r="31" spans="1:22" s="43" customFormat="1" ht="33.6" customHeight="1" x14ac:dyDescent="0.25">
      <c r="A31" s="109"/>
      <c r="B31" s="38" t="str">
        <f>INDEX('Ma trận năng lực'!B:B, MATCH(D31, 'Ma trận năng lực'!D:D, 0))</f>
        <v>Nghiệp vụ SAP</v>
      </c>
      <c r="C31" s="72">
        <f t="shared" si="1"/>
        <v>26</v>
      </c>
      <c r="D31" s="30" t="str">
        <v>ĐK_NLCM_066</v>
      </c>
      <c r="E31" s="28" t="str">
        <f>VLOOKUP(D31,'Ma trận năng lực'!D29:E94,2,1)</f>
        <v>Kỹ năng sử dụng SAP</v>
      </c>
      <c r="F31" s="30"/>
      <c r="G31" s="30"/>
      <c r="H31" s="30"/>
      <c r="I31" s="30"/>
      <c r="J31" s="30"/>
      <c r="K31" s="30"/>
      <c r="L31" s="30"/>
      <c r="M31" s="30"/>
    </row>
  </sheetData>
  <mergeCells count="8">
    <mergeCell ref="O18:V18"/>
    <mergeCell ref="A1:M1"/>
    <mergeCell ref="A2:M2"/>
    <mergeCell ref="A3:A4"/>
    <mergeCell ref="B3:B4"/>
    <mergeCell ref="C3:C4"/>
    <mergeCell ref="D3:D4"/>
    <mergeCell ref="E3:E4"/>
  </mergeCells>
  <conditionalFormatting sqref="F6:M31">
    <cfRule type="cellIs" dxfId="50" priority="1" operator="equal">
      <formula>5</formula>
    </cfRule>
    <cfRule type="cellIs" dxfId="49" priority="2" operator="equal">
      <formula>4</formula>
    </cfRule>
    <cfRule type="cellIs" dxfId="48" priority="3" operator="equal">
      <formula>3</formula>
    </cfRule>
    <cfRule type="cellIs" dxfId="47" priority="4" operator="equal">
      <formula>2</formula>
    </cfRule>
    <cfRule type="cellIs" dxfId="46" priority="5" operator="equal">
      <formula>1</formula>
    </cfRule>
  </conditionalFormatting>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7C678-90EC-42C9-9451-E89F367EA149}">
  <sheetPr>
    <tabColor rgb="FF92D050"/>
  </sheetPr>
  <dimension ref="A1:V42"/>
  <sheetViews>
    <sheetView zoomScale="70" zoomScaleNormal="70" workbookViewId="0">
      <pane xSplit="13" ySplit="4" topLeftCell="N6" activePane="bottomRight" state="frozen"/>
      <selection pane="topRight" activeCell="P1" sqref="P1"/>
      <selection pane="bottomLeft" activeCell="A5" sqref="A5"/>
      <selection pane="bottomRight" activeCell="P18" sqref="P18"/>
    </sheetView>
  </sheetViews>
  <sheetFormatPr defaultColWidth="8.77734375" defaultRowHeight="15.75" x14ac:dyDescent="0.25"/>
  <cols>
    <col min="1" max="1" width="11.21875" style="44" customWidth="1"/>
    <col min="2" max="2" width="52.109375" style="45" customWidth="1"/>
    <col min="3" max="3" width="5.77734375" style="39" customWidth="1"/>
    <col min="4" max="4" width="21.5546875" style="115" customWidth="1"/>
    <col min="5" max="5" width="68.77734375" style="45" customWidth="1"/>
    <col min="6" max="13" width="7.109375" style="39" customWidth="1"/>
    <col min="14" max="15" width="8.77734375" style="39"/>
    <col min="16" max="16" width="10.44140625" style="39" customWidth="1"/>
    <col min="17" max="16384" width="8.77734375" style="39"/>
  </cols>
  <sheetData>
    <row r="1" spans="1:18" ht="20.25" customHeight="1" x14ac:dyDescent="0.25">
      <c r="A1" s="146" t="s">
        <v>107</v>
      </c>
      <c r="B1" s="146"/>
      <c r="C1" s="146"/>
      <c r="D1" s="146"/>
      <c r="E1" s="146"/>
      <c r="F1" s="146"/>
      <c r="G1" s="146"/>
      <c r="H1" s="146"/>
      <c r="I1" s="146"/>
      <c r="J1" s="146"/>
      <c r="K1" s="146"/>
      <c r="L1" s="146"/>
      <c r="M1" s="146"/>
    </row>
    <row r="2" spans="1:18" ht="27.75" customHeight="1" x14ac:dyDescent="0.25">
      <c r="A2" s="147" t="s">
        <v>127</v>
      </c>
      <c r="B2" s="147"/>
      <c r="C2" s="147"/>
      <c r="D2" s="147"/>
      <c r="E2" s="147"/>
      <c r="F2" s="147"/>
      <c r="G2" s="147"/>
      <c r="H2" s="147"/>
      <c r="I2" s="147"/>
      <c r="J2" s="147"/>
      <c r="K2" s="147"/>
      <c r="L2" s="147"/>
      <c r="M2" s="147"/>
      <c r="P2" s="128"/>
    </row>
    <row r="3" spans="1:18" s="40" customFormat="1" ht="28.9" customHeight="1" x14ac:dyDescent="0.25">
      <c r="A3" s="149" t="s">
        <v>4</v>
      </c>
      <c r="B3" s="149" t="s">
        <v>52</v>
      </c>
      <c r="C3" s="151" t="s">
        <v>0</v>
      </c>
      <c r="D3" s="149" t="s">
        <v>108</v>
      </c>
      <c r="E3" s="151" t="s">
        <v>109</v>
      </c>
      <c r="F3" s="125" t="s">
        <v>110</v>
      </c>
      <c r="G3" s="123" t="s">
        <v>111</v>
      </c>
      <c r="H3" s="123" t="s">
        <v>112</v>
      </c>
      <c r="I3" s="122" t="s">
        <v>113</v>
      </c>
      <c r="J3" s="122" t="s">
        <v>114</v>
      </c>
      <c r="K3" s="122" t="s">
        <v>115</v>
      </c>
      <c r="L3" s="124" t="s">
        <v>116</v>
      </c>
      <c r="M3" s="124" t="s">
        <v>117</v>
      </c>
      <c r="N3" s="39"/>
      <c r="O3" s="39"/>
      <c r="P3" s="39"/>
      <c r="Q3" s="39"/>
      <c r="R3" s="39"/>
    </row>
    <row r="4" spans="1:18" s="40" customFormat="1" x14ac:dyDescent="0.25">
      <c r="A4" s="149"/>
      <c r="B4" s="149"/>
      <c r="C4" s="151"/>
      <c r="D4" s="149"/>
      <c r="E4" s="151"/>
      <c r="F4" s="41">
        <f t="shared" ref="F4:M4" si="0">SUM(F6:F67)</f>
        <v>40</v>
      </c>
      <c r="G4" s="41">
        <f t="shared" si="0"/>
        <v>68</v>
      </c>
      <c r="H4" s="41">
        <f t="shared" si="0"/>
        <v>75</v>
      </c>
      <c r="I4" s="41">
        <f t="shared" si="0"/>
        <v>85</v>
      </c>
      <c r="J4" s="41">
        <f t="shared" si="0"/>
        <v>91</v>
      </c>
      <c r="K4" s="41">
        <f t="shared" si="0"/>
        <v>97</v>
      </c>
      <c r="L4" s="41">
        <f t="shared" si="0"/>
        <v>102</v>
      </c>
      <c r="M4" s="41">
        <f t="shared" si="0"/>
        <v>104</v>
      </c>
      <c r="N4" s="39"/>
      <c r="O4" s="39"/>
      <c r="P4" s="39"/>
      <c r="Q4" s="39"/>
      <c r="R4" s="39"/>
    </row>
    <row r="5" spans="1:18" s="40" customFormat="1" hidden="1" x14ac:dyDescent="0.25">
      <c r="A5" s="19"/>
      <c r="B5" s="19"/>
      <c r="C5" s="81"/>
      <c r="D5" s="19"/>
      <c r="E5" s="80"/>
      <c r="F5" s="92">
        <v>1</v>
      </c>
      <c r="G5" s="92">
        <v>2</v>
      </c>
      <c r="H5" s="92">
        <v>3</v>
      </c>
      <c r="I5" s="92">
        <v>4</v>
      </c>
      <c r="J5" s="92">
        <v>5</v>
      </c>
      <c r="K5" s="92">
        <v>6</v>
      </c>
      <c r="L5" s="92">
        <v>7</v>
      </c>
      <c r="M5" s="92">
        <v>8</v>
      </c>
      <c r="N5" s="39"/>
      <c r="O5" s="39"/>
      <c r="P5" s="39"/>
      <c r="Q5" s="39"/>
      <c r="R5" s="39"/>
    </row>
    <row r="6" spans="1:18" s="43" customFormat="1" ht="33.6" customHeight="1" x14ac:dyDescent="0.25">
      <c r="A6" s="73" t="s">
        <v>58</v>
      </c>
      <c r="B6" s="38" t="str">
        <f>INDEX('Ma trận năng lực'!B:B, MATCH(D6, 'Ma trận năng lực'!D:D, 0))</f>
        <v>HSE cương vị</v>
      </c>
      <c r="C6" s="42">
        <f>ROW()-5</f>
        <v>1</v>
      </c>
      <c r="D6" s="30" t="str" cm="1">
        <f t="array" ref="D6:D42">_xlfn._xlws.FILTER('Ma trận năng lực'!D:D,'Ma trận năng lực'!W:W="x")</f>
        <v>ĐK_NLCM_001</v>
      </c>
      <c r="E6" s="28" t="str">
        <f>VLOOKUP(D6,'Ma trận năng lực'!$D$4:$E$69,2,1)</f>
        <v xml:space="preserve">Kiến thức về an toàn khi làm việc với các thiết bị đo lường tự động hóa </v>
      </c>
      <c r="F6" s="30">
        <v>1</v>
      </c>
      <c r="G6" s="30">
        <v>4</v>
      </c>
      <c r="H6" s="30">
        <v>4</v>
      </c>
      <c r="I6" s="30">
        <v>4</v>
      </c>
      <c r="J6" s="30">
        <v>4</v>
      </c>
      <c r="K6" s="30">
        <v>4</v>
      </c>
      <c r="L6" s="30">
        <v>4</v>
      </c>
      <c r="M6" s="30">
        <v>4</v>
      </c>
    </row>
    <row r="7" spans="1:18" s="43" customFormat="1" ht="33.6" customHeight="1" x14ac:dyDescent="0.25">
      <c r="A7" s="74"/>
      <c r="B7" s="38" t="str">
        <f>INDEX('Ma trận năng lực'!B:B, MATCH(D7, 'Ma trận năng lực'!D:D, 0))</f>
        <v>Quy trình làm việc</v>
      </c>
      <c r="C7" s="42">
        <f t="shared" ref="C7:C42" si="1">ROW()-5</f>
        <v>2</v>
      </c>
      <c r="D7" s="30" t="str">
        <v>ĐK_NLCM_002</v>
      </c>
      <c r="E7" s="28" t="str">
        <f>VLOOKUP(D7,'Ma trận năng lực'!$D$4:$E$69,2,1)</f>
        <v>Kiến thức về quy trình làm việc</v>
      </c>
      <c r="F7" s="30">
        <v>1</v>
      </c>
      <c r="G7" s="30">
        <v>4</v>
      </c>
      <c r="H7" s="30">
        <v>4</v>
      </c>
      <c r="I7" s="30">
        <v>4</v>
      </c>
      <c r="J7" s="30">
        <v>4</v>
      </c>
      <c r="K7" s="30">
        <v>4</v>
      </c>
      <c r="L7" s="30">
        <v>4</v>
      </c>
      <c r="M7" s="30">
        <v>4</v>
      </c>
    </row>
    <row r="8" spans="1:18" s="43" customFormat="1" ht="39" customHeight="1" x14ac:dyDescent="0.25">
      <c r="A8" s="74"/>
      <c r="B8" s="38" t="str">
        <f>INDEX('Ma trận năng lực'!B:B, MATCH(D8, 'Ma trận năng lực'!D:D, 0))</f>
        <v>Nhận diện mối nguy và đánh giá rủi ro</v>
      </c>
      <c r="C8" s="42">
        <f t="shared" si="1"/>
        <v>3</v>
      </c>
      <c r="D8" s="30" t="str">
        <v>ĐK_NLCM_003</v>
      </c>
      <c r="E8" s="28" t="str">
        <f>VLOOKUP(D8,'Ma trận năng lực'!$D$4:$E$69,2,1)</f>
        <v>Nhận diện mối nguy và đánh giá rủi ro</v>
      </c>
      <c r="F8" s="30">
        <v>1</v>
      </c>
      <c r="G8" s="30">
        <v>4</v>
      </c>
      <c r="H8" s="30">
        <v>4</v>
      </c>
      <c r="I8" s="30">
        <v>4</v>
      </c>
      <c r="J8" s="30">
        <v>4</v>
      </c>
      <c r="K8" s="30">
        <v>4</v>
      </c>
      <c r="L8" s="30">
        <v>4</v>
      </c>
      <c r="M8" s="30">
        <v>4</v>
      </c>
    </row>
    <row r="9" spans="1:18" s="43" customFormat="1" ht="37.5" customHeight="1" x14ac:dyDescent="0.25">
      <c r="A9" s="74"/>
      <c r="B9" s="38" t="str">
        <f>INDEX('Ma trận năng lực'!B:B, MATCH(D9, 'Ma trận năng lực'!D:D, 0))</f>
        <v>Nền tảng chuyên ngành đo lường điều khiển</v>
      </c>
      <c r="C9" s="42">
        <f t="shared" si="1"/>
        <v>4</v>
      </c>
      <c r="D9" s="30" t="str">
        <v>ĐK_NLCM_004</v>
      </c>
      <c r="E9" s="28" t="str">
        <f>VLOOKUP(D9,'Ma trận năng lực'!$D$4:$E$69,2,1)</f>
        <v>Kiến thức Điện - Điện tử cơ bản</v>
      </c>
      <c r="F9" s="30">
        <v>2</v>
      </c>
      <c r="G9" s="30">
        <v>2</v>
      </c>
      <c r="H9" s="30">
        <v>2</v>
      </c>
      <c r="I9" s="30">
        <v>2</v>
      </c>
      <c r="J9" s="30">
        <v>2</v>
      </c>
      <c r="K9" s="30">
        <v>2</v>
      </c>
      <c r="L9" s="30">
        <v>2</v>
      </c>
      <c r="M9" s="30">
        <v>2</v>
      </c>
    </row>
    <row r="10" spans="1:18" s="43" customFormat="1" ht="33.6" customHeight="1" x14ac:dyDescent="0.25">
      <c r="A10" s="74"/>
      <c r="B10" s="38" t="str">
        <f>INDEX('Ma trận năng lực'!B:B, MATCH(D10, 'Ma trận năng lực'!D:D, 0))</f>
        <v>Nền tảng chuyên ngành đo lường điều khiển</v>
      </c>
      <c r="C10" s="42">
        <f t="shared" si="1"/>
        <v>5</v>
      </c>
      <c r="D10" s="30" t="str">
        <v>ĐK_NLCM_005</v>
      </c>
      <c r="E10" s="28" t="str">
        <f>VLOOKUP(D10,'Ma trận năng lực'!$D$4:$E$69,2,1)</f>
        <v>Kiến thức và kỹ năng cơ bản về truyền thông công nghiệp</v>
      </c>
      <c r="F10" s="30">
        <v>2</v>
      </c>
      <c r="G10" s="30">
        <v>4</v>
      </c>
      <c r="H10" s="30">
        <v>4</v>
      </c>
      <c r="I10" s="30">
        <v>4</v>
      </c>
      <c r="J10" s="30">
        <v>4</v>
      </c>
      <c r="K10" s="30">
        <v>4</v>
      </c>
      <c r="L10" s="30">
        <v>4</v>
      </c>
      <c r="M10" s="30">
        <v>4</v>
      </c>
    </row>
    <row r="11" spans="1:18" s="43" customFormat="1" ht="33.6" customHeight="1" x14ac:dyDescent="0.25">
      <c r="A11" s="74"/>
      <c r="B11" s="38" t="str">
        <f>INDEX('Ma trận năng lực'!B:B, MATCH(D11, 'Ma trận năng lực'!D:D, 0))</f>
        <v>Nền tảng chuyên ngành đo lường điều khiển</v>
      </c>
      <c r="C11" s="42">
        <f t="shared" si="1"/>
        <v>6</v>
      </c>
      <c r="D11" s="30" t="str">
        <v>ĐK_NLCM_006</v>
      </c>
      <c r="E11" s="28" t="str">
        <f>VLOOKUP(D11,'Ma trận năng lực'!$D$4:$E$69,2,1)</f>
        <v xml:space="preserve">Kiến thức về điều khiển </v>
      </c>
      <c r="F11" s="30">
        <v>2</v>
      </c>
      <c r="G11" s="30">
        <v>2</v>
      </c>
      <c r="H11" s="30">
        <v>2</v>
      </c>
      <c r="I11" s="30">
        <v>2</v>
      </c>
      <c r="J11" s="30">
        <v>2</v>
      </c>
      <c r="K11" s="30">
        <v>2</v>
      </c>
      <c r="L11" s="30">
        <v>2</v>
      </c>
      <c r="M11" s="30">
        <v>2</v>
      </c>
    </row>
    <row r="12" spans="1:18" s="43" customFormat="1" ht="33.6" customHeight="1" x14ac:dyDescent="0.25">
      <c r="A12" s="74"/>
      <c r="B12" s="38" t="str">
        <f>INDEX('Ma trận năng lực'!B:B, MATCH(D12, 'Ma trận năng lực'!D:D, 0))</f>
        <v>Nền tảng chuyên ngành đo lường điều khiển</v>
      </c>
      <c r="C12" s="42">
        <f t="shared" si="1"/>
        <v>7</v>
      </c>
      <c r="D12" s="30" t="str">
        <v>ĐK_NLCM_007</v>
      </c>
      <c r="E12" s="28" t="str">
        <f>VLOOKUP(D12,'Ma trận năng lực'!$D$4:$E$69,2,1)</f>
        <v>Kiến thức và kỹ năng về hệ thống máy tính</v>
      </c>
      <c r="F12" s="30">
        <v>2</v>
      </c>
      <c r="G12" s="30">
        <v>3</v>
      </c>
      <c r="H12" s="30">
        <v>4</v>
      </c>
      <c r="I12" s="30">
        <v>4</v>
      </c>
      <c r="J12" s="30">
        <v>4</v>
      </c>
      <c r="K12" s="30">
        <v>4</v>
      </c>
      <c r="L12" s="30">
        <v>4</v>
      </c>
      <c r="M12" s="30">
        <v>4</v>
      </c>
    </row>
    <row r="13" spans="1:18" s="43" customFormat="1" ht="33.6" customHeight="1" x14ac:dyDescent="0.25">
      <c r="A13" s="74"/>
      <c r="B13" s="38" t="str">
        <f>INDEX('Ma trận năng lực'!B:B, MATCH(D13, 'Ma trận năng lực'!D:D, 0))</f>
        <v>Nền tảng chuyên ngành đo lường điều khiển</v>
      </c>
      <c r="C13" s="42">
        <f t="shared" si="1"/>
        <v>8</v>
      </c>
      <c r="D13" s="30" t="str">
        <v>ĐK_NLCM_008</v>
      </c>
      <c r="E13" s="28" t="str">
        <f>VLOOKUP(D13,'Ma trận năng lực'!$D$4:$E$69,2,1)</f>
        <v xml:space="preserve">Kiến thức về hệ thống nối đất </v>
      </c>
      <c r="F13" s="30">
        <v>1</v>
      </c>
      <c r="G13" s="30">
        <v>2</v>
      </c>
      <c r="H13" s="30">
        <v>2</v>
      </c>
      <c r="I13" s="30">
        <v>2</v>
      </c>
      <c r="J13" s="30">
        <v>2</v>
      </c>
      <c r="K13" s="30">
        <v>2</v>
      </c>
      <c r="L13" s="30">
        <v>2</v>
      </c>
      <c r="M13" s="30">
        <v>2</v>
      </c>
    </row>
    <row r="14" spans="1:18" s="43" customFormat="1" ht="33.6" customHeight="1" x14ac:dyDescent="0.25">
      <c r="A14" s="74"/>
      <c r="B14" s="38" t="str">
        <f>INDEX('Ma trận năng lực'!B:B, MATCH(D14, 'Ma trận năng lực'!D:D, 0))</f>
        <v>Công cụ, Dụng cụ cầm tay cho chuyên môn thiết bị HTĐK</v>
      </c>
      <c r="C14" s="42">
        <f t="shared" si="1"/>
        <v>9</v>
      </c>
      <c r="D14" s="30" t="str">
        <v>ĐK_NLCM_009</v>
      </c>
      <c r="E14" s="28" t="str">
        <f>VLOOKUP(D14,'Ma trận năng lực'!$D$4:$E$69,2,1)</f>
        <v>Kiến thức và kỹ năng sử dụng công cụ dụng cụ cầm tay thuộc chuyên môn thiết bị HTĐK</v>
      </c>
      <c r="F14" s="30">
        <v>1</v>
      </c>
      <c r="G14" s="30">
        <v>4</v>
      </c>
      <c r="H14" s="30">
        <v>4</v>
      </c>
      <c r="I14" s="30">
        <v>4</v>
      </c>
      <c r="J14" s="30">
        <v>4</v>
      </c>
      <c r="K14" s="30">
        <v>4</v>
      </c>
      <c r="L14" s="30">
        <v>4</v>
      </c>
      <c r="M14" s="30">
        <v>4</v>
      </c>
    </row>
    <row r="15" spans="1:18" s="43" customFormat="1" ht="39" customHeight="1" x14ac:dyDescent="0.25">
      <c r="A15" s="74"/>
      <c r="B15" s="38" t="str">
        <f>INDEX('Ma trận năng lực'!B:B, MATCH(D15, 'Ma trận năng lực'!D:D, 0))</f>
        <v>P&amp;ID</v>
      </c>
      <c r="C15" s="42">
        <f t="shared" si="1"/>
        <v>10</v>
      </c>
      <c r="D15" s="30" t="str">
        <v>ĐK_NLCM_010</v>
      </c>
      <c r="E15" s="28" t="str">
        <f>VLOOKUP(D15,'Ma trận năng lực'!$D$4:$E$69,2,1)</f>
        <v>Kiến thức và kỹ năng về P&amp;ID</v>
      </c>
      <c r="F15" s="30">
        <v>1</v>
      </c>
      <c r="G15" s="30">
        <v>2</v>
      </c>
      <c r="H15" s="30">
        <v>2</v>
      </c>
      <c r="I15" s="30">
        <v>2</v>
      </c>
      <c r="J15" s="30">
        <v>2</v>
      </c>
      <c r="K15" s="30">
        <v>2</v>
      </c>
      <c r="L15" s="30">
        <v>2</v>
      </c>
      <c r="M15" s="30">
        <v>2</v>
      </c>
    </row>
    <row r="16" spans="1:18" s="43" customFormat="1" ht="57" customHeight="1" x14ac:dyDescent="0.25">
      <c r="A16" s="74"/>
      <c r="B16" s="38" t="str">
        <f>INDEX('Ma trận năng lực'!B:B, MATCH(D16, 'Ma trận năng lực'!D:D, 0))</f>
        <v>Công nghệ sản xuất</v>
      </c>
      <c r="C16" s="42">
        <f t="shared" si="1"/>
        <v>11</v>
      </c>
      <c r="D16" s="30" t="str">
        <v>ĐK_NLCM_016</v>
      </c>
      <c r="E16" s="28" t="str">
        <f>VLOOKUP(D16,'Ma trận năng lực'!$D$4:$E$69,2,1)</f>
        <v>Kiến thức cơ bản về quy trình công nghệ sản xuất tại Nhà máy Đạm Cà Mau từ khí đầu vào đến tạo hạt, đóng bao.</v>
      </c>
      <c r="F16" s="30">
        <v>1</v>
      </c>
      <c r="G16" s="30">
        <v>2</v>
      </c>
      <c r="H16" s="30">
        <v>2</v>
      </c>
      <c r="I16" s="30">
        <v>2</v>
      </c>
      <c r="J16" s="30">
        <v>2</v>
      </c>
      <c r="K16" s="30">
        <v>2</v>
      </c>
      <c r="L16" s="30">
        <v>2</v>
      </c>
      <c r="M16" s="30">
        <v>2</v>
      </c>
    </row>
    <row r="17" spans="1:22" s="43" customFormat="1" ht="33.6" customHeight="1" x14ac:dyDescent="0.25">
      <c r="A17" s="74"/>
      <c r="B17" s="38" t="str">
        <f>INDEX('Ma trận năng lực'!B:B, MATCH(D17, 'Ma trận năng lực'!D:D, 0))</f>
        <v>Tổng quan Hệ thống điều khiển nhà máy Đạm Cà Mau</v>
      </c>
      <c r="C17" s="42">
        <f t="shared" si="1"/>
        <v>12</v>
      </c>
      <c r="D17" s="30" t="str">
        <v>ĐK_NLCM_017</v>
      </c>
      <c r="E17" s="28" t="str">
        <f>VLOOKUP(D17,'Ma trận năng lực'!$D$4:$E$69,2,1)</f>
        <v>Nắm được chức năng của các hệ thống điều khiển tại nhà máy Đạm Cà Mau bao gồm Hệ thống điều khiển phân tán, ESD, hệ thống điều khiển Turbine và máy nén, hệ thống MPS/MMS, hệ thống đóng bao xuất hàng</v>
      </c>
      <c r="F17" s="30">
        <v>1</v>
      </c>
      <c r="G17" s="30">
        <v>2</v>
      </c>
      <c r="H17" s="30">
        <v>2</v>
      </c>
      <c r="I17" s="30">
        <v>2</v>
      </c>
      <c r="J17" s="30">
        <v>2</v>
      </c>
      <c r="K17" s="30">
        <v>2</v>
      </c>
      <c r="L17" s="30">
        <v>2</v>
      </c>
      <c r="M17" s="30">
        <v>2</v>
      </c>
      <c r="O17" s="152" t="s">
        <v>361</v>
      </c>
      <c r="P17" s="152"/>
      <c r="Q17" s="152"/>
      <c r="R17" s="152"/>
      <c r="S17" s="152"/>
      <c r="T17" s="152"/>
      <c r="U17" s="152"/>
      <c r="V17" s="152"/>
    </row>
    <row r="18" spans="1:22" s="43" customFormat="1" ht="33.6" customHeight="1" x14ac:dyDescent="0.25">
      <c r="A18" s="74"/>
      <c r="B18" s="38" t="str">
        <f>INDEX('Ma trận năng lực'!B:B, MATCH(D18, 'Ma trận năng lực'!D:D, 0))</f>
        <v>Tổng quan Thiết bị đo lường và van điều khiển nhà máy Đạm Cà Mau</v>
      </c>
      <c r="C18" s="42">
        <f t="shared" si="1"/>
        <v>13</v>
      </c>
      <c r="D18" s="30" t="str">
        <v>ĐK_NLCM_018</v>
      </c>
      <c r="E18" s="28" t="str">
        <f>VLOOKUP(D18,'Ma trận năng lực'!$D$4:$E$69,2,1)</f>
        <v>Kiến thức về thiết bị đo lường và van điều khiển tại nhà máy Đạm Cà Mau</v>
      </c>
      <c r="F18" s="30">
        <v>1</v>
      </c>
      <c r="G18" s="30">
        <v>2</v>
      </c>
      <c r="H18" s="30">
        <v>2</v>
      </c>
      <c r="I18" s="30">
        <v>2</v>
      </c>
      <c r="J18" s="30">
        <v>2</v>
      </c>
      <c r="K18" s="30">
        <v>2</v>
      </c>
      <c r="L18" s="30">
        <v>2</v>
      </c>
      <c r="M18" s="30">
        <v>2</v>
      </c>
      <c r="O18" s="30">
        <v>1</v>
      </c>
      <c r="P18" s="30">
        <v>2</v>
      </c>
      <c r="Q18" s="30">
        <v>3</v>
      </c>
      <c r="R18" s="168">
        <v>4</v>
      </c>
      <c r="S18" s="168">
        <v>5</v>
      </c>
      <c r="T18" s="168">
        <v>6</v>
      </c>
      <c r="U18" s="30">
        <v>7</v>
      </c>
      <c r="V18" s="30">
        <v>8</v>
      </c>
    </row>
    <row r="19" spans="1:22" s="43" customFormat="1" ht="36.75" customHeight="1" x14ac:dyDescent="0.25">
      <c r="A19" s="74"/>
      <c r="B19" s="38" t="str">
        <f>INDEX('Ma trận năng lực'!B:B, MATCH(D19, 'Ma trận năng lực'!D:D, 0))</f>
        <v>Kiến thức tổng quan về biện pháp phòng nổ (Ex protection)</v>
      </c>
      <c r="C19" s="42">
        <f t="shared" si="1"/>
        <v>14</v>
      </c>
      <c r="D19" s="30" t="str">
        <v>ĐK_NLCM_019</v>
      </c>
      <c r="E19" s="28" t="str">
        <f>VLOOKUP(D19,'Ma trận năng lực'!$D$4:$E$69,2,1)</f>
        <v>Kiến thức về vùng nguy hiểm</v>
      </c>
      <c r="F19" s="30">
        <v>1</v>
      </c>
      <c r="G19" s="30">
        <v>2</v>
      </c>
      <c r="H19" s="30">
        <v>2</v>
      </c>
      <c r="I19" s="30">
        <v>2</v>
      </c>
      <c r="J19" s="30">
        <v>2</v>
      </c>
      <c r="K19" s="30">
        <v>2</v>
      </c>
      <c r="L19" s="30">
        <v>2</v>
      </c>
      <c r="M19" s="30">
        <v>2</v>
      </c>
      <c r="N19" s="17" t="s">
        <v>366</v>
      </c>
      <c r="O19" s="126"/>
      <c r="P19" s="30">
        <v>18</v>
      </c>
      <c r="Q19" s="30">
        <f>P19*2</f>
        <v>36</v>
      </c>
      <c r="R19" s="30">
        <f>P19*3</f>
        <v>54</v>
      </c>
      <c r="S19" s="30">
        <f>R19+24</f>
        <v>78</v>
      </c>
      <c r="T19" s="30">
        <f>S19+24</f>
        <v>102</v>
      </c>
      <c r="U19" s="30">
        <f>T19+36</f>
        <v>138</v>
      </c>
      <c r="V19" s="30">
        <f>U19+36</f>
        <v>174</v>
      </c>
    </row>
    <row r="20" spans="1:22" s="43" customFormat="1" ht="33.6" customHeight="1" x14ac:dyDescent="0.25">
      <c r="A20" s="74"/>
      <c r="B20" s="38" t="str">
        <f>INDEX('Ma trận năng lực'!B:B, MATCH(D20, 'Ma trận năng lực'!D:D, 0))</f>
        <v>Kiến thức tổng quan về biện pháp phòng nổ (Ex protection)</v>
      </c>
      <c r="C20" s="42">
        <f t="shared" si="1"/>
        <v>15</v>
      </c>
      <c r="D20" s="30" t="str">
        <v>ĐK_NLCM_020</v>
      </c>
      <c r="E20" s="28" t="str">
        <f>VLOOKUP(D20,'Ma trận năng lực'!$D$4:$E$69,2,1)</f>
        <v>Kiến thức về ký hiệu phòng nổ trên thiết bị</v>
      </c>
      <c r="F20" s="30">
        <v>1</v>
      </c>
      <c r="G20" s="30">
        <v>2</v>
      </c>
      <c r="H20" s="30">
        <v>2</v>
      </c>
      <c r="I20" s="30">
        <v>2</v>
      </c>
      <c r="J20" s="30">
        <v>2</v>
      </c>
      <c r="K20" s="30">
        <v>2</v>
      </c>
      <c r="L20" s="30">
        <v>2</v>
      </c>
      <c r="M20" s="30">
        <v>2</v>
      </c>
      <c r="N20" s="17" t="s">
        <v>365</v>
      </c>
      <c r="O20" s="126"/>
      <c r="P20" s="22">
        <f>P19/12</f>
        <v>1.5</v>
      </c>
      <c r="Q20" s="22">
        <f t="shared" ref="Q20:V20" si="2">Q19/12</f>
        <v>3</v>
      </c>
      <c r="R20" s="22">
        <f t="shared" si="2"/>
        <v>4.5</v>
      </c>
      <c r="S20" s="22">
        <f t="shared" si="2"/>
        <v>6.5</v>
      </c>
      <c r="T20" s="22">
        <f t="shared" si="2"/>
        <v>8.5</v>
      </c>
      <c r="U20" s="22">
        <f t="shared" si="2"/>
        <v>11.5</v>
      </c>
      <c r="V20" s="22">
        <f t="shared" si="2"/>
        <v>14.5</v>
      </c>
    </row>
    <row r="21" spans="1:22" s="43" customFormat="1" ht="33.6" customHeight="1" x14ac:dyDescent="0.25">
      <c r="A21" s="75"/>
      <c r="B21" s="38" t="str">
        <f>INDEX('Ma trận năng lực'!B:B, MATCH(D21, 'Ma trận năng lực'!D:D, 0))</f>
        <v>Trí tuệ nhân tạo (AI)</v>
      </c>
      <c r="C21" s="42">
        <f t="shared" si="1"/>
        <v>16</v>
      </c>
      <c r="D21" s="30" t="str">
        <v>ĐK_NLCM_024</v>
      </c>
      <c r="E21" s="28" t="str">
        <f>VLOOKUP(D21,'Ma trận năng lực'!$D$4:$E$69,2,1)</f>
        <v>Kiến thức và kỹ năng liên về trí tuệ nhân tạo (AI)</v>
      </c>
      <c r="F21" s="30">
        <v>3</v>
      </c>
      <c r="G21" s="30">
        <v>4</v>
      </c>
      <c r="H21" s="30">
        <v>4</v>
      </c>
      <c r="I21" s="30">
        <v>4</v>
      </c>
      <c r="J21" s="30">
        <v>4</v>
      </c>
      <c r="K21" s="30">
        <v>4</v>
      </c>
      <c r="L21" s="30">
        <v>4</v>
      </c>
      <c r="M21" s="30">
        <v>4</v>
      </c>
      <c r="N21" s="17" t="s">
        <v>362</v>
      </c>
      <c r="O21" s="127">
        <v>0</v>
      </c>
      <c r="P21" s="127">
        <f>G4-F4</f>
        <v>28</v>
      </c>
      <c r="Q21" s="127">
        <f>H4-G4</f>
        <v>7</v>
      </c>
      <c r="R21" s="127">
        <f>I4-H4</f>
        <v>10</v>
      </c>
      <c r="S21" s="127">
        <f t="shared" ref="S21:V21" si="3">J4-I4</f>
        <v>6</v>
      </c>
      <c r="T21" s="127">
        <f t="shared" si="3"/>
        <v>6</v>
      </c>
      <c r="U21" s="127">
        <f t="shared" si="3"/>
        <v>5</v>
      </c>
      <c r="V21" s="127">
        <f t="shared" si="3"/>
        <v>2</v>
      </c>
    </row>
    <row r="22" spans="1:22" s="43" customFormat="1" ht="33.6" customHeight="1" x14ac:dyDescent="0.25">
      <c r="A22" s="100" t="s">
        <v>64</v>
      </c>
      <c r="B22" s="38" t="str">
        <f>INDEX('Ma trận năng lực'!B:B, MATCH(D22, 'Ma trận năng lực'!D:D, 0))</f>
        <v>Hệ thống Fire Alarm- FA &amp; Automatic Fire Fighting System- AFFS</v>
      </c>
      <c r="C22" s="42">
        <f t="shared" si="1"/>
        <v>17</v>
      </c>
      <c r="D22" s="30" t="str">
        <v>ĐK_NLCM_025</v>
      </c>
      <c r="E22" s="28" t="str">
        <f>VLOOKUP(D22,'Ma trận năng lực'!$D$4:$E$69,2,1)</f>
        <v>Kiến thức và kỹ năng liên quan đến hệ thống FA &amp; AFFS</v>
      </c>
      <c r="F22" s="30">
        <v>1</v>
      </c>
      <c r="G22" s="30">
        <v>4</v>
      </c>
      <c r="H22" s="30">
        <v>4</v>
      </c>
      <c r="I22" s="30">
        <v>4</v>
      </c>
      <c r="J22" s="30">
        <v>4</v>
      </c>
      <c r="K22" s="30">
        <v>4</v>
      </c>
      <c r="L22" s="30">
        <v>4</v>
      </c>
      <c r="M22" s="30">
        <v>4</v>
      </c>
    </row>
    <row r="23" spans="1:22" s="43" customFormat="1" ht="33.6" customHeight="1" x14ac:dyDescent="0.25">
      <c r="A23" s="101"/>
      <c r="B23" s="38" t="str">
        <f>INDEX('Ma trận năng lực'!B:B, MATCH(D23, 'Ma trận năng lực'!D:D, 0))</f>
        <v>Phần cứng hệ thống MPS/MMS</v>
      </c>
      <c r="C23" s="42">
        <f t="shared" si="1"/>
        <v>18</v>
      </c>
      <c r="D23" s="30" t="str">
        <v>ĐK_NLCM_026</v>
      </c>
      <c r="E23" s="28" t="str">
        <f>VLOOKUP(D23,'Ma trận năng lực'!$D$4:$E$69,2,1)</f>
        <v>Kiến trúc phần cứng hệ thống MPS/MMS</v>
      </c>
      <c r="F23" s="30">
        <v>1</v>
      </c>
      <c r="G23" s="30">
        <v>2</v>
      </c>
      <c r="H23" s="30">
        <v>4</v>
      </c>
      <c r="I23" s="30">
        <v>4</v>
      </c>
      <c r="J23" s="30">
        <v>4</v>
      </c>
      <c r="K23" s="30">
        <v>4</v>
      </c>
      <c r="L23" s="30">
        <v>4</v>
      </c>
      <c r="M23" s="30">
        <v>4</v>
      </c>
      <c r="P23" s="129"/>
    </row>
    <row r="24" spans="1:22" s="43" customFormat="1" ht="33.6" customHeight="1" x14ac:dyDescent="0.25">
      <c r="A24" s="101"/>
      <c r="B24" s="38" t="str">
        <f>INDEX('Ma trận năng lực'!B:B, MATCH(D24, 'Ma trận năng lực'!D:D, 0))</f>
        <v>Phần mềm hệ thống MPS/MMS</v>
      </c>
      <c r="C24" s="42">
        <f t="shared" si="1"/>
        <v>19</v>
      </c>
      <c r="D24" s="30" t="str">
        <v>ĐK_NLCM_027</v>
      </c>
      <c r="E24" s="28" t="str">
        <f>VLOOKUP(D24,'Ma trận năng lực'!$D$4:$E$69,2,1)</f>
        <v>Kiến trúc phần mềm hệ thống MPS/MMS</v>
      </c>
      <c r="F24" s="30">
        <v>1</v>
      </c>
      <c r="G24" s="30">
        <v>2</v>
      </c>
      <c r="H24" s="30">
        <v>4</v>
      </c>
      <c r="I24" s="30">
        <v>4</v>
      </c>
      <c r="J24" s="30">
        <v>4</v>
      </c>
      <c r="K24" s="30">
        <v>4</v>
      </c>
      <c r="L24" s="30">
        <v>4</v>
      </c>
      <c r="M24" s="30">
        <v>4</v>
      </c>
    </row>
    <row r="25" spans="1:22" s="43" customFormat="1" ht="33.6" customHeight="1" x14ac:dyDescent="0.25">
      <c r="A25" s="101"/>
      <c r="B25" s="38" t="str">
        <f>INDEX('Ma trận năng lực'!B:B, MATCH(D25, 'Ma trận năng lực'!D:D, 0))</f>
        <v>Phần cứng hệ thống DCS</v>
      </c>
      <c r="C25" s="42">
        <f t="shared" si="1"/>
        <v>20</v>
      </c>
      <c r="D25" s="30" t="str">
        <v>ĐK_NLCM_028</v>
      </c>
      <c r="E25" s="28" t="str">
        <f>VLOOKUP(D25,'Ma trận năng lực'!$D$4:$E$69,2,1)</f>
        <v>Kiến thức và kỹ năng liên quan đến phần cứng hệ thống DCS</v>
      </c>
      <c r="F25" s="30">
        <v>1</v>
      </c>
      <c r="G25" s="30">
        <v>1</v>
      </c>
      <c r="H25" s="30">
        <v>2</v>
      </c>
      <c r="I25" s="30">
        <v>4</v>
      </c>
      <c r="J25" s="30">
        <v>4</v>
      </c>
      <c r="K25" s="30">
        <v>4</v>
      </c>
      <c r="L25" s="30">
        <v>4</v>
      </c>
      <c r="M25" s="30">
        <v>4</v>
      </c>
    </row>
    <row r="26" spans="1:22" s="43" customFormat="1" ht="33.6" customHeight="1" x14ac:dyDescent="0.25">
      <c r="A26" s="101"/>
      <c r="B26" s="38" t="str">
        <f>INDEX('Ma trận năng lực'!B:B, MATCH(D26, 'Ma trận năng lực'!D:D, 0))</f>
        <v>Phần mềm hệ thống DCS</v>
      </c>
      <c r="C26" s="42">
        <f t="shared" si="1"/>
        <v>21</v>
      </c>
      <c r="D26" s="30" t="str">
        <v>ĐK_NLCM_029</v>
      </c>
      <c r="E26" s="28" t="str">
        <f>VLOOKUP(D26,'Ma trận năng lực'!$D$4:$E$69,2,1)</f>
        <v>Kiến thức và kỹ năng liên quan đến phần mềm hệ thống DCS</v>
      </c>
      <c r="F26" s="30">
        <v>1</v>
      </c>
      <c r="G26" s="30">
        <v>1</v>
      </c>
      <c r="H26" s="30">
        <v>2</v>
      </c>
      <c r="I26" s="30">
        <v>4</v>
      </c>
      <c r="J26" s="30">
        <v>4</v>
      </c>
      <c r="K26" s="30">
        <v>4</v>
      </c>
      <c r="L26" s="30">
        <v>4</v>
      </c>
      <c r="M26" s="30">
        <v>4</v>
      </c>
    </row>
    <row r="27" spans="1:22" s="43" customFormat="1" ht="33.6" customHeight="1" x14ac:dyDescent="0.25">
      <c r="A27" s="101"/>
      <c r="B27" s="38" t="str">
        <f>INDEX('Ma trận năng lực'!B:B, MATCH(D27, 'Ma trận năng lực'!D:D, 0))</f>
        <v>Phần cứng hệ thống F&amp;G</v>
      </c>
      <c r="C27" s="42">
        <f t="shared" si="1"/>
        <v>22</v>
      </c>
      <c r="D27" s="30" t="str">
        <v>ĐK_NLCM_030</v>
      </c>
      <c r="E27" s="28" t="str">
        <f>VLOOKUP(D27,'Ma trận năng lực'!$D$4:$E$69,2,1)</f>
        <v>Kiến trúc phần cứng hệ thống F&amp;G</v>
      </c>
      <c r="F27" s="30">
        <v>1</v>
      </c>
      <c r="G27" s="30">
        <v>1</v>
      </c>
      <c r="H27" s="30">
        <v>1</v>
      </c>
      <c r="I27" s="30">
        <v>2</v>
      </c>
      <c r="J27" s="30">
        <v>4</v>
      </c>
      <c r="K27" s="30">
        <v>4</v>
      </c>
      <c r="L27" s="30">
        <v>4</v>
      </c>
      <c r="M27" s="30">
        <v>4</v>
      </c>
    </row>
    <row r="28" spans="1:22" s="43" customFormat="1" ht="33.6" customHeight="1" x14ac:dyDescent="0.25">
      <c r="A28" s="101"/>
      <c r="B28" s="38" t="str">
        <f>INDEX('Ma trận năng lực'!B:B, MATCH(D28, 'Ma trận năng lực'!D:D, 0))</f>
        <v>Phần mềm hệ thống F&amp;G</v>
      </c>
      <c r="C28" s="42">
        <f t="shared" si="1"/>
        <v>23</v>
      </c>
      <c r="D28" s="30" t="str">
        <v>ĐK_NLCM_031</v>
      </c>
      <c r="E28" s="28" t="str">
        <f>VLOOKUP(D28,'Ma trận năng lực'!$D$4:$E$69,2,1)</f>
        <v>Kiến trúc phần mềm hệ thống F&amp;G</v>
      </c>
      <c r="F28" s="30">
        <v>1</v>
      </c>
      <c r="G28" s="30">
        <v>1</v>
      </c>
      <c r="H28" s="30">
        <v>1</v>
      </c>
      <c r="I28" s="30">
        <v>2</v>
      </c>
      <c r="J28" s="30">
        <v>4</v>
      </c>
      <c r="K28" s="30">
        <v>4</v>
      </c>
      <c r="L28" s="30">
        <v>4</v>
      </c>
      <c r="M28" s="30">
        <v>4</v>
      </c>
    </row>
    <row r="29" spans="1:22" s="43" customFormat="1" ht="33.6" customHeight="1" x14ac:dyDescent="0.25">
      <c r="A29" s="101"/>
      <c r="B29" s="38" t="str">
        <f>INDEX('Ma trận năng lực'!B:B, MATCH(D29, 'Ma trận năng lực'!D:D, 0))</f>
        <v>Phần cứng hệ thống ESD</v>
      </c>
      <c r="C29" s="42">
        <f t="shared" si="1"/>
        <v>24</v>
      </c>
      <c r="D29" s="30" t="str">
        <v>ĐK_NLCM_032</v>
      </c>
      <c r="E29" s="28" t="str">
        <f>VLOOKUP(D29,'Ma trận năng lực'!$D$4:$E$69,2,1)</f>
        <v>Kiến trúc phần cứng hệ thống ESD</v>
      </c>
      <c r="F29" s="30">
        <v>1</v>
      </c>
      <c r="G29" s="30">
        <v>1</v>
      </c>
      <c r="H29" s="30">
        <v>1</v>
      </c>
      <c r="I29" s="30">
        <v>1</v>
      </c>
      <c r="J29" s="30">
        <v>2</v>
      </c>
      <c r="K29" s="30">
        <v>4</v>
      </c>
      <c r="L29" s="30">
        <v>4</v>
      </c>
      <c r="M29" s="30">
        <v>4</v>
      </c>
    </row>
    <row r="30" spans="1:22" s="43" customFormat="1" ht="33.6" customHeight="1" x14ac:dyDescent="0.25">
      <c r="A30" s="101"/>
      <c r="B30" s="38" t="str">
        <f>INDEX('Ma trận năng lực'!B:B, MATCH(D30, 'Ma trận năng lực'!D:D, 0))</f>
        <v>Phần mềm hệ thống ESD</v>
      </c>
      <c r="C30" s="42">
        <f t="shared" si="1"/>
        <v>25</v>
      </c>
      <c r="D30" s="30" t="str">
        <v>ĐK_NLCM_033</v>
      </c>
      <c r="E30" s="28" t="str">
        <f>VLOOKUP(D30,'Ma trận năng lực'!$D$4:$E$69,2,1)</f>
        <v>Kiến trúc phần mềm hệ thống ESD</v>
      </c>
      <c r="F30" s="30">
        <v>1</v>
      </c>
      <c r="G30" s="30">
        <v>1</v>
      </c>
      <c r="H30" s="30">
        <v>1</v>
      </c>
      <c r="I30" s="30">
        <v>1</v>
      </c>
      <c r="J30" s="30">
        <v>2</v>
      </c>
      <c r="K30" s="30">
        <v>4</v>
      </c>
      <c r="L30" s="30">
        <v>4</v>
      </c>
      <c r="M30" s="30">
        <v>4</v>
      </c>
    </row>
    <row r="31" spans="1:22" s="43" customFormat="1" ht="33.6" customHeight="1" x14ac:dyDescent="0.25">
      <c r="A31" s="101"/>
      <c r="B31" s="38" t="str">
        <f>INDEX('Ma trận năng lực'!B:B, MATCH(D31, 'Ma trận năng lực'!D:D, 0))</f>
        <v xml:space="preserve">Phần cứng hệ thống PLC </v>
      </c>
      <c r="C31" s="42">
        <f t="shared" si="1"/>
        <v>26</v>
      </c>
      <c r="D31" s="30" t="str">
        <v>ĐK_NLCM_034</v>
      </c>
      <c r="E31" s="28" t="str">
        <f>VLOOKUP(D31,'Ma trận năng lực'!$D$4:$E$69,2,1)</f>
        <v xml:space="preserve">Kiến thức và kỹ năng liên quan đến phần cứng hệ thống PLC </v>
      </c>
      <c r="F31" s="30">
        <v>1</v>
      </c>
      <c r="G31" s="30">
        <v>1</v>
      </c>
      <c r="H31" s="30">
        <v>1</v>
      </c>
      <c r="I31" s="30">
        <v>1</v>
      </c>
      <c r="J31" s="30">
        <v>1</v>
      </c>
      <c r="K31" s="30">
        <v>2</v>
      </c>
      <c r="L31" s="30">
        <v>3</v>
      </c>
      <c r="M31" s="30">
        <v>4</v>
      </c>
    </row>
    <row r="32" spans="1:22" s="43" customFormat="1" ht="33.6" customHeight="1" x14ac:dyDescent="0.25">
      <c r="A32" s="101"/>
      <c r="B32" s="38" t="str">
        <f>INDEX('Ma trận năng lực'!B:B, MATCH(D32, 'Ma trận năng lực'!D:D, 0))</f>
        <v xml:space="preserve">Phần mềm hệ thống PLC </v>
      </c>
      <c r="C32" s="42">
        <f t="shared" si="1"/>
        <v>27</v>
      </c>
      <c r="D32" s="30" t="str">
        <v>ĐK_NLCM_035</v>
      </c>
      <c r="E32" s="28" t="str">
        <f>VLOOKUP(D32,'Ma trận năng lực'!$D$4:$E$69,2,1)</f>
        <v xml:space="preserve">Kiến trúc và kỹ năng liên quan đến phần mềm hệ thống PLC </v>
      </c>
      <c r="F32" s="30">
        <v>1</v>
      </c>
      <c r="G32" s="30">
        <v>1</v>
      </c>
      <c r="H32" s="30">
        <v>1</v>
      </c>
      <c r="I32" s="30">
        <v>1</v>
      </c>
      <c r="J32" s="30">
        <v>1</v>
      </c>
      <c r="K32" s="30">
        <v>2</v>
      </c>
      <c r="L32" s="30">
        <v>3</v>
      </c>
      <c r="M32" s="30">
        <v>4</v>
      </c>
    </row>
    <row r="33" spans="1:13" s="43" customFormat="1" ht="33.6" customHeight="1" x14ac:dyDescent="0.25">
      <c r="A33" s="101"/>
      <c r="B33" s="38" t="str">
        <f>INDEX('Ma trận năng lực'!B:B, MATCH(D33, 'Ma trận năng lực'!D:D, 0))</f>
        <v>Hệ thống AMS</v>
      </c>
      <c r="C33" s="42">
        <f t="shared" si="1"/>
        <v>28</v>
      </c>
      <c r="D33" s="30" t="str">
        <v>ĐK_NLCM_040</v>
      </c>
      <c r="E33" s="28" t="str">
        <f>VLOOKUP(D33,'Ma trận năng lực'!$D$4:$E$69,2,1)</f>
        <v>Kiến thức và kỹ năng liên quan đến hệ thống AMS</v>
      </c>
      <c r="F33" s="30">
        <v>1</v>
      </c>
      <c r="G33" s="30">
        <v>1</v>
      </c>
      <c r="H33" s="30">
        <v>1</v>
      </c>
      <c r="I33" s="30">
        <v>2</v>
      </c>
      <c r="J33" s="30">
        <v>2</v>
      </c>
      <c r="K33" s="30">
        <v>2</v>
      </c>
      <c r="L33" s="30">
        <v>2</v>
      </c>
      <c r="M33" s="30">
        <v>2</v>
      </c>
    </row>
    <row r="34" spans="1:13" s="43" customFormat="1" ht="33.6" customHeight="1" x14ac:dyDescent="0.25">
      <c r="A34" s="101"/>
      <c r="B34" s="38" t="str">
        <f>INDEX('Ma trận năng lực'!B:B, MATCH(D34, 'Ma trận năng lực'!D:D, 0))</f>
        <v>Hệ thống OPC</v>
      </c>
      <c r="C34" s="42">
        <f t="shared" si="1"/>
        <v>29</v>
      </c>
      <c r="D34" s="30" t="str">
        <v>ĐK_NLCM_041</v>
      </c>
      <c r="E34" s="28" t="str">
        <f>VLOOKUP(D34,'Ma trận năng lực'!$D$4:$E$69,2,1)</f>
        <v>Kiến thức và kỹ năng liên quan đến hệ thống OPC</v>
      </c>
      <c r="F34" s="30">
        <v>1</v>
      </c>
      <c r="G34" s="30">
        <v>1</v>
      </c>
      <c r="H34" s="30">
        <v>1</v>
      </c>
      <c r="I34" s="30">
        <v>2</v>
      </c>
      <c r="J34" s="30">
        <v>2</v>
      </c>
      <c r="K34" s="30">
        <v>2</v>
      </c>
      <c r="L34" s="30">
        <v>2</v>
      </c>
      <c r="M34" s="30">
        <v>2</v>
      </c>
    </row>
    <row r="35" spans="1:13" s="43" customFormat="1" ht="33.6" customHeight="1" x14ac:dyDescent="0.25">
      <c r="A35" s="101"/>
      <c r="B35" s="38" t="str">
        <f>INDEX('Ma trận năng lực'!B:B, MATCH(D35, 'Ma trận năng lực'!D:D, 0))</f>
        <v>Hệ thống OTS</v>
      </c>
      <c r="C35" s="42">
        <f t="shared" si="1"/>
        <v>30</v>
      </c>
      <c r="D35" s="30" t="str">
        <v>ĐK_NLCM_042</v>
      </c>
      <c r="E35" s="28" t="str">
        <f>VLOOKUP(D35,'Ma trận năng lực'!$D$4:$E$69,2,1)</f>
        <v>Kiến thức và kỹ năng liên quan đến hệ thống OTS</v>
      </c>
      <c r="F35" s="30">
        <v>1</v>
      </c>
      <c r="G35" s="30">
        <v>1</v>
      </c>
      <c r="H35" s="30">
        <v>1</v>
      </c>
      <c r="I35" s="30">
        <v>2</v>
      </c>
      <c r="J35" s="30">
        <v>2</v>
      </c>
      <c r="K35" s="30">
        <v>2</v>
      </c>
      <c r="L35" s="30">
        <v>2</v>
      </c>
      <c r="M35" s="30">
        <v>2</v>
      </c>
    </row>
    <row r="36" spans="1:13" s="43" customFormat="1" ht="33.6" customHeight="1" x14ac:dyDescent="0.25">
      <c r="A36" s="101"/>
      <c r="B36" s="38" t="str">
        <f>INDEX('Ma trận năng lực'!B:B, MATCH(D36, 'Ma trận năng lực'!D:D, 0))</f>
        <v>Hệ thống APC</v>
      </c>
      <c r="C36" s="42">
        <f t="shared" si="1"/>
        <v>31</v>
      </c>
      <c r="D36" s="30" t="str">
        <v>ĐK_NLCM_043</v>
      </c>
      <c r="E36" s="28" t="str">
        <f>VLOOKUP(D36,'Ma trận năng lực'!$D$4:$E$69,2,1)</f>
        <v>Kiến thức về hệ thống APC</v>
      </c>
      <c r="F36" s="30">
        <v>1</v>
      </c>
      <c r="G36" s="30">
        <v>1</v>
      </c>
      <c r="H36" s="30">
        <v>1</v>
      </c>
      <c r="I36" s="30">
        <v>2</v>
      </c>
      <c r="J36" s="30">
        <v>2</v>
      </c>
      <c r="K36" s="30">
        <v>2</v>
      </c>
      <c r="L36" s="30">
        <v>2</v>
      </c>
      <c r="M36" s="30">
        <v>2</v>
      </c>
    </row>
    <row r="37" spans="1:13" ht="39" customHeight="1" x14ac:dyDescent="0.25">
      <c r="A37" s="102" t="s">
        <v>65</v>
      </c>
      <c r="B37" s="38" t="str">
        <f>INDEX('Ma trận năng lực'!B:B, MATCH(D37, 'Ma trận năng lực'!D:D, 0))</f>
        <v>Thiết kế và triển khai các dự án C&amp;I quy mô nhỏ</v>
      </c>
      <c r="C37" s="42">
        <f t="shared" si="1"/>
        <v>32</v>
      </c>
      <c r="D37" s="30" t="str">
        <v>ĐK_NLCM_055</v>
      </c>
      <c r="E37" s="28" t="str">
        <f>VLOOKUP(D37,'Ma trận năng lực'!$D$4:$E$69,2,1)</f>
        <v>Tham gia thiết kế và triển khai các dự án C&amp;I quy mô nhỏ</v>
      </c>
      <c r="F37" s="30">
        <v>1</v>
      </c>
      <c r="G37" s="30">
        <v>1</v>
      </c>
      <c r="H37" s="30">
        <v>1</v>
      </c>
      <c r="I37" s="30">
        <v>1</v>
      </c>
      <c r="J37" s="30">
        <v>1</v>
      </c>
      <c r="K37" s="30">
        <v>1</v>
      </c>
      <c r="L37" s="30">
        <v>2</v>
      </c>
      <c r="M37" s="30">
        <v>2</v>
      </c>
    </row>
    <row r="38" spans="1:13" ht="39" customHeight="1" x14ac:dyDescent="0.25">
      <c r="A38" s="103"/>
      <c r="B38" s="38" t="str">
        <f>INDEX('Ma trận năng lực'!B:B, MATCH(D38, 'Ma trận năng lực'!D:D, 0))</f>
        <v>An toàn điều khiển chức năng</v>
      </c>
      <c r="C38" s="42">
        <f t="shared" si="1"/>
        <v>33</v>
      </c>
      <c r="D38" s="30" t="str">
        <v>ĐK_NLCM_056</v>
      </c>
      <c r="E38" s="28" t="str">
        <f>VLOOKUP(D38,'Ma trận năng lực'!$D$4:$E$69,2,1)</f>
        <v>Kiến thức về an toàn điều khiển chức năng</v>
      </c>
      <c r="F38" s="30">
        <v>1</v>
      </c>
      <c r="G38" s="30">
        <v>1</v>
      </c>
      <c r="H38" s="30">
        <v>1</v>
      </c>
      <c r="I38" s="30">
        <v>1</v>
      </c>
      <c r="J38" s="30">
        <v>1</v>
      </c>
      <c r="K38" s="30">
        <v>1</v>
      </c>
      <c r="L38" s="30">
        <v>2</v>
      </c>
      <c r="M38" s="30">
        <v>2</v>
      </c>
    </row>
    <row r="39" spans="1:13" ht="39" customHeight="1" x14ac:dyDescent="0.25">
      <c r="A39" s="134"/>
      <c r="B39" s="38" t="str">
        <f>INDEX('Ma trận năng lực'!B:B, MATCH(D39, 'Ma trận năng lực'!D:D, 0))</f>
        <v>Điều khiển nâng cao</v>
      </c>
      <c r="C39" s="42">
        <f t="shared" si="1"/>
        <v>34</v>
      </c>
      <c r="D39" s="30" t="str">
        <v>ĐK_NLCM_057</v>
      </c>
      <c r="E39" s="28" t="str">
        <f>VLOOKUP(D39,'Ma trận năng lực'!$D$4:$E$69,2,1)</f>
        <v>Kiến thức và kỹ năng liên quan đến điều khiển nâng cao</v>
      </c>
      <c r="F39" s="30">
        <v>1</v>
      </c>
      <c r="G39" s="30">
        <v>1</v>
      </c>
      <c r="H39" s="30">
        <v>1</v>
      </c>
      <c r="I39" s="30">
        <v>1</v>
      </c>
      <c r="J39" s="30">
        <v>1</v>
      </c>
      <c r="K39" s="30">
        <v>1</v>
      </c>
      <c r="L39" s="30">
        <v>2</v>
      </c>
      <c r="M39" s="30">
        <v>2</v>
      </c>
    </row>
    <row r="40" spans="1:13" ht="39" customHeight="1" x14ac:dyDescent="0.25">
      <c r="A40" s="107" t="s">
        <v>66</v>
      </c>
      <c r="B40" s="38" t="str">
        <f>INDEX('Ma trận năng lực'!B:B, MATCH(D40, 'Ma trận năng lực'!D:D, 0))</f>
        <v>Quản lý hồ sơ, tài liệu/bản vẽ kỹ thuật</v>
      </c>
      <c r="C40" s="42">
        <f t="shared" si="1"/>
        <v>35</v>
      </c>
      <c r="D40" s="30" t="str">
        <v>ĐK_NLCM_064</v>
      </c>
      <c r="E40" s="28" t="str">
        <f>VLOOKUP(D40,'Ma trận năng lực'!$D$4:$E$69,2,1)</f>
        <v>Quản lý hồ sơ, tài liệu/bản vẽ kỹ thuật</v>
      </c>
      <c r="F40" s="30"/>
      <c r="G40" s="30"/>
      <c r="H40" s="30"/>
      <c r="I40" s="30"/>
      <c r="J40" s="30"/>
      <c r="K40" s="30"/>
      <c r="L40" s="30"/>
      <c r="M40" s="30"/>
    </row>
    <row r="41" spans="1:13" ht="39" customHeight="1" x14ac:dyDescent="0.25">
      <c r="A41" s="108"/>
      <c r="B41" s="38" t="str">
        <f>INDEX('Ma trận năng lực'!B:B, MATCH(D41, 'Ma trận năng lực'!D:D, 0))</f>
        <v>Quản lý sử dụng vật tư tiêu hao, thiết bị, CCDC</v>
      </c>
      <c r="C41" s="42">
        <f t="shared" si="1"/>
        <v>36</v>
      </c>
      <c r="D41" s="30" t="str">
        <v>ĐK_NLCM_065</v>
      </c>
      <c r="E41" s="28" t="str">
        <f>VLOOKUP(D41,'Ma trận năng lực'!$D$4:$E$69,2,1)</f>
        <v>Quản lý sử dụng vật tư tiêu hao, thiết bị, CCDC</v>
      </c>
      <c r="F41" s="30"/>
      <c r="G41" s="30"/>
      <c r="H41" s="30"/>
      <c r="I41" s="30"/>
      <c r="J41" s="30"/>
      <c r="K41" s="30"/>
      <c r="L41" s="30"/>
      <c r="M41" s="30"/>
    </row>
    <row r="42" spans="1:13" ht="39" customHeight="1" x14ac:dyDescent="0.25">
      <c r="A42" s="109"/>
      <c r="B42" s="38" t="str">
        <f>INDEX('Ma trận năng lực'!B:B, MATCH(D42, 'Ma trận năng lực'!D:D, 0))</f>
        <v>Nghiệp vụ SAP</v>
      </c>
      <c r="C42" s="42">
        <f t="shared" si="1"/>
        <v>37</v>
      </c>
      <c r="D42" s="30" t="str">
        <v>ĐK_NLCM_066</v>
      </c>
      <c r="E42" s="28" t="str">
        <f>VLOOKUP(D42,'Ma trận năng lực'!$D$4:$E$69,2,1)</f>
        <v>Kỹ năng sử dụng SAP</v>
      </c>
      <c r="F42" s="30"/>
      <c r="G42" s="30"/>
      <c r="H42" s="30"/>
      <c r="I42" s="30"/>
      <c r="J42" s="30"/>
      <c r="K42" s="30"/>
      <c r="L42" s="30"/>
      <c r="M42" s="30"/>
    </row>
  </sheetData>
  <mergeCells count="8">
    <mergeCell ref="O17:V17"/>
    <mergeCell ref="A1:M1"/>
    <mergeCell ref="A2:M2"/>
    <mergeCell ref="A3:A4"/>
    <mergeCell ref="B3:B4"/>
    <mergeCell ref="C3:C4"/>
    <mergeCell ref="D3:D4"/>
    <mergeCell ref="E3:E4"/>
  </mergeCells>
  <phoneticPr fontId="1" type="noConversion"/>
  <conditionalFormatting sqref="F6:M42">
    <cfRule type="cellIs" dxfId="45" priority="1" operator="equal">
      <formula>5</formula>
    </cfRule>
    <cfRule type="cellIs" dxfId="44" priority="2" operator="equal">
      <formula>4</formula>
    </cfRule>
    <cfRule type="cellIs" dxfId="43" priority="3" operator="equal">
      <formula>3</formula>
    </cfRule>
    <cfRule type="cellIs" dxfId="42" priority="4" operator="equal">
      <formula>2</formula>
    </cfRule>
    <cfRule type="cellIs" dxfId="41" priority="5" operator="equal">
      <formula>1</formula>
    </cfRule>
  </conditionalFormatting>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B5464-3BAB-4B69-948F-E68974565A6A}">
  <dimension ref="A1:R31"/>
  <sheetViews>
    <sheetView zoomScale="70" zoomScaleNormal="85" workbookViewId="0">
      <pane xSplit="13" ySplit="4" topLeftCell="N6" activePane="bottomRight" state="frozen"/>
      <selection pane="topRight" activeCell="P1" sqref="P1"/>
      <selection pane="bottomLeft" activeCell="A5" sqref="A5"/>
      <selection pane="bottomRight" activeCell="B18" sqref="B18"/>
    </sheetView>
  </sheetViews>
  <sheetFormatPr defaultColWidth="8.77734375" defaultRowHeight="15.75" x14ac:dyDescent="0.25"/>
  <cols>
    <col min="1" max="1" width="11.21875" style="44" customWidth="1"/>
    <col min="2" max="2" width="52.109375" style="45" customWidth="1"/>
    <col min="3" max="3" width="5.77734375" style="39" customWidth="1"/>
    <col min="4" max="4" width="21.5546875" style="115" customWidth="1"/>
    <col min="5" max="5" width="64.44140625" style="45" customWidth="1"/>
    <col min="6" max="13" width="7.109375" style="39" customWidth="1"/>
    <col min="14" max="16384" width="8.77734375" style="39"/>
  </cols>
  <sheetData>
    <row r="1" spans="1:18" ht="20.25" customHeight="1" x14ac:dyDescent="0.25">
      <c r="A1" s="146" t="s">
        <v>107</v>
      </c>
      <c r="B1" s="146"/>
      <c r="C1" s="146"/>
      <c r="D1" s="146"/>
      <c r="E1" s="146"/>
      <c r="F1" s="146"/>
      <c r="G1" s="146"/>
      <c r="H1" s="146"/>
      <c r="I1" s="146"/>
      <c r="J1" s="146"/>
      <c r="K1" s="146"/>
      <c r="L1" s="146"/>
      <c r="M1" s="146"/>
    </row>
    <row r="2" spans="1:18" ht="27.75" customHeight="1" x14ac:dyDescent="0.25">
      <c r="A2" s="147" t="s">
        <v>184</v>
      </c>
      <c r="B2" s="147"/>
      <c r="C2" s="147"/>
      <c r="D2" s="147"/>
      <c r="E2" s="147"/>
      <c r="F2" s="147"/>
      <c r="G2" s="147"/>
      <c r="H2" s="147"/>
      <c r="I2" s="147"/>
      <c r="J2" s="147"/>
      <c r="K2" s="147"/>
      <c r="L2" s="147"/>
      <c r="M2" s="147"/>
    </row>
    <row r="3" spans="1:18" s="40" customFormat="1" ht="28.9" customHeight="1" x14ac:dyDescent="0.25">
      <c r="A3" s="148" t="s">
        <v>4</v>
      </c>
      <c r="B3" s="149" t="s">
        <v>52</v>
      </c>
      <c r="C3" s="150" t="s">
        <v>0</v>
      </c>
      <c r="D3" s="149" t="s">
        <v>108</v>
      </c>
      <c r="E3" s="151" t="s">
        <v>109</v>
      </c>
      <c r="F3" s="19" t="s">
        <v>110</v>
      </c>
      <c r="G3" s="19" t="s">
        <v>111</v>
      </c>
      <c r="H3" s="19" t="s">
        <v>112</v>
      </c>
      <c r="I3" s="19" t="s">
        <v>113</v>
      </c>
      <c r="J3" s="19" t="s">
        <v>114</v>
      </c>
      <c r="K3" s="19" t="s">
        <v>115</v>
      </c>
      <c r="L3" s="19" t="s">
        <v>116</v>
      </c>
      <c r="M3" s="19" t="s">
        <v>117</v>
      </c>
      <c r="N3" s="39"/>
      <c r="O3" s="39"/>
      <c r="P3" s="39"/>
      <c r="Q3" s="39"/>
      <c r="R3" s="39"/>
    </row>
    <row r="4" spans="1:18" s="40" customFormat="1" x14ac:dyDescent="0.25">
      <c r="A4" s="148"/>
      <c r="B4" s="149"/>
      <c r="C4" s="150"/>
      <c r="D4" s="149"/>
      <c r="E4" s="151"/>
      <c r="F4" s="41">
        <f t="shared" ref="F4:M4" si="0">SUM(F6:F57)</f>
        <v>44</v>
      </c>
      <c r="G4" s="41">
        <f t="shared" si="0"/>
        <v>59</v>
      </c>
      <c r="H4" s="41">
        <f t="shared" si="0"/>
        <v>74</v>
      </c>
      <c r="I4" s="41">
        <f t="shared" si="0"/>
        <v>79</v>
      </c>
      <c r="J4" s="41">
        <f t="shared" si="0"/>
        <v>81</v>
      </c>
      <c r="K4" s="41">
        <f t="shared" si="0"/>
        <v>85</v>
      </c>
      <c r="L4" s="41">
        <f t="shared" si="0"/>
        <v>91</v>
      </c>
      <c r="M4" s="41">
        <f t="shared" si="0"/>
        <v>101</v>
      </c>
      <c r="N4" s="39"/>
      <c r="O4" s="39"/>
      <c r="P4" s="39"/>
      <c r="Q4" s="39"/>
      <c r="R4" s="39"/>
    </row>
    <row r="5" spans="1:18" s="40" customFormat="1" hidden="1" x14ac:dyDescent="0.25">
      <c r="A5" s="99"/>
      <c r="B5" s="19"/>
      <c r="C5" s="97"/>
      <c r="D5" s="19"/>
      <c r="E5" s="80"/>
      <c r="F5" s="92">
        <v>1</v>
      </c>
      <c r="G5" s="92">
        <v>2</v>
      </c>
      <c r="H5" s="92">
        <v>3</v>
      </c>
      <c r="I5" s="92">
        <v>4</v>
      </c>
      <c r="J5" s="92">
        <v>5</v>
      </c>
      <c r="K5" s="92">
        <v>6</v>
      </c>
      <c r="L5" s="92">
        <v>7</v>
      </c>
      <c r="M5" s="92">
        <v>8</v>
      </c>
      <c r="N5" s="39"/>
      <c r="O5" s="39"/>
      <c r="P5" s="39"/>
      <c r="Q5" s="39"/>
      <c r="R5" s="39"/>
    </row>
    <row r="6" spans="1:18" s="43" customFormat="1" ht="33.6" customHeight="1" x14ac:dyDescent="0.25">
      <c r="A6" s="73" t="s">
        <v>58</v>
      </c>
      <c r="B6" s="38" t="str">
        <f>INDEX('Ma trận năng lực'!B:B, MATCH(D6, 'Ma trận năng lực'!D:D, 0))</f>
        <v>HSE cương vị</v>
      </c>
      <c r="C6" s="72">
        <f>ROW()-5</f>
        <v>1</v>
      </c>
      <c r="D6" s="30" t="str" cm="1">
        <f t="array" ref="D6:D31">_xlfn._xlws.FILTER('Ma trận năng lực'!D:D,'Ma trận năng lực'!X:X="x")</f>
        <v>ĐK_NLCM_001</v>
      </c>
      <c r="E6" s="28" t="str">
        <f>VLOOKUP(D6,'Ma trận năng lực'!D4:E69,2,1)</f>
        <v xml:space="preserve">Kiến thức về an toàn khi làm việc với các thiết bị đo lường tự động hóa </v>
      </c>
      <c r="F6" s="30">
        <v>2</v>
      </c>
      <c r="G6" s="30">
        <v>3</v>
      </c>
      <c r="H6" s="30">
        <v>4</v>
      </c>
      <c r="I6" s="30">
        <v>4</v>
      </c>
      <c r="J6" s="30">
        <v>4</v>
      </c>
      <c r="K6" s="30">
        <v>5</v>
      </c>
      <c r="L6" s="30">
        <v>5</v>
      </c>
      <c r="M6" s="30">
        <v>5</v>
      </c>
    </row>
    <row r="7" spans="1:18" s="43" customFormat="1" ht="33.6" customHeight="1" x14ac:dyDescent="0.25">
      <c r="A7" s="74"/>
      <c r="B7" s="38" t="str">
        <f>INDEX('Ma trận năng lực'!B:B, MATCH(D7, 'Ma trận năng lực'!D:D, 0))</f>
        <v>Quy trình làm việc</v>
      </c>
      <c r="C7" s="72">
        <f t="shared" ref="C7:C30" si="1">ROW()-5</f>
        <v>2</v>
      </c>
      <c r="D7" s="30" t="str">
        <v>ĐK_NLCM_002</v>
      </c>
      <c r="E7" s="28" t="str">
        <f>VLOOKUP(D7,'Ma trận năng lực'!D5:E70,2,1)</f>
        <v>Kiến thức về quy trình làm việc</v>
      </c>
      <c r="F7" s="30">
        <v>2</v>
      </c>
      <c r="G7" s="30">
        <v>3</v>
      </c>
      <c r="H7" s="30">
        <v>4</v>
      </c>
      <c r="I7" s="30">
        <v>4</v>
      </c>
      <c r="J7" s="30">
        <v>4</v>
      </c>
      <c r="K7" s="30">
        <v>4</v>
      </c>
      <c r="L7" s="30">
        <v>5</v>
      </c>
      <c r="M7" s="30">
        <v>5</v>
      </c>
    </row>
    <row r="8" spans="1:18" s="43" customFormat="1" ht="39" customHeight="1" x14ac:dyDescent="0.25">
      <c r="A8" s="74"/>
      <c r="B8" s="38" t="str">
        <f>INDEX('Ma trận năng lực'!B:B, MATCH(D8, 'Ma trận năng lực'!D:D, 0))</f>
        <v>Nhận diện mối nguy và đánh giá rủi ro</v>
      </c>
      <c r="C8" s="72">
        <f t="shared" si="1"/>
        <v>3</v>
      </c>
      <c r="D8" s="30" t="str">
        <v>ĐK_NLCM_003</v>
      </c>
      <c r="E8" s="28" t="e">
        <f>VLOOKUP(D8,'Ma trận năng lực'!D7:E71,2,1)</f>
        <v>#N/A</v>
      </c>
      <c r="F8" s="30">
        <v>2</v>
      </c>
      <c r="G8" s="30">
        <v>3</v>
      </c>
      <c r="H8" s="30">
        <v>3</v>
      </c>
      <c r="I8" s="30">
        <v>4</v>
      </c>
      <c r="J8" s="30">
        <v>4</v>
      </c>
      <c r="K8" s="30">
        <v>4</v>
      </c>
      <c r="L8" s="30">
        <v>5</v>
      </c>
      <c r="M8" s="30">
        <v>5</v>
      </c>
    </row>
    <row r="9" spans="1:18" s="43" customFormat="1" ht="37.5" customHeight="1" x14ac:dyDescent="0.25">
      <c r="A9" s="74"/>
      <c r="B9" s="38" t="str">
        <f>INDEX('Ma trận năng lực'!B:B, MATCH(D9, 'Ma trận năng lực'!D:D, 0))</f>
        <v>Nền tảng chuyên ngành đo lường điều khiển</v>
      </c>
      <c r="C9" s="72">
        <f t="shared" si="1"/>
        <v>4</v>
      </c>
      <c r="D9" s="30" t="str">
        <v>ĐK_NLCM_004</v>
      </c>
      <c r="E9" s="28" t="e">
        <f>VLOOKUP(D9,'Ma trận năng lực'!D8:E72,2,1)</f>
        <v>#N/A</v>
      </c>
      <c r="F9" s="30">
        <v>2</v>
      </c>
      <c r="G9" s="30">
        <v>3</v>
      </c>
      <c r="H9" s="30">
        <v>4</v>
      </c>
      <c r="I9" s="30">
        <v>4</v>
      </c>
      <c r="J9" s="30">
        <v>4</v>
      </c>
      <c r="K9" s="30">
        <v>5</v>
      </c>
      <c r="L9" s="30">
        <v>5</v>
      </c>
      <c r="M9" s="30">
        <v>5</v>
      </c>
    </row>
    <row r="10" spans="1:18" s="43" customFormat="1" ht="33.6" customHeight="1" x14ac:dyDescent="0.25">
      <c r="A10" s="74"/>
      <c r="B10" s="38" t="str">
        <f>INDEX('Ma trận năng lực'!B:B, MATCH(D10, 'Ma trận năng lực'!D:D, 0))</f>
        <v>P&amp;ID</v>
      </c>
      <c r="C10" s="72">
        <f t="shared" si="1"/>
        <v>5</v>
      </c>
      <c r="D10" s="30" t="str">
        <v>ĐK_NLCM_010</v>
      </c>
      <c r="E10" s="28" t="str">
        <f>VLOOKUP(D10,'Ma trận năng lực'!D9:E73,2,1)</f>
        <v>Kiến thức và kỹ năng về P&amp;ID</v>
      </c>
      <c r="F10" s="30">
        <v>2</v>
      </c>
      <c r="G10" s="30">
        <v>3</v>
      </c>
      <c r="H10" s="30">
        <v>3</v>
      </c>
      <c r="I10" s="30">
        <v>4</v>
      </c>
      <c r="J10" s="30">
        <v>4</v>
      </c>
      <c r="K10" s="30">
        <v>4</v>
      </c>
      <c r="L10" s="30">
        <v>5</v>
      </c>
      <c r="M10" s="30">
        <v>5</v>
      </c>
    </row>
    <row r="11" spans="1:18" s="43" customFormat="1" ht="33.6" customHeight="1" x14ac:dyDescent="0.25">
      <c r="A11" s="74"/>
      <c r="B11" s="38" t="str">
        <f>INDEX('Ma trận năng lực'!B:B, MATCH(D11, 'Ma trận năng lực'!D:D, 0))</f>
        <v>IO wiring, Instrument juction box và cable schedule và Interlock</v>
      </c>
      <c r="C11" s="72">
        <f t="shared" si="1"/>
        <v>6</v>
      </c>
      <c r="D11" s="30" t="str">
        <v>ĐK_NLCM_011</v>
      </c>
      <c r="E11" s="28" t="str">
        <f>VLOOKUP(D11,'Ma trận năng lực'!D10:E74,2,1)</f>
        <v xml:space="preserve">Kiến thức về IO wiring, Instrument juction box và cable schedule, Interlock </v>
      </c>
      <c r="F11" s="30">
        <v>2</v>
      </c>
      <c r="G11" s="30">
        <v>3</v>
      </c>
      <c r="H11" s="30">
        <v>4</v>
      </c>
      <c r="I11" s="30">
        <v>4</v>
      </c>
      <c r="J11" s="30">
        <v>4</v>
      </c>
      <c r="K11" s="30">
        <v>5</v>
      </c>
      <c r="L11" s="30">
        <v>5</v>
      </c>
      <c r="M11" s="30">
        <v>5</v>
      </c>
    </row>
    <row r="12" spans="1:18" s="43" customFormat="1" ht="33.6" customHeight="1" x14ac:dyDescent="0.25">
      <c r="A12" s="74"/>
      <c r="B12" s="38" t="str">
        <f>INDEX('Ma trận năng lực'!B:B, MATCH(D12, 'Ma trận năng lực'!D:D, 0))</f>
        <v>Công cụ, Dụng cụ cầm tay cho chuyên môn thiết bị van điều khiển</v>
      </c>
      <c r="C12" s="72">
        <f t="shared" si="1"/>
        <v>7</v>
      </c>
      <c r="D12" s="30" t="str">
        <v>ĐK_NLCM_013</v>
      </c>
      <c r="E12" s="28" t="str">
        <f>VLOOKUP(D12,'Ma trận năng lực'!D11:E75,2,1)</f>
        <v>Kỹ năng sử dụng Công cụ, Dụng cụ cầm tay cho chuyên môn thiết bị van điều khiển</v>
      </c>
      <c r="F12" s="30">
        <v>2</v>
      </c>
      <c r="G12" s="30">
        <v>3</v>
      </c>
      <c r="H12" s="30">
        <v>4</v>
      </c>
      <c r="I12" s="30">
        <v>4</v>
      </c>
      <c r="J12" s="30">
        <v>4</v>
      </c>
      <c r="K12" s="30">
        <v>4</v>
      </c>
      <c r="L12" s="30">
        <v>5</v>
      </c>
      <c r="M12" s="30">
        <v>5</v>
      </c>
    </row>
    <row r="13" spans="1:18" s="43" customFormat="1" ht="33.6" customHeight="1" x14ac:dyDescent="0.25">
      <c r="A13" s="74"/>
      <c r="B13" s="38" t="str">
        <f>INDEX('Ma trận năng lực'!B:B, MATCH(D13, 'Ma trận năng lực'!D:D, 0))</f>
        <v>Vật lý cơ bản</v>
      </c>
      <c r="C13" s="72">
        <f t="shared" si="1"/>
        <v>8</v>
      </c>
      <c r="D13" s="30" t="str">
        <v>ĐK_NLCM_014</v>
      </c>
      <c r="E13" s="28" t="str">
        <f>VLOOKUP(D13,'Ma trận năng lực'!D12:E76,2,1)</f>
        <v>Kiến thức về vật lý và đại lượng đo lường cơ bản</v>
      </c>
      <c r="F13" s="30">
        <v>2</v>
      </c>
      <c r="G13" s="30">
        <v>3</v>
      </c>
      <c r="H13" s="30">
        <v>4</v>
      </c>
      <c r="I13" s="30">
        <v>4</v>
      </c>
      <c r="J13" s="30">
        <v>4</v>
      </c>
      <c r="K13" s="30">
        <v>4</v>
      </c>
      <c r="L13" s="30">
        <v>5</v>
      </c>
      <c r="M13" s="30">
        <v>5</v>
      </c>
    </row>
    <row r="14" spans="1:18" s="43" customFormat="1" ht="33.6" customHeight="1" x14ac:dyDescent="0.25">
      <c r="A14" s="74"/>
      <c r="B14" s="38" t="str">
        <f>INDEX('Ma trận năng lực'!B:B, MATCH(D14, 'Ma trận năng lực'!D:D, 0))</f>
        <v>Lựa chọn fitting, tubing</v>
      </c>
      <c r="C14" s="72">
        <f t="shared" si="1"/>
        <v>9</v>
      </c>
      <c r="D14" s="30" t="str">
        <v>ĐK_NLCM_015</v>
      </c>
      <c r="E14" s="28" t="str">
        <f>VLOOKUP(D14,'Ma trận năng lực'!D13:E77,2,1)</f>
        <v>Kiến thức và kỹ năng liên quan đến lựa chọn fitting và tubing</v>
      </c>
      <c r="F14" s="30">
        <v>2</v>
      </c>
      <c r="G14" s="30">
        <v>2</v>
      </c>
      <c r="H14" s="30">
        <v>2</v>
      </c>
      <c r="I14" s="30">
        <v>2</v>
      </c>
      <c r="J14" s="30">
        <v>2</v>
      </c>
      <c r="K14" s="30">
        <v>2</v>
      </c>
      <c r="L14" s="30">
        <v>2</v>
      </c>
      <c r="M14" s="30">
        <v>2</v>
      </c>
    </row>
    <row r="15" spans="1:18" s="43" customFormat="1" ht="51.6" customHeight="1" x14ac:dyDescent="0.25">
      <c r="A15" s="74"/>
      <c r="B15" s="38" t="str">
        <f>INDEX('Ma trận năng lực'!B:B, MATCH(D15, 'Ma trận năng lực'!D:D, 0))</f>
        <v>Công nghệ sản xuất</v>
      </c>
      <c r="C15" s="72">
        <f t="shared" si="1"/>
        <v>10</v>
      </c>
      <c r="D15" s="30" t="str">
        <v>ĐK_NLCM_016</v>
      </c>
      <c r="E15" s="28" t="str">
        <f>VLOOKUP(D15,'Ma trận năng lực'!D14:E78,2,1)</f>
        <v>Kiến thức cơ bản về quy trình công nghệ sản xuất tại Nhà máy Đạm Cà Mau từ khí đầu vào đến tạo hạt, đóng bao.</v>
      </c>
      <c r="F15" s="30">
        <v>2</v>
      </c>
      <c r="G15" s="30">
        <v>2</v>
      </c>
      <c r="H15" s="30">
        <v>2</v>
      </c>
      <c r="I15" s="30">
        <v>2</v>
      </c>
      <c r="J15" s="30">
        <v>2</v>
      </c>
      <c r="K15" s="30">
        <v>2</v>
      </c>
      <c r="L15" s="30">
        <v>2</v>
      </c>
      <c r="M15" s="30">
        <v>2</v>
      </c>
    </row>
    <row r="16" spans="1:18" s="43" customFormat="1" ht="47.45" customHeight="1" x14ac:dyDescent="0.25">
      <c r="A16" s="74"/>
      <c r="B16" s="38" t="str">
        <f>INDEX('Ma trận năng lực'!B:B, MATCH(D16, 'Ma trận năng lực'!D:D, 0))</f>
        <v>Tổng quan Hệ thống điều khiển nhà máy Đạm Cà Mau</v>
      </c>
      <c r="C16" s="72">
        <f t="shared" si="1"/>
        <v>11</v>
      </c>
      <c r="D16" s="30" t="str">
        <v>ĐK_NLCM_017</v>
      </c>
      <c r="E16" s="28" t="str">
        <f>VLOOKUP(D16,'Ma trận năng lực'!D15:E79,2,1)</f>
        <v>Nắm được chức năng của các hệ thống điều khiển tại nhà máy Đạm Cà Mau bao gồm Hệ thống điều khiển phân tán, ESD, hệ thống điều khiển Turbine và máy nén, hệ thống MPS/MMS, hệ thống đóng bao xuất hàng</v>
      </c>
      <c r="F16" s="30">
        <v>2</v>
      </c>
      <c r="G16" s="30">
        <v>2</v>
      </c>
      <c r="H16" s="30">
        <v>3</v>
      </c>
      <c r="I16" s="30">
        <v>4</v>
      </c>
      <c r="J16" s="30">
        <v>4</v>
      </c>
      <c r="K16" s="30">
        <v>4</v>
      </c>
      <c r="L16" s="30">
        <v>4</v>
      </c>
      <c r="M16" s="30">
        <v>5</v>
      </c>
    </row>
    <row r="17" spans="1:13" s="43" customFormat="1" ht="33.6" customHeight="1" x14ac:dyDescent="0.25">
      <c r="A17" s="74"/>
      <c r="B17" s="38" t="str">
        <f>INDEX('Ma trận năng lực'!B:B, MATCH(D17, 'Ma trận năng lực'!D:D, 0))</f>
        <v>Tổng quan Thiết bị đo lường và van điều khiển nhà máy Đạm Cà Mau</v>
      </c>
      <c r="C17" s="72">
        <f t="shared" si="1"/>
        <v>12</v>
      </c>
      <c r="D17" s="30" t="str">
        <v>ĐK_NLCM_018</v>
      </c>
      <c r="E17" s="28" t="str">
        <f>VLOOKUP(D17,'Ma trận năng lực'!D17:E80,2,1)</f>
        <v>Kiến thức về thiết bị đo lường và van điều khiển tại nhà máy Đạm Cà Mau</v>
      </c>
      <c r="F17" s="30">
        <v>2</v>
      </c>
      <c r="G17" s="30">
        <v>2</v>
      </c>
      <c r="H17" s="30">
        <v>3</v>
      </c>
      <c r="I17" s="30">
        <v>3</v>
      </c>
      <c r="J17" s="30">
        <v>4</v>
      </c>
      <c r="K17" s="30">
        <v>4</v>
      </c>
      <c r="L17" s="30">
        <v>4</v>
      </c>
      <c r="M17" s="30">
        <v>5</v>
      </c>
    </row>
    <row r="18" spans="1:13" s="43" customFormat="1" ht="33.6" customHeight="1" x14ac:dyDescent="0.25">
      <c r="A18" s="74"/>
      <c r="B18" s="38" t="str">
        <f>INDEX('Ma trận năng lực'!B:B, MATCH(D18, 'Ma trận năng lực'!D:D, 0))</f>
        <v>Kiến thức tổng quan về biện pháp phòng nổ (Ex protection)</v>
      </c>
      <c r="C18" s="72">
        <f t="shared" si="1"/>
        <v>13</v>
      </c>
      <c r="D18" s="30" t="str">
        <v>ĐK_NLCM_019</v>
      </c>
      <c r="E18" s="28" t="str">
        <f>VLOOKUP(D18,'Ma trận năng lực'!D19:E81,2,1)</f>
        <v>Kiến thức về vùng nguy hiểm</v>
      </c>
      <c r="F18" s="30">
        <v>2</v>
      </c>
      <c r="G18" s="30">
        <v>2</v>
      </c>
      <c r="H18" s="30">
        <v>3</v>
      </c>
      <c r="I18" s="30">
        <v>3</v>
      </c>
      <c r="J18" s="30">
        <v>4</v>
      </c>
      <c r="K18" s="30">
        <v>4</v>
      </c>
      <c r="L18" s="30">
        <v>4</v>
      </c>
      <c r="M18" s="30">
        <v>5</v>
      </c>
    </row>
    <row r="19" spans="1:13" s="43" customFormat="1" ht="37.5" customHeight="1" x14ac:dyDescent="0.25">
      <c r="A19" s="74"/>
      <c r="B19" s="38" t="str">
        <f>INDEX('Ma trận năng lực'!B:B, MATCH(D19, 'Ma trận năng lực'!D:D, 0))</f>
        <v>Kiến thức tổng quan về biện pháp phòng nổ (Ex protection)</v>
      </c>
      <c r="C19" s="72">
        <f t="shared" si="1"/>
        <v>14</v>
      </c>
      <c r="D19" s="30" t="str">
        <v>ĐK_NLCM_020</v>
      </c>
      <c r="E19" s="28" t="str">
        <f>VLOOKUP(D19,'Ma trận năng lực'!D20:E82,2,1)</f>
        <v>Kiến thức về ký hiệu phòng nổ trên thiết bị</v>
      </c>
      <c r="F19" s="30">
        <v>2</v>
      </c>
      <c r="G19" s="30">
        <v>3</v>
      </c>
      <c r="H19" s="30">
        <v>4</v>
      </c>
      <c r="I19" s="30">
        <v>4</v>
      </c>
      <c r="J19" s="30">
        <v>4</v>
      </c>
      <c r="K19" s="30">
        <v>4</v>
      </c>
      <c r="L19" s="30">
        <v>4</v>
      </c>
      <c r="M19" s="30">
        <v>5</v>
      </c>
    </row>
    <row r="20" spans="1:13" s="43" customFormat="1" ht="33.6" customHeight="1" x14ac:dyDescent="0.25">
      <c r="A20" s="100" t="s">
        <v>64</v>
      </c>
      <c r="B20" s="38" t="str">
        <f>INDEX('Ma trận năng lực'!B:B, MATCH(D20, 'Ma trận năng lực'!D:D, 0))</f>
        <v>Trí tuệ nhân tạo (AI)</v>
      </c>
      <c r="C20" s="72">
        <f t="shared" si="1"/>
        <v>15</v>
      </c>
      <c r="D20" s="30" t="str">
        <v>ĐK_NLCM_024</v>
      </c>
      <c r="E20" s="28" t="str">
        <f>VLOOKUP(D20,'Ma trận năng lực'!D21:E83,2,1)</f>
        <v>Kiến thức và kỹ năng liên về trí tuệ nhân tạo (AI)</v>
      </c>
      <c r="F20" s="30">
        <v>2</v>
      </c>
      <c r="G20" s="30">
        <v>3</v>
      </c>
      <c r="H20" s="30">
        <v>3</v>
      </c>
      <c r="I20" s="30">
        <v>4</v>
      </c>
      <c r="J20" s="30">
        <v>4</v>
      </c>
      <c r="K20" s="30">
        <v>4</v>
      </c>
      <c r="L20" s="30">
        <v>4</v>
      </c>
      <c r="M20" s="30">
        <v>5</v>
      </c>
    </row>
    <row r="21" spans="1:13" s="43" customFormat="1" ht="33.6" customHeight="1" x14ac:dyDescent="0.25">
      <c r="A21" s="101"/>
      <c r="B21" s="38" t="str">
        <f>INDEX('Ma trận năng lực'!B:B, MATCH(D21, 'Ma trận năng lực'!D:D, 0))</f>
        <v>Van điều khiển với cơ cấu chấp hành khí nén  (Pneumatic actuator)</v>
      </c>
      <c r="C21" s="72">
        <f t="shared" si="1"/>
        <v>16</v>
      </c>
      <c r="D21" s="30" t="str">
        <v>ĐK_NLCM_049</v>
      </c>
      <c r="E21" s="28" t="str">
        <f>VLOOKUP(D21,'Ma trận năng lực'!D22:E84,2,1)</f>
        <v>Kiến thức và kỹ năng về van điều khiển với cơ cấu chấp hành khí nén  (Pneumatic actuator)</v>
      </c>
      <c r="F21" s="30">
        <v>2</v>
      </c>
      <c r="G21" s="30">
        <v>3</v>
      </c>
      <c r="H21" s="30">
        <v>4</v>
      </c>
      <c r="I21" s="30">
        <v>4</v>
      </c>
      <c r="J21" s="30">
        <v>4</v>
      </c>
      <c r="K21" s="30">
        <v>4</v>
      </c>
      <c r="L21" s="30">
        <v>4</v>
      </c>
      <c r="M21" s="30">
        <v>5</v>
      </c>
    </row>
    <row r="22" spans="1:13" s="43" customFormat="1" ht="33.6" customHeight="1" x14ac:dyDescent="0.25">
      <c r="A22" s="101"/>
      <c r="B22" s="38" t="str">
        <f>INDEX('Ma trận năng lực'!B:B, MATCH(D22, 'Ma trận năng lực'!D:D, 0))</f>
        <v>Thiết bị phân tích, quan trắc môi trường</v>
      </c>
      <c r="C22" s="72">
        <f t="shared" si="1"/>
        <v>17</v>
      </c>
      <c r="D22" s="30" t="str">
        <v>ĐK_NLCM_050</v>
      </c>
      <c r="E22" s="28" t="str">
        <f>VLOOKUP(D22,'Ma trận năng lực'!D23:E85,2,1)</f>
        <v>Kiến thức và kỹ năng về thiết bị phân tích, quan trắc môi trường</v>
      </c>
      <c r="F22" s="30">
        <v>2</v>
      </c>
      <c r="G22" s="30">
        <v>3</v>
      </c>
      <c r="H22" s="30">
        <v>4</v>
      </c>
      <c r="I22" s="30">
        <v>4</v>
      </c>
      <c r="J22" s="30">
        <v>4</v>
      </c>
      <c r="K22" s="30">
        <v>4</v>
      </c>
      <c r="L22" s="30">
        <v>4</v>
      </c>
      <c r="M22" s="30">
        <v>5</v>
      </c>
    </row>
    <row r="23" spans="1:13" s="43" customFormat="1" ht="33.6" customHeight="1" x14ac:dyDescent="0.25">
      <c r="A23" s="101"/>
      <c r="B23" s="38" t="str">
        <f>INDEX('Ma trận năng lực'!B:B, MATCH(D23, 'Ma trận năng lực'!D:D, 0))</f>
        <v>Thiết bị dò khí cháy nổ và khí độc</v>
      </c>
      <c r="C23" s="72">
        <f t="shared" si="1"/>
        <v>18</v>
      </c>
      <c r="D23" s="30" t="str">
        <v>ĐK_NLCM_051</v>
      </c>
      <c r="E23" s="28" t="str">
        <f>VLOOKUP(D23,'Ma trận năng lực'!D37:E86,2,1)</f>
        <v>Kiến thức và kỹ năng về thiết bị dò khí cháy nổ và khí độc</v>
      </c>
      <c r="F23" s="30">
        <v>2</v>
      </c>
      <c r="G23" s="30">
        <v>3</v>
      </c>
      <c r="H23" s="30">
        <v>4</v>
      </c>
      <c r="I23" s="30">
        <v>4</v>
      </c>
      <c r="J23" s="30">
        <v>4</v>
      </c>
      <c r="K23" s="30">
        <v>4</v>
      </c>
      <c r="L23" s="30">
        <v>4</v>
      </c>
      <c r="M23" s="30">
        <v>5</v>
      </c>
    </row>
    <row r="24" spans="1:13" s="43" customFormat="1" ht="33.6" customHeight="1" x14ac:dyDescent="0.25">
      <c r="A24" s="102" t="s">
        <v>65</v>
      </c>
      <c r="B24" s="38" t="str">
        <f>INDEX('Ma trận năng lực'!B:B, MATCH(D24, 'Ma trận năng lực'!D:D, 0))</f>
        <v>Thiết bị đóng bao</v>
      </c>
      <c r="C24" s="72">
        <f t="shared" si="1"/>
        <v>19</v>
      </c>
      <c r="D24" s="30" t="str">
        <v>ĐK_NLCM_052</v>
      </c>
      <c r="E24" s="28" t="str">
        <f>VLOOKUP(D24,'Ma trận năng lực'!D38:E87,2,1)</f>
        <v>Kiến thức và kỹ năng về thiết bị đóng bao</v>
      </c>
      <c r="F24" s="30">
        <v>2</v>
      </c>
      <c r="G24" s="30">
        <v>3</v>
      </c>
      <c r="H24" s="30">
        <v>4</v>
      </c>
      <c r="I24" s="30">
        <v>4</v>
      </c>
      <c r="J24" s="30">
        <v>4</v>
      </c>
      <c r="K24" s="30">
        <v>4</v>
      </c>
      <c r="L24" s="30">
        <v>4</v>
      </c>
      <c r="M24" s="30">
        <v>4</v>
      </c>
    </row>
    <row r="25" spans="1:13" s="43" customFormat="1" ht="33.6" customHeight="1" x14ac:dyDescent="0.25">
      <c r="A25" s="103"/>
      <c r="B25" s="38" t="str">
        <f>INDEX('Ma trận năng lực'!B:B, MATCH(D25, 'Ma trận năng lực'!D:D, 0))</f>
        <v>Thiết bị vận chuyển, xuất hàng, lưu  kho, nhập liệu</v>
      </c>
      <c r="C25" s="72">
        <f t="shared" si="1"/>
        <v>20</v>
      </c>
      <c r="D25" s="30" t="str">
        <v>ĐK_NLCM_053</v>
      </c>
      <c r="E25" s="28" t="str">
        <f>VLOOKUP(D25,'Ma trận năng lực'!D31:E88,2,1)</f>
        <v>Kiến thức và kỹ năng về thiết bị vận chuyển, xuất hàng, lưu  kho, nhập liệu</v>
      </c>
      <c r="F25" s="30">
        <v>2</v>
      </c>
      <c r="G25" s="30">
        <v>3</v>
      </c>
      <c r="H25" s="30">
        <v>3</v>
      </c>
      <c r="I25" s="30">
        <v>4</v>
      </c>
      <c r="J25" s="30">
        <v>4</v>
      </c>
      <c r="K25" s="30">
        <v>4</v>
      </c>
      <c r="L25" s="30">
        <v>4</v>
      </c>
      <c r="M25" s="30">
        <v>5</v>
      </c>
    </row>
    <row r="26" spans="1:13" s="43" customFormat="1" ht="33.6" customHeight="1" x14ac:dyDescent="0.25">
      <c r="A26" s="103"/>
      <c r="B26" s="38" t="str">
        <f>INDEX('Ma trận năng lực'!B:B, MATCH(D26, 'Ma trận năng lực'!D:D, 0))</f>
        <v>Van điều khiển với cơ cấu chấp hành motor (MOV)</v>
      </c>
      <c r="C26" s="72">
        <f t="shared" si="1"/>
        <v>21</v>
      </c>
      <c r="D26" s="30" t="str">
        <v>ĐK_NLCM_061</v>
      </c>
      <c r="E26" s="28" t="str">
        <f>VLOOKUP(D26,'Ma trận năng lực'!D32:E89,2,1)</f>
        <v>Kiến thức và kỹ năng về van điều khiển với cơ cấu chấp hành motor (MOV)</v>
      </c>
      <c r="F26" s="30">
        <v>2</v>
      </c>
      <c r="G26" s="30">
        <v>2</v>
      </c>
      <c r="H26" s="30">
        <v>3</v>
      </c>
      <c r="I26" s="30">
        <v>3</v>
      </c>
      <c r="J26" s="30">
        <v>3</v>
      </c>
      <c r="K26" s="30">
        <v>4</v>
      </c>
      <c r="L26" s="30">
        <v>4</v>
      </c>
      <c r="M26" s="30">
        <v>5</v>
      </c>
    </row>
    <row r="27" spans="1:13" s="43" customFormat="1" ht="33.6" customHeight="1" x14ac:dyDescent="0.25">
      <c r="A27" s="104"/>
      <c r="B27" s="38" t="str">
        <f>INDEX('Ma trận năng lực'!B:B, MATCH(D27, 'Ma trận năng lực'!D:D, 0))</f>
        <v xml:space="preserve">Van điều khiển với cơ cấu chấp hành thủy lực </v>
      </c>
      <c r="C27" s="72">
        <f t="shared" si="1"/>
        <v>22</v>
      </c>
      <c r="D27" s="30" t="str">
        <v>ĐK_NLCM_062</v>
      </c>
      <c r="E27" s="28" t="str">
        <f>VLOOKUP(D27,'Ma trận năng lực'!D35:E90,2,1)</f>
        <v xml:space="preserve">Kiến thức và kỹ năng về van điều khiển với cơ cấu chấp hành thủy lực </v>
      </c>
      <c r="F27" s="30">
        <v>2</v>
      </c>
      <c r="G27" s="30">
        <v>2</v>
      </c>
      <c r="H27" s="30">
        <v>2</v>
      </c>
      <c r="I27" s="30">
        <v>2</v>
      </c>
      <c r="J27" s="30">
        <v>2</v>
      </c>
      <c r="K27" s="30">
        <v>2</v>
      </c>
      <c r="L27" s="30">
        <v>3</v>
      </c>
      <c r="M27" s="30">
        <v>3</v>
      </c>
    </row>
    <row r="28" spans="1:13" s="43" customFormat="1" ht="33.6" customHeight="1" x14ac:dyDescent="0.25">
      <c r="A28" s="107" t="s">
        <v>66</v>
      </c>
      <c r="B28" s="38" t="str">
        <f>INDEX('Ma trận năng lực'!B:B, MATCH(D28, 'Ma trận năng lực'!D:D, 0))</f>
        <v>Lựa chọn thiết bị van điều khiển</v>
      </c>
      <c r="C28" s="72">
        <f t="shared" si="1"/>
        <v>23</v>
      </c>
      <c r="D28" s="30" t="str">
        <v>ĐK_NLCM_063</v>
      </c>
      <c r="E28" s="28" t="str">
        <f>VLOOKUP(D28,'Ma trận năng lực'!D36:E91,2,1)</f>
        <v>Kiến thức liên quan đến lựa chọn thiết bị van điều khiển</v>
      </c>
      <c r="F28" s="30"/>
      <c r="G28" s="30"/>
      <c r="H28" s="30"/>
      <c r="I28" s="30"/>
      <c r="J28" s="30"/>
      <c r="K28" s="30"/>
      <c r="L28" s="30"/>
      <c r="M28" s="30"/>
    </row>
    <row r="29" spans="1:13" s="43" customFormat="1" ht="33.6" customHeight="1" x14ac:dyDescent="0.25">
      <c r="A29" s="108"/>
      <c r="B29" s="38" t="str">
        <f>INDEX('Ma trận năng lực'!B:B, MATCH(D29, 'Ma trận năng lực'!D:D, 0))</f>
        <v>Quản lý hồ sơ, tài liệu/bản vẽ kỹ thuật</v>
      </c>
      <c r="C29" s="72">
        <f t="shared" si="1"/>
        <v>24</v>
      </c>
      <c r="D29" s="30" t="str">
        <v>ĐK_NLCM_064</v>
      </c>
      <c r="E29" s="28" t="str">
        <f>VLOOKUP(D29,'Ma trận năng lực'!D29:E92,2,1)</f>
        <v>Quản lý hồ sơ, tài liệu/bản vẽ kỹ thuật</v>
      </c>
      <c r="F29" s="30"/>
      <c r="G29" s="30"/>
      <c r="H29" s="30"/>
      <c r="I29" s="30"/>
      <c r="J29" s="30"/>
      <c r="K29" s="30"/>
      <c r="L29" s="30"/>
      <c r="M29" s="30"/>
    </row>
    <row r="30" spans="1:13" s="43" customFormat="1" ht="33.6" customHeight="1" x14ac:dyDescent="0.25">
      <c r="A30" s="109"/>
      <c r="B30" s="38" t="str">
        <f>INDEX('Ma trận năng lực'!B:B, MATCH(D30, 'Ma trận năng lực'!D:D, 0))</f>
        <v>Quản lý sử dụng vật tư tiêu hao, thiết bị, CCDC</v>
      </c>
      <c r="C30" s="72">
        <f t="shared" si="1"/>
        <v>25</v>
      </c>
      <c r="D30" s="30" t="str">
        <v>ĐK_NLCM_065</v>
      </c>
      <c r="E30" s="28" t="str">
        <f>VLOOKUP(D30,'Ma trận năng lực'!D30:E93,2,1)</f>
        <v>Quản lý sử dụng vật tư tiêu hao, thiết bị, CCDC</v>
      </c>
      <c r="F30" s="30"/>
      <c r="G30" s="30"/>
      <c r="H30" s="30"/>
      <c r="I30" s="30"/>
      <c r="J30" s="30"/>
      <c r="K30" s="30"/>
      <c r="L30" s="30"/>
      <c r="M30" s="30"/>
    </row>
    <row r="31" spans="1:13" x14ac:dyDescent="0.25">
      <c r="D31" s="115" t="str">
        <v>ĐK_NLCM_066</v>
      </c>
    </row>
  </sheetData>
  <mergeCells count="7">
    <mergeCell ref="A1:M1"/>
    <mergeCell ref="A2:M2"/>
    <mergeCell ref="A3:A4"/>
    <mergeCell ref="B3:B4"/>
    <mergeCell ref="C3:C4"/>
    <mergeCell ref="D3:D4"/>
    <mergeCell ref="E3:E4"/>
  </mergeCells>
  <conditionalFormatting sqref="F6:M30">
    <cfRule type="cellIs" dxfId="40" priority="1" operator="equal">
      <formula>5</formula>
    </cfRule>
    <cfRule type="cellIs" dxfId="39" priority="2" operator="equal">
      <formula>4</formula>
    </cfRule>
    <cfRule type="cellIs" dxfId="38" priority="3" operator="equal">
      <formula>3</formula>
    </cfRule>
    <cfRule type="cellIs" dxfId="37" priority="4" operator="equal">
      <formula>2</formula>
    </cfRule>
    <cfRule type="cellIs" dxfId="36" priority="5" operator="equal">
      <formula>1</formula>
    </cfRule>
  </conditionalFormatting>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32F65-C5E6-409B-B0A6-48C77A3A8F8E}">
  <sheetPr>
    <tabColor rgb="FFFF0000"/>
  </sheetPr>
  <dimension ref="A1:K61"/>
  <sheetViews>
    <sheetView zoomScale="85" zoomScaleNormal="85" workbookViewId="0">
      <pane xSplit="4" ySplit="12" topLeftCell="E13" activePane="bottomRight" state="frozen"/>
      <selection activeCell="G6" sqref="G6"/>
      <selection pane="topRight" activeCell="G6" sqref="G6"/>
      <selection pane="bottomLeft" activeCell="G6" sqref="G6"/>
      <selection pane="bottomRight" activeCell="D13" sqref="D13"/>
    </sheetView>
  </sheetViews>
  <sheetFormatPr defaultRowHeight="16.5" outlineLevelRow="1" x14ac:dyDescent="0.25"/>
  <cols>
    <col min="1" max="1" width="6.5546875" style="2" customWidth="1"/>
    <col min="2" max="2" width="21" style="2" customWidth="1"/>
    <col min="3" max="3" width="77.6640625" customWidth="1"/>
    <col min="4" max="4" width="11.6640625" style="2" customWidth="1"/>
    <col min="5" max="5" width="11.109375" style="2" customWidth="1"/>
    <col min="6" max="6" width="10.21875" style="2" customWidth="1"/>
    <col min="7" max="7" width="19" style="4" customWidth="1"/>
    <col min="8" max="8" width="9.109375" style="4" customWidth="1"/>
    <col min="9" max="10" width="9.109375" style="82" customWidth="1"/>
  </cols>
  <sheetData>
    <row r="1" spans="1:11" x14ac:dyDescent="0.25">
      <c r="A1" s="158" t="s">
        <v>206</v>
      </c>
      <c r="B1" s="158"/>
      <c r="C1" s="158"/>
      <c r="G1" s="82"/>
      <c r="H1" s="82"/>
      <c r="I1"/>
      <c r="J1"/>
    </row>
    <row r="2" spans="1:11" s="85" customFormat="1" x14ac:dyDescent="0.25">
      <c r="A2" s="159" t="s">
        <v>8</v>
      </c>
      <c r="B2" s="159"/>
      <c r="C2" s="159"/>
      <c r="D2" s="84"/>
      <c r="E2" s="84"/>
      <c r="F2" s="84"/>
      <c r="G2" s="86"/>
      <c r="H2" s="86"/>
    </row>
    <row r="3" spans="1:11" s="85" customFormat="1" ht="13.5" customHeight="1" outlineLevel="1" x14ac:dyDescent="0.25">
      <c r="A3" s="83"/>
      <c r="B3" s="83"/>
      <c r="C3" s="95"/>
      <c r="D3" s="84"/>
      <c r="E3" s="84"/>
      <c r="F3" s="84"/>
      <c r="G3" s="86"/>
      <c r="H3" s="86"/>
    </row>
    <row r="4" spans="1:11" outlineLevel="1" x14ac:dyDescent="0.25">
      <c r="A4" s="157" t="s">
        <v>208</v>
      </c>
      <c r="B4" s="157"/>
      <c r="C4" s="157"/>
      <c r="D4" s="157"/>
      <c r="E4" s="157"/>
      <c r="F4" s="157"/>
      <c r="G4" s="157"/>
    </row>
    <row r="5" spans="1:11" ht="11.25" customHeight="1" outlineLevel="1" x14ac:dyDescent="0.25"/>
    <row r="6" spans="1:11" outlineLevel="1" x14ac:dyDescent="0.25">
      <c r="A6" s="84" t="s">
        <v>209</v>
      </c>
      <c r="B6" s="83" t="s">
        <v>210</v>
      </c>
    </row>
    <row r="7" spans="1:11" ht="20.25" customHeight="1" outlineLevel="1" x14ac:dyDescent="0.25">
      <c r="A7" s="1" t="s">
        <v>211</v>
      </c>
      <c r="B7" s="1"/>
      <c r="C7" s="1"/>
      <c r="D7" s="1" t="s">
        <v>239</v>
      </c>
      <c r="E7" s="1"/>
    </row>
    <row r="8" spans="1:11" ht="20.25" customHeight="1" outlineLevel="1" x14ac:dyDescent="0.25">
      <c r="A8" s="1" t="s">
        <v>212</v>
      </c>
      <c r="B8" s="1"/>
      <c r="C8" s="1"/>
      <c r="D8" s="1" t="s">
        <v>225</v>
      </c>
      <c r="E8" s="93">
        <v>4</v>
      </c>
      <c r="G8" s="1"/>
    </row>
    <row r="9" spans="1:11" ht="20.25" customHeight="1" outlineLevel="1" x14ac:dyDescent="0.25">
      <c r="A9" s="1"/>
      <c r="B9" s="1"/>
      <c r="C9" s="1"/>
      <c r="G9" s="1"/>
    </row>
    <row r="10" spans="1:11" ht="24.75" customHeight="1" outlineLevel="1" x14ac:dyDescent="0.25">
      <c r="A10" s="84" t="s">
        <v>213</v>
      </c>
      <c r="B10" s="83" t="s">
        <v>214</v>
      </c>
      <c r="G10" s="98"/>
    </row>
    <row r="11" spans="1:11" ht="23.25" customHeight="1" x14ac:dyDescent="0.25">
      <c r="A11" s="160" t="s">
        <v>0</v>
      </c>
      <c r="B11" s="161" t="s">
        <v>215</v>
      </c>
      <c r="C11" s="162" t="s">
        <v>53</v>
      </c>
      <c r="D11" s="161" t="s">
        <v>216</v>
      </c>
      <c r="E11" s="163" t="s">
        <v>217</v>
      </c>
      <c r="F11" s="163" t="s">
        <v>226</v>
      </c>
      <c r="G11" s="163" t="s">
        <v>7</v>
      </c>
      <c r="I11" s="4"/>
      <c r="J11" s="4"/>
      <c r="K11" s="4"/>
    </row>
    <row r="12" spans="1:11" ht="34.5" customHeight="1" x14ac:dyDescent="0.25">
      <c r="A12" s="160"/>
      <c r="B12" s="161"/>
      <c r="C12" s="162"/>
      <c r="D12" s="161"/>
      <c r="E12" s="164"/>
      <c r="F12" s="164"/>
      <c r="G12" s="164"/>
      <c r="I12" s="4"/>
      <c r="J12" s="4"/>
    </row>
    <row r="13" spans="1:11" ht="33" customHeight="1" x14ac:dyDescent="0.25">
      <c r="A13" s="87">
        <f>ROW()-12</f>
        <v>1</v>
      </c>
      <c r="B13" s="87" t="str" cm="1">
        <f t="array" ref="B13:B47">_xlfn._xlws.FILTER('Ma trận năng lực'!D:D,'Ma trận năng lực'!U:U="x")</f>
        <v>ĐK_NLCM_001</v>
      </c>
      <c r="C13" s="88" t="str">
        <f>VLOOKUP(B13,'Ma trận năng lực'!$D$4:$E$69,2,1)</f>
        <v xml:space="preserve">Kiến thức về an toàn khi làm việc với các thiết bị đo lường tự động hóa </v>
      </c>
      <c r="D13" s="13" cm="1">
        <f t="array" ref="D13:D43">_xlfn._xlws.FILTER(INDEX(KNL_ĐK_12!F6:M39,,MATCH(E8,KNL_ĐK_12!F5:M5,0)),INDEX(KNL_ĐK_12!F6:M39,,MATCH(E8,KNL_ĐK_12!F5:M5,0))&lt;&gt;"")</f>
        <v>4</v>
      </c>
      <c r="E13" s="87">
        <v>0</v>
      </c>
      <c r="F13" s="87">
        <f>E13-D13</f>
        <v>-4</v>
      </c>
      <c r="G13" s="13"/>
    </row>
    <row r="14" spans="1:11" ht="33" customHeight="1" x14ac:dyDescent="0.25">
      <c r="A14" s="87">
        <f t="shared" ref="A14:A52" si="0">ROW()-12</f>
        <v>2</v>
      </c>
      <c r="B14" s="87" t="str">
        <v>ĐK_NLCM_002</v>
      </c>
      <c r="C14" s="88" t="str">
        <f>VLOOKUP(B14,'Ma trận năng lực'!$D$4:$E$69,2,1)</f>
        <v>Kiến thức về quy trình làm việc</v>
      </c>
      <c r="D14" s="13">
        <v>4</v>
      </c>
      <c r="E14" s="87">
        <v>0</v>
      </c>
      <c r="F14" s="87">
        <f t="shared" ref="F14:F52" si="1">E14-D14</f>
        <v>-4</v>
      </c>
      <c r="G14" s="13"/>
    </row>
    <row r="15" spans="1:11" ht="33" customHeight="1" x14ac:dyDescent="0.25">
      <c r="A15" s="87">
        <f t="shared" si="0"/>
        <v>3</v>
      </c>
      <c r="B15" s="87" t="str">
        <v>ĐK_NLCM_003</v>
      </c>
      <c r="C15" s="88" t="str">
        <f>VLOOKUP(B15,'Ma trận năng lực'!$D$4:$E$69,2,1)</f>
        <v>Nhận diện mối nguy và đánh giá rủi ro</v>
      </c>
      <c r="D15" s="13">
        <v>3</v>
      </c>
      <c r="E15" s="87">
        <v>0</v>
      </c>
      <c r="F15" s="87">
        <f t="shared" si="1"/>
        <v>-3</v>
      </c>
      <c r="G15" s="13"/>
    </row>
    <row r="16" spans="1:11" ht="33" customHeight="1" x14ac:dyDescent="0.25">
      <c r="A16" s="87">
        <f t="shared" si="0"/>
        <v>4</v>
      </c>
      <c r="B16" s="87" t="str">
        <v>ĐK_NLCM_004</v>
      </c>
      <c r="C16" s="88" t="str">
        <f>VLOOKUP(B16,'Ma trận năng lực'!$D$4:$E$69,2,1)</f>
        <v>Kiến thức Điện - Điện tử cơ bản</v>
      </c>
      <c r="D16" s="13">
        <v>4</v>
      </c>
      <c r="E16" s="87">
        <v>0</v>
      </c>
      <c r="F16" s="87">
        <f t="shared" si="1"/>
        <v>-4</v>
      </c>
      <c r="G16" s="13"/>
    </row>
    <row r="17" spans="1:11" ht="33" customHeight="1" x14ac:dyDescent="0.25">
      <c r="A17" s="87">
        <f t="shared" si="0"/>
        <v>5</v>
      </c>
      <c r="B17" s="87" t="str">
        <v>ĐK_NLCM_010</v>
      </c>
      <c r="C17" s="88" t="str">
        <f>VLOOKUP(B17,'Ma trận năng lực'!$D$4:$E$69,2,1)</f>
        <v>Kiến thức và kỹ năng về P&amp;ID</v>
      </c>
      <c r="D17" s="13">
        <v>3</v>
      </c>
      <c r="E17" s="87">
        <v>0</v>
      </c>
      <c r="F17" s="87">
        <f t="shared" si="1"/>
        <v>-3</v>
      </c>
      <c r="G17" s="13"/>
    </row>
    <row r="18" spans="1:11" s="4" customFormat="1" ht="33" customHeight="1" x14ac:dyDescent="0.25">
      <c r="A18" s="87">
        <f t="shared" si="0"/>
        <v>6</v>
      </c>
      <c r="B18" s="87" t="str">
        <v>ĐK_NLCM_011</v>
      </c>
      <c r="C18" s="88" t="str">
        <f>VLOOKUP(B18,'Ma trận năng lực'!$D$4:$E$69,2,1)</f>
        <v xml:space="preserve">Kiến thức về IO wiring, Instrument juction box và cable schedule, Interlock </v>
      </c>
      <c r="D18" s="13">
        <v>4</v>
      </c>
      <c r="E18" s="87">
        <v>0</v>
      </c>
      <c r="F18" s="87">
        <f t="shared" si="1"/>
        <v>-4</v>
      </c>
      <c r="G18" s="13"/>
      <c r="I18" s="82"/>
      <c r="J18" s="82"/>
      <c r="K18"/>
    </row>
    <row r="19" spans="1:11" s="4" customFormat="1" ht="33" customHeight="1" x14ac:dyDescent="0.25">
      <c r="A19" s="87">
        <f t="shared" si="0"/>
        <v>7</v>
      </c>
      <c r="B19" s="87" t="str">
        <v>ĐK_NLCM_012</v>
      </c>
      <c r="C19" s="88" t="str">
        <f>VLOOKUP(B19,'Ma trận năng lực'!$D$4:$E$69,2,1)</f>
        <v>Kỹ năng sử dụng Công cụ, Dụng cụ cầm tay cho chuyên môn thiết bị Đo lường</v>
      </c>
      <c r="D19" s="13">
        <v>3</v>
      </c>
      <c r="E19" s="87">
        <v>0</v>
      </c>
      <c r="F19" s="87">
        <f t="shared" si="1"/>
        <v>-3</v>
      </c>
      <c r="G19" s="13"/>
      <c r="I19" s="82"/>
      <c r="J19" s="82"/>
      <c r="K19"/>
    </row>
    <row r="20" spans="1:11" s="4" customFormat="1" ht="33" customHeight="1" x14ac:dyDescent="0.25">
      <c r="A20" s="87">
        <f t="shared" si="0"/>
        <v>8</v>
      </c>
      <c r="B20" s="87" t="str">
        <v>ĐK_NLCM_013</v>
      </c>
      <c r="C20" s="88" t="str">
        <f>VLOOKUP(B20,'Ma trận năng lực'!$D$4:$E$69,2,1)</f>
        <v>Kỹ năng sử dụng Công cụ, Dụng cụ cầm tay cho chuyên môn thiết bị van điều khiển</v>
      </c>
      <c r="D20" s="13">
        <v>3</v>
      </c>
      <c r="E20" s="87">
        <v>0</v>
      </c>
      <c r="F20" s="87">
        <f t="shared" si="1"/>
        <v>-3</v>
      </c>
      <c r="G20" s="13"/>
      <c r="I20" s="82"/>
      <c r="J20" s="82"/>
      <c r="K20"/>
    </row>
    <row r="21" spans="1:11" s="4" customFormat="1" ht="33" customHeight="1" x14ac:dyDescent="0.25">
      <c r="A21" s="87">
        <f t="shared" si="0"/>
        <v>9</v>
      </c>
      <c r="B21" s="87" t="str">
        <v>ĐK_NLCM_014</v>
      </c>
      <c r="C21" s="88" t="str">
        <f>VLOOKUP(B21,'Ma trận năng lực'!$D$4:$E$69,2,1)</f>
        <v>Kiến thức về vật lý và đại lượng đo lường cơ bản</v>
      </c>
      <c r="D21" s="13">
        <v>4</v>
      </c>
      <c r="E21" s="87">
        <v>0</v>
      </c>
      <c r="F21" s="87">
        <f t="shared" si="1"/>
        <v>-4</v>
      </c>
      <c r="G21" s="13"/>
      <c r="I21" s="82"/>
      <c r="J21" s="82"/>
      <c r="K21"/>
    </row>
    <row r="22" spans="1:11" s="4" customFormat="1" ht="33" customHeight="1" x14ac:dyDescent="0.25">
      <c r="A22" s="87">
        <f t="shared" si="0"/>
        <v>10</v>
      </c>
      <c r="B22" s="87" t="str">
        <v>ĐK_NLCM_015</v>
      </c>
      <c r="C22" s="88" t="str">
        <f>VLOOKUP(B22,'Ma trận năng lực'!$D$4:$E$69,2,1)</f>
        <v>Kiến thức và kỹ năng liên quan đến lựa chọn fitting và tubing</v>
      </c>
      <c r="D22" s="13">
        <v>2</v>
      </c>
      <c r="E22" s="87">
        <v>0</v>
      </c>
      <c r="F22" s="87">
        <f t="shared" si="1"/>
        <v>-2</v>
      </c>
      <c r="G22" s="13"/>
      <c r="I22" s="82"/>
      <c r="J22" s="82"/>
      <c r="K22"/>
    </row>
    <row r="23" spans="1:11" s="4" customFormat="1" ht="33" customHeight="1" x14ac:dyDescent="0.25">
      <c r="A23" s="87">
        <f t="shared" si="0"/>
        <v>11</v>
      </c>
      <c r="B23" s="87" t="str">
        <v>ĐK_NLCM_016</v>
      </c>
      <c r="C23" s="88" t="str">
        <f>VLOOKUP(B23,'Ma trận năng lực'!$D$4:$E$69,2,1)</f>
        <v>Kiến thức cơ bản về quy trình công nghệ sản xuất tại Nhà máy Đạm Cà Mau từ khí đầu vào đến tạo hạt, đóng bao.</v>
      </c>
      <c r="D23" s="13">
        <v>3</v>
      </c>
      <c r="E23" s="87">
        <v>0</v>
      </c>
      <c r="F23" s="87">
        <f t="shared" si="1"/>
        <v>-3</v>
      </c>
      <c r="G23" s="13"/>
      <c r="I23" s="82"/>
      <c r="J23" s="82"/>
      <c r="K23"/>
    </row>
    <row r="24" spans="1:11" s="4" customFormat="1" ht="33" customHeight="1" x14ac:dyDescent="0.25">
      <c r="A24" s="87">
        <f t="shared" si="0"/>
        <v>12</v>
      </c>
      <c r="B24" s="87" t="str">
        <v>ĐK_NLCM_017</v>
      </c>
      <c r="C24" s="88" t="str">
        <f>VLOOKUP(B24,'Ma trận năng lực'!$D$4:$E$69,2,1)</f>
        <v>Nắm được chức năng của các hệ thống điều khiển tại nhà máy Đạm Cà Mau bao gồm Hệ thống điều khiển phân tán, ESD, hệ thống điều khiển Turbine và máy nén, hệ thống MPS/MMS, hệ thống đóng bao xuất hàng</v>
      </c>
      <c r="D24" s="13">
        <v>3</v>
      </c>
      <c r="E24" s="87">
        <v>0</v>
      </c>
      <c r="F24" s="87">
        <f t="shared" si="1"/>
        <v>-3</v>
      </c>
      <c r="G24" s="13"/>
      <c r="I24" s="82"/>
      <c r="J24" s="82"/>
      <c r="K24"/>
    </row>
    <row r="25" spans="1:11" s="4" customFormat="1" ht="33" customHeight="1" x14ac:dyDescent="0.25">
      <c r="A25" s="87">
        <f t="shared" si="0"/>
        <v>13</v>
      </c>
      <c r="B25" s="87" t="str">
        <v>ĐK_NLCM_018</v>
      </c>
      <c r="C25" s="88" t="str">
        <f>VLOOKUP(B25,'Ma trận năng lực'!$D$4:$E$69,2,1)</f>
        <v>Kiến thức về thiết bị đo lường và van điều khiển tại nhà máy Đạm Cà Mau</v>
      </c>
      <c r="D25" s="13">
        <v>3</v>
      </c>
      <c r="E25" s="87">
        <v>0</v>
      </c>
      <c r="F25" s="87">
        <f t="shared" si="1"/>
        <v>-3</v>
      </c>
      <c r="G25" s="13"/>
      <c r="I25" s="82"/>
      <c r="J25" s="82"/>
      <c r="K25"/>
    </row>
    <row r="26" spans="1:11" s="4" customFormat="1" ht="33" customHeight="1" x14ac:dyDescent="0.25">
      <c r="A26" s="87">
        <f t="shared" si="0"/>
        <v>14</v>
      </c>
      <c r="B26" s="87" t="str">
        <v>ĐK_NLCM_019</v>
      </c>
      <c r="C26" s="88" t="str">
        <f>VLOOKUP(B26,'Ma trận năng lực'!$D$4:$E$69,2,1)</f>
        <v>Kiến thức về vùng nguy hiểm</v>
      </c>
      <c r="D26" s="13">
        <v>3</v>
      </c>
      <c r="E26" s="87">
        <v>0</v>
      </c>
      <c r="F26" s="87">
        <f t="shared" si="1"/>
        <v>-3</v>
      </c>
      <c r="G26" s="13"/>
      <c r="I26" s="82"/>
      <c r="J26" s="82"/>
      <c r="K26"/>
    </row>
    <row r="27" spans="1:11" s="4" customFormat="1" ht="33" customHeight="1" x14ac:dyDescent="0.25">
      <c r="A27" s="87">
        <f t="shared" si="0"/>
        <v>15</v>
      </c>
      <c r="B27" s="87" t="str">
        <v>ĐK_NLCM_020</v>
      </c>
      <c r="C27" s="88" t="str">
        <f>VLOOKUP(B27,'Ma trận năng lực'!$D$4:$E$69,2,1)</f>
        <v>Kiến thức về ký hiệu phòng nổ trên thiết bị</v>
      </c>
      <c r="D27" s="13">
        <v>4</v>
      </c>
      <c r="E27" s="87">
        <v>0</v>
      </c>
      <c r="F27" s="87">
        <f t="shared" si="1"/>
        <v>-4</v>
      </c>
      <c r="G27" s="13"/>
      <c r="I27" s="82"/>
      <c r="J27" s="82"/>
      <c r="K27"/>
    </row>
    <row r="28" spans="1:11" s="4" customFormat="1" ht="33" customHeight="1" x14ac:dyDescent="0.25">
      <c r="A28" s="87">
        <f t="shared" si="0"/>
        <v>16</v>
      </c>
      <c r="B28" s="87" t="str">
        <v>ĐK_NLCM_024</v>
      </c>
      <c r="C28" s="88" t="str">
        <f>VLOOKUP(B28,'Ma trận năng lực'!$D$4:$E$69,2,1)</f>
        <v>Kiến thức và kỹ năng liên về trí tuệ nhân tạo (AI)</v>
      </c>
      <c r="D28" s="13">
        <v>4</v>
      </c>
      <c r="E28" s="87">
        <v>0</v>
      </c>
      <c r="F28" s="87">
        <f t="shared" si="1"/>
        <v>-4</v>
      </c>
      <c r="G28" s="13"/>
      <c r="I28" s="82"/>
      <c r="J28" s="82"/>
      <c r="K28"/>
    </row>
    <row r="29" spans="1:11" s="4" customFormat="1" ht="33" customHeight="1" x14ac:dyDescent="0.25">
      <c r="A29" s="87">
        <f t="shared" si="0"/>
        <v>17</v>
      </c>
      <c r="B29" s="87" t="str">
        <v>ĐK_NLCM_044</v>
      </c>
      <c r="C29" s="88" t="str">
        <f>VLOOKUP(B29,'Ma trận năng lực'!$D$4:$E$69,2,1)</f>
        <v>Kiến thức và kỹ năng về thiết bị đo nhiệt độ</v>
      </c>
      <c r="D29" s="13">
        <v>4</v>
      </c>
      <c r="E29" s="87">
        <v>0</v>
      </c>
      <c r="F29" s="87">
        <f t="shared" si="1"/>
        <v>-4</v>
      </c>
      <c r="G29" s="13"/>
      <c r="I29" s="82"/>
      <c r="J29" s="82"/>
      <c r="K29"/>
    </row>
    <row r="30" spans="1:11" s="4" customFormat="1" ht="33" customHeight="1" x14ac:dyDescent="0.25">
      <c r="A30" s="87">
        <f t="shared" si="0"/>
        <v>18</v>
      </c>
      <c r="B30" s="87" t="str">
        <v>ĐK_NLCM_045</v>
      </c>
      <c r="C30" s="88" t="str">
        <f>VLOOKUP(B30,'Ma trận năng lực'!$D$4:$E$69,2,1)</f>
        <v>Kiến thức và kỹ năng về thiết bị đo áp suất</v>
      </c>
      <c r="D30" s="13">
        <v>4</v>
      </c>
      <c r="E30" s="87">
        <v>0</v>
      </c>
      <c r="F30" s="87">
        <f t="shared" si="1"/>
        <v>-4</v>
      </c>
      <c r="G30" s="13"/>
      <c r="I30" s="82"/>
      <c r="J30" s="82"/>
      <c r="K30"/>
    </row>
    <row r="31" spans="1:11" s="4" customFormat="1" ht="33" customHeight="1" x14ac:dyDescent="0.25">
      <c r="A31" s="87">
        <f t="shared" si="0"/>
        <v>19</v>
      </c>
      <c r="B31" s="87" t="str">
        <v>ĐK_NLCM_046</v>
      </c>
      <c r="C31" s="88" t="str">
        <f>VLOOKUP(B31,'Ma trận năng lực'!$D$4:$E$69,2,1)</f>
        <v>Kiến thức và kỹ năng về thiết bị đo mức theo nguyên lý chênh áp</v>
      </c>
      <c r="D31" s="13">
        <v>4</v>
      </c>
      <c r="E31" s="87">
        <v>0</v>
      </c>
      <c r="F31" s="87">
        <f t="shared" si="1"/>
        <v>-4</v>
      </c>
      <c r="G31" s="13"/>
      <c r="I31" s="82"/>
      <c r="J31" s="82"/>
      <c r="K31"/>
    </row>
    <row r="32" spans="1:11" s="4" customFormat="1" ht="33" customHeight="1" x14ac:dyDescent="0.25">
      <c r="A32" s="87">
        <f t="shared" si="0"/>
        <v>20</v>
      </c>
      <c r="B32" s="87" t="str">
        <v>ĐK_NLCM_047</v>
      </c>
      <c r="C32" s="88" t="str">
        <f>VLOOKUP(B32,'Ma trận năng lực'!$D$4:$E$69,2,1)</f>
        <v>Kiến thức và kỹ năng về thiết bị đo lưu lượng theo nguyên lý chênh áp</v>
      </c>
      <c r="D32" s="13">
        <v>4</v>
      </c>
      <c r="E32" s="87">
        <v>0</v>
      </c>
      <c r="F32" s="87">
        <f t="shared" si="1"/>
        <v>-4</v>
      </c>
      <c r="G32" s="13"/>
      <c r="I32" s="82"/>
      <c r="J32" s="82"/>
      <c r="K32"/>
    </row>
    <row r="33" spans="1:11" s="4" customFormat="1" ht="33" customHeight="1" x14ac:dyDescent="0.25">
      <c r="A33" s="87">
        <f t="shared" si="0"/>
        <v>21</v>
      </c>
      <c r="B33" s="87" t="str">
        <v>ĐK_NLCM_048</v>
      </c>
      <c r="C33" s="88" t="str">
        <f>VLOOKUP(B33,'Ma trận năng lực'!$D$4:$E$69,2,1)</f>
        <v>Kiến thức và kỹ năng về thiết bị đo giám sát máy động</v>
      </c>
      <c r="D33" s="13">
        <v>4</v>
      </c>
      <c r="E33" s="87">
        <v>0</v>
      </c>
      <c r="F33" s="87">
        <f t="shared" si="1"/>
        <v>-4</v>
      </c>
      <c r="G33" s="13"/>
      <c r="I33" s="82"/>
      <c r="J33" s="82"/>
      <c r="K33"/>
    </row>
    <row r="34" spans="1:11" s="4" customFormat="1" ht="33" customHeight="1" x14ac:dyDescent="0.25">
      <c r="A34" s="87">
        <f t="shared" si="0"/>
        <v>22</v>
      </c>
      <c r="B34" s="87" t="str">
        <v>ĐK_NLCM_049</v>
      </c>
      <c r="C34" s="88" t="str">
        <f>VLOOKUP(B34,'Ma trận năng lực'!$D$4:$E$69,2,1)</f>
        <v>Kiến thức và kỹ năng về van điều khiển với cơ cấu chấp hành khí nén  (Pneumatic actuator)</v>
      </c>
      <c r="D34" s="13">
        <v>4</v>
      </c>
      <c r="E34" s="87">
        <v>0</v>
      </c>
      <c r="F34" s="87">
        <f t="shared" si="1"/>
        <v>-4</v>
      </c>
      <c r="G34" s="13"/>
      <c r="I34" s="82"/>
      <c r="J34" s="82"/>
      <c r="K34"/>
    </row>
    <row r="35" spans="1:11" s="4" customFormat="1" ht="33" customHeight="1" x14ac:dyDescent="0.25">
      <c r="A35" s="87">
        <f t="shared" si="0"/>
        <v>23</v>
      </c>
      <c r="B35" s="87" t="str">
        <v>ĐK_NLCM_050</v>
      </c>
      <c r="C35" s="88" t="str">
        <f>VLOOKUP(B35,'Ma trận năng lực'!$D$4:$E$69,2,1)</f>
        <v>Kiến thức và kỹ năng về thiết bị phân tích, quan trắc môi trường</v>
      </c>
      <c r="D35" s="13">
        <v>4</v>
      </c>
      <c r="E35" s="87">
        <v>0</v>
      </c>
      <c r="F35" s="87">
        <f t="shared" si="1"/>
        <v>-4</v>
      </c>
      <c r="G35" s="13"/>
      <c r="I35" s="82"/>
      <c r="J35" s="82"/>
      <c r="K35"/>
    </row>
    <row r="36" spans="1:11" s="4" customFormat="1" ht="33" customHeight="1" x14ac:dyDescent="0.25">
      <c r="A36" s="87">
        <f t="shared" si="0"/>
        <v>24</v>
      </c>
      <c r="B36" s="87" t="str">
        <v>ĐK_NLCM_051</v>
      </c>
      <c r="C36" s="88" t="str">
        <f>VLOOKUP(B36,'Ma trận năng lực'!$D$4:$E$69,2,1)</f>
        <v>Kiến thức và kỹ năng về thiết bị dò khí cháy nổ và khí độc</v>
      </c>
      <c r="D36" s="13">
        <v>4</v>
      </c>
      <c r="E36" s="87">
        <v>0</v>
      </c>
      <c r="F36" s="87">
        <f t="shared" si="1"/>
        <v>-4</v>
      </c>
      <c r="G36" s="13"/>
      <c r="I36" s="82"/>
      <c r="J36" s="82"/>
      <c r="K36"/>
    </row>
    <row r="37" spans="1:11" s="4" customFormat="1" ht="33" customHeight="1" x14ac:dyDescent="0.25">
      <c r="A37" s="87">
        <f t="shared" si="0"/>
        <v>25</v>
      </c>
      <c r="B37" s="87" t="str">
        <v>ĐK_NLCM_052</v>
      </c>
      <c r="C37" s="88" t="str">
        <f>VLOOKUP(B37,'Ma trận năng lực'!$D$4:$E$69,2,1)</f>
        <v>Kiến thức và kỹ năng về thiết bị đóng bao</v>
      </c>
      <c r="D37" s="13">
        <v>3</v>
      </c>
      <c r="E37" s="87">
        <v>0</v>
      </c>
      <c r="F37" s="87">
        <f t="shared" si="1"/>
        <v>-3</v>
      </c>
      <c r="G37" s="13"/>
      <c r="I37" s="82"/>
      <c r="J37" s="82"/>
      <c r="K37"/>
    </row>
    <row r="38" spans="1:11" s="4" customFormat="1" ht="33" customHeight="1" x14ac:dyDescent="0.25">
      <c r="A38" s="87">
        <f t="shared" si="0"/>
        <v>26</v>
      </c>
      <c r="B38" s="87" t="str">
        <v>ĐK_NLCM_053</v>
      </c>
      <c r="C38" s="88" t="str">
        <f>VLOOKUP(B38,'Ma trận năng lực'!$D$4:$E$69,2,1)</f>
        <v>Kiến thức và kỹ năng về thiết bị vận chuyển, xuất hàng, lưu  kho, nhập liệu</v>
      </c>
      <c r="D38" s="13">
        <v>3</v>
      </c>
      <c r="E38" s="87">
        <v>0</v>
      </c>
      <c r="F38" s="87">
        <f t="shared" si="1"/>
        <v>-3</v>
      </c>
      <c r="G38" s="13"/>
      <c r="I38" s="82"/>
      <c r="J38" s="82"/>
      <c r="K38"/>
    </row>
    <row r="39" spans="1:11" s="4" customFormat="1" ht="33" customHeight="1" x14ac:dyDescent="0.25">
      <c r="A39" s="87">
        <f t="shared" si="0"/>
        <v>27</v>
      </c>
      <c r="B39" s="87" t="str">
        <v>ĐK_NLCM_058</v>
      </c>
      <c r="C39" s="88" t="str">
        <f>VLOOKUP(B39,'Ma trận năng lực'!$D$4:$E$69,2,1)</f>
        <v>Kiến thức và kỹ năng về Thiết bị đo mức không theo nguyên lý chênh áp</v>
      </c>
      <c r="D39" s="13">
        <v>3</v>
      </c>
      <c r="E39" s="87">
        <v>0</v>
      </c>
      <c r="F39" s="87">
        <f t="shared" si="1"/>
        <v>-3</v>
      </c>
      <c r="G39" s="13"/>
      <c r="I39" s="82"/>
      <c r="J39" s="82"/>
      <c r="K39"/>
    </row>
    <row r="40" spans="1:11" s="4" customFormat="1" ht="33" customHeight="1" x14ac:dyDescent="0.25">
      <c r="A40" s="87">
        <f t="shared" si="0"/>
        <v>28</v>
      </c>
      <c r="B40" s="87" t="str">
        <v>ĐK_NLCM_059</v>
      </c>
      <c r="C40" s="88" t="str">
        <f>VLOOKUP(B40,'Ma trận năng lực'!$D$4:$E$69,2,1)</f>
        <v>Kiến thức và kỹ năng về Thiết bị đo lưu lượng  không theo nguyên lý chênh áp</v>
      </c>
      <c r="D40" s="13">
        <v>2</v>
      </c>
      <c r="E40" s="87">
        <v>0</v>
      </c>
      <c r="F40" s="87">
        <f t="shared" si="1"/>
        <v>-2</v>
      </c>
      <c r="G40" s="13"/>
      <c r="I40" s="82"/>
      <c r="J40" s="82"/>
      <c r="K40"/>
    </row>
    <row r="41" spans="1:11" s="4" customFormat="1" ht="33" customHeight="1" x14ac:dyDescent="0.25">
      <c r="A41" s="87">
        <f t="shared" si="0"/>
        <v>29</v>
      </c>
      <c r="B41" s="87" t="str">
        <v>ĐK_NLCM_060</v>
      </c>
      <c r="C41" s="88" t="str">
        <f>VLOOKUP(B41,'Ma trận năng lực'!$D$4:$E$69,2,1)</f>
        <v>Kiến thức liên quan đến lựa chọn thiết bị đo lường</v>
      </c>
      <c r="D41" s="13">
        <v>3</v>
      </c>
      <c r="E41" s="87">
        <v>0</v>
      </c>
      <c r="F41" s="87">
        <f t="shared" si="1"/>
        <v>-3</v>
      </c>
      <c r="G41" s="13"/>
      <c r="I41" s="82"/>
      <c r="J41" s="82"/>
      <c r="K41"/>
    </row>
    <row r="42" spans="1:11" s="4" customFormat="1" ht="33" customHeight="1" x14ac:dyDescent="0.25">
      <c r="A42" s="87">
        <f t="shared" si="0"/>
        <v>30</v>
      </c>
      <c r="B42" s="87" t="str">
        <v>ĐK_NLCM_061</v>
      </c>
      <c r="C42" s="88" t="str">
        <f>VLOOKUP(B42,'Ma trận năng lực'!$D$4:$E$69,2,1)</f>
        <v>Kiến thức và kỹ năng về van điều khiển với cơ cấu chấp hành motor (MOV)</v>
      </c>
      <c r="D42" s="13">
        <v>2</v>
      </c>
      <c r="E42" s="87">
        <v>0</v>
      </c>
      <c r="F42" s="87">
        <f t="shared" si="1"/>
        <v>-2</v>
      </c>
      <c r="G42" s="13"/>
      <c r="I42" s="82"/>
      <c r="J42" s="82"/>
      <c r="K42"/>
    </row>
    <row r="43" spans="1:11" s="4" customFormat="1" ht="33" customHeight="1" x14ac:dyDescent="0.25">
      <c r="A43" s="87">
        <f t="shared" si="0"/>
        <v>31</v>
      </c>
      <c r="B43" s="87" t="str">
        <v>ĐK_NLCM_062</v>
      </c>
      <c r="C43" s="88" t="str">
        <f>VLOOKUP(B43,'Ma trận năng lực'!$D$4:$E$69,2,1)</f>
        <v xml:space="preserve">Kiến thức và kỹ năng về van điều khiển với cơ cấu chấp hành thủy lực </v>
      </c>
      <c r="D43" s="13">
        <v>2</v>
      </c>
      <c r="E43" s="87">
        <v>0</v>
      </c>
      <c r="F43" s="87"/>
      <c r="G43" s="13"/>
      <c r="I43" s="82"/>
      <c r="J43" s="82"/>
      <c r="K43"/>
    </row>
    <row r="44" spans="1:11" s="4" customFormat="1" ht="33" customHeight="1" x14ac:dyDescent="0.25">
      <c r="A44" s="87">
        <f t="shared" si="0"/>
        <v>32</v>
      </c>
      <c r="B44" s="87" t="str">
        <v>ĐK_NLCM_063</v>
      </c>
      <c r="C44" s="88" t="str">
        <f>VLOOKUP(B44,'Ma trận năng lực'!$D$4:$E$69,2,1)</f>
        <v>Kiến thức liên quan đến lựa chọn thiết bị van điều khiển</v>
      </c>
      <c r="D44" s="13"/>
      <c r="E44" s="87">
        <v>0</v>
      </c>
      <c r="F44" s="87"/>
      <c r="G44" s="13"/>
      <c r="I44" s="82"/>
      <c r="J44" s="82"/>
      <c r="K44"/>
    </row>
    <row r="45" spans="1:11" s="4" customFormat="1" ht="33" customHeight="1" x14ac:dyDescent="0.25">
      <c r="A45" s="87">
        <f t="shared" si="0"/>
        <v>33</v>
      </c>
      <c r="B45" s="87" t="str">
        <v>ĐK_NLCM_064</v>
      </c>
      <c r="C45" s="88" t="str">
        <f>VLOOKUP(B45,'Ma trận năng lực'!$D$4:$E$69,2,1)</f>
        <v>Quản lý hồ sơ, tài liệu/bản vẽ kỹ thuật</v>
      </c>
      <c r="D45" s="13"/>
      <c r="E45" s="87">
        <v>0</v>
      </c>
      <c r="F45" s="87"/>
      <c r="G45" s="13"/>
      <c r="I45" s="82"/>
      <c r="J45" s="82"/>
      <c r="K45"/>
    </row>
    <row r="46" spans="1:11" s="4" customFormat="1" ht="33" customHeight="1" x14ac:dyDescent="0.25">
      <c r="A46" s="87">
        <f t="shared" si="0"/>
        <v>34</v>
      </c>
      <c r="B46" s="87" t="str">
        <v>ĐK_NLCM_065</v>
      </c>
      <c r="C46" s="88" t="str">
        <f>VLOOKUP(B46,'Ma trận năng lực'!$D$4:$E$69,2,1)</f>
        <v>Quản lý sử dụng vật tư tiêu hao, thiết bị, CCDC</v>
      </c>
      <c r="D46" s="13"/>
      <c r="E46" s="87">
        <v>0</v>
      </c>
      <c r="F46" s="87"/>
      <c r="G46" s="13"/>
      <c r="I46" s="82"/>
      <c r="J46" s="82"/>
      <c r="K46"/>
    </row>
    <row r="47" spans="1:11" s="4" customFormat="1" ht="33" customHeight="1" x14ac:dyDescent="0.25">
      <c r="A47" s="87">
        <f t="shared" si="0"/>
        <v>35</v>
      </c>
      <c r="B47" s="87" t="str">
        <v>ĐK_NLCM_066</v>
      </c>
      <c r="C47" s="88"/>
      <c r="D47" s="13"/>
      <c r="E47" s="87"/>
      <c r="F47" s="87"/>
      <c r="G47" s="13"/>
      <c r="I47" s="82"/>
      <c r="J47" s="82"/>
      <c r="K47"/>
    </row>
    <row r="48" spans="1:11" s="4" customFormat="1" ht="33" customHeight="1" x14ac:dyDescent="0.25">
      <c r="A48" s="87">
        <f t="shared" si="0"/>
        <v>36</v>
      </c>
      <c r="B48" s="87"/>
      <c r="C48" s="88"/>
      <c r="D48" s="13"/>
      <c r="E48" s="87"/>
      <c r="F48" s="87"/>
      <c r="G48" s="13"/>
      <c r="I48" s="82"/>
      <c r="J48" s="82"/>
      <c r="K48"/>
    </row>
    <row r="49" spans="1:11" s="4" customFormat="1" ht="33" customHeight="1" x14ac:dyDescent="0.25">
      <c r="A49" s="87">
        <f t="shared" si="0"/>
        <v>37</v>
      </c>
      <c r="B49" s="87"/>
      <c r="C49" s="88"/>
      <c r="D49" s="13"/>
      <c r="E49" s="87"/>
      <c r="F49" s="87">
        <f t="shared" si="1"/>
        <v>0</v>
      </c>
      <c r="G49" s="13"/>
      <c r="I49" s="82"/>
      <c r="J49" s="82"/>
      <c r="K49"/>
    </row>
    <row r="50" spans="1:11" s="4" customFormat="1" ht="33" customHeight="1" x14ac:dyDescent="0.25">
      <c r="A50" s="87">
        <f t="shared" si="0"/>
        <v>38</v>
      </c>
      <c r="B50" s="87"/>
      <c r="C50" s="88"/>
      <c r="D50" s="13"/>
      <c r="E50" s="87"/>
      <c r="F50" s="87">
        <f t="shared" si="1"/>
        <v>0</v>
      </c>
      <c r="G50" s="13"/>
      <c r="I50" s="82"/>
      <c r="J50" s="82"/>
      <c r="K50"/>
    </row>
    <row r="51" spans="1:11" s="4" customFormat="1" ht="33" customHeight="1" x14ac:dyDescent="0.25">
      <c r="A51" s="87">
        <f t="shared" si="0"/>
        <v>39</v>
      </c>
      <c r="B51" s="87"/>
      <c r="C51" s="88"/>
      <c r="D51" s="13"/>
      <c r="E51" s="87"/>
      <c r="F51" s="87">
        <f t="shared" si="1"/>
        <v>0</v>
      </c>
      <c r="G51" s="13"/>
      <c r="I51" s="82"/>
      <c r="J51" s="82"/>
      <c r="K51"/>
    </row>
    <row r="52" spans="1:11" s="4" customFormat="1" ht="33" customHeight="1" x14ac:dyDescent="0.25">
      <c r="A52" s="87">
        <f t="shared" si="0"/>
        <v>40</v>
      </c>
      <c r="B52" s="87"/>
      <c r="C52" s="88"/>
      <c r="D52" s="13"/>
      <c r="E52" s="87"/>
      <c r="F52" s="87">
        <f t="shared" si="1"/>
        <v>0</v>
      </c>
      <c r="G52" s="13"/>
      <c r="I52" s="82"/>
      <c r="J52" s="82"/>
      <c r="K52"/>
    </row>
    <row r="53" spans="1:11" s="4" customFormat="1" x14ac:dyDescent="0.25">
      <c r="A53" s="2"/>
      <c r="B53" s="2"/>
      <c r="C53" s="94"/>
      <c r="E53" s="2"/>
      <c r="F53" s="2"/>
      <c r="I53" s="82"/>
      <c r="J53" s="82"/>
      <c r="K53"/>
    </row>
    <row r="54" spans="1:11" s="4" customFormat="1" x14ac:dyDescent="0.25">
      <c r="A54" s="84" t="s">
        <v>218</v>
      </c>
      <c r="B54" s="83" t="s">
        <v>219</v>
      </c>
      <c r="C54"/>
      <c r="D54" s="2"/>
      <c r="E54" s="2"/>
      <c r="F54" s="2"/>
      <c r="I54" s="82"/>
      <c r="J54" s="82"/>
      <c r="K54"/>
    </row>
    <row r="55" spans="1:11" s="4" customFormat="1" x14ac:dyDescent="0.25">
      <c r="A55" s="90" t="b">
        <v>0</v>
      </c>
      <c r="B55" s="1" t="s">
        <v>220</v>
      </c>
      <c r="C55"/>
      <c r="D55" s="2"/>
      <c r="E55" s="2"/>
      <c r="F55" s="2"/>
      <c r="I55" s="82"/>
      <c r="J55" s="82"/>
      <c r="K55"/>
    </row>
    <row r="56" spans="1:11" s="4" customFormat="1" x14ac:dyDescent="0.25">
      <c r="A56" s="90" t="b">
        <v>0</v>
      </c>
      <c r="B56" s="1" t="s">
        <v>238</v>
      </c>
      <c r="C56"/>
      <c r="D56" s="2"/>
      <c r="E56" s="2"/>
      <c r="F56" s="2"/>
      <c r="I56" s="82"/>
      <c r="J56" s="82"/>
      <c r="K56"/>
    </row>
    <row r="57" spans="1:11" s="4" customFormat="1" ht="54" customHeight="1" x14ac:dyDescent="0.25">
      <c r="A57" s="153" t="s">
        <v>221</v>
      </c>
      <c r="B57" s="154"/>
      <c r="C57" s="154"/>
      <c r="D57" s="154"/>
      <c r="E57" s="154"/>
      <c r="F57" s="154"/>
      <c r="G57" s="154"/>
      <c r="I57" s="82"/>
      <c r="J57" s="82"/>
      <c r="K57"/>
    </row>
    <row r="58" spans="1:11" s="4" customFormat="1" ht="54" customHeight="1" x14ac:dyDescent="0.25">
      <c r="A58" s="155" t="s">
        <v>222</v>
      </c>
      <c r="B58" s="154"/>
      <c r="C58" s="154"/>
      <c r="D58" s="154"/>
      <c r="E58" s="154"/>
      <c r="F58" s="154"/>
      <c r="G58" s="154"/>
      <c r="I58" s="82"/>
      <c r="J58" s="82"/>
      <c r="K58"/>
    </row>
    <row r="59" spans="1:11" s="4" customFormat="1" x14ac:dyDescent="0.25">
      <c r="A59" s="91"/>
      <c r="B59" s="1"/>
      <c r="C59"/>
      <c r="D59" s="2"/>
      <c r="E59" s="2"/>
      <c r="G59" s="106"/>
      <c r="I59" s="82"/>
      <c r="J59" s="82"/>
      <c r="K59"/>
    </row>
    <row r="60" spans="1:11" s="4" customFormat="1" x14ac:dyDescent="0.25">
      <c r="A60" s="2"/>
      <c r="C60" s="105" t="s">
        <v>223</v>
      </c>
      <c r="D60" s="156" t="s">
        <v>207</v>
      </c>
      <c r="E60" s="156"/>
      <c r="F60" s="156"/>
      <c r="G60" s="156"/>
      <c r="I60" s="82"/>
      <c r="J60" s="82"/>
      <c r="K60"/>
    </row>
    <row r="61" spans="1:11" x14ac:dyDescent="0.25">
      <c r="D61" s="157" t="s">
        <v>224</v>
      </c>
      <c r="E61" s="157"/>
      <c r="F61" s="157"/>
      <c r="G61" s="157"/>
    </row>
  </sheetData>
  <mergeCells count="14">
    <mergeCell ref="A57:G57"/>
    <mergeCell ref="A58:G58"/>
    <mergeCell ref="D60:G60"/>
    <mergeCell ref="D61:G61"/>
    <mergeCell ref="A1:C1"/>
    <mergeCell ref="A2:C2"/>
    <mergeCell ref="A4:G4"/>
    <mergeCell ref="A11:A12"/>
    <mergeCell ref="B11:B12"/>
    <mergeCell ref="C11:C12"/>
    <mergeCell ref="D11:D12"/>
    <mergeCell ref="E11:E12"/>
    <mergeCell ref="F11:F12"/>
    <mergeCell ref="G11:G12"/>
  </mergeCells>
  <conditionalFormatting sqref="A55:A56">
    <cfRule type="cellIs" dxfId="35" priority="3" operator="equal">
      <formula>"x"</formula>
    </cfRule>
  </conditionalFormatting>
  <conditionalFormatting sqref="A59:A60">
    <cfRule type="cellIs" dxfId="34" priority="4" operator="equal">
      <formula>"x"</formula>
    </cfRule>
  </conditionalFormatting>
  <conditionalFormatting sqref="D13:D53">
    <cfRule type="cellIs" dxfId="33" priority="5" operator="equal">
      <formula>5</formula>
    </cfRule>
    <cfRule type="cellIs" dxfId="32" priority="6" operator="equal">
      <formula>4</formula>
    </cfRule>
    <cfRule type="cellIs" dxfId="31" priority="7" operator="equal">
      <formula>3</formula>
    </cfRule>
    <cfRule type="cellIs" dxfId="30" priority="8" operator="equal">
      <formula>2</formula>
    </cfRule>
    <cfRule type="cellIs" dxfId="29" priority="9" operator="equal">
      <formula>1</formula>
    </cfRule>
  </conditionalFormatting>
  <conditionalFormatting sqref="F1:F7 F10:F58 D60:D61 F62:F1048576">
    <cfRule type="cellIs" dxfId="28" priority="1" operator="equal">
      <formula>1</formula>
    </cfRule>
    <cfRule type="cellIs" dxfId="27" priority="2" operator="equal">
      <formula>0</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5FD80-8CDD-4418-8678-C09975DCEA62}">
  <sheetPr>
    <tabColor rgb="FFFF0000"/>
  </sheetPr>
  <dimension ref="A1:K61"/>
  <sheetViews>
    <sheetView zoomScale="85" zoomScaleNormal="85" workbookViewId="0">
      <pane xSplit="4" ySplit="12" topLeftCell="E26" activePane="bottomRight" state="frozen"/>
      <selection activeCell="G6" sqref="G6"/>
      <selection pane="topRight" activeCell="G6" sqref="G6"/>
      <selection pane="bottomLeft" activeCell="G6" sqref="G6"/>
      <selection pane="bottomRight" activeCell="C13" sqref="C13:C37"/>
    </sheetView>
  </sheetViews>
  <sheetFormatPr defaultRowHeight="16.5" outlineLevelRow="1" x14ac:dyDescent="0.25"/>
  <cols>
    <col min="1" max="1" width="6.5546875" style="2" customWidth="1"/>
    <col min="2" max="2" width="21" style="2" customWidth="1"/>
    <col min="3" max="3" width="77.6640625" customWidth="1"/>
    <col min="4" max="4" width="11.6640625" style="2" customWidth="1"/>
    <col min="5" max="5" width="11.109375" style="2" customWidth="1"/>
    <col min="6" max="6" width="10.21875" style="2" customWidth="1"/>
    <col min="7" max="7" width="19" style="4" customWidth="1"/>
    <col min="8" max="8" width="9.109375" style="4" customWidth="1"/>
    <col min="9" max="10" width="9.109375" style="82" customWidth="1"/>
  </cols>
  <sheetData>
    <row r="1" spans="1:11" x14ac:dyDescent="0.25">
      <c r="A1" s="158" t="s">
        <v>206</v>
      </c>
      <c r="B1" s="158"/>
      <c r="C1" s="158"/>
      <c r="G1" s="82"/>
      <c r="H1" s="82"/>
      <c r="I1"/>
      <c r="J1"/>
    </row>
    <row r="2" spans="1:11" s="85" customFormat="1" x14ac:dyDescent="0.25">
      <c r="A2" s="159" t="s">
        <v>8</v>
      </c>
      <c r="B2" s="159"/>
      <c r="C2" s="159"/>
      <c r="D2" s="84"/>
      <c r="E2" s="84"/>
      <c r="F2" s="84"/>
      <c r="G2" s="86"/>
      <c r="H2" s="86"/>
    </row>
    <row r="3" spans="1:11" s="85" customFormat="1" ht="13.5" customHeight="1" outlineLevel="1" x14ac:dyDescent="0.25">
      <c r="A3" s="83"/>
      <c r="B3" s="83"/>
      <c r="C3" s="95"/>
      <c r="D3" s="84"/>
      <c r="E3" s="84"/>
      <c r="F3" s="84"/>
      <c r="G3" s="86"/>
      <c r="H3" s="86"/>
    </row>
    <row r="4" spans="1:11" outlineLevel="1" x14ac:dyDescent="0.25">
      <c r="A4" s="157" t="s">
        <v>208</v>
      </c>
      <c r="B4" s="157"/>
      <c r="C4" s="157"/>
      <c r="D4" s="157"/>
      <c r="E4" s="157"/>
      <c r="F4" s="157"/>
      <c r="G4" s="157"/>
    </row>
    <row r="5" spans="1:11" ht="11.25" customHeight="1" outlineLevel="1" x14ac:dyDescent="0.25"/>
    <row r="6" spans="1:11" outlineLevel="1" x14ac:dyDescent="0.25">
      <c r="A6" s="84" t="s">
        <v>209</v>
      </c>
      <c r="B6" s="83" t="s">
        <v>210</v>
      </c>
    </row>
    <row r="7" spans="1:11" ht="20.25" customHeight="1" outlineLevel="1" x14ac:dyDescent="0.25">
      <c r="A7" s="1" t="s">
        <v>211</v>
      </c>
      <c r="B7" s="1"/>
      <c r="C7" s="1"/>
      <c r="D7" s="1" t="s">
        <v>239</v>
      </c>
      <c r="E7" s="1"/>
    </row>
    <row r="8" spans="1:11" ht="20.25" customHeight="1" outlineLevel="1" x14ac:dyDescent="0.25">
      <c r="A8" s="1" t="s">
        <v>212</v>
      </c>
      <c r="B8" s="1"/>
      <c r="C8" s="1"/>
      <c r="D8" s="1" t="s">
        <v>225</v>
      </c>
      <c r="E8" s="93">
        <v>1</v>
      </c>
      <c r="G8" s="1"/>
    </row>
    <row r="9" spans="1:11" ht="20.25" customHeight="1" outlineLevel="1" x14ac:dyDescent="0.25">
      <c r="A9" s="1"/>
      <c r="B9" s="1"/>
      <c r="C9" s="1"/>
      <c r="G9" s="1"/>
    </row>
    <row r="10" spans="1:11" ht="24.75" customHeight="1" outlineLevel="1" x14ac:dyDescent="0.25">
      <c r="A10" s="84" t="s">
        <v>213</v>
      </c>
      <c r="B10" s="83" t="s">
        <v>214</v>
      </c>
      <c r="G10" s="98"/>
    </row>
    <row r="11" spans="1:11" ht="23.25" customHeight="1" x14ac:dyDescent="0.25">
      <c r="A11" s="160" t="s">
        <v>0</v>
      </c>
      <c r="B11" s="161" t="s">
        <v>215</v>
      </c>
      <c r="C11" s="162" t="s">
        <v>53</v>
      </c>
      <c r="D11" s="161" t="s">
        <v>216</v>
      </c>
      <c r="E11" s="163" t="s">
        <v>217</v>
      </c>
      <c r="F11" s="163" t="s">
        <v>226</v>
      </c>
      <c r="G11" s="163" t="s">
        <v>7</v>
      </c>
      <c r="I11" s="4"/>
      <c r="J11" s="4"/>
      <c r="K11" s="4"/>
    </row>
    <row r="12" spans="1:11" ht="34.5" customHeight="1" x14ac:dyDescent="0.25">
      <c r="A12" s="160"/>
      <c r="B12" s="161"/>
      <c r="C12" s="162"/>
      <c r="D12" s="161"/>
      <c r="E12" s="164"/>
      <c r="F12" s="164"/>
      <c r="G12" s="164"/>
      <c r="I12" s="4"/>
      <c r="J12" s="4"/>
    </row>
    <row r="13" spans="1:11" ht="33" customHeight="1" x14ac:dyDescent="0.25">
      <c r="A13" s="87">
        <f>ROW()-12</f>
        <v>1</v>
      </c>
      <c r="B13" s="87" t="str" cm="1">
        <f t="array" ref="B13:B38">_xlfn._xlws.FILTER('Ma trận năng lực'!D:D,'Ma trận năng lực'!V:V="x")</f>
        <v>ĐK_NLCM_001</v>
      </c>
      <c r="C13" s="88" t="str">
        <f>VLOOKUP(B13,'Ma trận năng lực'!$D$4:$E$69,2,1)</f>
        <v xml:space="preserve">Kiến thức về an toàn khi làm việc với các thiết bị đo lường tự động hóa </v>
      </c>
      <c r="D13" s="13" cm="1">
        <f t="array" ref="D13:D35">_xlfn._xlws.FILTER(INDEX(KNL_ĐK_13!F6:M41,,MATCH(E8,KNL_ĐK_13!F5:M5,0)),INDEX(KNL_ĐK_13!F6:M41,,MATCH(E8,KNL_ĐK_13!F5:M5,0))&lt;&gt;"")</f>
        <v>1</v>
      </c>
      <c r="E13" s="87">
        <v>0</v>
      </c>
      <c r="F13" s="87">
        <f>E13-D13</f>
        <v>-1</v>
      </c>
      <c r="G13" s="13"/>
    </row>
    <row r="14" spans="1:11" ht="33" customHeight="1" x14ac:dyDescent="0.25">
      <c r="A14" s="87">
        <f t="shared" ref="A14:A52" si="0">ROW()-12</f>
        <v>2</v>
      </c>
      <c r="B14" s="87" t="str">
        <v>ĐK_NLCM_002</v>
      </c>
      <c r="C14" s="88" t="str">
        <f>VLOOKUP(B14,'Ma trận năng lực'!$D$4:$E$69,2,1)</f>
        <v>Kiến thức về quy trình làm việc</v>
      </c>
      <c r="D14" s="13">
        <v>1</v>
      </c>
      <c r="E14" s="87">
        <v>0</v>
      </c>
      <c r="F14" s="87">
        <f t="shared" ref="F14:F52" si="1">E14-D14</f>
        <v>-1</v>
      </c>
      <c r="G14" s="13"/>
    </row>
    <row r="15" spans="1:11" ht="33" customHeight="1" x14ac:dyDescent="0.25">
      <c r="A15" s="87">
        <f t="shared" si="0"/>
        <v>3</v>
      </c>
      <c r="B15" s="87" t="str">
        <v>ĐK_NLCM_003</v>
      </c>
      <c r="C15" s="88" t="str">
        <f>VLOOKUP(B15,'Ma trận năng lực'!$D$4:$E$69,2,1)</f>
        <v>Nhận diện mối nguy và đánh giá rủi ro</v>
      </c>
      <c r="D15" s="13">
        <v>1</v>
      </c>
      <c r="E15" s="87">
        <v>0</v>
      </c>
      <c r="F15" s="87">
        <f t="shared" si="1"/>
        <v>-1</v>
      </c>
      <c r="G15" s="13"/>
    </row>
    <row r="16" spans="1:11" ht="33" customHeight="1" x14ac:dyDescent="0.25">
      <c r="A16" s="87">
        <f t="shared" si="0"/>
        <v>4</v>
      </c>
      <c r="B16" s="87" t="str">
        <v>ĐK_NLCM_004</v>
      </c>
      <c r="C16" s="88" t="str">
        <f>VLOOKUP(B16,'Ma trận năng lực'!$D$4:$E$69,2,1)</f>
        <v>Kiến thức Điện - Điện tử cơ bản</v>
      </c>
      <c r="D16" s="13">
        <v>2</v>
      </c>
      <c r="E16" s="87">
        <v>0</v>
      </c>
      <c r="F16" s="87">
        <f t="shared" si="1"/>
        <v>-2</v>
      </c>
      <c r="G16" s="13"/>
    </row>
    <row r="17" spans="1:11" ht="33" customHeight="1" x14ac:dyDescent="0.25">
      <c r="A17" s="87">
        <f t="shared" si="0"/>
        <v>5</v>
      </c>
      <c r="B17" s="87" t="str">
        <v>ĐK_NLCM_010</v>
      </c>
      <c r="C17" s="88" t="str">
        <f>VLOOKUP(B17,'Ma trận năng lực'!$D$4:$E$69,2,1)</f>
        <v>Kiến thức và kỹ năng về P&amp;ID</v>
      </c>
      <c r="D17" s="13">
        <v>1</v>
      </c>
      <c r="E17" s="87">
        <v>0</v>
      </c>
      <c r="F17" s="87">
        <f t="shared" si="1"/>
        <v>-1</v>
      </c>
      <c r="G17" s="13"/>
    </row>
    <row r="18" spans="1:11" s="4" customFormat="1" ht="33" customHeight="1" x14ac:dyDescent="0.25">
      <c r="A18" s="87">
        <f t="shared" si="0"/>
        <v>6</v>
      </c>
      <c r="B18" s="87" t="str">
        <v>ĐK_NLCM_011</v>
      </c>
      <c r="C18" s="88" t="str">
        <f>VLOOKUP(B18,'Ma trận năng lực'!$D$4:$E$69,2,1)</f>
        <v xml:space="preserve">Kiến thức về IO wiring, Instrument juction box và cable schedule, Interlock </v>
      </c>
      <c r="D18" s="13">
        <v>1</v>
      </c>
      <c r="E18" s="87">
        <v>0</v>
      </c>
      <c r="F18" s="87">
        <f t="shared" si="1"/>
        <v>-1</v>
      </c>
      <c r="G18" s="13"/>
      <c r="I18" s="82"/>
      <c r="J18" s="82"/>
      <c r="K18"/>
    </row>
    <row r="19" spans="1:11" s="4" customFormat="1" ht="33" customHeight="1" x14ac:dyDescent="0.25">
      <c r="A19" s="87">
        <f t="shared" si="0"/>
        <v>7</v>
      </c>
      <c r="B19" s="87" t="str">
        <v>ĐK_NLCM_012</v>
      </c>
      <c r="C19" s="88" t="str">
        <f>VLOOKUP(B19,'Ma trận năng lực'!$D$4:$E$69,2,1)</f>
        <v>Kỹ năng sử dụng Công cụ, Dụng cụ cầm tay cho chuyên môn thiết bị Đo lường</v>
      </c>
      <c r="D19" s="13">
        <v>1</v>
      </c>
      <c r="E19" s="87">
        <v>0</v>
      </c>
      <c r="F19" s="87">
        <f t="shared" si="1"/>
        <v>-1</v>
      </c>
      <c r="G19" s="13"/>
      <c r="I19" s="82"/>
      <c r="J19" s="82"/>
      <c r="K19"/>
    </row>
    <row r="20" spans="1:11" s="4" customFormat="1" ht="33" customHeight="1" x14ac:dyDescent="0.25">
      <c r="A20" s="87">
        <f t="shared" si="0"/>
        <v>8</v>
      </c>
      <c r="B20" s="87" t="str">
        <v>ĐK_NLCM_014</v>
      </c>
      <c r="C20" s="88" t="str">
        <f>VLOOKUP(B20,'Ma trận năng lực'!$D$4:$E$69,2,1)</f>
        <v>Kiến thức về vật lý và đại lượng đo lường cơ bản</v>
      </c>
      <c r="D20" s="13">
        <v>2</v>
      </c>
      <c r="E20" s="87">
        <v>0</v>
      </c>
      <c r="F20" s="87">
        <f t="shared" si="1"/>
        <v>-2</v>
      </c>
      <c r="G20" s="13"/>
      <c r="I20" s="82"/>
      <c r="J20" s="82"/>
      <c r="K20"/>
    </row>
    <row r="21" spans="1:11" s="4" customFormat="1" ht="33" customHeight="1" x14ac:dyDescent="0.25">
      <c r="A21" s="87">
        <f t="shared" si="0"/>
        <v>9</v>
      </c>
      <c r="B21" s="87" t="str">
        <v>ĐK_NLCM_015</v>
      </c>
      <c r="C21" s="88" t="str">
        <f>VLOOKUP(B21,'Ma trận năng lực'!$D$4:$E$69,2,1)</f>
        <v>Kiến thức và kỹ năng liên quan đến lựa chọn fitting và tubing</v>
      </c>
      <c r="D21" s="13">
        <v>1</v>
      </c>
      <c r="E21" s="87">
        <v>0</v>
      </c>
      <c r="F21" s="87">
        <f t="shared" si="1"/>
        <v>-1</v>
      </c>
      <c r="G21" s="13"/>
      <c r="I21" s="82"/>
      <c r="J21" s="82"/>
      <c r="K21"/>
    </row>
    <row r="22" spans="1:11" s="4" customFormat="1" ht="33" customHeight="1" x14ac:dyDescent="0.25">
      <c r="A22" s="87">
        <f t="shared" si="0"/>
        <v>10</v>
      </c>
      <c r="B22" s="87" t="str">
        <v>ĐK_NLCM_016</v>
      </c>
      <c r="C22" s="88" t="str">
        <f>VLOOKUP(B22,'Ma trận năng lực'!$D$4:$E$69,2,1)</f>
        <v>Kiến thức cơ bản về quy trình công nghệ sản xuất tại Nhà máy Đạm Cà Mau từ khí đầu vào đến tạo hạt, đóng bao.</v>
      </c>
      <c r="D22" s="13">
        <v>1</v>
      </c>
      <c r="E22" s="87">
        <v>0</v>
      </c>
      <c r="F22" s="87">
        <f t="shared" si="1"/>
        <v>-1</v>
      </c>
      <c r="G22" s="13"/>
      <c r="I22" s="82"/>
      <c r="J22" s="82"/>
      <c r="K22"/>
    </row>
    <row r="23" spans="1:11" s="4" customFormat="1" ht="33" customHeight="1" x14ac:dyDescent="0.25">
      <c r="A23" s="87">
        <f t="shared" si="0"/>
        <v>11</v>
      </c>
      <c r="B23" s="87" t="str">
        <v>ĐK_NLCM_017</v>
      </c>
      <c r="C23" s="88" t="str">
        <f>VLOOKUP(B23,'Ma trận năng lực'!$D$4:$E$69,2,1)</f>
        <v>Nắm được chức năng của các hệ thống điều khiển tại nhà máy Đạm Cà Mau bao gồm Hệ thống điều khiển phân tán, ESD, hệ thống điều khiển Turbine và máy nén, hệ thống MPS/MMS, hệ thống đóng bao xuất hàng</v>
      </c>
      <c r="D23" s="13">
        <v>1</v>
      </c>
      <c r="E23" s="87">
        <v>0</v>
      </c>
      <c r="F23" s="87">
        <f t="shared" si="1"/>
        <v>-1</v>
      </c>
      <c r="G23" s="13"/>
      <c r="I23" s="82"/>
      <c r="J23" s="82"/>
      <c r="K23"/>
    </row>
    <row r="24" spans="1:11" s="4" customFormat="1" ht="33" customHeight="1" x14ac:dyDescent="0.25">
      <c r="A24" s="87">
        <f t="shared" si="0"/>
        <v>12</v>
      </c>
      <c r="B24" s="87" t="str">
        <v>ĐK_NLCM_018</v>
      </c>
      <c r="C24" s="88" t="str">
        <f>VLOOKUP(B24,'Ma trận năng lực'!$D$4:$E$69,2,1)</f>
        <v>Kiến thức về thiết bị đo lường và van điều khiển tại nhà máy Đạm Cà Mau</v>
      </c>
      <c r="D24" s="13">
        <v>1</v>
      </c>
      <c r="E24" s="87">
        <v>0</v>
      </c>
      <c r="F24" s="87">
        <f t="shared" si="1"/>
        <v>-1</v>
      </c>
      <c r="G24" s="13"/>
      <c r="I24" s="82"/>
      <c r="J24" s="82"/>
      <c r="K24"/>
    </row>
    <row r="25" spans="1:11" s="4" customFormat="1" ht="33" customHeight="1" x14ac:dyDescent="0.25">
      <c r="A25" s="87">
        <f t="shared" si="0"/>
        <v>13</v>
      </c>
      <c r="B25" s="87" t="str">
        <v>ĐK_NLCM_019</v>
      </c>
      <c r="C25" s="88" t="str">
        <f>VLOOKUP(B25,'Ma trận năng lực'!$D$4:$E$69,2,1)</f>
        <v>Kiến thức về vùng nguy hiểm</v>
      </c>
      <c r="D25" s="13">
        <v>1</v>
      </c>
      <c r="E25" s="87">
        <v>0</v>
      </c>
      <c r="F25" s="87">
        <f t="shared" si="1"/>
        <v>-1</v>
      </c>
      <c r="G25" s="13"/>
      <c r="I25" s="82"/>
      <c r="J25" s="82"/>
      <c r="K25"/>
    </row>
    <row r="26" spans="1:11" s="4" customFormat="1" ht="33" customHeight="1" x14ac:dyDescent="0.25">
      <c r="A26" s="87">
        <f t="shared" si="0"/>
        <v>14</v>
      </c>
      <c r="B26" s="87" t="str">
        <v>ĐK_NLCM_020</v>
      </c>
      <c r="C26" s="88" t="str">
        <f>VLOOKUP(B26,'Ma trận năng lực'!$D$4:$E$69,2,1)</f>
        <v>Kiến thức về ký hiệu phòng nổ trên thiết bị</v>
      </c>
      <c r="D26" s="13">
        <v>1</v>
      </c>
      <c r="E26" s="87">
        <v>0</v>
      </c>
      <c r="F26" s="87">
        <f t="shared" si="1"/>
        <v>-1</v>
      </c>
      <c r="G26" s="13"/>
      <c r="I26" s="82"/>
      <c r="J26" s="82"/>
      <c r="K26"/>
    </row>
    <row r="27" spans="1:11" s="4" customFormat="1" ht="33" customHeight="1" x14ac:dyDescent="0.25">
      <c r="A27" s="87">
        <f t="shared" si="0"/>
        <v>15</v>
      </c>
      <c r="B27" s="87" t="str">
        <v>ĐK_NLCM_024</v>
      </c>
      <c r="C27" s="88" t="str">
        <f>VLOOKUP(B27,'Ma trận năng lực'!$D$4:$E$69,2,1)</f>
        <v>Kiến thức và kỹ năng liên về trí tuệ nhân tạo (AI)</v>
      </c>
      <c r="D27" s="13">
        <v>2</v>
      </c>
      <c r="E27" s="87">
        <v>0</v>
      </c>
      <c r="F27" s="87">
        <f t="shared" si="1"/>
        <v>-2</v>
      </c>
      <c r="G27" s="13"/>
      <c r="I27" s="82"/>
      <c r="J27" s="82"/>
      <c r="K27"/>
    </row>
    <row r="28" spans="1:11" s="4" customFormat="1" ht="33" customHeight="1" x14ac:dyDescent="0.25">
      <c r="A28" s="87">
        <f t="shared" si="0"/>
        <v>16</v>
      </c>
      <c r="B28" s="87" t="str">
        <v>ĐK_NLCM_044</v>
      </c>
      <c r="C28" s="88" t="str">
        <f>VLOOKUP(B28,'Ma trận năng lực'!$D$4:$E$69,2,1)</f>
        <v>Kiến thức và kỹ năng về thiết bị đo nhiệt độ</v>
      </c>
      <c r="D28" s="13">
        <v>1</v>
      </c>
      <c r="E28" s="87">
        <v>0</v>
      </c>
      <c r="F28" s="87">
        <f t="shared" si="1"/>
        <v>-1</v>
      </c>
      <c r="G28" s="13"/>
      <c r="I28" s="82"/>
      <c r="J28" s="82"/>
      <c r="K28"/>
    </row>
    <row r="29" spans="1:11" s="4" customFormat="1" ht="33" customHeight="1" x14ac:dyDescent="0.25">
      <c r="A29" s="87">
        <f t="shared" si="0"/>
        <v>17</v>
      </c>
      <c r="B29" s="87" t="str">
        <v>ĐK_NLCM_045</v>
      </c>
      <c r="C29" s="88" t="str">
        <f>VLOOKUP(B29,'Ma trận năng lực'!$D$4:$E$69,2,1)</f>
        <v>Kiến thức và kỹ năng về thiết bị đo áp suất</v>
      </c>
      <c r="D29" s="13">
        <v>1</v>
      </c>
      <c r="E29" s="87">
        <v>0</v>
      </c>
      <c r="F29" s="87">
        <f t="shared" si="1"/>
        <v>-1</v>
      </c>
      <c r="G29" s="13"/>
      <c r="I29" s="82"/>
      <c r="J29" s="82"/>
      <c r="K29"/>
    </row>
    <row r="30" spans="1:11" s="4" customFormat="1" ht="33" customHeight="1" x14ac:dyDescent="0.25">
      <c r="A30" s="87">
        <f t="shared" si="0"/>
        <v>18</v>
      </c>
      <c r="B30" s="87" t="str">
        <v>ĐK_NLCM_046</v>
      </c>
      <c r="C30" s="88" t="str">
        <f>VLOOKUP(B30,'Ma trận năng lực'!$D$4:$E$69,2,1)</f>
        <v>Kiến thức và kỹ năng về thiết bị đo mức theo nguyên lý chênh áp</v>
      </c>
      <c r="D30" s="13">
        <v>1</v>
      </c>
      <c r="E30" s="87">
        <v>0</v>
      </c>
      <c r="F30" s="87">
        <f t="shared" si="1"/>
        <v>-1</v>
      </c>
      <c r="G30" s="13"/>
      <c r="I30" s="82"/>
      <c r="J30" s="82"/>
      <c r="K30"/>
    </row>
    <row r="31" spans="1:11" s="4" customFormat="1" ht="33" customHeight="1" x14ac:dyDescent="0.25">
      <c r="A31" s="87">
        <f t="shared" si="0"/>
        <v>19</v>
      </c>
      <c r="B31" s="87" t="str">
        <v>ĐK_NLCM_047</v>
      </c>
      <c r="C31" s="88" t="str">
        <f>VLOOKUP(B31,'Ma trận năng lực'!$D$4:$E$69,2,1)</f>
        <v>Kiến thức và kỹ năng về thiết bị đo lưu lượng theo nguyên lý chênh áp</v>
      </c>
      <c r="D31" s="13">
        <v>1</v>
      </c>
      <c r="E31" s="87">
        <v>0</v>
      </c>
      <c r="F31" s="87">
        <f t="shared" si="1"/>
        <v>-1</v>
      </c>
      <c r="G31" s="13"/>
      <c r="I31" s="82"/>
      <c r="J31" s="82"/>
      <c r="K31"/>
    </row>
    <row r="32" spans="1:11" s="4" customFormat="1" ht="33" customHeight="1" x14ac:dyDescent="0.25">
      <c r="A32" s="87">
        <f t="shared" si="0"/>
        <v>20</v>
      </c>
      <c r="B32" s="87" t="str">
        <v>ĐK_NLCM_048</v>
      </c>
      <c r="C32" s="88" t="str">
        <f>VLOOKUP(B32,'Ma trận năng lực'!$D$4:$E$69,2,1)</f>
        <v>Kiến thức và kỹ năng về thiết bị đo giám sát máy động</v>
      </c>
      <c r="D32" s="13">
        <v>1</v>
      </c>
      <c r="E32" s="87">
        <v>0</v>
      </c>
      <c r="F32" s="87">
        <f t="shared" si="1"/>
        <v>-1</v>
      </c>
      <c r="G32" s="13"/>
      <c r="I32" s="82"/>
      <c r="J32" s="82"/>
      <c r="K32"/>
    </row>
    <row r="33" spans="1:11" s="4" customFormat="1" ht="33" customHeight="1" x14ac:dyDescent="0.25">
      <c r="A33" s="87">
        <f t="shared" si="0"/>
        <v>21</v>
      </c>
      <c r="B33" s="87" t="str">
        <v>ĐK_NLCM_058</v>
      </c>
      <c r="C33" s="88" t="str">
        <f>VLOOKUP(B33,'Ma trận năng lực'!$D$4:$E$69,2,1)</f>
        <v>Kiến thức và kỹ năng về Thiết bị đo mức không theo nguyên lý chênh áp</v>
      </c>
      <c r="D33" s="13">
        <v>1</v>
      </c>
      <c r="E33" s="87">
        <v>0</v>
      </c>
      <c r="F33" s="87">
        <f t="shared" si="1"/>
        <v>-1</v>
      </c>
      <c r="G33" s="13"/>
      <c r="I33" s="82"/>
      <c r="J33" s="82"/>
      <c r="K33"/>
    </row>
    <row r="34" spans="1:11" s="4" customFormat="1" ht="33" customHeight="1" x14ac:dyDescent="0.25">
      <c r="A34" s="87">
        <f t="shared" si="0"/>
        <v>22</v>
      </c>
      <c r="B34" s="87" t="str">
        <v>ĐK_NLCM_059</v>
      </c>
      <c r="C34" s="88" t="str">
        <f>VLOOKUP(B34,'Ma trận năng lực'!$D$4:$E$69,2,1)</f>
        <v>Kiến thức và kỹ năng về Thiết bị đo lưu lượng  không theo nguyên lý chênh áp</v>
      </c>
      <c r="D34" s="13">
        <v>1</v>
      </c>
      <c r="E34" s="87">
        <v>0</v>
      </c>
      <c r="F34" s="87">
        <f t="shared" si="1"/>
        <v>-1</v>
      </c>
      <c r="G34" s="13"/>
      <c r="I34" s="82"/>
      <c r="J34" s="82"/>
      <c r="K34"/>
    </row>
    <row r="35" spans="1:11" s="4" customFormat="1" ht="33" customHeight="1" x14ac:dyDescent="0.25">
      <c r="A35" s="87">
        <f t="shared" si="0"/>
        <v>23</v>
      </c>
      <c r="B35" s="87" t="str">
        <v>ĐK_NLCM_060</v>
      </c>
      <c r="C35" s="88" t="str">
        <f>VLOOKUP(B35,'Ma trận năng lực'!$D$4:$E$69,2,1)</f>
        <v>Kiến thức liên quan đến lựa chọn thiết bị đo lường</v>
      </c>
      <c r="D35" s="13">
        <v>1</v>
      </c>
      <c r="E35" s="87">
        <v>0</v>
      </c>
      <c r="F35" s="87">
        <f t="shared" si="1"/>
        <v>-1</v>
      </c>
      <c r="G35" s="13"/>
      <c r="I35" s="82"/>
      <c r="J35" s="82"/>
      <c r="K35"/>
    </row>
    <row r="36" spans="1:11" s="4" customFormat="1" ht="33" customHeight="1" x14ac:dyDescent="0.25">
      <c r="A36" s="87">
        <f t="shared" si="0"/>
        <v>24</v>
      </c>
      <c r="B36" s="87" t="str">
        <v>ĐK_NLCM_064</v>
      </c>
      <c r="C36" s="88" t="str">
        <f>VLOOKUP(B36,'Ma trận năng lực'!$D$4:$E$69,2,1)</f>
        <v>Quản lý hồ sơ, tài liệu/bản vẽ kỹ thuật</v>
      </c>
      <c r="D36" s="13"/>
      <c r="E36" s="87">
        <v>0</v>
      </c>
      <c r="F36" s="87">
        <f t="shared" si="1"/>
        <v>0</v>
      </c>
      <c r="G36" s="13"/>
      <c r="I36" s="82"/>
      <c r="J36" s="82"/>
      <c r="K36"/>
    </row>
    <row r="37" spans="1:11" s="4" customFormat="1" ht="33" customHeight="1" x14ac:dyDescent="0.25">
      <c r="A37" s="87">
        <f t="shared" si="0"/>
        <v>25</v>
      </c>
      <c r="B37" s="87" t="str">
        <v>ĐK_NLCM_065</v>
      </c>
      <c r="C37" s="88" t="str">
        <f>VLOOKUP(B37,'Ma trận năng lực'!$D$4:$E$69,2,1)</f>
        <v>Quản lý sử dụng vật tư tiêu hao, thiết bị, CCDC</v>
      </c>
      <c r="D37" s="13"/>
      <c r="E37" s="87">
        <v>0</v>
      </c>
      <c r="F37" s="87">
        <f t="shared" si="1"/>
        <v>0</v>
      </c>
      <c r="G37" s="13"/>
      <c r="I37" s="82"/>
      <c r="J37" s="82"/>
      <c r="K37"/>
    </row>
    <row r="38" spans="1:11" s="4" customFormat="1" ht="33" customHeight="1" x14ac:dyDescent="0.25">
      <c r="A38" s="87">
        <f t="shared" si="0"/>
        <v>26</v>
      </c>
      <c r="B38" s="87" t="str">
        <v>ĐK_NLCM_066</v>
      </c>
      <c r="C38" s="88"/>
      <c r="D38" s="13"/>
      <c r="E38" s="87">
        <v>0</v>
      </c>
      <c r="F38" s="87">
        <f t="shared" si="1"/>
        <v>0</v>
      </c>
      <c r="G38" s="13"/>
      <c r="I38" s="82"/>
      <c r="J38" s="82"/>
      <c r="K38"/>
    </row>
    <row r="39" spans="1:11" s="4" customFormat="1" ht="33" customHeight="1" x14ac:dyDescent="0.25">
      <c r="A39" s="87">
        <f t="shared" si="0"/>
        <v>27</v>
      </c>
      <c r="B39" s="87"/>
      <c r="C39" s="88"/>
      <c r="D39" s="13"/>
      <c r="E39" s="87">
        <v>0</v>
      </c>
      <c r="F39" s="87">
        <f t="shared" si="1"/>
        <v>0</v>
      </c>
      <c r="G39" s="13"/>
      <c r="I39" s="82"/>
      <c r="J39" s="82"/>
      <c r="K39"/>
    </row>
    <row r="40" spans="1:11" s="4" customFormat="1" ht="33" customHeight="1" x14ac:dyDescent="0.25">
      <c r="A40" s="87">
        <f t="shared" si="0"/>
        <v>28</v>
      </c>
      <c r="B40" s="87"/>
      <c r="C40" s="88"/>
      <c r="D40" s="13"/>
      <c r="E40" s="87">
        <v>0</v>
      </c>
      <c r="F40" s="87">
        <f t="shared" si="1"/>
        <v>0</v>
      </c>
      <c r="G40" s="13"/>
      <c r="I40" s="82"/>
      <c r="J40" s="82"/>
      <c r="K40"/>
    </row>
    <row r="41" spans="1:11" s="4" customFormat="1" ht="33" customHeight="1" x14ac:dyDescent="0.25">
      <c r="A41" s="87">
        <f t="shared" si="0"/>
        <v>29</v>
      </c>
      <c r="B41" s="87"/>
      <c r="C41" s="88"/>
      <c r="D41" s="13"/>
      <c r="E41" s="87">
        <v>0</v>
      </c>
      <c r="F41" s="87">
        <f t="shared" si="1"/>
        <v>0</v>
      </c>
      <c r="G41" s="13"/>
      <c r="I41" s="82"/>
      <c r="J41" s="82"/>
      <c r="K41"/>
    </row>
    <row r="42" spans="1:11" s="4" customFormat="1" ht="33" customHeight="1" x14ac:dyDescent="0.25">
      <c r="A42" s="87">
        <f t="shared" si="0"/>
        <v>30</v>
      </c>
      <c r="B42" s="87"/>
      <c r="C42" s="88"/>
      <c r="D42" s="13"/>
      <c r="E42" s="87">
        <v>0</v>
      </c>
      <c r="F42" s="87">
        <f t="shared" si="1"/>
        <v>0</v>
      </c>
      <c r="G42" s="13"/>
      <c r="I42" s="82"/>
      <c r="J42" s="82"/>
      <c r="K42"/>
    </row>
    <row r="43" spans="1:11" s="4" customFormat="1" ht="33" customHeight="1" x14ac:dyDescent="0.25">
      <c r="A43" s="87">
        <f t="shared" si="0"/>
        <v>31</v>
      </c>
      <c r="B43" s="87"/>
      <c r="C43" s="88"/>
      <c r="D43" s="13"/>
      <c r="E43" s="87">
        <v>0</v>
      </c>
      <c r="F43" s="87"/>
      <c r="G43" s="13"/>
      <c r="I43" s="82"/>
      <c r="J43" s="82"/>
      <c r="K43"/>
    </row>
    <row r="44" spans="1:11" s="4" customFormat="1" ht="33" customHeight="1" x14ac:dyDescent="0.25">
      <c r="A44" s="87">
        <f t="shared" si="0"/>
        <v>32</v>
      </c>
      <c r="B44" s="87"/>
      <c r="C44" s="88"/>
      <c r="D44" s="13"/>
      <c r="E44" s="87">
        <v>0</v>
      </c>
      <c r="F44" s="87"/>
      <c r="G44" s="13"/>
      <c r="I44" s="82"/>
      <c r="J44" s="82"/>
      <c r="K44"/>
    </row>
    <row r="45" spans="1:11" s="4" customFormat="1" ht="33" customHeight="1" x14ac:dyDescent="0.25">
      <c r="A45" s="87">
        <f t="shared" si="0"/>
        <v>33</v>
      </c>
      <c r="B45" s="87"/>
      <c r="C45" s="88"/>
      <c r="D45" s="13"/>
      <c r="E45" s="87">
        <v>0</v>
      </c>
      <c r="F45" s="87"/>
      <c r="G45" s="13"/>
      <c r="I45" s="82"/>
      <c r="J45" s="82"/>
      <c r="K45"/>
    </row>
    <row r="46" spans="1:11" s="4" customFormat="1" ht="33" customHeight="1" x14ac:dyDescent="0.25">
      <c r="A46" s="87">
        <f t="shared" si="0"/>
        <v>34</v>
      </c>
      <c r="B46" s="87"/>
      <c r="C46" s="88"/>
      <c r="D46" s="13"/>
      <c r="E46" s="87">
        <v>0</v>
      </c>
      <c r="F46" s="87"/>
      <c r="G46" s="13"/>
      <c r="I46" s="82"/>
      <c r="J46" s="82"/>
      <c r="K46"/>
    </row>
    <row r="47" spans="1:11" s="4" customFormat="1" ht="33" customHeight="1" x14ac:dyDescent="0.25">
      <c r="A47" s="87">
        <f t="shared" si="0"/>
        <v>35</v>
      </c>
      <c r="B47" s="87"/>
      <c r="C47" s="88"/>
      <c r="D47" s="13"/>
      <c r="E47" s="87"/>
      <c r="F47" s="87"/>
      <c r="G47" s="13"/>
      <c r="I47" s="82"/>
      <c r="J47" s="82"/>
      <c r="K47"/>
    </row>
    <row r="48" spans="1:11" s="4" customFormat="1" ht="33" customHeight="1" x14ac:dyDescent="0.25">
      <c r="A48" s="87">
        <f t="shared" si="0"/>
        <v>36</v>
      </c>
      <c r="B48" s="87"/>
      <c r="C48" s="88"/>
      <c r="D48" s="13"/>
      <c r="E48" s="87"/>
      <c r="F48" s="87"/>
      <c r="G48" s="13"/>
      <c r="I48" s="82"/>
      <c r="J48" s="82"/>
      <c r="K48"/>
    </row>
    <row r="49" spans="1:11" s="4" customFormat="1" ht="33" customHeight="1" x14ac:dyDescent="0.25">
      <c r="A49" s="87">
        <f t="shared" si="0"/>
        <v>37</v>
      </c>
      <c r="B49" s="87"/>
      <c r="C49" s="88"/>
      <c r="D49" s="13"/>
      <c r="E49" s="87"/>
      <c r="F49" s="87">
        <f t="shared" si="1"/>
        <v>0</v>
      </c>
      <c r="G49" s="13"/>
      <c r="I49" s="82"/>
      <c r="J49" s="82"/>
      <c r="K49"/>
    </row>
    <row r="50" spans="1:11" s="4" customFormat="1" ht="33" customHeight="1" x14ac:dyDescent="0.25">
      <c r="A50" s="87">
        <f t="shared" si="0"/>
        <v>38</v>
      </c>
      <c r="B50" s="87"/>
      <c r="C50" s="89"/>
      <c r="D50" s="13"/>
      <c r="E50" s="87"/>
      <c r="F50" s="87">
        <f t="shared" si="1"/>
        <v>0</v>
      </c>
      <c r="G50" s="13"/>
      <c r="I50" s="82"/>
      <c r="J50" s="82"/>
      <c r="K50"/>
    </row>
    <row r="51" spans="1:11" s="4" customFormat="1" ht="33" customHeight="1" x14ac:dyDescent="0.25">
      <c r="A51" s="87">
        <f t="shared" si="0"/>
        <v>39</v>
      </c>
      <c r="B51" s="87"/>
      <c r="C51" s="88"/>
      <c r="D51" s="13"/>
      <c r="E51" s="87"/>
      <c r="F51" s="87">
        <f t="shared" si="1"/>
        <v>0</v>
      </c>
      <c r="G51" s="13"/>
      <c r="I51" s="82"/>
      <c r="J51" s="82"/>
      <c r="K51"/>
    </row>
    <row r="52" spans="1:11" s="4" customFormat="1" ht="33" customHeight="1" x14ac:dyDescent="0.25">
      <c r="A52" s="87">
        <f t="shared" si="0"/>
        <v>40</v>
      </c>
      <c r="B52" s="87"/>
      <c r="C52" s="88"/>
      <c r="D52" s="13"/>
      <c r="E52" s="87"/>
      <c r="F52" s="87">
        <f t="shared" si="1"/>
        <v>0</v>
      </c>
      <c r="G52" s="13"/>
      <c r="I52" s="82"/>
      <c r="J52" s="82"/>
      <c r="K52"/>
    </row>
    <row r="53" spans="1:11" s="4" customFormat="1" x14ac:dyDescent="0.25">
      <c r="A53" s="2"/>
      <c r="B53" s="2"/>
      <c r="C53" s="94"/>
      <c r="E53" s="2"/>
      <c r="F53" s="2"/>
      <c r="I53" s="82"/>
      <c r="J53" s="82"/>
      <c r="K53"/>
    </row>
    <row r="54" spans="1:11" s="4" customFormat="1" x14ac:dyDescent="0.25">
      <c r="A54" s="84" t="s">
        <v>218</v>
      </c>
      <c r="B54" s="83" t="s">
        <v>219</v>
      </c>
      <c r="C54"/>
      <c r="D54" s="2"/>
      <c r="E54" s="2"/>
      <c r="F54" s="2"/>
      <c r="I54" s="82"/>
      <c r="J54" s="82"/>
      <c r="K54"/>
    </row>
    <row r="55" spans="1:11" s="4" customFormat="1" x14ac:dyDescent="0.25">
      <c r="A55" s="90" t="b">
        <v>0</v>
      </c>
      <c r="B55" s="1" t="s">
        <v>220</v>
      </c>
      <c r="C55"/>
      <c r="D55" s="2"/>
      <c r="E55" s="2"/>
      <c r="F55" s="2"/>
      <c r="I55" s="82"/>
      <c r="J55" s="82"/>
      <c r="K55"/>
    </row>
    <row r="56" spans="1:11" s="4" customFormat="1" x14ac:dyDescent="0.25">
      <c r="A56" s="90" t="b">
        <v>0</v>
      </c>
      <c r="B56" s="1" t="s">
        <v>238</v>
      </c>
      <c r="C56"/>
      <c r="D56" s="2"/>
      <c r="E56" s="2"/>
      <c r="F56" s="2"/>
      <c r="I56" s="82"/>
      <c r="J56" s="82"/>
      <c r="K56"/>
    </row>
    <row r="57" spans="1:11" s="4" customFormat="1" ht="54" customHeight="1" x14ac:dyDescent="0.25">
      <c r="A57" s="153" t="s">
        <v>221</v>
      </c>
      <c r="B57" s="154"/>
      <c r="C57" s="154"/>
      <c r="D57" s="154"/>
      <c r="E57" s="154"/>
      <c r="F57" s="154"/>
      <c r="G57" s="154"/>
      <c r="I57" s="82"/>
      <c r="J57" s="82"/>
      <c r="K57"/>
    </row>
    <row r="58" spans="1:11" s="4" customFormat="1" ht="54" customHeight="1" x14ac:dyDescent="0.25">
      <c r="A58" s="155" t="s">
        <v>222</v>
      </c>
      <c r="B58" s="154"/>
      <c r="C58" s="154"/>
      <c r="D58" s="154"/>
      <c r="E58" s="154"/>
      <c r="F58" s="154"/>
      <c r="G58" s="154"/>
      <c r="I58" s="82"/>
      <c r="J58" s="82"/>
      <c r="K58"/>
    </row>
    <row r="59" spans="1:11" s="4" customFormat="1" x14ac:dyDescent="0.25">
      <c r="A59" s="91"/>
      <c r="B59" s="1"/>
      <c r="C59"/>
      <c r="D59" s="2"/>
      <c r="E59" s="2"/>
      <c r="G59" s="106"/>
      <c r="I59" s="82"/>
      <c r="J59" s="82"/>
      <c r="K59"/>
    </row>
    <row r="60" spans="1:11" s="4" customFormat="1" x14ac:dyDescent="0.25">
      <c r="A60" s="2"/>
      <c r="C60" s="105" t="s">
        <v>223</v>
      </c>
      <c r="D60" s="156" t="s">
        <v>207</v>
      </c>
      <c r="E60" s="156"/>
      <c r="F60" s="156"/>
      <c r="G60" s="156"/>
      <c r="I60" s="82"/>
      <c r="J60" s="82"/>
      <c r="K60"/>
    </row>
    <row r="61" spans="1:11" x14ac:dyDescent="0.25">
      <c r="D61" s="157" t="s">
        <v>224</v>
      </c>
      <c r="E61" s="157"/>
      <c r="F61" s="157"/>
      <c r="G61" s="157"/>
    </row>
  </sheetData>
  <mergeCells count="14">
    <mergeCell ref="A57:G57"/>
    <mergeCell ref="A58:G58"/>
    <mergeCell ref="D60:G60"/>
    <mergeCell ref="D61:G61"/>
    <mergeCell ref="A1:C1"/>
    <mergeCell ref="A2:C2"/>
    <mergeCell ref="A4:G4"/>
    <mergeCell ref="A11:A12"/>
    <mergeCell ref="B11:B12"/>
    <mergeCell ref="C11:C12"/>
    <mergeCell ref="D11:D12"/>
    <mergeCell ref="E11:E12"/>
    <mergeCell ref="F11:F12"/>
    <mergeCell ref="G11:G12"/>
  </mergeCells>
  <conditionalFormatting sqref="A55:A56">
    <cfRule type="cellIs" dxfId="26" priority="3" operator="equal">
      <formula>"x"</formula>
    </cfRule>
  </conditionalFormatting>
  <conditionalFormatting sqref="A59:A60">
    <cfRule type="cellIs" dxfId="25" priority="4" operator="equal">
      <formula>"x"</formula>
    </cfRule>
  </conditionalFormatting>
  <conditionalFormatting sqref="D13:D53">
    <cfRule type="cellIs" dxfId="24" priority="5" operator="equal">
      <formula>5</formula>
    </cfRule>
    <cfRule type="cellIs" dxfId="23" priority="6" operator="equal">
      <formula>4</formula>
    </cfRule>
    <cfRule type="cellIs" dxfId="22" priority="7" operator="equal">
      <formula>3</formula>
    </cfRule>
    <cfRule type="cellIs" dxfId="21" priority="8" operator="equal">
      <formula>2</formula>
    </cfRule>
    <cfRule type="cellIs" dxfId="20" priority="9" operator="equal">
      <formula>1</formula>
    </cfRule>
  </conditionalFormatting>
  <conditionalFormatting sqref="F1:F7 F10:F58 D60:D61 F62:F1048576">
    <cfRule type="cellIs" dxfId="19" priority="1" operator="equal">
      <formula>1</formula>
    </cfRule>
    <cfRule type="cellIs" dxfId="18" priority="2" operator="equal">
      <formula>0</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B26B5-3A0D-4EB7-A978-66BFFF00641E}">
  <sheetPr>
    <tabColor rgb="FFFF0000"/>
  </sheetPr>
  <dimension ref="A1:K61"/>
  <sheetViews>
    <sheetView zoomScale="85" zoomScaleNormal="85" workbookViewId="0">
      <pane xSplit="4" ySplit="12" topLeftCell="E49" activePane="bottomRight" state="frozen"/>
      <selection activeCell="G6" sqref="G6"/>
      <selection pane="topRight" activeCell="G6" sqref="G6"/>
      <selection pane="bottomLeft" activeCell="G6" sqref="G6"/>
      <selection pane="bottomRight" activeCell="C49" sqref="C49"/>
    </sheetView>
  </sheetViews>
  <sheetFormatPr defaultRowHeight="16.5" outlineLevelRow="1" x14ac:dyDescent="0.25"/>
  <cols>
    <col min="1" max="1" width="6.5546875" style="2" customWidth="1"/>
    <col min="2" max="2" width="21" style="2" customWidth="1"/>
    <col min="3" max="3" width="77.6640625" customWidth="1"/>
    <col min="4" max="4" width="11.6640625" style="2" customWidth="1"/>
    <col min="5" max="5" width="11.109375" style="2" customWidth="1"/>
    <col min="6" max="6" width="10.21875" style="2" customWidth="1"/>
    <col min="7" max="7" width="19" style="4" customWidth="1"/>
    <col min="8" max="8" width="9.109375" style="4" customWidth="1"/>
    <col min="9" max="10" width="9.109375" style="82" customWidth="1"/>
  </cols>
  <sheetData>
    <row r="1" spans="1:11" x14ac:dyDescent="0.25">
      <c r="A1" s="158" t="s">
        <v>206</v>
      </c>
      <c r="B1" s="158"/>
      <c r="C1" s="158"/>
      <c r="G1" s="82"/>
      <c r="H1" s="82"/>
      <c r="I1"/>
      <c r="J1"/>
    </row>
    <row r="2" spans="1:11" s="85" customFormat="1" x14ac:dyDescent="0.25">
      <c r="A2" s="159" t="s">
        <v>8</v>
      </c>
      <c r="B2" s="159"/>
      <c r="C2" s="159"/>
      <c r="D2" s="84"/>
      <c r="E2" s="84"/>
      <c r="F2" s="84"/>
      <c r="G2" s="86"/>
      <c r="H2" s="86"/>
    </row>
    <row r="3" spans="1:11" s="85" customFormat="1" ht="13.5" customHeight="1" outlineLevel="1" x14ac:dyDescent="0.25">
      <c r="A3" s="83"/>
      <c r="B3" s="83"/>
      <c r="C3" s="95"/>
      <c r="D3" s="84"/>
      <c r="E3" s="84"/>
      <c r="F3" s="84"/>
      <c r="G3" s="86"/>
      <c r="H3" s="86"/>
    </row>
    <row r="4" spans="1:11" outlineLevel="1" x14ac:dyDescent="0.25">
      <c r="A4" s="157" t="s">
        <v>208</v>
      </c>
      <c r="B4" s="157"/>
      <c r="C4" s="157"/>
      <c r="D4" s="157"/>
      <c r="E4" s="157"/>
      <c r="F4" s="157"/>
      <c r="G4" s="157"/>
    </row>
    <row r="5" spans="1:11" ht="11.25" customHeight="1" outlineLevel="1" x14ac:dyDescent="0.25"/>
    <row r="6" spans="1:11" outlineLevel="1" x14ac:dyDescent="0.25">
      <c r="A6" s="84" t="s">
        <v>209</v>
      </c>
      <c r="B6" s="83" t="s">
        <v>210</v>
      </c>
    </row>
    <row r="7" spans="1:11" ht="20.25" customHeight="1" outlineLevel="1" x14ac:dyDescent="0.25">
      <c r="A7" s="1" t="s">
        <v>211</v>
      </c>
      <c r="B7" s="1"/>
      <c r="C7" s="1"/>
      <c r="D7" s="1" t="s">
        <v>239</v>
      </c>
      <c r="E7" s="1"/>
    </row>
    <row r="8" spans="1:11" ht="20.25" customHeight="1" outlineLevel="1" x14ac:dyDescent="0.25">
      <c r="A8" s="1" t="s">
        <v>212</v>
      </c>
      <c r="B8" s="1"/>
      <c r="C8" s="1"/>
      <c r="D8" s="1" t="s">
        <v>225</v>
      </c>
      <c r="E8" s="93">
        <v>2</v>
      </c>
      <c r="G8" s="1"/>
    </row>
    <row r="9" spans="1:11" ht="20.25" customHeight="1" outlineLevel="1" x14ac:dyDescent="0.25">
      <c r="A9" s="1"/>
      <c r="B9" s="1"/>
      <c r="C9" s="1"/>
      <c r="G9" s="1"/>
    </row>
    <row r="10" spans="1:11" ht="24.75" customHeight="1" outlineLevel="1" x14ac:dyDescent="0.25">
      <c r="A10" s="84" t="s">
        <v>213</v>
      </c>
      <c r="B10" s="83" t="s">
        <v>214</v>
      </c>
      <c r="G10" s="98"/>
    </row>
    <row r="11" spans="1:11" ht="23.25" customHeight="1" x14ac:dyDescent="0.25">
      <c r="A11" s="160" t="s">
        <v>0</v>
      </c>
      <c r="B11" s="161" t="s">
        <v>215</v>
      </c>
      <c r="C11" s="162" t="s">
        <v>53</v>
      </c>
      <c r="D11" s="161" t="s">
        <v>216</v>
      </c>
      <c r="E11" s="163" t="s">
        <v>217</v>
      </c>
      <c r="F11" s="163" t="s">
        <v>226</v>
      </c>
      <c r="G11" s="163" t="s">
        <v>7</v>
      </c>
      <c r="I11" s="4"/>
      <c r="J11" s="4"/>
      <c r="K11" s="4"/>
    </row>
    <row r="12" spans="1:11" ht="34.5" customHeight="1" x14ac:dyDescent="0.25">
      <c r="A12" s="160"/>
      <c r="B12" s="161"/>
      <c r="C12" s="162"/>
      <c r="D12" s="161"/>
      <c r="E12" s="164"/>
      <c r="F12" s="164"/>
      <c r="G12" s="164"/>
      <c r="I12" s="4"/>
      <c r="J12" s="4"/>
    </row>
    <row r="13" spans="1:11" ht="33" customHeight="1" x14ac:dyDescent="0.25">
      <c r="A13" s="87">
        <f>ROW()-12</f>
        <v>1</v>
      </c>
      <c r="B13" s="87" t="str" cm="1">
        <f t="array" ref="B13:B49">_xlfn._xlws.FILTER('Ma trận năng lực'!D:D,'Ma trận năng lực'!W:W="x")</f>
        <v>ĐK_NLCM_001</v>
      </c>
      <c r="C13" s="88" t="str">
        <f>VLOOKUP(B13,'Ma trận năng lực'!$D$4:$E$69,2,1)</f>
        <v xml:space="preserve">Kiến thức về an toàn khi làm việc với các thiết bị đo lường tự động hóa </v>
      </c>
      <c r="D13" s="13" cm="1">
        <f t="array" ref="D13:D46">_xlfn._xlws.FILTER(INDEX(KNL_ĐK_14!F6:M41,,MATCH(E8,KNL_ĐK_14!F5:M5,0)),INDEX(KNL_ĐK_14!F6:M41,,MATCH(E8,KNL_ĐK_14!F5:M5,0))&lt;&gt;"")</f>
        <v>4</v>
      </c>
      <c r="E13" s="87">
        <v>5</v>
      </c>
      <c r="F13" s="87">
        <f>E13-D13</f>
        <v>1</v>
      </c>
      <c r="G13" s="13"/>
    </row>
    <row r="14" spans="1:11" ht="33" customHeight="1" x14ac:dyDescent="0.25">
      <c r="A14" s="87">
        <f t="shared" ref="A14:A52" si="0">ROW()-12</f>
        <v>2</v>
      </c>
      <c r="B14" s="87" t="str">
        <v>ĐK_NLCM_002</v>
      </c>
      <c r="C14" s="88" t="str">
        <f>VLOOKUP(B14,'Ma trận năng lực'!$D$4:$E$69,2,1)</f>
        <v>Kiến thức về quy trình làm việc</v>
      </c>
      <c r="D14" s="13">
        <v>4</v>
      </c>
      <c r="E14" s="87">
        <v>5</v>
      </c>
      <c r="F14" s="87">
        <f t="shared" ref="F14:F52" si="1">E14-D14</f>
        <v>1</v>
      </c>
      <c r="G14" s="13"/>
    </row>
    <row r="15" spans="1:11" ht="33" customHeight="1" x14ac:dyDescent="0.25">
      <c r="A15" s="87">
        <f t="shared" si="0"/>
        <v>3</v>
      </c>
      <c r="B15" s="87" t="str">
        <v>ĐK_NLCM_003</v>
      </c>
      <c r="C15" s="88" t="str">
        <f>VLOOKUP(B15,'Ma trận năng lực'!$D$4:$E$69,2,1)</f>
        <v>Nhận diện mối nguy và đánh giá rủi ro</v>
      </c>
      <c r="D15" s="13">
        <v>4</v>
      </c>
      <c r="E15" s="87">
        <v>0</v>
      </c>
      <c r="F15" s="87">
        <f t="shared" si="1"/>
        <v>-4</v>
      </c>
      <c r="G15" s="13"/>
    </row>
    <row r="16" spans="1:11" ht="33" customHeight="1" x14ac:dyDescent="0.25">
      <c r="A16" s="87">
        <f t="shared" si="0"/>
        <v>4</v>
      </c>
      <c r="B16" s="87" t="str">
        <v>ĐK_NLCM_004</v>
      </c>
      <c r="C16" s="88" t="str">
        <f>VLOOKUP(B16,'Ma trận năng lực'!$D$4:$E$69,2,1)</f>
        <v>Kiến thức Điện - Điện tử cơ bản</v>
      </c>
      <c r="D16" s="13">
        <v>2</v>
      </c>
      <c r="E16" s="87">
        <v>0</v>
      </c>
      <c r="F16" s="87">
        <f t="shared" si="1"/>
        <v>-2</v>
      </c>
      <c r="G16" s="13"/>
    </row>
    <row r="17" spans="1:11" ht="33" customHeight="1" x14ac:dyDescent="0.25">
      <c r="A17" s="87">
        <f t="shared" si="0"/>
        <v>5</v>
      </c>
      <c r="B17" s="87" t="str">
        <v>ĐK_NLCM_005</v>
      </c>
      <c r="C17" s="88" t="str">
        <f>VLOOKUP(B17,'Ma trận năng lực'!$D$4:$E$69,2,1)</f>
        <v>Kiến thức và kỹ năng cơ bản về truyền thông công nghiệp</v>
      </c>
      <c r="D17" s="13">
        <v>4</v>
      </c>
      <c r="E17" s="87">
        <v>0</v>
      </c>
      <c r="F17" s="87">
        <f t="shared" si="1"/>
        <v>-4</v>
      </c>
      <c r="G17" s="13"/>
    </row>
    <row r="18" spans="1:11" s="4" customFormat="1" ht="33" customHeight="1" x14ac:dyDescent="0.25">
      <c r="A18" s="87">
        <f t="shared" si="0"/>
        <v>6</v>
      </c>
      <c r="B18" s="87" t="str">
        <v>ĐK_NLCM_006</v>
      </c>
      <c r="C18" s="88" t="str">
        <f>VLOOKUP(B18,'Ma trận năng lực'!$D$4:$E$69,2,1)</f>
        <v xml:space="preserve">Kiến thức về điều khiển </v>
      </c>
      <c r="D18" s="13">
        <v>2</v>
      </c>
      <c r="E18" s="87">
        <v>0</v>
      </c>
      <c r="F18" s="87">
        <f t="shared" si="1"/>
        <v>-2</v>
      </c>
      <c r="G18" s="13"/>
      <c r="I18" s="82"/>
      <c r="J18" s="82"/>
      <c r="K18"/>
    </row>
    <row r="19" spans="1:11" s="4" customFormat="1" ht="33" customHeight="1" x14ac:dyDescent="0.25">
      <c r="A19" s="87">
        <f t="shared" si="0"/>
        <v>7</v>
      </c>
      <c r="B19" s="87" t="str">
        <v>ĐK_NLCM_007</v>
      </c>
      <c r="C19" s="88" t="str">
        <f>VLOOKUP(B19,'Ma trận năng lực'!$D$4:$E$69,2,1)</f>
        <v>Kiến thức và kỹ năng về hệ thống máy tính</v>
      </c>
      <c r="D19" s="13">
        <v>3</v>
      </c>
      <c r="E19" s="87">
        <v>0</v>
      </c>
      <c r="F19" s="87">
        <f t="shared" si="1"/>
        <v>-3</v>
      </c>
      <c r="G19" s="13"/>
      <c r="I19" s="82"/>
      <c r="J19" s="82"/>
      <c r="K19"/>
    </row>
    <row r="20" spans="1:11" s="4" customFormat="1" ht="33" customHeight="1" x14ac:dyDescent="0.25">
      <c r="A20" s="87">
        <f t="shared" si="0"/>
        <v>8</v>
      </c>
      <c r="B20" s="87" t="str">
        <v>ĐK_NLCM_008</v>
      </c>
      <c r="C20" s="88" t="str">
        <f>VLOOKUP(B20,'Ma trận năng lực'!$D$4:$E$69,2,1)</f>
        <v xml:space="preserve">Kiến thức về hệ thống nối đất </v>
      </c>
      <c r="D20" s="13">
        <v>2</v>
      </c>
      <c r="E20" s="87">
        <v>0</v>
      </c>
      <c r="F20" s="87">
        <f t="shared" si="1"/>
        <v>-2</v>
      </c>
      <c r="G20" s="13"/>
      <c r="I20" s="82"/>
      <c r="J20" s="82"/>
      <c r="K20"/>
    </row>
    <row r="21" spans="1:11" s="4" customFormat="1" ht="33" customHeight="1" x14ac:dyDescent="0.25">
      <c r="A21" s="87">
        <f t="shared" si="0"/>
        <v>9</v>
      </c>
      <c r="B21" s="87" t="str">
        <v>ĐK_NLCM_009</v>
      </c>
      <c r="C21" s="88" t="str">
        <f>VLOOKUP(B21,'Ma trận năng lực'!$D$4:$E$69,2,1)</f>
        <v>Kiến thức và kỹ năng sử dụng công cụ dụng cụ cầm tay thuộc chuyên môn thiết bị HTĐK</v>
      </c>
      <c r="D21" s="13">
        <v>4</v>
      </c>
      <c r="E21" s="87">
        <v>0</v>
      </c>
      <c r="F21" s="87">
        <f t="shared" si="1"/>
        <v>-4</v>
      </c>
      <c r="G21" s="13"/>
      <c r="I21" s="82"/>
      <c r="J21" s="82"/>
      <c r="K21"/>
    </row>
    <row r="22" spans="1:11" s="4" customFormat="1" ht="33" customHeight="1" x14ac:dyDescent="0.25">
      <c r="A22" s="87">
        <f t="shared" si="0"/>
        <v>10</v>
      </c>
      <c r="B22" s="87" t="str">
        <v>ĐK_NLCM_010</v>
      </c>
      <c r="C22" s="88" t="str">
        <f>VLOOKUP(B22,'Ma trận năng lực'!$D$4:$E$69,2,1)</f>
        <v>Kiến thức và kỹ năng về P&amp;ID</v>
      </c>
      <c r="D22" s="13">
        <v>2</v>
      </c>
      <c r="E22" s="87">
        <v>0</v>
      </c>
      <c r="F22" s="87">
        <f t="shared" si="1"/>
        <v>-2</v>
      </c>
      <c r="G22" s="13"/>
      <c r="I22" s="82"/>
      <c r="J22" s="82"/>
      <c r="K22"/>
    </row>
    <row r="23" spans="1:11" s="4" customFormat="1" ht="33" customHeight="1" x14ac:dyDescent="0.25">
      <c r="A23" s="87">
        <f t="shared" si="0"/>
        <v>11</v>
      </c>
      <c r="B23" s="87" t="str">
        <v>ĐK_NLCM_016</v>
      </c>
      <c r="C23" s="88" t="str">
        <f>VLOOKUP(B23,'Ma trận năng lực'!$D$4:$E$69,2,1)</f>
        <v>Kiến thức cơ bản về quy trình công nghệ sản xuất tại Nhà máy Đạm Cà Mau từ khí đầu vào đến tạo hạt, đóng bao.</v>
      </c>
      <c r="D23" s="13">
        <v>2</v>
      </c>
      <c r="E23" s="87">
        <v>0</v>
      </c>
      <c r="F23" s="87">
        <f t="shared" si="1"/>
        <v>-2</v>
      </c>
      <c r="G23" s="13"/>
      <c r="I23" s="82"/>
      <c r="J23" s="82"/>
      <c r="K23"/>
    </row>
    <row r="24" spans="1:11" s="4" customFormat="1" ht="33" customHeight="1" x14ac:dyDescent="0.25">
      <c r="A24" s="87">
        <f t="shared" si="0"/>
        <v>12</v>
      </c>
      <c r="B24" s="87" t="str">
        <v>ĐK_NLCM_017</v>
      </c>
      <c r="C24" s="88" t="str">
        <f>VLOOKUP(B24,'Ma trận năng lực'!$D$4:$E$69,2,1)</f>
        <v>Nắm được chức năng của các hệ thống điều khiển tại nhà máy Đạm Cà Mau bao gồm Hệ thống điều khiển phân tán, ESD, hệ thống điều khiển Turbine và máy nén, hệ thống MPS/MMS, hệ thống đóng bao xuất hàng</v>
      </c>
      <c r="D24" s="13">
        <v>2</v>
      </c>
      <c r="E24" s="87">
        <v>0</v>
      </c>
      <c r="F24" s="87">
        <f t="shared" si="1"/>
        <v>-2</v>
      </c>
      <c r="G24" s="13"/>
      <c r="I24" s="82"/>
      <c r="J24" s="82"/>
      <c r="K24"/>
    </row>
    <row r="25" spans="1:11" s="4" customFormat="1" ht="33" customHeight="1" x14ac:dyDescent="0.25">
      <c r="A25" s="87">
        <f t="shared" si="0"/>
        <v>13</v>
      </c>
      <c r="B25" s="87" t="str">
        <v>ĐK_NLCM_018</v>
      </c>
      <c r="C25" s="88" t="str">
        <f>VLOOKUP(B25,'Ma trận năng lực'!$D$4:$E$69,2,1)</f>
        <v>Kiến thức về thiết bị đo lường và van điều khiển tại nhà máy Đạm Cà Mau</v>
      </c>
      <c r="D25" s="13">
        <v>2</v>
      </c>
      <c r="E25" s="87">
        <v>0</v>
      </c>
      <c r="F25" s="87">
        <f t="shared" si="1"/>
        <v>-2</v>
      </c>
      <c r="G25" s="13"/>
      <c r="I25" s="82"/>
      <c r="J25" s="82"/>
      <c r="K25"/>
    </row>
    <row r="26" spans="1:11" s="4" customFormat="1" ht="33" customHeight="1" x14ac:dyDescent="0.25">
      <c r="A26" s="87">
        <f t="shared" si="0"/>
        <v>14</v>
      </c>
      <c r="B26" s="87" t="str">
        <v>ĐK_NLCM_019</v>
      </c>
      <c r="C26" s="88" t="str">
        <f>VLOOKUP(B26,'Ma trận năng lực'!$D$4:$E$69,2,1)</f>
        <v>Kiến thức về vùng nguy hiểm</v>
      </c>
      <c r="D26" s="13">
        <v>2</v>
      </c>
      <c r="E26" s="87">
        <v>0</v>
      </c>
      <c r="F26" s="87">
        <f t="shared" si="1"/>
        <v>-2</v>
      </c>
      <c r="G26" s="13"/>
      <c r="I26" s="82"/>
      <c r="J26" s="82"/>
      <c r="K26"/>
    </row>
    <row r="27" spans="1:11" s="4" customFormat="1" ht="33" customHeight="1" x14ac:dyDescent="0.25">
      <c r="A27" s="87">
        <f t="shared" si="0"/>
        <v>15</v>
      </c>
      <c r="B27" s="87" t="str">
        <v>ĐK_NLCM_020</v>
      </c>
      <c r="C27" s="88" t="str">
        <f>VLOOKUP(B27,'Ma trận năng lực'!$D$4:$E$69,2,1)</f>
        <v>Kiến thức về ký hiệu phòng nổ trên thiết bị</v>
      </c>
      <c r="D27" s="13">
        <v>2</v>
      </c>
      <c r="E27" s="87">
        <v>0</v>
      </c>
      <c r="F27" s="87">
        <f t="shared" si="1"/>
        <v>-2</v>
      </c>
      <c r="G27" s="13"/>
      <c r="I27" s="82"/>
      <c r="J27" s="82"/>
      <c r="K27"/>
    </row>
    <row r="28" spans="1:11" s="4" customFormat="1" ht="33" customHeight="1" x14ac:dyDescent="0.25">
      <c r="A28" s="87">
        <f t="shared" si="0"/>
        <v>16</v>
      </c>
      <c r="B28" s="87" t="str">
        <v>ĐK_NLCM_024</v>
      </c>
      <c r="C28" s="88" t="str">
        <f>VLOOKUP(B28,'Ma trận năng lực'!$D$4:$E$69,2,1)</f>
        <v>Kiến thức và kỹ năng liên về trí tuệ nhân tạo (AI)</v>
      </c>
      <c r="D28" s="13">
        <v>4</v>
      </c>
      <c r="E28" s="87">
        <v>0</v>
      </c>
      <c r="F28" s="87">
        <f t="shared" si="1"/>
        <v>-4</v>
      </c>
      <c r="G28" s="13"/>
      <c r="I28" s="82"/>
      <c r="J28" s="82"/>
      <c r="K28"/>
    </row>
    <row r="29" spans="1:11" s="4" customFormat="1" ht="33" customHeight="1" x14ac:dyDescent="0.25">
      <c r="A29" s="87">
        <f t="shared" si="0"/>
        <v>17</v>
      </c>
      <c r="B29" s="87" t="str">
        <v>ĐK_NLCM_025</v>
      </c>
      <c r="C29" s="88" t="str">
        <f>VLOOKUP(B29,'Ma trận năng lực'!$D$4:$E$69,2,1)</f>
        <v>Kiến thức và kỹ năng liên quan đến hệ thống FA &amp; AFFS</v>
      </c>
      <c r="D29" s="13">
        <v>4</v>
      </c>
      <c r="E29" s="87">
        <v>0</v>
      </c>
      <c r="F29" s="87">
        <f t="shared" si="1"/>
        <v>-4</v>
      </c>
      <c r="G29" s="13"/>
      <c r="I29" s="82"/>
      <c r="J29" s="82"/>
      <c r="K29"/>
    </row>
    <row r="30" spans="1:11" s="4" customFormat="1" ht="33" customHeight="1" x14ac:dyDescent="0.25">
      <c r="A30" s="87">
        <f t="shared" si="0"/>
        <v>18</v>
      </c>
      <c r="B30" s="87" t="str">
        <v>ĐK_NLCM_026</v>
      </c>
      <c r="C30" s="88" t="str">
        <f>VLOOKUP(B30,'Ma trận năng lực'!$D$4:$E$69,2,1)</f>
        <v>Kiến trúc phần cứng hệ thống MPS/MMS</v>
      </c>
      <c r="D30" s="13">
        <v>2</v>
      </c>
      <c r="E30" s="87">
        <v>0</v>
      </c>
      <c r="F30" s="87">
        <f t="shared" si="1"/>
        <v>-2</v>
      </c>
      <c r="G30" s="13"/>
      <c r="I30" s="82"/>
      <c r="J30" s="82"/>
      <c r="K30"/>
    </row>
    <row r="31" spans="1:11" s="4" customFormat="1" ht="33" customHeight="1" x14ac:dyDescent="0.25">
      <c r="A31" s="87">
        <f t="shared" si="0"/>
        <v>19</v>
      </c>
      <c r="B31" s="87" t="str">
        <v>ĐK_NLCM_027</v>
      </c>
      <c r="C31" s="88" t="str">
        <f>VLOOKUP(B31,'Ma trận năng lực'!$D$4:$E$69,2,1)</f>
        <v>Kiến trúc phần mềm hệ thống MPS/MMS</v>
      </c>
      <c r="D31" s="13">
        <v>2</v>
      </c>
      <c r="E31" s="87">
        <v>0</v>
      </c>
      <c r="F31" s="87">
        <f t="shared" si="1"/>
        <v>-2</v>
      </c>
      <c r="G31" s="13"/>
      <c r="I31" s="82"/>
      <c r="J31" s="82"/>
      <c r="K31"/>
    </row>
    <row r="32" spans="1:11" s="4" customFormat="1" ht="33" customHeight="1" x14ac:dyDescent="0.25">
      <c r="A32" s="87">
        <f t="shared" si="0"/>
        <v>20</v>
      </c>
      <c r="B32" s="87" t="str">
        <v>ĐK_NLCM_028</v>
      </c>
      <c r="C32" s="88" t="str">
        <f>VLOOKUP(B32,'Ma trận năng lực'!$D$4:$E$69,2,1)</f>
        <v>Kiến thức và kỹ năng liên quan đến phần cứng hệ thống DCS</v>
      </c>
      <c r="D32" s="13">
        <v>1</v>
      </c>
      <c r="E32" s="87">
        <v>0</v>
      </c>
      <c r="F32" s="87">
        <f t="shared" si="1"/>
        <v>-1</v>
      </c>
      <c r="G32" s="13"/>
      <c r="I32" s="82"/>
      <c r="J32" s="82"/>
      <c r="K32"/>
    </row>
    <row r="33" spans="1:11" s="4" customFormat="1" ht="33" customHeight="1" x14ac:dyDescent="0.25">
      <c r="A33" s="87">
        <f t="shared" si="0"/>
        <v>21</v>
      </c>
      <c r="B33" s="87" t="str">
        <v>ĐK_NLCM_029</v>
      </c>
      <c r="C33" s="88" t="str">
        <f>VLOOKUP(B33,'Ma trận năng lực'!$D$4:$E$69,2,1)</f>
        <v>Kiến thức và kỹ năng liên quan đến phần mềm hệ thống DCS</v>
      </c>
      <c r="D33" s="13">
        <v>1</v>
      </c>
      <c r="E33" s="87">
        <v>0</v>
      </c>
      <c r="F33" s="87">
        <f t="shared" si="1"/>
        <v>-1</v>
      </c>
      <c r="G33" s="13"/>
      <c r="I33" s="82"/>
      <c r="J33" s="82"/>
      <c r="K33"/>
    </row>
    <row r="34" spans="1:11" s="4" customFormat="1" ht="33" customHeight="1" x14ac:dyDescent="0.25">
      <c r="A34" s="87">
        <f t="shared" si="0"/>
        <v>22</v>
      </c>
      <c r="B34" s="87" t="str">
        <v>ĐK_NLCM_030</v>
      </c>
      <c r="C34" s="88" t="str">
        <f>VLOOKUP(B34,'Ma trận năng lực'!$D$4:$E$69,2,1)</f>
        <v>Kiến trúc phần cứng hệ thống F&amp;G</v>
      </c>
      <c r="D34" s="13">
        <v>1</v>
      </c>
      <c r="E34" s="87">
        <v>0</v>
      </c>
      <c r="F34" s="87">
        <f t="shared" si="1"/>
        <v>-1</v>
      </c>
      <c r="G34" s="13"/>
      <c r="I34" s="82"/>
      <c r="J34" s="82"/>
      <c r="K34"/>
    </row>
    <row r="35" spans="1:11" s="4" customFormat="1" ht="33" customHeight="1" x14ac:dyDescent="0.25">
      <c r="A35" s="87">
        <f t="shared" si="0"/>
        <v>23</v>
      </c>
      <c r="B35" s="87" t="str">
        <v>ĐK_NLCM_031</v>
      </c>
      <c r="C35" s="88" t="str">
        <f>VLOOKUP(B35,'Ma trận năng lực'!$D$4:$E$69,2,1)</f>
        <v>Kiến trúc phần mềm hệ thống F&amp;G</v>
      </c>
      <c r="D35" s="13">
        <v>1</v>
      </c>
      <c r="E35" s="87">
        <v>0</v>
      </c>
      <c r="F35" s="87">
        <f t="shared" si="1"/>
        <v>-1</v>
      </c>
      <c r="G35" s="13"/>
      <c r="I35" s="82"/>
      <c r="J35" s="82"/>
      <c r="K35"/>
    </row>
    <row r="36" spans="1:11" s="4" customFormat="1" ht="33" customHeight="1" x14ac:dyDescent="0.25">
      <c r="A36" s="87">
        <f t="shared" si="0"/>
        <v>24</v>
      </c>
      <c r="B36" s="87" t="str">
        <v>ĐK_NLCM_032</v>
      </c>
      <c r="C36" s="88" t="str">
        <f>VLOOKUP(B36,'Ma trận năng lực'!$D$4:$E$69,2,1)</f>
        <v>Kiến trúc phần cứng hệ thống ESD</v>
      </c>
      <c r="D36" s="13">
        <v>1</v>
      </c>
      <c r="E36" s="87">
        <v>0</v>
      </c>
      <c r="F36" s="87">
        <f t="shared" si="1"/>
        <v>-1</v>
      </c>
      <c r="G36" s="13"/>
      <c r="I36" s="82"/>
      <c r="J36" s="82"/>
      <c r="K36"/>
    </row>
    <row r="37" spans="1:11" s="4" customFormat="1" ht="33" customHeight="1" x14ac:dyDescent="0.25">
      <c r="A37" s="87">
        <f t="shared" si="0"/>
        <v>25</v>
      </c>
      <c r="B37" s="87" t="str">
        <v>ĐK_NLCM_033</v>
      </c>
      <c r="C37" s="88" t="str">
        <f>VLOOKUP(B37,'Ma trận năng lực'!$D$4:$E$69,2,1)</f>
        <v>Kiến trúc phần mềm hệ thống ESD</v>
      </c>
      <c r="D37" s="13">
        <v>1</v>
      </c>
      <c r="E37" s="87">
        <v>0</v>
      </c>
      <c r="F37" s="87">
        <f t="shared" si="1"/>
        <v>-1</v>
      </c>
      <c r="G37" s="13"/>
      <c r="I37" s="82"/>
      <c r="J37" s="82"/>
      <c r="K37"/>
    </row>
    <row r="38" spans="1:11" s="4" customFormat="1" ht="33" customHeight="1" x14ac:dyDescent="0.25">
      <c r="A38" s="87">
        <f t="shared" si="0"/>
        <v>26</v>
      </c>
      <c r="B38" s="87" t="str">
        <v>ĐK_NLCM_034</v>
      </c>
      <c r="C38" s="88" t="str">
        <f>VLOOKUP(B38,'Ma trận năng lực'!$D$4:$E$69,2,1)</f>
        <v xml:space="preserve">Kiến thức và kỹ năng liên quan đến phần cứng hệ thống PLC </v>
      </c>
      <c r="D38" s="13">
        <v>1</v>
      </c>
      <c r="E38" s="87">
        <v>0</v>
      </c>
      <c r="F38" s="87">
        <f t="shared" si="1"/>
        <v>-1</v>
      </c>
      <c r="G38" s="13"/>
      <c r="I38" s="82"/>
      <c r="J38" s="82"/>
      <c r="K38"/>
    </row>
    <row r="39" spans="1:11" s="4" customFormat="1" ht="33" customHeight="1" x14ac:dyDescent="0.25">
      <c r="A39" s="87">
        <f t="shared" si="0"/>
        <v>27</v>
      </c>
      <c r="B39" s="87" t="str">
        <v>ĐK_NLCM_035</v>
      </c>
      <c r="C39" s="88" t="str">
        <f>VLOOKUP(B39,'Ma trận năng lực'!$D$4:$E$69,2,1)</f>
        <v xml:space="preserve">Kiến trúc và kỹ năng liên quan đến phần mềm hệ thống PLC </v>
      </c>
      <c r="D39" s="13">
        <v>1</v>
      </c>
      <c r="E39" s="87">
        <v>0</v>
      </c>
      <c r="F39" s="87">
        <f t="shared" si="1"/>
        <v>-1</v>
      </c>
      <c r="G39" s="13"/>
      <c r="I39" s="82"/>
      <c r="J39" s="82"/>
      <c r="K39"/>
    </row>
    <row r="40" spans="1:11" s="4" customFormat="1" ht="33" customHeight="1" x14ac:dyDescent="0.25">
      <c r="A40" s="87">
        <f t="shared" si="0"/>
        <v>28</v>
      </c>
      <c r="B40" s="87" t="str">
        <v>ĐK_NLCM_040</v>
      </c>
      <c r="C40" s="88" t="str">
        <f>VLOOKUP(B40,'Ma trận năng lực'!$D$4:$E$69,2,1)</f>
        <v>Kiến thức và kỹ năng liên quan đến hệ thống AMS</v>
      </c>
      <c r="D40" s="13">
        <v>1</v>
      </c>
      <c r="E40" s="87">
        <v>0</v>
      </c>
      <c r="F40" s="87">
        <f t="shared" si="1"/>
        <v>-1</v>
      </c>
      <c r="G40" s="13"/>
      <c r="I40" s="82"/>
      <c r="J40" s="82"/>
      <c r="K40"/>
    </row>
    <row r="41" spans="1:11" s="4" customFormat="1" ht="33" customHeight="1" x14ac:dyDescent="0.25">
      <c r="A41" s="87">
        <f t="shared" si="0"/>
        <v>29</v>
      </c>
      <c r="B41" s="87" t="str">
        <v>ĐK_NLCM_041</v>
      </c>
      <c r="C41" s="88" t="str">
        <f>VLOOKUP(B41,'Ma trận năng lực'!$D$4:$E$69,2,1)</f>
        <v>Kiến thức và kỹ năng liên quan đến hệ thống OPC</v>
      </c>
      <c r="D41" s="13">
        <v>1</v>
      </c>
      <c r="E41" s="87">
        <v>0</v>
      </c>
      <c r="F41" s="87">
        <f t="shared" si="1"/>
        <v>-1</v>
      </c>
      <c r="G41" s="13"/>
      <c r="I41" s="82"/>
      <c r="J41" s="82"/>
      <c r="K41"/>
    </row>
    <row r="42" spans="1:11" s="4" customFormat="1" ht="33" customHeight="1" x14ac:dyDescent="0.25">
      <c r="A42" s="87">
        <f t="shared" si="0"/>
        <v>30</v>
      </c>
      <c r="B42" s="87" t="str">
        <v>ĐK_NLCM_042</v>
      </c>
      <c r="C42" s="88" t="str">
        <f>VLOOKUP(B42,'Ma trận năng lực'!$D$4:$E$69,2,1)</f>
        <v>Kiến thức và kỹ năng liên quan đến hệ thống OTS</v>
      </c>
      <c r="D42" s="13">
        <v>1</v>
      </c>
      <c r="E42" s="87">
        <v>0</v>
      </c>
      <c r="F42" s="87">
        <f t="shared" si="1"/>
        <v>-1</v>
      </c>
      <c r="G42" s="13"/>
      <c r="I42" s="82"/>
      <c r="J42" s="82"/>
      <c r="K42"/>
    </row>
    <row r="43" spans="1:11" s="4" customFormat="1" ht="33" customHeight="1" x14ac:dyDescent="0.25">
      <c r="A43" s="87">
        <f t="shared" si="0"/>
        <v>31</v>
      </c>
      <c r="B43" s="87" t="str">
        <v>ĐK_NLCM_043</v>
      </c>
      <c r="C43" s="88" t="str">
        <f>VLOOKUP(B43,'Ma trận năng lực'!$D$4:$E$69,2,1)</f>
        <v>Kiến thức về hệ thống APC</v>
      </c>
      <c r="D43" s="13">
        <v>1</v>
      </c>
      <c r="E43" s="87">
        <v>0</v>
      </c>
      <c r="F43" s="87"/>
      <c r="G43" s="13"/>
      <c r="I43" s="82"/>
      <c r="J43" s="82"/>
      <c r="K43"/>
    </row>
    <row r="44" spans="1:11" s="4" customFormat="1" ht="33" customHeight="1" x14ac:dyDescent="0.25">
      <c r="A44" s="87">
        <f t="shared" si="0"/>
        <v>32</v>
      </c>
      <c r="B44" s="87" t="str">
        <v>ĐK_NLCM_055</v>
      </c>
      <c r="C44" s="88" t="str">
        <f>VLOOKUP(B44,'Ma trận năng lực'!$D$4:$E$69,2,1)</f>
        <v>Tham gia thiết kế và triển khai các dự án C&amp;I quy mô nhỏ</v>
      </c>
      <c r="D44" s="13">
        <v>1</v>
      </c>
      <c r="E44" s="87">
        <v>0</v>
      </c>
      <c r="F44" s="87"/>
      <c r="G44" s="13"/>
      <c r="I44" s="82"/>
      <c r="J44" s="82"/>
      <c r="K44"/>
    </row>
    <row r="45" spans="1:11" s="4" customFormat="1" ht="33" customHeight="1" x14ac:dyDescent="0.25">
      <c r="A45" s="87">
        <f t="shared" si="0"/>
        <v>33</v>
      </c>
      <c r="B45" s="87" t="str">
        <v>ĐK_NLCM_056</v>
      </c>
      <c r="C45" s="88" t="str">
        <f>VLOOKUP(B45,'Ma trận năng lực'!$D$4:$E$69,2,1)</f>
        <v>Kiến thức về an toàn điều khiển chức năng</v>
      </c>
      <c r="D45" s="13">
        <v>1</v>
      </c>
      <c r="E45" s="87">
        <v>0</v>
      </c>
      <c r="F45" s="87"/>
      <c r="G45" s="13"/>
      <c r="I45" s="82"/>
      <c r="J45" s="82"/>
      <c r="K45"/>
    </row>
    <row r="46" spans="1:11" s="4" customFormat="1" ht="33" customHeight="1" x14ac:dyDescent="0.25">
      <c r="A46" s="87">
        <f t="shared" si="0"/>
        <v>34</v>
      </c>
      <c r="B46" s="87" t="str">
        <v>ĐK_NLCM_057</v>
      </c>
      <c r="C46" s="88" t="str">
        <f>VLOOKUP(B46,'Ma trận năng lực'!$D$4:$E$69,2,1)</f>
        <v>Kiến thức và kỹ năng liên quan đến điều khiển nâng cao</v>
      </c>
      <c r="D46" s="13">
        <v>1</v>
      </c>
      <c r="E46" s="87">
        <v>0</v>
      </c>
      <c r="F46" s="87"/>
      <c r="G46" s="13"/>
      <c r="I46" s="82"/>
      <c r="J46" s="82"/>
      <c r="K46"/>
    </row>
    <row r="47" spans="1:11" s="4" customFormat="1" ht="33" customHeight="1" x14ac:dyDescent="0.25">
      <c r="A47" s="87">
        <f t="shared" si="0"/>
        <v>35</v>
      </c>
      <c r="B47" s="87" t="str">
        <v>ĐK_NLCM_064</v>
      </c>
      <c r="C47" s="88" t="str">
        <f>VLOOKUP(B47,'Ma trận năng lực'!$D$4:$E$69,2,1)</f>
        <v>Quản lý hồ sơ, tài liệu/bản vẽ kỹ thuật</v>
      </c>
      <c r="D47" s="13"/>
      <c r="E47" s="87"/>
      <c r="F47" s="87"/>
      <c r="G47" s="13"/>
      <c r="I47" s="82"/>
      <c r="J47" s="82"/>
      <c r="K47"/>
    </row>
    <row r="48" spans="1:11" s="4" customFormat="1" ht="33" customHeight="1" x14ac:dyDescent="0.25">
      <c r="A48" s="87">
        <f t="shared" si="0"/>
        <v>36</v>
      </c>
      <c r="B48" s="87" t="str">
        <v>ĐK_NLCM_065</v>
      </c>
      <c r="C48" s="88" t="str">
        <f>VLOOKUP(B48,'Ma trận năng lực'!$D$4:$E$69,2,1)</f>
        <v>Quản lý sử dụng vật tư tiêu hao, thiết bị, CCDC</v>
      </c>
      <c r="D48" s="13"/>
      <c r="E48" s="87"/>
      <c r="F48" s="87"/>
      <c r="G48" s="13"/>
      <c r="I48" s="82"/>
      <c r="J48" s="82"/>
      <c r="K48"/>
    </row>
    <row r="49" spans="1:11" s="4" customFormat="1" ht="33" customHeight="1" x14ac:dyDescent="0.25">
      <c r="A49" s="87">
        <f t="shared" si="0"/>
        <v>37</v>
      </c>
      <c r="B49" s="87" t="str">
        <v>ĐK_NLCM_066</v>
      </c>
      <c r="C49" s="88"/>
      <c r="D49" s="13"/>
      <c r="E49" s="87"/>
      <c r="F49" s="87">
        <f t="shared" si="1"/>
        <v>0</v>
      </c>
      <c r="G49" s="13"/>
      <c r="I49" s="82"/>
      <c r="J49" s="82"/>
      <c r="K49"/>
    </row>
    <row r="50" spans="1:11" s="4" customFormat="1" ht="33" customHeight="1" x14ac:dyDescent="0.25">
      <c r="A50" s="87">
        <f t="shared" si="0"/>
        <v>38</v>
      </c>
      <c r="B50" s="87"/>
      <c r="C50" s="89"/>
      <c r="D50" s="13"/>
      <c r="E50" s="87"/>
      <c r="F50" s="87">
        <f t="shared" si="1"/>
        <v>0</v>
      </c>
      <c r="G50" s="13"/>
      <c r="I50" s="82"/>
      <c r="J50" s="82"/>
      <c r="K50"/>
    </row>
    <row r="51" spans="1:11" s="4" customFormat="1" ht="33" customHeight="1" x14ac:dyDescent="0.25">
      <c r="A51" s="87">
        <f t="shared" si="0"/>
        <v>39</v>
      </c>
      <c r="B51" s="87"/>
      <c r="C51" s="88"/>
      <c r="D51" s="13"/>
      <c r="E51" s="87"/>
      <c r="F51" s="87">
        <f t="shared" si="1"/>
        <v>0</v>
      </c>
      <c r="G51" s="13"/>
      <c r="I51" s="82"/>
      <c r="J51" s="82"/>
      <c r="K51"/>
    </row>
    <row r="52" spans="1:11" s="4" customFormat="1" ht="33" customHeight="1" x14ac:dyDescent="0.25">
      <c r="A52" s="87">
        <f t="shared" si="0"/>
        <v>40</v>
      </c>
      <c r="B52" s="87"/>
      <c r="C52" s="88"/>
      <c r="D52" s="13"/>
      <c r="E52" s="87"/>
      <c r="F52" s="87">
        <f t="shared" si="1"/>
        <v>0</v>
      </c>
      <c r="G52" s="13"/>
      <c r="I52" s="82"/>
      <c r="J52" s="82"/>
      <c r="K52"/>
    </row>
    <row r="53" spans="1:11" s="4" customFormat="1" x14ac:dyDescent="0.25">
      <c r="A53" s="2"/>
      <c r="B53" s="2"/>
      <c r="C53" s="94"/>
      <c r="E53" s="2"/>
      <c r="F53" s="2"/>
      <c r="I53" s="82"/>
      <c r="J53" s="82"/>
      <c r="K53"/>
    </row>
    <row r="54" spans="1:11" s="4" customFormat="1" x14ac:dyDescent="0.25">
      <c r="A54" s="84" t="s">
        <v>218</v>
      </c>
      <c r="B54" s="83" t="s">
        <v>219</v>
      </c>
      <c r="C54"/>
      <c r="D54" s="2"/>
      <c r="E54" s="2"/>
      <c r="F54" s="2"/>
      <c r="I54" s="82"/>
      <c r="J54" s="82"/>
      <c r="K54"/>
    </row>
    <row r="55" spans="1:11" s="4" customFormat="1" x14ac:dyDescent="0.25">
      <c r="A55" s="90" t="b">
        <v>0</v>
      </c>
      <c r="B55" s="1" t="s">
        <v>220</v>
      </c>
      <c r="C55"/>
      <c r="D55" s="2"/>
      <c r="E55" s="2"/>
      <c r="F55" s="2"/>
      <c r="I55" s="82"/>
      <c r="J55" s="82"/>
      <c r="K55"/>
    </row>
    <row r="56" spans="1:11" s="4" customFormat="1" x14ac:dyDescent="0.25">
      <c r="A56" s="90" t="b">
        <v>0</v>
      </c>
      <c r="B56" s="1" t="s">
        <v>238</v>
      </c>
      <c r="C56"/>
      <c r="D56" s="2"/>
      <c r="E56" s="2"/>
      <c r="F56" s="2"/>
      <c r="I56" s="82"/>
      <c r="J56" s="82"/>
      <c r="K56"/>
    </row>
    <row r="57" spans="1:11" s="4" customFormat="1" ht="54" customHeight="1" x14ac:dyDescent="0.25">
      <c r="A57" s="153" t="s">
        <v>221</v>
      </c>
      <c r="B57" s="154"/>
      <c r="C57" s="154"/>
      <c r="D57" s="154"/>
      <c r="E57" s="154"/>
      <c r="F57" s="154"/>
      <c r="G57" s="154"/>
      <c r="I57" s="82"/>
      <c r="J57" s="82"/>
      <c r="K57"/>
    </row>
    <row r="58" spans="1:11" s="4" customFormat="1" ht="54" customHeight="1" x14ac:dyDescent="0.25">
      <c r="A58" s="155" t="s">
        <v>222</v>
      </c>
      <c r="B58" s="154"/>
      <c r="C58" s="154"/>
      <c r="D58" s="154"/>
      <c r="E58" s="154"/>
      <c r="F58" s="154"/>
      <c r="G58" s="154"/>
      <c r="I58" s="82"/>
      <c r="J58" s="82"/>
      <c r="K58"/>
    </row>
    <row r="59" spans="1:11" s="4" customFormat="1" x14ac:dyDescent="0.25">
      <c r="A59" s="91"/>
      <c r="B59" s="1"/>
      <c r="C59"/>
      <c r="D59" s="2"/>
      <c r="E59" s="2"/>
      <c r="G59" s="106"/>
      <c r="I59" s="82"/>
      <c r="J59" s="82"/>
      <c r="K59"/>
    </row>
    <row r="60" spans="1:11" s="4" customFormat="1" x14ac:dyDescent="0.25">
      <c r="A60" s="2"/>
      <c r="C60" s="105" t="s">
        <v>223</v>
      </c>
      <c r="D60" s="156" t="s">
        <v>207</v>
      </c>
      <c r="E60" s="156"/>
      <c r="F60" s="156"/>
      <c r="G60" s="156"/>
      <c r="I60" s="82"/>
      <c r="J60" s="82"/>
      <c r="K60"/>
    </row>
    <row r="61" spans="1:11" x14ac:dyDescent="0.25">
      <c r="D61" s="157" t="s">
        <v>224</v>
      </c>
      <c r="E61" s="157"/>
      <c r="F61" s="157"/>
      <c r="G61" s="157"/>
    </row>
  </sheetData>
  <mergeCells count="14">
    <mergeCell ref="D60:G60"/>
    <mergeCell ref="D61:G61"/>
    <mergeCell ref="A57:G57"/>
    <mergeCell ref="A58:G58"/>
    <mergeCell ref="A1:C1"/>
    <mergeCell ref="A2:C2"/>
    <mergeCell ref="G11:G12"/>
    <mergeCell ref="A11:A12"/>
    <mergeCell ref="B11:B12"/>
    <mergeCell ref="C11:C12"/>
    <mergeCell ref="D11:D12"/>
    <mergeCell ref="E11:E12"/>
    <mergeCell ref="F11:F12"/>
    <mergeCell ref="A4:G4"/>
  </mergeCells>
  <conditionalFormatting sqref="A55:A56">
    <cfRule type="cellIs" dxfId="17" priority="3" operator="equal">
      <formula>"x"</formula>
    </cfRule>
  </conditionalFormatting>
  <conditionalFormatting sqref="A59:A60">
    <cfRule type="cellIs" dxfId="16" priority="4" operator="equal">
      <formula>"x"</formula>
    </cfRule>
  </conditionalFormatting>
  <conditionalFormatting sqref="D13:D53">
    <cfRule type="cellIs" dxfId="15" priority="5" operator="equal">
      <formula>5</formula>
    </cfRule>
    <cfRule type="cellIs" dxfId="14" priority="6" operator="equal">
      <formula>4</formula>
    </cfRule>
    <cfRule type="cellIs" dxfId="13" priority="7" operator="equal">
      <formula>3</formula>
    </cfRule>
    <cfRule type="cellIs" dxfId="12" priority="8" operator="equal">
      <formula>2</formula>
    </cfRule>
    <cfRule type="cellIs" dxfId="11" priority="9" operator="equal">
      <formula>1</formula>
    </cfRule>
  </conditionalFormatting>
  <conditionalFormatting sqref="F1:F7 F10:F58 D60:D61 F62:F1048576">
    <cfRule type="cellIs" dxfId="10" priority="1" operator="equal">
      <formula>1</formula>
    </cfRule>
    <cfRule type="cellIs" dxfId="9" priority="2" operator="equal">
      <formula>0</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D106E-A6E3-460A-ADB0-F62B12CD10B5}">
  <sheetPr>
    <tabColor rgb="FFFF0000"/>
  </sheetPr>
  <dimension ref="A1:K61"/>
  <sheetViews>
    <sheetView zoomScale="85" zoomScaleNormal="85" workbookViewId="0">
      <pane xSplit="4" ySplit="12" topLeftCell="E16" activePane="bottomRight" state="frozen"/>
      <selection activeCell="G6" sqref="G6"/>
      <selection pane="topRight" activeCell="G6" sqref="G6"/>
      <selection pane="bottomLeft" activeCell="G6" sqref="G6"/>
      <selection pane="bottomRight" activeCell="D18" sqref="D18"/>
    </sheetView>
  </sheetViews>
  <sheetFormatPr defaultRowHeight="16.5" outlineLevelRow="1" x14ac:dyDescent="0.25"/>
  <cols>
    <col min="1" max="1" width="6.5546875" style="2" customWidth="1"/>
    <col min="2" max="2" width="21" style="2" customWidth="1"/>
    <col min="3" max="3" width="77.6640625" customWidth="1"/>
    <col min="4" max="4" width="11.6640625" style="2" customWidth="1"/>
    <col min="5" max="5" width="11.109375" style="2" customWidth="1"/>
    <col min="6" max="6" width="10.21875" style="2" customWidth="1"/>
    <col min="7" max="7" width="19" style="4" customWidth="1"/>
    <col min="8" max="8" width="9.109375" style="4" customWidth="1"/>
    <col min="9" max="10" width="9.109375" style="82" customWidth="1"/>
  </cols>
  <sheetData>
    <row r="1" spans="1:11" x14ac:dyDescent="0.25">
      <c r="A1" s="158" t="s">
        <v>206</v>
      </c>
      <c r="B1" s="158"/>
      <c r="C1" s="158"/>
      <c r="G1" s="82"/>
      <c r="H1" s="82"/>
      <c r="I1"/>
      <c r="J1"/>
    </row>
    <row r="2" spans="1:11" s="85" customFormat="1" x14ac:dyDescent="0.25">
      <c r="A2" s="159" t="s">
        <v>8</v>
      </c>
      <c r="B2" s="159"/>
      <c r="C2" s="159"/>
      <c r="D2" s="84"/>
      <c r="E2" s="84"/>
      <c r="F2" s="84"/>
      <c r="G2" s="86"/>
      <c r="H2" s="86"/>
    </row>
    <row r="3" spans="1:11" s="85" customFormat="1" ht="13.5" customHeight="1" outlineLevel="1" x14ac:dyDescent="0.25">
      <c r="A3" s="83"/>
      <c r="B3" s="83"/>
      <c r="C3" s="95"/>
      <c r="D3" s="84"/>
      <c r="E3" s="84"/>
      <c r="F3" s="84"/>
      <c r="G3" s="86"/>
      <c r="H3" s="86"/>
    </row>
    <row r="4" spans="1:11" outlineLevel="1" x14ac:dyDescent="0.25">
      <c r="A4" s="157" t="s">
        <v>208</v>
      </c>
      <c r="B4" s="157"/>
      <c r="C4" s="157"/>
      <c r="D4" s="157"/>
      <c r="E4" s="157"/>
      <c r="F4" s="157"/>
      <c r="G4" s="157"/>
    </row>
    <row r="5" spans="1:11" ht="11.25" customHeight="1" outlineLevel="1" x14ac:dyDescent="0.25"/>
    <row r="6" spans="1:11" outlineLevel="1" x14ac:dyDescent="0.25">
      <c r="A6" s="84" t="s">
        <v>209</v>
      </c>
      <c r="B6" s="83" t="s">
        <v>210</v>
      </c>
    </row>
    <row r="7" spans="1:11" ht="20.25" customHeight="1" outlineLevel="1" x14ac:dyDescent="0.25">
      <c r="A7" s="1" t="s">
        <v>211</v>
      </c>
      <c r="B7" s="1"/>
      <c r="C7" s="1"/>
      <c r="D7" s="1" t="s">
        <v>239</v>
      </c>
      <c r="E7" s="1"/>
    </row>
    <row r="8" spans="1:11" ht="20.25" customHeight="1" outlineLevel="1" x14ac:dyDescent="0.25">
      <c r="A8" s="1" t="s">
        <v>212</v>
      </c>
      <c r="B8" s="1"/>
      <c r="C8" s="1"/>
      <c r="D8" s="1" t="s">
        <v>225</v>
      </c>
      <c r="E8" s="93">
        <v>2</v>
      </c>
      <c r="G8" s="1"/>
    </row>
    <row r="9" spans="1:11" ht="20.25" customHeight="1" outlineLevel="1" x14ac:dyDescent="0.25">
      <c r="A9" s="1"/>
      <c r="B9" s="1"/>
      <c r="C9" s="1"/>
      <c r="G9" s="1"/>
    </row>
    <row r="10" spans="1:11" ht="24.75" customHeight="1" outlineLevel="1" x14ac:dyDescent="0.25">
      <c r="A10" s="84" t="s">
        <v>213</v>
      </c>
      <c r="B10" s="83" t="s">
        <v>214</v>
      </c>
      <c r="G10" s="98"/>
    </row>
    <row r="11" spans="1:11" ht="23.25" customHeight="1" x14ac:dyDescent="0.25">
      <c r="A11" s="160" t="s">
        <v>0</v>
      </c>
      <c r="B11" s="161" t="s">
        <v>215</v>
      </c>
      <c r="C11" s="162" t="s">
        <v>53</v>
      </c>
      <c r="D11" s="161" t="s">
        <v>216</v>
      </c>
      <c r="E11" s="163" t="s">
        <v>217</v>
      </c>
      <c r="F11" s="163" t="s">
        <v>226</v>
      </c>
      <c r="G11" s="163" t="s">
        <v>7</v>
      </c>
      <c r="I11" s="4"/>
      <c r="J11" s="4"/>
      <c r="K11" s="4"/>
    </row>
    <row r="12" spans="1:11" ht="34.5" customHeight="1" x14ac:dyDescent="0.25">
      <c r="A12" s="160"/>
      <c r="B12" s="161"/>
      <c r="C12" s="162"/>
      <c r="D12" s="161"/>
      <c r="E12" s="164"/>
      <c r="F12" s="164"/>
      <c r="G12" s="164"/>
      <c r="I12" s="4"/>
      <c r="J12" s="4"/>
    </row>
    <row r="13" spans="1:11" ht="33" customHeight="1" x14ac:dyDescent="0.25">
      <c r="A13" s="87">
        <f>ROW()-12</f>
        <v>1</v>
      </c>
      <c r="B13" s="87" t="str" cm="1">
        <f t="array" ref="B13:B38">_xlfn._xlws.FILTER('Ma trận năng lực'!D:D,'Ma trận năng lực'!X:X="x")</f>
        <v>ĐK_NLCM_001</v>
      </c>
      <c r="C13" s="88" t="str">
        <f>VLOOKUP(B13,'Ma trận năng lực'!$D$4:$E$69,2,1)</f>
        <v xml:space="preserve">Kiến thức về an toàn khi làm việc với các thiết bị đo lường tự động hóa </v>
      </c>
      <c r="D13" s="13" cm="1">
        <f t="array" ref="D13:D34">_xlfn._xlws.FILTER(INDEX(KNL_ĐK_15!F6:M41,,MATCH(E8,KNL_ĐK_14!F5:M5,0)),INDEX(KNL_ĐK_15!F6:M41,,MATCH(E8,KNL_ĐK_15!F5:M5,0))&lt;&gt;"")</f>
        <v>3</v>
      </c>
      <c r="E13" s="87">
        <v>0</v>
      </c>
      <c r="F13" s="87">
        <f>E13-D13</f>
        <v>-3</v>
      </c>
      <c r="G13" s="13"/>
    </row>
    <row r="14" spans="1:11" ht="33" customHeight="1" x14ac:dyDescent="0.25">
      <c r="A14" s="87">
        <f t="shared" ref="A14:A52" si="0">ROW()-12</f>
        <v>2</v>
      </c>
      <c r="B14" s="87" t="str">
        <v>ĐK_NLCM_002</v>
      </c>
      <c r="C14" s="88" t="str">
        <f>VLOOKUP(B14,'Ma trận năng lực'!$D$4:$E$69,2,1)</f>
        <v>Kiến thức về quy trình làm việc</v>
      </c>
      <c r="D14" s="13">
        <v>3</v>
      </c>
      <c r="E14" s="87">
        <v>0</v>
      </c>
      <c r="F14" s="87">
        <f t="shared" ref="F14:F52" si="1">E14-D14</f>
        <v>-3</v>
      </c>
      <c r="G14" s="13"/>
    </row>
    <row r="15" spans="1:11" ht="33" customHeight="1" x14ac:dyDescent="0.25">
      <c r="A15" s="87">
        <f t="shared" si="0"/>
        <v>3</v>
      </c>
      <c r="B15" s="87" t="str">
        <v>ĐK_NLCM_003</v>
      </c>
      <c r="C15" s="88" t="str">
        <f>VLOOKUP(B15,'Ma trận năng lực'!$D$4:$E$69,2,1)</f>
        <v>Nhận diện mối nguy và đánh giá rủi ro</v>
      </c>
      <c r="D15" s="13">
        <v>3</v>
      </c>
      <c r="E15" s="87">
        <v>0</v>
      </c>
      <c r="F15" s="87">
        <f t="shared" si="1"/>
        <v>-3</v>
      </c>
      <c r="G15" s="13"/>
    </row>
    <row r="16" spans="1:11" ht="33" customHeight="1" x14ac:dyDescent="0.25">
      <c r="A16" s="87">
        <f t="shared" si="0"/>
        <v>4</v>
      </c>
      <c r="B16" s="87" t="str">
        <v>ĐK_NLCM_004</v>
      </c>
      <c r="C16" s="88" t="str">
        <f>VLOOKUP(B16,'Ma trận năng lực'!$D$4:$E$69,2,1)</f>
        <v>Kiến thức Điện - Điện tử cơ bản</v>
      </c>
      <c r="D16" s="13">
        <v>3</v>
      </c>
      <c r="E16" s="87">
        <v>0</v>
      </c>
      <c r="F16" s="87">
        <f t="shared" si="1"/>
        <v>-3</v>
      </c>
      <c r="G16" s="13"/>
    </row>
    <row r="17" spans="1:11" ht="33" customHeight="1" x14ac:dyDescent="0.25">
      <c r="A17" s="87">
        <f t="shared" si="0"/>
        <v>5</v>
      </c>
      <c r="B17" s="87" t="str">
        <v>ĐK_NLCM_010</v>
      </c>
      <c r="C17" s="88" t="str">
        <f>VLOOKUP(B17,'Ma trận năng lực'!$D$4:$E$69,2,1)</f>
        <v>Kiến thức và kỹ năng về P&amp;ID</v>
      </c>
      <c r="D17" s="13">
        <v>3</v>
      </c>
      <c r="E17" s="87">
        <v>0</v>
      </c>
      <c r="F17" s="87">
        <f t="shared" si="1"/>
        <v>-3</v>
      </c>
      <c r="G17" s="13"/>
    </row>
    <row r="18" spans="1:11" s="4" customFormat="1" ht="33" customHeight="1" x14ac:dyDescent="0.25">
      <c r="A18" s="87">
        <f t="shared" si="0"/>
        <v>6</v>
      </c>
      <c r="B18" s="87" t="str">
        <v>ĐK_NLCM_011</v>
      </c>
      <c r="C18" s="88" t="str">
        <f>VLOOKUP(B18,'Ma trận năng lực'!$D$4:$E$69,2,1)</f>
        <v xml:space="preserve">Kiến thức về IO wiring, Instrument juction box và cable schedule, Interlock </v>
      </c>
      <c r="D18" s="13">
        <v>3</v>
      </c>
      <c r="E18" s="87">
        <v>0</v>
      </c>
      <c r="F18" s="87">
        <f t="shared" si="1"/>
        <v>-3</v>
      </c>
      <c r="G18" s="13"/>
      <c r="I18" s="82"/>
      <c r="J18" s="82"/>
      <c r="K18"/>
    </row>
    <row r="19" spans="1:11" s="4" customFormat="1" ht="33" customHeight="1" x14ac:dyDescent="0.25">
      <c r="A19" s="87">
        <f t="shared" si="0"/>
        <v>7</v>
      </c>
      <c r="B19" s="87" t="str">
        <v>ĐK_NLCM_013</v>
      </c>
      <c r="C19" s="88" t="str">
        <f>VLOOKUP(B19,'Ma trận năng lực'!$D$4:$E$69,2,1)</f>
        <v>Kỹ năng sử dụng Công cụ, Dụng cụ cầm tay cho chuyên môn thiết bị van điều khiển</v>
      </c>
      <c r="D19" s="13">
        <v>3</v>
      </c>
      <c r="E19" s="87">
        <v>0</v>
      </c>
      <c r="F19" s="87">
        <f t="shared" si="1"/>
        <v>-3</v>
      </c>
      <c r="G19" s="13"/>
      <c r="I19" s="82"/>
      <c r="J19" s="82"/>
      <c r="K19"/>
    </row>
    <row r="20" spans="1:11" s="4" customFormat="1" ht="33" customHeight="1" x14ac:dyDescent="0.25">
      <c r="A20" s="87">
        <f t="shared" si="0"/>
        <v>8</v>
      </c>
      <c r="B20" s="87" t="str">
        <v>ĐK_NLCM_014</v>
      </c>
      <c r="C20" s="88" t="str">
        <f>VLOOKUP(B20,'Ma trận năng lực'!$D$4:$E$69,2,1)</f>
        <v>Kiến thức về vật lý và đại lượng đo lường cơ bản</v>
      </c>
      <c r="D20" s="13">
        <v>3</v>
      </c>
      <c r="E20" s="87">
        <v>0</v>
      </c>
      <c r="F20" s="87">
        <f t="shared" si="1"/>
        <v>-3</v>
      </c>
      <c r="G20" s="13"/>
      <c r="I20" s="82"/>
      <c r="J20" s="82"/>
      <c r="K20"/>
    </row>
    <row r="21" spans="1:11" s="4" customFormat="1" ht="33" customHeight="1" x14ac:dyDescent="0.25">
      <c r="A21" s="87">
        <f t="shared" si="0"/>
        <v>9</v>
      </c>
      <c r="B21" s="87" t="str">
        <v>ĐK_NLCM_015</v>
      </c>
      <c r="C21" s="88" t="str">
        <f>VLOOKUP(B21,'Ma trận năng lực'!$D$4:$E$69,2,1)</f>
        <v>Kiến thức và kỹ năng liên quan đến lựa chọn fitting và tubing</v>
      </c>
      <c r="D21" s="13">
        <v>2</v>
      </c>
      <c r="E21" s="87">
        <v>0</v>
      </c>
      <c r="F21" s="87">
        <f t="shared" si="1"/>
        <v>-2</v>
      </c>
      <c r="G21" s="13"/>
      <c r="I21" s="82"/>
      <c r="J21" s="82"/>
      <c r="K21"/>
    </row>
    <row r="22" spans="1:11" s="4" customFormat="1" ht="33" customHeight="1" x14ac:dyDescent="0.25">
      <c r="A22" s="87">
        <f t="shared" si="0"/>
        <v>10</v>
      </c>
      <c r="B22" s="87" t="str">
        <v>ĐK_NLCM_016</v>
      </c>
      <c r="C22" s="88" t="str">
        <f>VLOOKUP(B22,'Ma trận năng lực'!$D$4:$E$69,2,1)</f>
        <v>Kiến thức cơ bản về quy trình công nghệ sản xuất tại Nhà máy Đạm Cà Mau từ khí đầu vào đến tạo hạt, đóng bao.</v>
      </c>
      <c r="D22" s="13">
        <v>2</v>
      </c>
      <c r="E22" s="87">
        <v>0</v>
      </c>
      <c r="F22" s="87">
        <f t="shared" si="1"/>
        <v>-2</v>
      </c>
      <c r="G22" s="13"/>
      <c r="I22" s="82"/>
      <c r="J22" s="82"/>
      <c r="K22"/>
    </row>
    <row r="23" spans="1:11" s="4" customFormat="1" ht="33" customHeight="1" x14ac:dyDescent="0.25">
      <c r="A23" s="87">
        <f t="shared" si="0"/>
        <v>11</v>
      </c>
      <c r="B23" s="87" t="str">
        <v>ĐK_NLCM_017</v>
      </c>
      <c r="C23" s="88" t="str">
        <f>VLOOKUP(B23,'Ma trận năng lực'!$D$4:$E$69,2,1)</f>
        <v>Nắm được chức năng của các hệ thống điều khiển tại nhà máy Đạm Cà Mau bao gồm Hệ thống điều khiển phân tán, ESD, hệ thống điều khiển Turbine và máy nén, hệ thống MPS/MMS, hệ thống đóng bao xuất hàng</v>
      </c>
      <c r="D23" s="13">
        <v>2</v>
      </c>
      <c r="E23" s="87">
        <v>0</v>
      </c>
      <c r="F23" s="87">
        <f t="shared" si="1"/>
        <v>-2</v>
      </c>
      <c r="G23" s="13"/>
      <c r="I23" s="82"/>
      <c r="J23" s="82"/>
      <c r="K23"/>
    </row>
    <row r="24" spans="1:11" s="4" customFormat="1" ht="33" customHeight="1" x14ac:dyDescent="0.25">
      <c r="A24" s="87">
        <f t="shared" si="0"/>
        <v>12</v>
      </c>
      <c r="B24" s="87" t="str">
        <v>ĐK_NLCM_018</v>
      </c>
      <c r="C24" s="88" t="str">
        <f>VLOOKUP(B24,'Ma trận năng lực'!$D$4:$E$69,2,1)</f>
        <v>Kiến thức về thiết bị đo lường và van điều khiển tại nhà máy Đạm Cà Mau</v>
      </c>
      <c r="D24" s="13">
        <v>2</v>
      </c>
      <c r="E24" s="87">
        <v>0</v>
      </c>
      <c r="F24" s="87">
        <f t="shared" si="1"/>
        <v>-2</v>
      </c>
      <c r="G24" s="13"/>
      <c r="I24" s="82"/>
      <c r="J24" s="82"/>
      <c r="K24"/>
    </row>
    <row r="25" spans="1:11" s="4" customFormat="1" ht="33" customHeight="1" x14ac:dyDescent="0.25">
      <c r="A25" s="87">
        <f t="shared" si="0"/>
        <v>13</v>
      </c>
      <c r="B25" s="87" t="str">
        <v>ĐK_NLCM_019</v>
      </c>
      <c r="C25" s="88" t="str">
        <f>VLOOKUP(B25,'Ma trận năng lực'!$D$4:$E$69,2,1)</f>
        <v>Kiến thức về vùng nguy hiểm</v>
      </c>
      <c r="D25" s="13">
        <v>2</v>
      </c>
      <c r="E25" s="87">
        <v>0</v>
      </c>
      <c r="F25" s="87">
        <f t="shared" si="1"/>
        <v>-2</v>
      </c>
      <c r="G25" s="13"/>
      <c r="I25" s="82"/>
      <c r="J25" s="82"/>
      <c r="K25"/>
    </row>
    <row r="26" spans="1:11" s="4" customFormat="1" ht="33" customHeight="1" x14ac:dyDescent="0.25">
      <c r="A26" s="87">
        <f t="shared" si="0"/>
        <v>14</v>
      </c>
      <c r="B26" s="87" t="str">
        <v>ĐK_NLCM_020</v>
      </c>
      <c r="C26" s="88" t="str">
        <f>VLOOKUP(B26,'Ma trận năng lực'!$D$4:$E$69,2,1)</f>
        <v>Kiến thức về ký hiệu phòng nổ trên thiết bị</v>
      </c>
      <c r="D26" s="13">
        <v>3</v>
      </c>
      <c r="E26" s="87">
        <v>0</v>
      </c>
      <c r="F26" s="87">
        <f t="shared" si="1"/>
        <v>-3</v>
      </c>
      <c r="G26" s="13"/>
      <c r="I26" s="82"/>
      <c r="J26" s="82"/>
      <c r="K26"/>
    </row>
    <row r="27" spans="1:11" s="4" customFormat="1" ht="33" customHeight="1" x14ac:dyDescent="0.25">
      <c r="A27" s="87">
        <f t="shared" si="0"/>
        <v>15</v>
      </c>
      <c r="B27" s="87" t="str">
        <v>ĐK_NLCM_024</v>
      </c>
      <c r="C27" s="88" t="str">
        <f>VLOOKUP(B27,'Ma trận năng lực'!$D$4:$E$69,2,1)</f>
        <v>Kiến thức và kỹ năng liên về trí tuệ nhân tạo (AI)</v>
      </c>
      <c r="D27" s="13">
        <v>3</v>
      </c>
      <c r="E27" s="87">
        <v>0</v>
      </c>
      <c r="F27" s="87">
        <f t="shared" si="1"/>
        <v>-3</v>
      </c>
      <c r="G27" s="13"/>
      <c r="I27" s="82"/>
      <c r="J27" s="82"/>
      <c r="K27"/>
    </row>
    <row r="28" spans="1:11" s="4" customFormat="1" ht="33" customHeight="1" x14ac:dyDescent="0.25">
      <c r="A28" s="87">
        <f t="shared" si="0"/>
        <v>16</v>
      </c>
      <c r="B28" s="87" t="str">
        <v>ĐK_NLCM_049</v>
      </c>
      <c r="C28" s="88" t="str">
        <f>VLOOKUP(B28,'Ma trận năng lực'!$D$4:$E$69,2,1)</f>
        <v>Kiến thức và kỹ năng về van điều khiển với cơ cấu chấp hành khí nén  (Pneumatic actuator)</v>
      </c>
      <c r="D28" s="13">
        <v>3</v>
      </c>
      <c r="E28" s="87">
        <v>0</v>
      </c>
      <c r="F28" s="87">
        <f t="shared" si="1"/>
        <v>-3</v>
      </c>
      <c r="G28" s="13"/>
      <c r="I28" s="82"/>
      <c r="J28" s="82"/>
      <c r="K28"/>
    </row>
    <row r="29" spans="1:11" s="4" customFormat="1" ht="33" customHeight="1" x14ac:dyDescent="0.25">
      <c r="A29" s="87">
        <f t="shared" si="0"/>
        <v>17</v>
      </c>
      <c r="B29" s="87" t="str">
        <v>ĐK_NLCM_050</v>
      </c>
      <c r="C29" s="88" t="str">
        <f>VLOOKUP(B29,'Ma trận năng lực'!$D$4:$E$69,2,1)</f>
        <v>Kiến thức và kỹ năng về thiết bị phân tích, quan trắc môi trường</v>
      </c>
      <c r="D29" s="13">
        <v>3</v>
      </c>
      <c r="E29" s="87">
        <v>0</v>
      </c>
      <c r="F29" s="87">
        <f t="shared" si="1"/>
        <v>-3</v>
      </c>
      <c r="G29" s="13"/>
      <c r="I29" s="82"/>
      <c r="J29" s="82"/>
      <c r="K29"/>
    </row>
    <row r="30" spans="1:11" s="4" customFormat="1" ht="33" customHeight="1" x14ac:dyDescent="0.25">
      <c r="A30" s="87">
        <f t="shared" si="0"/>
        <v>18</v>
      </c>
      <c r="B30" s="87" t="str">
        <v>ĐK_NLCM_051</v>
      </c>
      <c r="C30" s="88" t="str">
        <f>VLOOKUP(B30,'Ma trận năng lực'!$D$4:$E$69,2,1)</f>
        <v>Kiến thức và kỹ năng về thiết bị dò khí cháy nổ và khí độc</v>
      </c>
      <c r="D30" s="13">
        <v>3</v>
      </c>
      <c r="E30" s="87">
        <v>0</v>
      </c>
      <c r="F30" s="87">
        <f t="shared" si="1"/>
        <v>-3</v>
      </c>
      <c r="G30" s="13"/>
      <c r="I30" s="82"/>
      <c r="J30" s="82"/>
      <c r="K30"/>
    </row>
    <row r="31" spans="1:11" s="4" customFormat="1" ht="33" customHeight="1" x14ac:dyDescent="0.25">
      <c r="A31" s="87">
        <f t="shared" si="0"/>
        <v>19</v>
      </c>
      <c r="B31" s="87" t="str">
        <v>ĐK_NLCM_052</v>
      </c>
      <c r="C31" s="88" t="str">
        <f>VLOOKUP(B31,'Ma trận năng lực'!$D$4:$E$69,2,1)</f>
        <v>Kiến thức và kỹ năng về thiết bị đóng bao</v>
      </c>
      <c r="D31" s="13">
        <v>3</v>
      </c>
      <c r="E31" s="87">
        <v>0</v>
      </c>
      <c r="F31" s="87">
        <f t="shared" si="1"/>
        <v>-3</v>
      </c>
      <c r="G31" s="13"/>
      <c r="I31" s="82"/>
      <c r="J31" s="82"/>
      <c r="K31"/>
    </row>
    <row r="32" spans="1:11" s="4" customFormat="1" ht="33" customHeight="1" x14ac:dyDescent="0.25">
      <c r="A32" s="87">
        <f t="shared" si="0"/>
        <v>20</v>
      </c>
      <c r="B32" s="87" t="str">
        <v>ĐK_NLCM_053</v>
      </c>
      <c r="C32" s="88" t="str">
        <f>VLOOKUP(B32,'Ma trận năng lực'!$D$4:$E$69,2,1)</f>
        <v>Kiến thức và kỹ năng về thiết bị vận chuyển, xuất hàng, lưu  kho, nhập liệu</v>
      </c>
      <c r="D32" s="13">
        <v>3</v>
      </c>
      <c r="E32" s="87">
        <v>0</v>
      </c>
      <c r="F32" s="87">
        <f t="shared" si="1"/>
        <v>-3</v>
      </c>
      <c r="G32" s="13"/>
      <c r="I32" s="82"/>
      <c r="J32" s="82"/>
      <c r="K32"/>
    </row>
    <row r="33" spans="1:11" s="4" customFormat="1" ht="33" customHeight="1" x14ac:dyDescent="0.25">
      <c r="A33" s="87">
        <f t="shared" si="0"/>
        <v>21</v>
      </c>
      <c r="B33" s="87" t="str">
        <v>ĐK_NLCM_061</v>
      </c>
      <c r="C33" s="88" t="str">
        <f>VLOOKUP(B33,'Ma trận năng lực'!$D$4:$E$69,2,1)</f>
        <v>Kiến thức và kỹ năng về van điều khiển với cơ cấu chấp hành motor (MOV)</v>
      </c>
      <c r="D33" s="13">
        <v>2</v>
      </c>
      <c r="E33" s="87">
        <v>0</v>
      </c>
      <c r="F33" s="87">
        <f t="shared" si="1"/>
        <v>-2</v>
      </c>
      <c r="G33" s="13"/>
      <c r="I33" s="82"/>
      <c r="J33" s="82"/>
      <c r="K33"/>
    </row>
    <row r="34" spans="1:11" s="4" customFormat="1" ht="33" customHeight="1" x14ac:dyDescent="0.25">
      <c r="A34" s="87">
        <f t="shared" si="0"/>
        <v>22</v>
      </c>
      <c r="B34" s="87" t="str">
        <v>ĐK_NLCM_062</v>
      </c>
      <c r="C34" s="88" t="str">
        <f>VLOOKUP(B34,'Ma trận năng lực'!$D$4:$E$69,2,1)</f>
        <v xml:space="preserve">Kiến thức và kỹ năng về van điều khiển với cơ cấu chấp hành thủy lực </v>
      </c>
      <c r="D34" s="13">
        <v>2</v>
      </c>
      <c r="E34" s="87">
        <v>0</v>
      </c>
      <c r="F34" s="87">
        <f t="shared" si="1"/>
        <v>-2</v>
      </c>
      <c r="G34" s="13"/>
      <c r="I34" s="82"/>
      <c r="J34" s="82"/>
      <c r="K34"/>
    </row>
    <row r="35" spans="1:11" s="4" customFormat="1" ht="33" customHeight="1" x14ac:dyDescent="0.25">
      <c r="A35" s="87">
        <f t="shared" si="0"/>
        <v>23</v>
      </c>
      <c r="B35" s="87" t="str">
        <v>ĐK_NLCM_063</v>
      </c>
      <c r="C35" s="88" t="str">
        <f>VLOOKUP(B35,'Ma trận năng lực'!$D$4:$E$69,2,1)</f>
        <v>Kiến thức liên quan đến lựa chọn thiết bị van điều khiển</v>
      </c>
      <c r="D35" s="13"/>
      <c r="E35" s="87">
        <v>0</v>
      </c>
      <c r="F35" s="87">
        <f t="shared" si="1"/>
        <v>0</v>
      </c>
      <c r="G35" s="13"/>
      <c r="I35" s="82"/>
      <c r="J35" s="82"/>
      <c r="K35"/>
    </row>
    <row r="36" spans="1:11" s="4" customFormat="1" ht="33" customHeight="1" x14ac:dyDescent="0.25">
      <c r="A36" s="87">
        <f t="shared" si="0"/>
        <v>24</v>
      </c>
      <c r="B36" s="87" t="str">
        <v>ĐK_NLCM_064</v>
      </c>
      <c r="C36" s="88" t="str">
        <f>VLOOKUP(B36,'Ma trận năng lực'!$D$4:$E$69,2,1)</f>
        <v>Quản lý hồ sơ, tài liệu/bản vẽ kỹ thuật</v>
      </c>
      <c r="D36" s="13"/>
      <c r="E36" s="87">
        <v>0</v>
      </c>
      <c r="F36" s="87">
        <f t="shared" si="1"/>
        <v>0</v>
      </c>
      <c r="G36" s="13"/>
      <c r="I36" s="82"/>
      <c r="J36" s="82"/>
      <c r="K36"/>
    </row>
    <row r="37" spans="1:11" s="4" customFormat="1" ht="33" customHeight="1" x14ac:dyDescent="0.25">
      <c r="A37" s="87">
        <f t="shared" si="0"/>
        <v>25</v>
      </c>
      <c r="B37" s="87" t="str">
        <v>ĐK_NLCM_065</v>
      </c>
      <c r="C37" s="88" t="str">
        <f>VLOOKUP(B37,'Ma trận năng lực'!$D$4:$E$69,2,1)</f>
        <v>Quản lý sử dụng vật tư tiêu hao, thiết bị, CCDC</v>
      </c>
      <c r="D37" s="13"/>
      <c r="E37" s="87">
        <v>0</v>
      </c>
      <c r="F37" s="87">
        <f t="shared" si="1"/>
        <v>0</v>
      </c>
      <c r="G37" s="13"/>
      <c r="I37" s="82"/>
      <c r="J37" s="82"/>
      <c r="K37"/>
    </row>
    <row r="38" spans="1:11" s="4" customFormat="1" ht="33" customHeight="1" x14ac:dyDescent="0.25">
      <c r="A38" s="87">
        <f t="shared" si="0"/>
        <v>26</v>
      </c>
      <c r="B38" s="87" t="str">
        <v>ĐK_NLCM_066</v>
      </c>
      <c r="C38" s="88" t="str">
        <f>VLOOKUP(B38,'Ma trận năng lực'!$D$4:$E$69,2,1)</f>
        <v>Kỹ năng sử dụng SAP</v>
      </c>
      <c r="D38" s="13"/>
      <c r="E38" s="87">
        <v>0</v>
      </c>
      <c r="F38" s="87">
        <f t="shared" si="1"/>
        <v>0</v>
      </c>
      <c r="G38" s="13"/>
      <c r="I38" s="82"/>
      <c r="J38" s="82"/>
      <c r="K38"/>
    </row>
    <row r="39" spans="1:11" s="4" customFormat="1" ht="33" customHeight="1" x14ac:dyDescent="0.25">
      <c r="A39" s="87">
        <f t="shared" si="0"/>
        <v>27</v>
      </c>
      <c r="B39" s="87"/>
      <c r="C39" s="88"/>
      <c r="D39" s="13"/>
      <c r="E39" s="87">
        <v>0</v>
      </c>
      <c r="F39" s="87">
        <f t="shared" si="1"/>
        <v>0</v>
      </c>
      <c r="G39" s="13"/>
      <c r="I39" s="82"/>
      <c r="J39" s="82"/>
      <c r="K39"/>
    </row>
    <row r="40" spans="1:11" s="4" customFormat="1" ht="33" customHeight="1" x14ac:dyDescent="0.25">
      <c r="A40" s="87">
        <f t="shared" si="0"/>
        <v>28</v>
      </c>
      <c r="B40" s="87"/>
      <c r="C40" s="88"/>
      <c r="D40" s="13"/>
      <c r="E40" s="87">
        <v>0</v>
      </c>
      <c r="F40" s="87">
        <f t="shared" si="1"/>
        <v>0</v>
      </c>
      <c r="G40" s="13"/>
      <c r="I40" s="82"/>
      <c r="J40" s="82"/>
      <c r="K40"/>
    </row>
    <row r="41" spans="1:11" s="4" customFormat="1" ht="33" customHeight="1" x14ac:dyDescent="0.25">
      <c r="A41" s="87">
        <f t="shared" si="0"/>
        <v>29</v>
      </c>
      <c r="B41" s="87"/>
      <c r="C41" s="88"/>
      <c r="D41" s="13"/>
      <c r="E41" s="87">
        <v>0</v>
      </c>
      <c r="F41" s="87">
        <f t="shared" si="1"/>
        <v>0</v>
      </c>
      <c r="G41" s="13"/>
      <c r="I41" s="82"/>
      <c r="J41" s="82"/>
      <c r="K41"/>
    </row>
    <row r="42" spans="1:11" s="4" customFormat="1" ht="33" customHeight="1" x14ac:dyDescent="0.25">
      <c r="A42" s="87">
        <f t="shared" si="0"/>
        <v>30</v>
      </c>
      <c r="B42" s="87"/>
      <c r="C42" s="88"/>
      <c r="D42" s="13"/>
      <c r="E42" s="87">
        <v>0</v>
      </c>
      <c r="F42" s="87">
        <f t="shared" si="1"/>
        <v>0</v>
      </c>
      <c r="G42" s="13"/>
      <c r="I42" s="82"/>
      <c r="J42" s="82"/>
      <c r="K42"/>
    </row>
    <row r="43" spans="1:11" s="4" customFormat="1" ht="33" customHeight="1" x14ac:dyDescent="0.25">
      <c r="A43" s="87">
        <f t="shared" si="0"/>
        <v>31</v>
      </c>
      <c r="B43" s="87"/>
      <c r="C43" s="88"/>
      <c r="D43" s="13"/>
      <c r="E43" s="87">
        <v>0</v>
      </c>
      <c r="F43" s="87"/>
      <c r="G43" s="13"/>
      <c r="I43" s="82"/>
      <c r="J43" s="82"/>
      <c r="K43"/>
    </row>
    <row r="44" spans="1:11" s="4" customFormat="1" ht="33" customHeight="1" x14ac:dyDescent="0.25">
      <c r="A44" s="87">
        <f t="shared" si="0"/>
        <v>32</v>
      </c>
      <c r="B44" s="87"/>
      <c r="C44" s="88"/>
      <c r="D44" s="13"/>
      <c r="E44" s="87">
        <v>0</v>
      </c>
      <c r="F44" s="87"/>
      <c r="G44" s="13"/>
      <c r="I44" s="82"/>
      <c r="J44" s="82"/>
      <c r="K44"/>
    </row>
    <row r="45" spans="1:11" s="4" customFormat="1" ht="33" customHeight="1" x14ac:dyDescent="0.25">
      <c r="A45" s="87">
        <f t="shared" si="0"/>
        <v>33</v>
      </c>
      <c r="B45" s="87"/>
      <c r="C45" s="88"/>
      <c r="D45" s="13"/>
      <c r="E45" s="87">
        <v>0</v>
      </c>
      <c r="F45" s="87"/>
      <c r="G45" s="13"/>
      <c r="I45" s="82"/>
      <c r="J45" s="82"/>
      <c r="K45"/>
    </row>
    <row r="46" spans="1:11" s="4" customFormat="1" ht="33" customHeight="1" x14ac:dyDescent="0.25">
      <c r="A46" s="87">
        <f t="shared" si="0"/>
        <v>34</v>
      </c>
      <c r="B46" s="87"/>
      <c r="C46" s="88"/>
      <c r="D46" s="13"/>
      <c r="E46" s="87">
        <v>0</v>
      </c>
      <c r="F46" s="87"/>
      <c r="G46" s="13"/>
      <c r="I46" s="82"/>
      <c r="J46" s="82"/>
      <c r="K46"/>
    </row>
    <row r="47" spans="1:11" s="4" customFormat="1" ht="33" customHeight="1" x14ac:dyDescent="0.25">
      <c r="A47" s="87">
        <f t="shared" si="0"/>
        <v>35</v>
      </c>
      <c r="B47" s="87"/>
      <c r="C47" s="88"/>
      <c r="D47" s="13"/>
      <c r="E47" s="87"/>
      <c r="F47" s="87"/>
      <c r="G47" s="13"/>
      <c r="I47" s="82"/>
      <c r="J47" s="82"/>
      <c r="K47"/>
    </row>
    <row r="48" spans="1:11" s="4" customFormat="1" ht="33" customHeight="1" x14ac:dyDescent="0.25">
      <c r="A48" s="87">
        <f t="shared" si="0"/>
        <v>36</v>
      </c>
      <c r="B48" s="87"/>
      <c r="C48" s="88"/>
      <c r="D48" s="13"/>
      <c r="E48" s="87"/>
      <c r="F48" s="87"/>
      <c r="G48" s="13"/>
      <c r="I48" s="82"/>
      <c r="J48" s="82"/>
      <c r="K48"/>
    </row>
    <row r="49" spans="1:11" s="4" customFormat="1" ht="33" customHeight="1" x14ac:dyDescent="0.25">
      <c r="A49" s="87">
        <f t="shared" si="0"/>
        <v>37</v>
      </c>
      <c r="B49" s="87"/>
      <c r="C49" s="88"/>
      <c r="D49" s="13"/>
      <c r="E49" s="87"/>
      <c r="F49" s="87">
        <f t="shared" si="1"/>
        <v>0</v>
      </c>
      <c r="G49" s="13"/>
      <c r="I49" s="82"/>
      <c r="J49" s="82"/>
      <c r="K49"/>
    </row>
    <row r="50" spans="1:11" s="4" customFormat="1" ht="33" customHeight="1" x14ac:dyDescent="0.25">
      <c r="A50" s="87">
        <f t="shared" si="0"/>
        <v>38</v>
      </c>
      <c r="B50" s="87"/>
      <c r="C50" s="89"/>
      <c r="D50" s="13"/>
      <c r="E50" s="87"/>
      <c r="F50" s="87">
        <f t="shared" si="1"/>
        <v>0</v>
      </c>
      <c r="G50" s="13"/>
      <c r="I50" s="82"/>
      <c r="J50" s="82"/>
      <c r="K50"/>
    </row>
    <row r="51" spans="1:11" s="4" customFormat="1" ht="33" customHeight="1" x14ac:dyDescent="0.25">
      <c r="A51" s="87">
        <f t="shared" si="0"/>
        <v>39</v>
      </c>
      <c r="B51" s="87"/>
      <c r="C51" s="88"/>
      <c r="D51" s="13"/>
      <c r="E51" s="87"/>
      <c r="F51" s="87">
        <f t="shared" si="1"/>
        <v>0</v>
      </c>
      <c r="G51" s="13"/>
      <c r="I51" s="82"/>
      <c r="J51" s="82"/>
      <c r="K51"/>
    </row>
    <row r="52" spans="1:11" s="4" customFormat="1" ht="33" customHeight="1" x14ac:dyDescent="0.25">
      <c r="A52" s="87">
        <f t="shared" si="0"/>
        <v>40</v>
      </c>
      <c r="B52" s="87"/>
      <c r="C52" s="88"/>
      <c r="D52" s="13"/>
      <c r="E52" s="87"/>
      <c r="F52" s="87">
        <f t="shared" si="1"/>
        <v>0</v>
      </c>
      <c r="G52" s="13"/>
      <c r="I52" s="82"/>
      <c r="J52" s="82"/>
      <c r="K52"/>
    </row>
    <row r="53" spans="1:11" s="4" customFormat="1" x14ac:dyDescent="0.25">
      <c r="A53" s="2"/>
      <c r="B53" s="2"/>
      <c r="C53" s="94"/>
      <c r="E53" s="2"/>
      <c r="F53" s="2"/>
      <c r="I53" s="82"/>
      <c r="J53" s="82"/>
      <c r="K53"/>
    </row>
    <row r="54" spans="1:11" s="4" customFormat="1" x14ac:dyDescent="0.25">
      <c r="A54" s="84" t="s">
        <v>218</v>
      </c>
      <c r="B54" s="83" t="s">
        <v>219</v>
      </c>
      <c r="C54"/>
      <c r="D54" s="2"/>
      <c r="E54" s="2"/>
      <c r="F54" s="2"/>
      <c r="I54" s="82"/>
      <c r="J54" s="82"/>
      <c r="K54"/>
    </row>
    <row r="55" spans="1:11" s="4" customFormat="1" x14ac:dyDescent="0.25">
      <c r="A55" s="90" t="b">
        <v>0</v>
      </c>
      <c r="B55" s="1" t="s">
        <v>220</v>
      </c>
      <c r="C55"/>
      <c r="D55" s="2"/>
      <c r="E55" s="2"/>
      <c r="F55" s="2"/>
      <c r="I55" s="82"/>
      <c r="J55" s="82"/>
      <c r="K55"/>
    </row>
    <row r="56" spans="1:11" s="4" customFormat="1" x14ac:dyDescent="0.25">
      <c r="A56" s="90" t="b">
        <v>0</v>
      </c>
      <c r="B56" s="1" t="s">
        <v>238</v>
      </c>
      <c r="C56"/>
      <c r="D56" s="2"/>
      <c r="E56" s="2"/>
      <c r="F56" s="2"/>
      <c r="I56" s="82"/>
      <c r="J56" s="82"/>
      <c r="K56"/>
    </row>
    <row r="57" spans="1:11" s="4" customFormat="1" ht="54" customHeight="1" x14ac:dyDescent="0.25">
      <c r="A57" s="153" t="s">
        <v>221</v>
      </c>
      <c r="B57" s="154"/>
      <c r="C57" s="154"/>
      <c r="D57" s="154"/>
      <c r="E57" s="154"/>
      <c r="F57" s="154"/>
      <c r="G57" s="154"/>
      <c r="I57" s="82"/>
      <c r="J57" s="82"/>
      <c r="K57"/>
    </row>
    <row r="58" spans="1:11" s="4" customFormat="1" ht="54" customHeight="1" x14ac:dyDescent="0.25">
      <c r="A58" s="155" t="s">
        <v>222</v>
      </c>
      <c r="B58" s="154"/>
      <c r="C58" s="154"/>
      <c r="D58" s="154"/>
      <c r="E58" s="154"/>
      <c r="F58" s="154"/>
      <c r="G58" s="154"/>
      <c r="I58" s="82"/>
      <c r="J58" s="82"/>
      <c r="K58"/>
    </row>
    <row r="59" spans="1:11" s="4" customFormat="1" x14ac:dyDescent="0.25">
      <c r="A59" s="91"/>
      <c r="B59" s="1"/>
      <c r="C59"/>
      <c r="D59" s="2"/>
      <c r="E59" s="2"/>
      <c r="G59" s="106"/>
      <c r="I59" s="82"/>
      <c r="J59" s="82"/>
      <c r="K59"/>
    </row>
    <row r="60" spans="1:11" s="4" customFormat="1" x14ac:dyDescent="0.25">
      <c r="A60" s="2"/>
      <c r="C60" s="105" t="s">
        <v>223</v>
      </c>
      <c r="D60" s="156" t="s">
        <v>207</v>
      </c>
      <c r="E60" s="156"/>
      <c r="F60" s="156"/>
      <c r="G60" s="156"/>
      <c r="I60" s="82"/>
      <c r="J60" s="82"/>
      <c r="K60"/>
    </row>
    <row r="61" spans="1:11" x14ac:dyDescent="0.25">
      <c r="D61" s="157" t="s">
        <v>224</v>
      </c>
      <c r="E61" s="157"/>
      <c r="F61" s="157"/>
      <c r="G61" s="157"/>
    </row>
  </sheetData>
  <mergeCells count="14">
    <mergeCell ref="A57:G57"/>
    <mergeCell ref="A58:G58"/>
    <mergeCell ref="D60:G60"/>
    <mergeCell ref="D61:G61"/>
    <mergeCell ref="A1:C1"/>
    <mergeCell ref="A2:C2"/>
    <mergeCell ref="A4:G4"/>
    <mergeCell ref="A11:A12"/>
    <mergeCell ref="B11:B12"/>
    <mergeCell ref="C11:C12"/>
    <mergeCell ref="D11:D12"/>
    <mergeCell ref="E11:E12"/>
    <mergeCell ref="F11:F12"/>
    <mergeCell ref="G11:G12"/>
  </mergeCells>
  <conditionalFormatting sqref="A55:A56">
    <cfRule type="cellIs" dxfId="8" priority="3" operator="equal">
      <formula>"x"</formula>
    </cfRule>
  </conditionalFormatting>
  <conditionalFormatting sqref="A59:A60">
    <cfRule type="cellIs" dxfId="7" priority="4" operator="equal">
      <formula>"x"</formula>
    </cfRule>
  </conditionalFormatting>
  <conditionalFormatting sqref="D13:D53">
    <cfRule type="cellIs" dxfId="6" priority="5" operator="equal">
      <formula>5</formula>
    </cfRule>
    <cfRule type="cellIs" dxfId="5" priority="6" operator="equal">
      <formula>4</formula>
    </cfRule>
    <cfRule type="cellIs" dxfId="4" priority="7" operator="equal">
      <formula>3</formula>
    </cfRule>
    <cfRule type="cellIs" dxfId="3" priority="8" operator="equal">
      <formula>2</formula>
    </cfRule>
    <cfRule type="cellIs" dxfId="2" priority="9" operator="equal">
      <formula>1</formula>
    </cfRule>
  </conditionalFormatting>
  <conditionalFormatting sqref="F1:F7 F10:F58 D60:D61 F62:F1048576">
    <cfRule type="cellIs" dxfId="1" priority="1" operator="equal">
      <formula>1</formula>
    </cfRule>
    <cfRule type="cellIs" dxfId="0" priority="2" operator="equal">
      <formula>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Danh mục vị trí chức danh</vt:lpstr>
      <vt:lpstr>Ma trận năng lực</vt:lpstr>
      <vt:lpstr>KNL_ĐK_10</vt:lpstr>
      <vt:lpstr>KNL_ĐK_12</vt:lpstr>
      <vt:lpstr>KNL_ĐK_13</vt:lpstr>
      <vt:lpstr>KNL_ĐK_14</vt:lpstr>
      <vt:lpstr>KNL_ĐK_15</vt:lpstr>
      <vt:lpstr>Phiếu đánh giá KTV TCĐK</vt:lpstr>
      <vt:lpstr>Phiếu đánh giá KTV TBĐL</vt:lpstr>
      <vt:lpstr>Phiếu đánh giá KTV TBHTĐK</vt:lpstr>
      <vt:lpstr>Phiếu đánh giá KTV TBCH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 Thi Nguyet Nga</dc:creator>
  <cp:lastModifiedBy>Quyen Phạm</cp:lastModifiedBy>
  <cp:lastPrinted>2025-06-13T09:52:17Z</cp:lastPrinted>
  <dcterms:created xsi:type="dcterms:W3CDTF">2025-06-10T02:51:01Z</dcterms:created>
  <dcterms:modified xsi:type="dcterms:W3CDTF">2026-04-14T08:38:02Z</dcterms:modified>
</cp:coreProperties>
</file>